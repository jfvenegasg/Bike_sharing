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3.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drawings/drawing4.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drawings/drawing5.xml" ContentType="application/vnd.openxmlformats-officedocument.drawing+xml"/>
  <Override PartName="/xl/charts/chart48.xml" ContentType="application/vnd.openxmlformats-officedocument.drawingml.chart+xml"/>
  <Override PartName="/xl/drawings/drawing6.xml" ContentType="application/vnd.openxmlformats-officedocument.drawing+xml"/>
  <Override PartName="/xl/charts/chart49.xml" ContentType="application/vnd.openxmlformats-officedocument.drawingml.chart+xml"/>
  <Override PartName="/xl/drawings/drawing7.xml" ContentType="application/vnd.openxmlformats-officedocument.drawing+xml"/>
  <Override PartName="/xl/charts/chart50.xml" ContentType="application/vnd.openxmlformats-officedocument.drawingml.chart+xml"/>
  <Override PartName="/xl/drawings/drawing8.xml" ContentType="application/vnd.openxmlformats-officedocument.drawing+xml"/>
  <Override PartName="/xl/charts/chart51.xml" ContentType="application/vnd.openxmlformats-officedocument.drawingml.chart+xml"/>
  <Override PartName="/xl/drawings/drawing9.xml" ContentType="application/vnd.openxmlformats-officedocument.drawing+xml"/>
  <Override PartName="/xl/charts/chart5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CER\Desktop\Tesis\Tesis Pedro Palominos\Código python\Modelo_info_historica\Modelo más actualizado\resultados con métricas\con macro\"/>
    </mc:Choice>
  </mc:AlternateContent>
  <xr:revisionPtr revIDLastSave="0" documentId="13_ncr:1_{EDB379A7-3815-436D-B702-A6A348F58414}" xr6:coauthVersionLast="47" xr6:coauthVersionMax="47" xr10:uidLastSave="{00000000-0000-0000-0000-000000000000}"/>
  <bookViews>
    <workbookView xWindow="6804" yWindow="4440" windowWidth="17280" windowHeight="8964" activeTab="1" xr2:uid="{00000000-000D-0000-FFFF-FFFF00000000}"/>
  </bookViews>
  <sheets>
    <sheet name="Sheet1" sheetId="1" r:id="rId1"/>
    <sheet name="120seg" sheetId="14" r:id="rId2"/>
    <sheet name="120seg (final)" sheetId="3" r:id="rId3"/>
    <sheet name="buscarv" sheetId="5" r:id="rId4"/>
    <sheet name="TE" sheetId="4" r:id="rId5"/>
    <sheet name="GráficosLLyV" sheetId="6" r:id="rId6"/>
    <sheet name="Promedio_octubre" sheetId="7" r:id="rId7"/>
    <sheet name="Promedio_octubre_respaldo" sheetId="8" r:id="rId8"/>
    <sheet name="S1" sheetId="9" r:id="rId9"/>
    <sheet name="S2" sheetId="10" r:id="rId10"/>
    <sheet name="S3" sheetId="11" r:id="rId11"/>
    <sheet name="S4" sheetId="12" r:id="rId12"/>
    <sheet name="todo" sheetId="13" r:id="rId13"/>
  </sheets>
  <definedNames>
    <definedName name="_xlnm._FilterDatabase" localSheetId="8" hidden="1">'S1'!$A$1:$E$32</definedName>
    <definedName name="_xlnm._FilterDatabase" localSheetId="9" hidden="1">'S2'!$A$1:$E$32</definedName>
    <definedName name="_xlnm._FilterDatabase" localSheetId="10" hidden="1">'S3'!$A$1:$E$32</definedName>
    <definedName name="_xlnm._FilterDatabase" localSheetId="11" hidden="1">'S4'!$A$1:$E$32</definedName>
    <definedName name="_xlnm._FilterDatabase" localSheetId="0" hidden="1">Sheet1!$A$1:$O$98</definedName>
    <definedName name="_xlnm._FilterDatabase" localSheetId="12" hidden="1">todo!$A$1:$E$32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7" roundtripDataChecksum="0uiIcYTCzXDkUPtBkope9GWFvDRczqnEZfyYp50TVFE="/>
    </ext>
  </extLst>
</workbook>
</file>

<file path=xl/calcChain.xml><?xml version="1.0" encoding="utf-8"?>
<calcChain xmlns="http://schemas.openxmlformats.org/spreadsheetml/2006/main">
  <c r="BW26" i="14" l="1"/>
  <c r="AX8" i="14" l="1"/>
  <c r="CI108" i="14"/>
  <c r="CI109" i="14"/>
  <c r="CI110" i="14"/>
  <c r="CI111" i="14"/>
  <c r="CI112" i="14"/>
  <c r="CI113" i="14"/>
  <c r="CI114" i="14"/>
  <c r="CI115" i="14"/>
  <c r="CI116" i="14"/>
  <c r="CI117" i="14"/>
  <c r="CI118" i="14"/>
  <c r="CI119" i="14"/>
  <c r="CI120" i="14"/>
  <c r="CI121" i="14"/>
  <c r="CI122" i="14"/>
  <c r="CI123" i="14"/>
  <c r="CI124" i="14"/>
  <c r="CI125" i="14"/>
  <c r="CI126" i="14"/>
  <c r="CI107" i="14"/>
  <c r="BW108" i="14"/>
  <c r="BW109" i="14"/>
  <c r="BW110" i="14"/>
  <c r="BW111" i="14"/>
  <c r="BW112" i="14"/>
  <c r="BW113" i="14"/>
  <c r="BW114" i="14"/>
  <c r="BW115" i="14"/>
  <c r="BW116" i="14"/>
  <c r="BW117" i="14"/>
  <c r="BW118" i="14"/>
  <c r="BW119" i="14"/>
  <c r="BW120" i="14"/>
  <c r="BW121" i="14"/>
  <c r="BW122" i="14"/>
  <c r="BW123" i="14"/>
  <c r="BW124" i="14"/>
  <c r="BW125" i="14"/>
  <c r="BW126" i="14"/>
  <c r="BW107" i="14"/>
  <c r="BK108" i="14"/>
  <c r="BK109" i="14"/>
  <c r="BK110" i="14"/>
  <c r="BK111" i="14"/>
  <c r="BK112" i="14"/>
  <c r="BK113" i="14"/>
  <c r="BK114" i="14"/>
  <c r="BK115" i="14"/>
  <c r="BK116" i="14"/>
  <c r="BK117" i="14"/>
  <c r="BK118" i="14"/>
  <c r="BK119" i="14"/>
  <c r="BK120" i="14"/>
  <c r="BK121" i="14"/>
  <c r="BK122" i="14"/>
  <c r="BK123" i="14"/>
  <c r="BK124" i="14"/>
  <c r="BK125" i="14"/>
  <c r="BK126" i="14"/>
  <c r="BK107" i="14"/>
  <c r="AX108" i="14"/>
  <c r="AX109" i="14"/>
  <c r="AX110" i="14"/>
  <c r="AX111" i="14"/>
  <c r="AX112" i="14"/>
  <c r="AX113" i="14"/>
  <c r="AX114" i="14"/>
  <c r="AX115" i="14"/>
  <c r="AX116" i="14"/>
  <c r="AX117" i="14"/>
  <c r="AX118" i="14"/>
  <c r="AX119" i="14"/>
  <c r="AX120" i="14"/>
  <c r="AX121" i="14"/>
  <c r="AX122" i="14"/>
  <c r="AX123" i="14"/>
  <c r="AX124" i="14"/>
  <c r="AX125" i="14"/>
  <c r="AX126" i="14"/>
  <c r="AX107" i="14"/>
  <c r="AK108" i="14"/>
  <c r="AK109" i="14"/>
  <c r="AK110" i="14"/>
  <c r="AK111" i="14"/>
  <c r="AK112" i="14"/>
  <c r="AK113" i="14"/>
  <c r="AK114" i="14"/>
  <c r="AK115" i="14"/>
  <c r="AK116" i="14"/>
  <c r="AK117" i="14"/>
  <c r="AK118" i="14"/>
  <c r="AK119" i="14"/>
  <c r="AK120" i="14"/>
  <c r="AK121" i="14"/>
  <c r="AK122" i="14"/>
  <c r="AK123" i="14"/>
  <c r="AK124" i="14"/>
  <c r="AK125" i="14"/>
  <c r="AK126" i="14"/>
  <c r="AK107" i="14"/>
  <c r="X108" i="14"/>
  <c r="X109" i="14"/>
  <c r="X110" i="14"/>
  <c r="X111" i="14"/>
  <c r="X112" i="14"/>
  <c r="X113" i="14"/>
  <c r="X114" i="14"/>
  <c r="X115" i="14"/>
  <c r="X116" i="14"/>
  <c r="X117" i="14"/>
  <c r="X118" i="14"/>
  <c r="X119" i="14"/>
  <c r="X120" i="14"/>
  <c r="X121" i="14"/>
  <c r="X122" i="14"/>
  <c r="X123" i="14"/>
  <c r="X124" i="14"/>
  <c r="X125" i="14"/>
  <c r="X126" i="14"/>
  <c r="X107" i="14"/>
  <c r="K108" i="14"/>
  <c r="K109" i="14"/>
  <c r="K110" i="14"/>
  <c r="K111" i="14"/>
  <c r="K112" i="14"/>
  <c r="K113" i="14"/>
  <c r="K114" i="14"/>
  <c r="K115" i="14"/>
  <c r="K116" i="14"/>
  <c r="K117" i="14"/>
  <c r="K118" i="14"/>
  <c r="K119" i="14"/>
  <c r="K120" i="14"/>
  <c r="K121" i="14"/>
  <c r="K122" i="14"/>
  <c r="K123" i="14"/>
  <c r="K124" i="14"/>
  <c r="K125" i="14"/>
  <c r="K126" i="14"/>
  <c r="K107" i="14"/>
  <c r="CU75" i="14"/>
  <c r="CU76" i="14"/>
  <c r="CU77" i="14"/>
  <c r="CU78" i="14"/>
  <c r="CU79" i="14"/>
  <c r="CU80" i="14"/>
  <c r="CU81" i="14"/>
  <c r="CU82" i="14"/>
  <c r="CU83" i="14"/>
  <c r="CU84" i="14"/>
  <c r="CU85" i="14"/>
  <c r="CU86" i="14"/>
  <c r="CU87" i="14"/>
  <c r="CU88" i="14"/>
  <c r="CU89" i="14"/>
  <c r="CU90" i="14"/>
  <c r="CU91" i="14"/>
  <c r="CU92" i="14"/>
  <c r="CU93" i="14"/>
  <c r="CU74" i="14"/>
  <c r="CI75" i="14"/>
  <c r="CI76" i="14"/>
  <c r="CI77" i="14"/>
  <c r="CI78" i="14"/>
  <c r="CI79" i="14"/>
  <c r="CI80" i="14"/>
  <c r="CI81" i="14"/>
  <c r="CI82" i="14"/>
  <c r="CI83" i="14"/>
  <c r="CI84" i="14"/>
  <c r="CI85" i="14"/>
  <c r="CI86" i="14"/>
  <c r="CI87" i="14"/>
  <c r="CI88" i="14"/>
  <c r="CI89" i="14"/>
  <c r="CI90" i="14"/>
  <c r="CI91" i="14"/>
  <c r="CI92" i="14"/>
  <c r="CI93" i="14"/>
  <c r="CI74" i="14"/>
  <c r="BW75" i="14"/>
  <c r="BW76" i="14"/>
  <c r="BW77" i="14"/>
  <c r="BW78" i="14"/>
  <c r="BW79" i="14"/>
  <c r="BW80" i="14"/>
  <c r="BW81" i="14"/>
  <c r="BW82" i="14"/>
  <c r="BW83" i="14"/>
  <c r="BW84" i="14"/>
  <c r="BW85" i="14"/>
  <c r="BW86" i="14"/>
  <c r="BW87" i="14"/>
  <c r="BW88" i="14"/>
  <c r="BW89" i="14"/>
  <c r="BW90" i="14"/>
  <c r="BW91" i="14"/>
  <c r="BW92" i="14"/>
  <c r="BW93" i="14"/>
  <c r="BW74" i="14"/>
  <c r="BK75" i="14"/>
  <c r="BK76" i="14"/>
  <c r="BK77" i="14"/>
  <c r="BK78" i="14"/>
  <c r="BK79" i="14"/>
  <c r="BK80" i="14"/>
  <c r="BK81" i="14"/>
  <c r="BK82" i="14"/>
  <c r="BK83" i="14"/>
  <c r="BK84" i="14"/>
  <c r="BK85" i="14"/>
  <c r="BK86" i="14"/>
  <c r="BK87" i="14"/>
  <c r="BK88" i="14"/>
  <c r="BK89" i="14"/>
  <c r="BK90" i="14"/>
  <c r="BK91" i="14"/>
  <c r="BK92" i="14"/>
  <c r="BK93" i="14"/>
  <c r="BK74" i="14"/>
  <c r="AX75" i="14"/>
  <c r="AX76" i="14"/>
  <c r="AX77" i="14"/>
  <c r="AX78" i="14"/>
  <c r="AX79" i="14"/>
  <c r="AX80" i="14"/>
  <c r="AX81" i="14"/>
  <c r="AX82" i="14"/>
  <c r="AX83" i="14"/>
  <c r="AX84" i="14"/>
  <c r="AX85" i="14"/>
  <c r="AX86" i="14"/>
  <c r="AX87" i="14"/>
  <c r="AX88" i="14"/>
  <c r="AX89" i="14"/>
  <c r="AX90" i="14"/>
  <c r="AX91" i="14"/>
  <c r="AX92" i="14"/>
  <c r="AX93" i="14"/>
  <c r="AX74" i="14"/>
  <c r="AK75" i="14"/>
  <c r="AK76" i="14"/>
  <c r="AK77" i="14"/>
  <c r="AK78" i="14"/>
  <c r="AK79" i="14"/>
  <c r="AK80" i="14"/>
  <c r="AK81" i="14"/>
  <c r="AK82" i="14"/>
  <c r="AK83" i="14"/>
  <c r="AK84" i="14"/>
  <c r="AK85" i="14"/>
  <c r="AK86" i="14"/>
  <c r="AK87" i="14"/>
  <c r="AK88" i="14"/>
  <c r="AK89" i="14"/>
  <c r="AK90" i="14"/>
  <c r="AK91" i="14"/>
  <c r="AK92" i="14"/>
  <c r="AK93" i="14"/>
  <c r="AK74" i="14"/>
  <c r="X75" i="14"/>
  <c r="X76" i="14"/>
  <c r="X77" i="14"/>
  <c r="X78" i="14"/>
  <c r="X79" i="14"/>
  <c r="X80" i="14"/>
  <c r="X81" i="14"/>
  <c r="X82" i="14"/>
  <c r="X83" i="14"/>
  <c r="X84" i="14"/>
  <c r="X85" i="14"/>
  <c r="X86" i="14"/>
  <c r="X87" i="14"/>
  <c r="X88" i="14"/>
  <c r="X89" i="14"/>
  <c r="X90" i="14"/>
  <c r="X91" i="14"/>
  <c r="X92" i="14"/>
  <c r="X93" i="14"/>
  <c r="X74" i="14"/>
  <c r="K75" i="14"/>
  <c r="K76" i="14"/>
  <c r="K77" i="14"/>
  <c r="K78" i="14"/>
  <c r="K79" i="14"/>
  <c r="K80" i="14"/>
  <c r="K81" i="14"/>
  <c r="K82" i="14"/>
  <c r="K83" i="14"/>
  <c r="K84" i="14"/>
  <c r="K85" i="14"/>
  <c r="K86" i="14"/>
  <c r="K87" i="14"/>
  <c r="K88" i="14"/>
  <c r="K89" i="14"/>
  <c r="K90" i="14"/>
  <c r="K91" i="14"/>
  <c r="K92" i="14"/>
  <c r="K93" i="14"/>
  <c r="K74" i="14"/>
  <c r="CU42" i="14"/>
  <c r="CU43" i="14"/>
  <c r="CU44" i="14"/>
  <c r="CU45" i="14"/>
  <c r="CU46" i="14"/>
  <c r="CU47" i="14"/>
  <c r="CU48" i="14"/>
  <c r="CU49" i="14"/>
  <c r="CU50" i="14"/>
  <c r="CU51" i="14"/>
  <c r="CU52" i="14"/>
  <c r="CU53" i="14"/>
  <c r="CU54" i="14"/>
  <c r="CU55" i="14"/>
  <c r="CU56" i="14"/>
  <c r="CU57" i="14"/>
  <c r="CU58" i="14"/>
  <c r="CU59" i="14"/>
  <c r="CU60" i="14"/>
  <c r="CU41" i="14"/>
  <c r="CI42" i="14"/>
  <c r="CI43" i="14"/>
  <c r="CI44" i="14"/>
  <c r="CI45" i="14"/>
  <c r="CI46" i="14"/>
  <c r="CI47" i="14"/>
  <c r="CI48" i="14"/>
  <c r="CI49" i="14"/>
  <c r="CI50" i="14"/>
  <c r="CI51" i="14"/>
  <c r="CI52" i="14"/>
  <c r="CI53" i="14"/>
  <c r="CI54" i="14"/>
  <c r="CI55" i="14"/>
  <c r="CI56" i="14"/>
  <c r="CI57" i="14"/>
  <c r="CI58" i="14"/>
  <c r="CI59" i="14"/>
  <c r="CI60" i="14"/>
  <c r="CI41" i="14"/>
  <c r="BW41" i="14"/>
  <c r="BW42" i="14"/>
  <c r="BW43" i="14"/>
  <c r="BW44" i="14"/>
  <c r="BW45" i="14"/>
  <c r="BW46" i="14"/>
  <c r="BW47" i="14"/>
  <c r="BW48" i="14"/>
  <c r="BW49" i="14"/>
  <c r="BW50" i="14"/>
  <c r="BW51" i="14"/>
  <c r="BW52" i="14"/>
  <c r="BW53" i="14"/>
  <c r="BW54" i="14"/>
  <c r="BW55" i="14"/>
  <c r="BW56" i="14"/>
  <c r="BW57" i="14"/>
  <c r="BW58" i="14"/>
  <c r="BW59" i="14"/>
  <c r="BW60" i="14"/>
  <c r="BK42" i="14"/>
  <c r="BK43" i="14"/>
  <c r="BK44" i="14"/>
  <c r="BK45" i="14"/>
  <c r="BK46" i="14"/>
  <c r="BK47" i="14"/>
  <c r="BK48" i="14"/>
  <c r="BK49" i="14"/>
  <c r="BK50" i="14"/>
  <c r="BK51" i="14"/>
  <c r="BK52" i="14"/>
  <c r="BK53" i="14"/>
  <c r="BK54" i="14"/>
  <c r="BK55" i="14"/>
  <c r="BK56" i="14"/>
  <c r="BK57" i="14"/>
  <c r="BK58" i="14"/>
  <c r="BK59" i="14"/>
  <c r="BK60" i="14"/>
  <c r="BK41" i="14"/>
  <c r="AK42" i="14"/>
  <c r="AK43" i="14"/>
  <c r="AK44" i="14"/>
  <c r="AK45" i="14"/>
  <c r="AK46" i="14"/>
  <c r="AK47" i="14"/>
  <c r="AK48" i="14"/>
  <c r="AK49" i="14"/>
  <c r="AK50" i="14"/>
  <c r="AK51" i="14"/>
  <c r="AK52" i="14"/>
  <c r="AK53" i="14"/>
  <c r="AK54" i="14"/>
  <c r="AK55" i="14"/>
  <c r="AK56" i="14"/>
  <c r="AK57" i="14"/>
  <c r="AK58" i="14"/>
  <c r="AK59" i="14"/>
  <c r="AK60" i="14"/>
  <c r="AK41" i="14"/>
  <c r="X42" i="14"/>
  <c r="X43" i="14"/>
  <c r="X44" i="14"/>
  <c r="X45" i="14"/>
  <c r="X46" i="14"/>
  <c r="X47" i="14"/>
  <c r="X48" i="14"/>
  <c r="X49" i="14"/>
  <c r="X50" i="14"/>
  <c r="X51" i="14"/>
  <c r="X52" i="14"/>
  <c r="X53" i="14"/>
  <c r="X54" i="14"/>
  <c r="X55" i="14"/>
  <c r="X56" i="14"/>
  <c r="X57" i="14"/>
  <c r="X58" i="14"/>
  <c r="X59" i="14"/>
  <c r="X60" i="14"/>
  <c r="X41" i="14"/>
  <c r="K42" i="14"/>
  <c r="K43" i="14"/>
  <c r="K44" i="14"/>
  <c r="K45" i="14"/>
  <c r="K46" i="14"/>
  <c r="K47" i="14"/>
  <c r="K48" i="14"/>
  <c r="K49" i="14"/>
  <c r="K50" i="14"/>
  <c r="K51" i="14"/>
  <c r="K52" i="14"/>
  <c r="K53" i="14"/>
  <c r="K54" i="14"/>
  <c r="K55" i="14"/>
  <c r="K56" i="14"/>
  <c r="K57" i="14"/>
  <c r="K58" i="14"/>
  <c r="K59" i="14"/>
  <c r="K60" i="14"/>
  <c r="K41" i="14"/>
  <c r="CU9" i="14"/>
  <c r="CU10" i="14"/>
  <c r="CU11" i="14"/>
  <c r="CU12" i="14"/>
  <c r="CU13" i="14"/>
  <c r="CU14" i="14"/>
  <c r="CU15" i="14"/>
  <c r="CU16" i="14"/>
  <c r="CU17" i="14"/>
  <c r="CU18" i="14"/>
  <c r="CU19" i="14"/>
  <c r="CU20" i="14"/>
  <c r="CU21" i="14"/>
  <c r="CU22" i="14"/>
  <c r="CU23" i="14"/>
  <c r="CU24" i="14"/>
  <c r="CU25" i="14"/>
  <c r="CU26" i="14"/>
  <c r="CU27" i="14"/>
  <c r="CU8" i="14"/>
  <c r="CI8" i="14"/>
  <c r="CI9" i="14"/>
  <c r="CI10" i="14"/>
  <c r="CI11" i="14"/>
  <c r="CI12" i="14"/>
  <c r="CI13" i="14"/>
  <c r="CI14" i="14"/>
  <c r="CI15" i="14"/>
  <c r="CI16" i="14"/>
  <c r="CI17" i="14"/>
  <c r="CI18" i="14"/>
  <c r="CI19" i="14"/>
  <c r="CI20" i="14"/>
  <c r="CI21" i="14"/>
  <c r="CI22" i="14"/>
  <c r="CI23" i="14"/>
  <c r="CI24" i="14"/>
  <c r="CI25" i="14"/>
  <c r="CI26" i="14"/>
  <c r="CI27" i="14"/>
  <c r="BW9" i="14"/>
  <c r="BW10" i="14"/>
  <c r="BW11" i="14"/>
  <c r="BW12" i="14"/>
  <c r="BW13" i="14"/>
  <c r="BW14" i="14"/>
  <c r="BW15" i="14"/>
  <c r="BW16" i="14"/>
  <c r="BW17" i="14"/>
  <c r="BW18" i="14"/>
  <c r="BW19" i="14"/>
  <c r="BW20" i="14"/>
  <c r="BW21" i="14"/>
  <c r="BW22" i="14"/>
  <c r="BW23" i="14"/>
  <c r="BW24" i="14"/>
  <c r="BW25" i="14"/>
  <c r="BW27" i="14"/>
  <c r="BW8" i="14"/>
  <c r="BK8" i="14"/>
  <c r="BK9" i="14"/>
  <c r="BK10" i="14"/>
  <c r="BK11" i="14"/>
  <c r="BK12" i="14"/>
  <c r="BK13" i="14"/>
  <c r="BK14" i="14"/>
  <c r="BK15" i="14"/>
  <c r="BK16" i="14"/>
  <c r="BK17" i="14"/>
  <c r="BK18" i="14"/>
  <c r="BK19" i="14"/>
  <c r="BK20" i="14"/>
  <c r="BK21" i="14"/>
  <c r="BK22" i="14"/>
  <c r="BK23" i="14"/>
  <c r="BK24" i="14"/>
  <c r="BK25" i="14"/>
  <c r="BK26" i="14"/>
  <c r="BK27" i="14"/>
  <c r="Y8" i="14" l="1"/>
  <c r="L8" i="14"/>
  <c r="F25" i="5"/>
  <c r="H25" i="5" s="1"/>
  <c r="G26" i="5"/>
  <c r="G27" i="5"/>
  <c r="G28" i="5"/>
  <c r="G29" i="5"/>
  <c r="G30" i="5"/>
  <c r="G31" i="5"/>
  <c r="G32" i="5"/>
  <c r="G33" i="5"/>
  <c r="G34" i="5"/>
  <c r="G35" i="5"/>
  <c r="G36" i="5"/>
  <c r="G37" i="5"/>
  <c r="G38" i="5"/>
  <c r="G39" i="5"/>
  <c r="G40" i="5"/>
  <c r="G41" i="5"/>
  <c r="G42" i="5"/>
  <c r="G43" i="5"/>
  <c r="G44" i="5"/>
  <c r="G25" i="5"/>
  <c r="I25" i="5" s="1"/>
  <c r="F26" i="5"/>
  <c r="F27" i="5"/>
  <c r="F28" i="5"/>
  <c r="F29" i="5"/>
  <c r="F30" i="5"/>
  <c r="F31" i="5"/>
  <c r="F32" i="5"/>
  <c r="F33" i="5"/>
  <c r="F34" i="5"/>
  <c r="F35" i="5"/>
  <c r="F36" i="5"/>
  <c r="F37" i="5"/>
  <c r="F38" i="5"/>
  <c r="F39" i="5"/>
  <c r="F40" i="5"/>
  <c r="F41" i="5"/>
  <c r="F42" i="5"/>
  <c r="F43" i="5"/>
  <c r="F44" i="5"/>
  <c r="AX9" i="14" l="1"/>
  <c r="AX10" i="14"/>
  <c r="AX11" i="14"/>
  <c r="AX12" i="14"/>
  <c r="AX13" i="14"/>
  <c r="AX14" i="14"/>
  <c r="AX15" i="14"/>
  <c r="AX16" i="14"/>
  <c r="AX17" i="14"/>
  <c r="AX18" i="14"/>
  <c r="AX19" i="14"/>
  <c r="AX20" i="14"/>
  <c r="AX21" i="14"/>
  <c r="AX22" i="14"/>
  <c r="AX23" i="14"/>
  <c r="AX24" i="14"/>
  <c r="AX25" i="14"/>
  <c r="AX26" i="14"/>
  <c r="AX27" i="14"/>
  <c r="BH161" i="14" l="1"/>
  <c r="AW161" i="14"/>
  <c r="AO161" i="14"/>
  <c r="AG161" i="14"/>
  <c r="V161" i="14"/>
  <c r="F161" i="14"/>
  <c r="BH160" i="14"/>
  <c r="AW160" i="14"/>
  <c r="AO160" i="14"/>
  <c r="AG160" i="14"/>
  <c r="V160" i="14"/>
  <c r="N160" i="14"/>
  <c r="F160" i="14"/>
  <c r="BH159" i="14"/>
  <c r="AW159" i="14"/>
  <c r="AO159" i="14"/>
  <c r="AG159" i="14"/>
  <c r="V159" i="14"/>
  <c r="N159" i="14"/>
  <c r="F159" i="14"/>
  <c r="BH158" i="14"/>
  <c r="AW158" i="14"/>
  <c r="AO158" i="14"/>
  <c r="AG158" i="14"/>
  <c r="V158" i="14"/>
  <c r="N158" i="14"/>
  <c r="F158" i="14"/>
  <c r="BH157" i="14"/>
  <c r="AW157" i="14"/>
  <c r="AO157" i="14"/>
  <c r="AG157" i="14"/>
  <c r="V157" i="14"/>
  <c r="N157" i="14"/>
  <c r="F157" i="14"/>
  <c r="BH156" i="14"/>
  <c r="AW156" i="14"/>
  <c r="AO156" i="14"/>
  <c r="AG156" i="14"/>
  <c r="V156" i="14"/>
  <c r="N156" i="14"/>
  <c r="F156" i="14"/>
  <c r="BH155" i="14"/>
  <c r="AW155" i="14"/>
  <c r="AO155" i="14"/>
  <c r="AG155" i="14"/>
  <c r="V155" i="14"/>
  <c r="N155" i="14"/>
  <c r="F155" i="14"/>
  <c r="BH154" i="14"/>
  <c r="AW154" i="14"/>
  <c r="AO154" i="14"/>
  <c r="AG154" i="14"/>
  <c r="V154" i="14"/>
  <c r="N154" i="14"/>
  <c r="F154" i="14"/>
  <c r="BH153" i="14"/>
  <c r="AW153" i="14"/>
  <c r="AO153" i="14"/>
  <c r="AG153" i="14"/>
  <c r="V153" i="14"/>
  <c r="N153" i="14"/>
  <c r="F153" i="14"/>
  <c r="BH152" i="14"/>
  <c r="AW152" i="14"/>
  <c r="AO152" i="14"/>
  <c r="AG152" i="14"/>
  <c r="V152" i="14"/>
  <c r="N152" i="14"/>
  <c r="F152" i="14"/>
  <c r="BH151" i="14"/>
  <c r="AW151" i="14"/>
  <c r="AO151" i="14"/>
  <c r="AG151" i="14"/>
  <c r="V151" i="14"/>
  <c r="N151" i="14"/>
  <c r="F151" i="14"/>
  <c r="BH150" i="14"/>
  <c r="AW150" i="14"/>
  <c r="AO150" i="14"/>
  <c r="AG150" i="14"/>
  <c r="V150" i="14"/>
  <c r="N150" i="14"/>
  <c r="F150" i="14"/>
  <c r="BH149" i="14"/>
  <c r="AW149" i="14"/>
  <c r="AO149" i="14"/>
  <c r="AG149" i="14"/>
  <c r="V149" i="14"/>
  <c r="N149" i="14"/>
  <c r="F149" i="14"/>
  <c r="BH148" i="14"/>
  <c r="AW148" i="14"/>
  <c r="AO148" i="14"/>
  <c r="AG148" i="14"/>
  <c r="V148" i="14"/>
  <c r="N148" i="14"/>
  <c r="F148" i="14"/>
  <c r="BH147" i="14"/>
  <c r="AW147" i="14"/>
  <c r="AO147" i="14"/>
  <c r="AG147" i="14"/>
  <c r="V147" i="14"/>
  <c r="N147" i="14"/>
  <c r="F147" i="14"/>
  <c r="BH146" i="14"/>
  <c r="AW146" i="14"/>
  <c r="AO146" i="14"/>
  <c r="AG146" i="14"/>
  <c r="V146" i="14"/>
  <c r="N146" i="14"/>
  <c r="F146" i="14"/>
  <c r="BH145" i="14"/>
  <c r="AW145" i="14"/>
  <c r="AO145" i="14"/>
  <c r="AG145" i="14"/>
  <c r="V145" i="14"/>
  <c r="N145" i="14"/>
  <c r="F145" i="14"/>
  <c r="BH144" i="14"/>
  <c r="AW144" i="14"/>
  <c r="AO144" i="14"/>
  <c r="AG144" i="14"/>
  <c r="V144" i="14"/>
  <c r="N144" i="14"/>
  <c r="F144" i="14"/>
  <c r="BH143" i="14"/>
  <c r="AW143" i="14"/>
  <c r="AO143" i="14"/>
  <c r="AG143" i="14"/>
  <c r="V143" i="14"/>
  <c r="N143" i="14"/>
  <c r="F143" i="14"/>
  <c r="BH142" i="14"/>
  <c r="AW142" i="14"/>
  <c r="AO142" i="14"/>
  <c r="AG142" i="14"/>
  <c r="V142" i="14"/>
  <c r="N142" i="14"/>
  <c r="F142" i="14"/>
  <c r="BH141" i="14"/>
  <c r="AW141" i="14"/>
  <c r="AO141" i="14"/>
  <c r="AG141" i="14"/>
  <c r="V141" i="14"/>
  <c r="N141" i="14"/>
  <c r="F141" i="14"/>
  <c r="BH140" i="14"/>
  <c r="AW140" i="14"/>
  <c r="AO140" i="14"/>
  <c r="AG140" i="14"/>
  <c r="V140" i="14"/>
  <c r="N140" i="14"/>
  <c r="F140" i="14"/>
  <c r="BZ133" i="14"/>
  <c r="BN133" i="14"/>
  <c r="BB133" i="14"/>
  <c r="AO133" i="14"/>
  <c r="AB133" i="14"/>
  <c r="O133" i="14"/>
  <c r="B133" i="14"/>
  <c r="CD130" i="14"/>
  <c r="BZ130" i="14"/>
  <c r="BR130" i="14"/>
  <c r="BN130" i="14"/>
  <c r="BF130" i="14"/>
  <c r="BB130" i="14"/>
  <c r="AS130" i="14"/>
  <c r="AO130" i="14"/>
  <c r="AF130" i="14"/>
  <c r="AB130" i="14"/>
  <c r="S130" i="14"/>
  <c r="O130" i="14"/>
  <c r="F130" i="14"/>
  <c r="B130" i="14"/>
  <c r="CD129" i="14"/>
  <c r="BZ129" i="14"/>
  <c r="BR129" i="14"/>
  <c r="BN129" i="14"/>
  <c r="BF129" i="14"/>
  <c r="BB129" i="14"/>
  <c r="AS129" i="14"/>
  <c r="AO129" i="14"/>
  <c r="AF129" i="14"/>
  <c r="AB129" i="14"/>
  <c r="S129" i="14"/>
  <c r="O129" i="14"/>
  <c r="F129" i="14"/>
  <c r="B129" i="14"/>
  <c r="CD128" i="14"/>
  <c r="CC128" i="14"/>
  <c r="CB128" i="14"/>
  <c r="CA128" i="14"/>
  <c r="BZ128" i="14"/>
  <c r="BR128" i="14"/>
  <c r="BQ128" i="14"/>
  <c r="BP128" i="14"/>
  <c r="BO128" i="14"/>
  <c r="BN128" i="14"/>
  <c r="BF128" i="14"/>
  <c r="BE128" i="14"/>
  <c r="BD128" i="14"/>
  <c r="BC128" i="14"/>
  <c r="BB128" i="14"/>
  <c r="AS128" i="14"/>
  <c r="AR128" i="14"/>
  <c r="AQ128" i="14"/>
  <c r="AP128" i="14"/>
  <c r="AO128" i="14"/>
  <c r="AF128" i="14"/>
  <c r="AE128" i="14"/>
  <c r="AD128" i="14"/>
  <c r="AC128" i="14"/>
  <c r="AB128" i="14"/>
  <c r="S128" i="14"/>
  <c r="R128" i="14"/>
  <c r="Q128" i="14"/>
  <c r="P128" i="14"/>
  <c r="O128" i="14"/>
  <c r="F128" i="14"/>
  <c r="E128" i="14"/>
  <c r="D128" i="14"/>
  <c r="C128" i="14"/>
  <c r="B128" i="14"/>
  <c r="CD127" i="14"/>
  <c r="CC127" i="14"/>
  <c r="CB127" i="14"/>
  <c r="CA127" i="14"/>
  <c r="BZ127" i="14"/>
  <c r="BR127" i="14"/>
  <c r="BQ127" i="14"/>
  <c r="BP127" i="14"/>
  <c r="BO127" i="14"/>
  <c r="BN127" i="14"/>
  <c r="BF127" i="14"/>
  <c r="BE127" i="14"/>
  <c r="BD127" i="14"/>
  <c r="BC127" i="14"/>
  <c r="BB127" i="14"/>
  <c r="AS127" i="14"/>
  <c r="AR127" i="14"/>
  <c r="AQ127" i="14"/>
  <c r="AP127" i="14"/>
  <c r="AO127" i="14"/>
  <c r="AF127" i="14"/>
  <c r="AE127" i="14"/>
  <c r="AD127" i="14"/>
  <c r="AC127" i="14"/>
  <c r="AB127" i="14"/>
  <c r="S127" i="14"/>
  <c r="R127" i="14"/>
  <c r="Q127" i="14"/>
  <c r="P127" i="14"/>
  <c r="O127" i="14"/>
  <c r="F127" i="14"/>
  <c r="E127" i="14"/>
  <c r="D127" i="14"/>
  <c r="C127" i="14"/>
  <c r="B127" i="14"/>
  <c r="CH126" i="14"/>
  <c r="CG126" i="14"/>
  <c r="BV126" i="14"/>
  <c r="BU126" i="14"/>
  <c r="BJ126" i="14"/>
  <c r="BI126" i="14"/>
  <c r="AW126" i="14"/>
  <c r="AV126" i="14"/>
  <c r="AJ126" i="14"/>
  <c r="AI126" i="14"/>
  <c r="W126" i="14"/>
  <c r="V126" i="14"/>
  <c r="J126" i="14"/>
  <c r="I126" i="14"/>
  <c r="CH125" i="14"/>
  <c r="CG125" i="14"/>
  <c r="BV125" i="14"/>
  <c r="BU125" i="14"/>
  <c r="BJ125" i="14"/>
  <c r="BI125" i="14"/>
  <c r="AW125" i="14"/>
  <c r="AV125" i="14"/>
  <c r="AJ125" i="14"/>
  <c r="AI125" i="14"/>
  <c r="W125" i="14"/>
  <c r="V125" i="14"/>
  <c r="J125" i="14"/>
  <c r="I125" i="14"/>
  <c r="CH124" i="14"/>
  <c r="CG124" i="14"/>
  <c r="BV124" i="14"/>
  <c r="BU124" i="14"/>
  <c r="BJ124" i="14"/>
  <c r="BI124" i="14"/>
  <c r="AW124" i="14"/>
  <c r="AV124" i="14"/>
  <c r="AJ124" i="14"/>
  <c r="AI124" i="14"/>
  <c r="W124" i="14"/>
  <c r="V124" i="14"/>
  <c r="J124" i="14"/>
  <c r="I124" i="14"/>
  <c r="CH123" i="14"/>
  <c r="CG123" i="14"/>
  <c r="BV123" i="14"/>
  <c r="BU123" i="14"/>
  <c r="BJ123" i="14"/>
  <c r="BI123" i="14"/>
  <c r="AW123" i="14"/>
  <c r="AV123" i="14"/>
  <c r="AJ123" i="14"/>
  <c r="AI123" i="14"/>
  <c r="W123" i="14"/>
  <c r="V123" i="14"/>
  <c r="J123" i="14"/>
  <c r="I123" i="14"/>
  <c r="CH122" i="14"/>
  <c r="CG122" i="14"/>
  <c r="BV122" i="14"/>
  <c r="BU122" i="14"/>
  <c r="BJ122" i="14"/>
  <c r="BI122" i="14"/>
  <c r="AW122" i="14"/>
  <c r="AV122" i="14"/>
  <c r="AJ122" i="14"/>
  <c r="AI122" i="14"/>
  <c r="W122" i="14"/>
  <c r="V122" i="14"/>
  <c r="J122" i="14"/>
  <c r="I122" i="14"/>
  <c r="CH121" i="14"/>
  <c r="CG121" i="14"/>
  <c r="BV121" i="14"/>
  <c r="BU121" i="14"/>
  <c r="BJ121" i="14"/>
  <c r="BI121" i="14"/>
  <c r="AW121" i="14"/>
  <c r="AV121" i="14"/>
  <c r="AJ121" i="14"/>
  <c r="AI121" i="14"/>
  <c r="W121" i="14"/>
  <c r="V121" i="14"/>
  <c r="J121" i="14"/>
  <c r="I121" i="14"/>
  <c r="CH120" i="14"/>
  <c r="CG120" i="14"/>
  <c r="BV120" i="14"/>
  <c r="BU120" i="14"/>
  <c r="BJ120" i="14"/>
  <c r="BI120" i="14"/>
  <c r="AW120" i="14"/>
  <c r="AV120" i="14"/>
  <c r="AJ120" i="14"/>
  <c r="AI120" i="14"/>
  <c r="W120" i="14"/>
  <c r="V120" i="14"/>
  <c r="J120" i="14"/>
  <c r="I120" i="14"/>
  <c r="CH119" i="14"/>
  <c r="CG119" i="14"/>
  <c r="BV119" i="14"/>
  <c r="BU119" i="14"/>
  <c r="BJ119" i="14"/>
  <c r="BI119" i="14"/>
  <c r="AW119" i="14"/>
  <c r="AV119" i="14"/>
  <c r="AJ119" i="14"/>
  <c r="AI119" i="14"/>
  <c r="W119" i="14"/>
  <c r="V119" i="14"/>
  <c r="J119" i="14"/>
  <c r="I119" i="14"/>
  <c r="CH118" i="14"/>
  <c r="CG118" i="14"/>
  <c r="BV118" i="14"/>
  <c r="BU118" i="14"/>
  <c r="BJ118" i="14"/>
  <c r="BI118" i="14"/>
  <c r="AW118" i="14"/>
  <c r="AV118" i="14"/>
  <c r="AJ118" i="14"/>
  <c r="AI118" i="14"/>
  <c r="W118" i="14"/>
  <c r="V118" i="14"/>
  <c r="J118" i="14"/>
  <c r="I118" i="14"/>
  <c r="CH117" i="14"/>
  <c r="CG117" i="14"/>
  <c r="BV117" i="14"/>
  <c r="BU117" i="14"/>
  <c r="BJ117" i="14"/>
  <c r="BI117" i="14"/>
  <c r="AW117" i="14"/>
  <c r="AV117" i="14"/>
  <c r="AJ117" i="14"/>
  <c r="AI117" i="14"/>
  <c r="W117" i="14"/>
  <c r="V117" i="14"/>
  <c r="J117" i="14"/>
  <c r="I117" i="14"/>
  <c r="CH116" i="14"/>
  <c r="CG116" i="14"/>
  <c r="BV116" i="14"/>
  <c r="BU116" i="14"/>
  <c r="BJ116" i="14"/>
  <c r="BI116" i="14"/>
  <c r="AW116" i="14"/>
  <c r="AV116" i="14"/>
  <c r="AJ116" i="14"/>
  <c r="AI116" i="14"/>
  <c r="W116" i="14"/>
  <c r="V116" i="14"/>
  <c r="J116" i="14"/>
  <c r="I116" i="14"/>
  <c r="CH115" i="14"/>
  <c r="CG115" i="14"/>
  <c r="BV115" i="14"/>
  <c r="BU115" i="14"/>
  <c r="BJ115" i="14"/>
  <c r="BI115" i="14"/>
  <c r="AW115" i="14"/>
  <c r="AV115" i="14"/>
  <c r="AJ115" i="14"/>
  <c r="AI115" i="14"/>
  <c r="W115" i="14"/>
  <c r="V115" i="14"/>
  <c r="J115" i="14"/>
  <c r="I115" i="14"/>
  <c r="CH114" i="14"/>
  <c r="CG114" i="14"/>
  <c r="BV114" i="14"/>
  <c r="BU114" i="14"/>
  <c r="BJ114" i="14"/>
  <c r="BI114" i="14"/>
  <c r="AW114" i="14"/>
  <c r="AV114" i="14"/>
  <c r="AJ114" i="14"/>
  <c r="AI114" i="14"/>
  <c r="W114" i="14"/>
  <c r="V114" i="14"/>
  <c r="J114" i="14"/>
  <c r="I114" i="14"/>
  <c r="CH113" i="14"/>
  <c r="CG113" i="14"/>
  <c r="BV113" i="14"/>
  <c r="BU113" i="14"/>
  <c r="BJ113" i="14"/>
  <c r="BI113" i="14"/>
  <c r="AW113" i="14"/>
  <c r="AV113" i="14"/>
  <c r="AJ113" i="14"/>
  <c r="AI113" i="14"/>
  <c r="W113" i="14"/>
  <c r="V113" i="14"/>
  <c r="J113" i="14"/>
  <c r="I113" i="14"/>
  <c r="CH112" i="14"/>
  <c r="CG112" i="14"/>
  <c r="BV112" i="14"/>
  <c r="BU112" i="14"/>
  <c r="BJ112" i="14"/>
  <c r="BI112" i="14"/>
  <c r="AW112" i="14"/>
  <c r="AV112" i="14"/>
  <c r="AJ112" i="14"/>
  <c r="AI112" i="14"/>
  <c r="W112" i="14"/>
  <c r="V112" i="14"/>
  <c r="J112" i="14"/>
  <c r="I112" i="14"/>
  <c r="CH111" i="14"/>
  <c r="CG111" i="14"/>
  <c r="BV111" i="14"/>
  <c r="BU111" i="14"/>
  <c r="BJ111" i="14"/>
  <c r="BI111" i="14"/>
  <c r="AW111" i="14"/>
  <c r="AV111" i="14"/>
  <c r="AJ111" i="14"/>
  <c r="AI111" i="14"/>
  <c r="W111" i="14"/>
  <c r="V111" i="14"/>
  <c r="J111" i="14"/>
  <c r="I111" i="14"/>
  <c r="CH110" i="14"/>
  <c r="CG110" i="14"/>
  <c r="BV110" i="14"/>
  <c r="BU110" i="14"/>
  <c r="BJ110" i="14"/>
  <c r="BI110" i="14"/>
  <c r="AW110" i="14"/>
  <c r="AV110" i="14"/>
  <c r="AJ110" i="14"/>
  <c r="AI110" i="14"/>
  <c r="W110" i="14"/>
  <c r="V110" i="14"/>
  <c r="J110" i="14"/>
  <c r="I110" i="14"/>
  <c r="CH109" i="14"/>
  <c r="CG109" i="14"/>
  <c r="BV109" i="14"/>
  <c r="BU109" i="14"/>
  <c r="BJ109" i="14"/>
  <c r="BI109" i="14"/>
  <c r="AW109" i="14"/>
  <c r="AV109" i="14"/>
  <c r="AJ109" i="14"/>
  <c r="AI109" i="14"/>
  <c r="W109" i="14"/>
  <c r="V109" i="14"/>
  <c r="J109" i="14"/>
  <c r="I109" i="14"/>
  <c r="CH108" i="14"/>
  <c r="CG108" i="14"/>
  <c r="BV108" i="14"/>
  <c r="BU108" i="14"/>
  <c r="BJ108" i="14"/>
  <c r="BI108" i="14"/>
  <c r="AW108" i="14"/>
  <c r="AV108" i="14"/>
  <c r="AJ108" i="14"/>
  <c r="AI108" i="14"/>
  <c r="W108" i="14"/>
  <c r="V108" i="14"/>
  <c r="J108" i="14"/>
  <c r="I108" i="14"/>
  <c r="CH107" i="14"/>
  <c r="CG107" i="14"/>
  <c r="BV107" i="14"/>
  <c r="BU107" i="14"/>
  <c r="BJ107" i="14"/>
  <c r="BI107" i="14"/>
  <c r="AW107" i="14"/>
  <c r="AV107" i="14"/>
  <c r="AJ107" i="14"/>
  <c r="AI107" i="14"/>
  <c r="W107" i="14"/>
  <c r="V107" i="14"/>
  <c r="J107" i="14"/>
  <c r="I107" i="14"/>
  <c r="CL100" i="14"/>
  <c r="BZ100" i="14"/>
  <c r="BN100" i="14"/>
  <c r="BB100" i="14"/>
  <c r="AO100" i="14"/>
  <c r="AB100" i="14"/>
  <c r="O100" i="14"/>
  <c r="B100" i="14"/>
  <c r="CP97" i="14"/>
  <c r="CL97" i="14"/>
  <c r="CD97" i="14"/>
  <c r="BZ97" i="14"/>
  <c r="BR97" i="14"/>
  <c r="BN97" i="14"/>
  <c r="BF97" i="14"/>
  <c r="BB97" i="14"/>
  <c r="AS97" i="14"/>
  <c r="AO97" i="14"/>
  <c r="AF97" i="14"/>
  <c r="AB97" i="14"/>
  <c r="S97" i="14"/>
  <c r="O97" i="14"/>
  <c r="F97" i="14"/>
  <c r="B97" i="14"/>
  <c r="CP96" i="14"/>
  <c r="CL96" i="14"/>
  <c r="CD96" i="14"/>
  <c r="BZ96" i="14"/>
  <c r="BR96" i="14"/>
  <c r="BN96" i="14"/>
  <c r="BF96" i="14"/>
  <c r="BB96" i="14"/>
  <c r="AS96" i="14"/>
  <c r="AO96" i="14"/>
  <c r="AF96" i="14"/>
  <c r="AB96" i="14"/>
  <c r="S96" i="14"/>
  <c r="O96" i="14"/>
  <c r="F96" i="14"/>
  <c r="B96" i="14"/>
  <c r="CP95" i="14"/>
  <c r="CO95" i="14"/>
  <c r="CN95" i="14"/>
  <c r="CM95" i="14"/>
  <c r="CL95" i="14"/>
  <c r="CD95" i="14"/>
  <c r="CC95" i="14"/>
  <c r="CB95" i="14"/>
  <c r="CA95" i="14"/>
  <c r="BZ95" i="14"/>
  <c r="BR95" i="14"/>
  <c r="BQ95" i="14"/>
  <c r="BP95" i="14"/>
  <c r="BO95" i="14"/>
  <c r="BN95" i="14"/>
  <c r="BF95" i="14"/>
  <c r="BE95" i="14"/>
  <c r="BD95" i="14"/>
  <c r="BC95" i="14"/>
  <c r="BB95" i="14"/>
  <c r="AS95" i="14"/>
  <c r="AR95" i="14"/>
  <c r="AQ95" i="14"/>
  <c r="AP95" i="14"/>
  <c r="AO95" i="14"/>
  <c r="AF95" i="14"/>
  <c r="AE95" i="14"/>
  <c r="AD95" i="14"/>
  <c r="AC95" i="14"/>
  <c r="AB95" i="14"/>
  <c r="S95" i="14"/>
  <c r="R95" i="14"/>
  <c r="Q95" i="14"/>
  <c r="P95" i="14"/>
  <c r="O95" i="14"/>
  <c r="F95" i="14"/>
  <c r="E95" i="14"/>
  <c r="D95" i="14"/>
  <c r="C95" i="14"/>
  <c r="B95" i="14"/>
  <c r="CP94" i="14"/>
  <c r="CO94" i="14"/>
  <c r="CN94" i="14"/>
  <c r="CM94" i="14"/>
  <c r="CL94" i="14"/>
  <c r="CD94" i="14"/>
  <c r="CC94" i="14"/>
  <c r="CB94" i="14"/>
  <c r="CA94" i="14"/>
  <c r="BZ94" i="14"/>
  <c r="BR94" i="14"/>
  <c r="BQ94" i="14"/>
  <c r="BP94" i="14"/>
  <c r="BO94" i="14"/>
  <c r="BN94" i="14"/>
  <c r="BF94" i="14"/>
  <c r="BE94" i="14"/>
  <c r="BD94" i="14"/>
  <c r="BC94" i="14"/>
  <c r="BB94" i="14"/>
  <c r="AS94" i="14"/>
  <c r="AR94" i="14"/>
  <c r="AQ94" i="14"/>
  <c r="AP94" i="14"/>
  <c r="AO94" i="14"/>
  <c r="AF94" i="14"/>
  <c r="AE94" i="14"/>
  <c r="AD94" i="14"/>
  <c r="AC94" i="14"/>
  <c r="AB94" i="14"/>
  <c r="S94" i="14"/>
  <c r="R94" i="14"/>
  <c r="Q94" i="14"/>
  <c r="P94" i="14"/>
  <c r="O94" i="14"/>
  <c r="F94" i="14"/>
  <c r="E94" i="14"/>
  <c r="D94" i="14"/>
  <c r="C94" i="14"/>
  <c r="B94" i="14"/>
  <c r="CT93" i="14"/>
  <c r="CS93" i="14"/>
  <c r="CH93" i="14"/>
  <c r="CG93" i="14"/>
  <c r="BV93" i="14"/>
  <c r="BU93" i="14"/>
  <c r="BJ93" i="14"/>
  <c r="BI93" i="14"/>
  <c r="AW93" i="14"/>
  <c r="AV93" i="14"/>
  <c r="AJ93" i="14"/>
  <c r="AI93" i="14"/>
  <c r="W93" i="14"/>
  <c r="V93" i="14"/>
  <c r="J93" i="14"/>
  <c r="I93" i="14"/>
  <c r="CT92" i="14"/>
  <c r="CS92" i="14"/>
  <c r="CH92" i="14"/>
  <c r="CG92" i="14"/>
  <c r="BV92" i="14"/>
  <c r="BU92" i="14"/>
  <c r="BJ92" i="14"/>
  <c r="BI92" i="14"/>
  <c r="AW92" i="14"/>
  <c r="AV92" i="14"/>
  <c r="AJ92" i="14"/>
  <c r="AI92" i="14"/>
  <c r="W92" i="14"/>
  <c r="V92" i="14"/>
  <c r="J92" i="14"/>
  <c r="I92" i="14"/>
  <c r="CT91" i="14"/>
  <c r="CS91" i="14"/>
  <c r="CH91" i="14"/>
  <c r="CG91" i="14"/>
  <c r="BV91" i="14"/>
  <c r="BU91" i="14"/>
  <c r="BJ91" i="14"/>
  <c r="BI91" i="14"/>
  <c r="AW91" i="14"/>
  <c r="AV91" i="14"/>
  <c r="AJ91" i="14"/>
  <c r="AI91" i="14"/>
  <c r="W91" i="14"/>
  <c r="V91" i="14"/>
  <c r="J91" i="14"/>
  <c r="I91" i="14"/>
  <c r="CT90" i="14"/>
  <c r="CS90" i="14"/>
  <c r="CH90" i="14"/>
  <c r="CG90" i="14"/>
  <c r="BV90" i="14"/>
  <c r="BU90" i="14"/>
  <c r="BJ90" i="14"/>
  <c r="BI90" i="14"/>
  <c r="AW90" i="14"/>
  <c r="AV90" i="14"/>
  <c r="AJ90" i="14"/>
  <c r="AI90" i="14"/>
  <c r="W90" i="14"/>
  <c r="V90" i="14"/>
  <c r="J90" i="14"/>
  <c r="I90" i="14"/>
  <c r="CT89" i="14"/>
  <c r="CS89" i="14"/>
  <c r="CH89" i="14"/>
  <c r="CG89" i="14"/>
  <c r="BV89" i="14"/>
  <c r="BU89" i="14"/>
  <c r="BJ89" i="14"/>
  <c r="BI89" i="14"/>
  <c r="AW89" i="14"/>
  <c r="AV89" i="14"/>
  <c r="AJ89" i="14"/>
  <c r="AI89" i="14"/>
  <c r="W89" i="14"/>
  <c r="V89" i="14"/>
  <c r="J89" i="14"/>
  <c r="I89" i="14"/>
  <c r="CT88" i="14"/>
  <c r="CS88" i="14"/>
  <c r="CH88" i="14"/>
  <c r="CG88" i="14"/>
  <c r="BV88" i="14"/>
  <c r="BU88" i="14"/>
  <c r="BJ88" i="14"/>
  <c r="BI88" i="14"/>
  <c r="AW88" i="14"/>
  <c r="AV88" i="14"/>
  <c r="AJ88" i="14"/>
  <c r="AI88" i="14"/>
  <c r="W88" i="14"/>
  <c r="V88" i="14"/>
  <c r="J88" i="14"/>
  <c r="I88" i="14"/>
  <c r="CT87" i="14"/>
  <c r="CS87" i="14"/>
  <c r="CH87" i="14"/>
  <c r="CG87" i="14"/>
  <c r="BV87" i="14"/>
  <c r="BU87" i="14"/>
  <c r="BJ87" i="14"/>
  <c r="BI87" i="14"/>
  <c r="AW87" i="14"/>
  <c r="AV87" i="14"/>
  <c r="AJ87" i="14"/>
  <c r="AI87" i="14"/>
  <c r="W87" i="14"/>
  <c r="V87" i="14"/>
  <c r="J87" i="14"/>
  <c r="I87" i="14"/>
  <c r="CT86" i="14"/>
  <c r="CS86" i="14"/>
  <c r="CH86" i="14"/>
  <c r="CG86" i="14"/>
  <c r="BV86" i="14"/>
  <c r="BU86" i="14"/>
  <c r="BJ86" i="14"/>
  <c r="BI86" i="14"/>
  <c r="AW86" i="14"/>
  <c r="AV86" i="14"/>
  <c r="AJ86" i="14"/>
  <c r="AI86" i="14"/>
  <c r="W86" i="14"/>
  <c r="V86" i="14"/>
  <c r="J86" i="14"/>
  <c r="I86" i="14"/>
  <c r="CT85" i="14"/>
  <c r="CS85" i="14"/>
  <c r="CH85" i="14"/>
  <c r="CG85" i="14"/>
  <c r="BV85" i="14"/>
  <c r="BU85" i="14"/>
  <c r="BJ85" i="14"/>
  <c r="BI85" i="14"/>
  <c r="AW85" i="14"/>
  <c r="AV85" i="14"/>
  <c r="AJ85" i="14"/>
  <c r="AI85" i="14"/>
  <c r="W85" i="14"/>
  <c r="V85" i="14"/>
  <c r="J85" i="14"/>
  <c r="I85" i="14"/>
  <c r="CT84" i="14"/>
  <c r="CS84" i="14"/>
  <c r="CH84" i="14"/>
  <c r="CG84" i="14"/>
  <c r="BV84" i="14"/>
  <c r="BU84" i="14"/>
  <c r="BJ84" i="14"/>
  <c r="BI84" i="14"/>
  <c r="AW84" i="14"/>
  <c r="AV84" i="14"/>
  <c r="AJ84" i="14"/>
  <c r="AI84" i="14"/>
  <c r="W84" i="14"/>
  <c r="V84" i="14"/>
  <c r="J84" i="14"/>
  <c r="I84" i="14"/>
  <c r="CT83" i="14"/>
  <c r="CS83" i="14"/>
  <c r="CH83" i="14"/>
  <c r="CG83" i="14"/>
  <c r="BV83" i="14"/>
  <c r="BU83" i="14"/>
  <c r="BJ83" i="14"/>
  <c r="BI83" i="14"/>
  <c r="AW83" i="14"/>
  <c r="AV83" i="14"/>
  <c r="AJ83" i="14"/>
  <c r="AI83" i="14"/>
  <c r="W83" i="14"/>
  <c r="V83" i="14"/>
  <c r="J83" i="14"/>
  <c r="I83" i="14"/>
  <c r="CT82" i="14"/>
  <c r="CS82" i="14"/>
  <c r="CH82" i="14"/>
  <c r="CG82" i="14"/>
  <c r="BV82" i="14"/>
  <c r="BU82" i="14"/>
  <c r="BJ82" i="14"/>
  <c r="BI82" i="14"/>
  <c r="AW82" i="14"/>
  <c r="AV82" i="14"/>
  <c r="AJ82" i="14"/>
  <c r="AI82" i="14"/>
  <c r="W82" i="14"/>
  <c r="V82" i="14"/>
  <c r="J82" i="14"/>
  <c r="I82" i="14"/>
  <c r="CT81" i="14"/>
  <c r="CS81" i="14"/>
  <c r="CH81" i="14"/>
  <c r="CG81" i="14"/>
  <c r="BV81" i="14"/>
  <c r="BU81" i="14"/>
  <c r="BJ81" i="14"/>
  <c r="BI81" i="14"/>
  <c r="AW81" i="14"/>
  <c r="AV81" i="14"/>
  <c r="AJ81" i="14"/>
  <c r="AI81" i="14"/>
  <c r="W81" i="14"/>
  <c r="V81" i="14"/>
  <c r="J81" i="14"/>
  <c r="I81" i="14"/>
  <c r="CT80" i="14"/>
  <c r="CS80" i="14"/>
  <c r="CH80" i="14"/>
  <c r="CG80" i="14"/>
  <c r="BV80" i="14"/>
  <c r="BU80" i="14"/>
  <c r="BJ80" i="14"/>
  <c r="BI80" i="14"/>
  <c r="AW80" i="14"/>
  <c r="AV80" i="14"/>
  <c r="AJ80" i="14"/>
  <c r="AI80" i="14"/>
  <c r="W80" i="14"/>
  <c r="V80" i="14"/>
  <c r="J80" i="14"/>
  <c r="I80" i="14"/>
  <c r="CT79" i="14"/>
  <c r="CS79" i="14"/>
  <c r="CH79" i="14"/>
  <c r="CG79" i="14"/>
  <c r="BV79" i="14"/>
  <c r="BU79" i="14"/>
  <c r="BJ79" i="14"/>
  <c r="BI79" i="14"/>
  <c r="AW79" i="14"/>
  <c r="AV79" i="14"/>
  <c r="AJ79" i="14"/>
  <c r="AI79" i="14"/>
  <c r="W79" i="14"/>
  <c r="V79" i="14"/>
  <c r="J79" i="14"/>
  <c r="I79" i="14"/>
  <c r="CT78" i="14"/>
  <c r="CS78" i="14"/>
  <c r="CH78" i="14"/>
  <c r="CG78" i="14"/>
  <c r="BV78" i="14"/>
  <c r="BU78" i="14"/>
  <c r="BJ78" i="14"/>
  <c r="BI78" i="14"/>
  <c r="AW78" i="14"/>
  <c r="AV78" i="14"/>
  <c r="AJ78" i="14"/>
  <c r="AI78" i="14"/>
  <c r="W78" i="14"/>
  <c r="V78" i="14"/>
  <c r="J78" i="14"/>
  <c r="I78" i="14"/>
  <c r="CT77" i="14"/>
  <c r="CS77" i="14"/>
  <c r="CH77" i="14"/>
  <c r="CG77" i="14"/>
  <c r="BV77" i="14"/>
  <c r="BU77" i="14"/>
  <c r="BJ77" i="14"/>
  <c r="BI77" i="14"/>
  <c r="AW77" i="14"/>
  <c r="AV77" i="14"/>
  <c r="AJ77" i="14"/>
  <c r="AI77" i="14"/>
  <c r="W77" i="14"/>
  <c r="V77" i="14"/>
  <c r="J77" i="14"/>
  <c r="I77" i="14"/>
  <c r="CT76" i="14"/>
  <c r="CS76" i="14"/>
  <c r="CH76" i="14"/>
  <c r="CG76" i="14"/>
  <c r="BV76" i="14"/>
  <c r="BU76" i="14"/>
  <c r="BJ76" i="14"/>
  <c r="BI76" i="14"/>
  <c r="AW76" i="14"/>
  <c r="AV76" i="14"/>
  <c r="AJ76" i="14"/>
  <c r="AI76" i="14"/>
  <c r="W76" i="14"/>
  <c r="V76" i="14"/>
  <c r="J76" i="14"/>
  <c r="I76" i="14"/>
  <c r="CT75" i="14"/>
  <c r="CS75" i="14"/>
  <c r="CH75" i="14"/>
  <c r="CG75" i="14"/>
  <c r="BV75" i="14"/>
  <c r="BU75" i="14"/>
  <c r="BJ75" i="14"/>
  <c r="BI75" i="14"/>
  <c r="AW75" i="14"/>
  <c r="AV75" i="14"/>
  <c r="AJ75" i="14"/>
  <c r="AI75" i="14"/>
  <c r="W75" i="14"/>
  <c r="V75" i="14"/>
  <c r="J75" i="14"/>
  <c r="I75" i="14"/>
  <c r="CT74" i="14"/>
  <c r="CS74" i="14"/>
  <c r="CH74" i="14"/>
  <c r="CG74" i="14"/>
  <c r="BV74" i="14"/>
  <c r="BU74" i="14"/>
  <c r="BJ74" i="14"/>
  <c r="BI74" i="14"/>
  <c r="AW74" i="14"/>
  <c r="AV74" i="14"/>
  <c r="AJ74" i="14"/>
  <c r="AI74" i="14"/>
  <c r="W74" i="14"/>
  <c r="V74" i="14"/>
  <c r="J74" i="14"/>
  <c r="I74" i="14"/>
  <c r="CL67" i="14"/>
  <c r="BZ67" i="14"/>
  <c r="BN67" i="14"/>
  <c r="BB67" i="14"/>
  <c r="AO67" i="14"/>
  <c r="AB67" i="14"/>
  <c r="O67" i="14"/>
  <c r="B67" i="14"/>
  <c r="CP64" i="14"/>
  <c r="CL64" i="14"/>
  <c r="CD64" i="14"/>
  <c r="BZ64" i="14"/>
  <c r="BR64" i="14"/>
  <c r="BN64" i="14"/>
  <c r="BF64" i="14"/>
  <c r="BB64" i="14"/>
  <c r="AS64" i="14"/>
  <c r="AO64" i="14"/>
  <c r="AF64" i="14"/>
  <c r="AB64" i="14"/>
  <c r="S64" i="14"/>
  <c r="O64" i="14"/>
  <c r="F64" i="14"/>
  <c r="B64" i="14"/>
  <c r="CP63" i="14"/>
  <c r="CL63" i="14"/>
  <c r="CD63" i="14"/>
  <c r="BZ63" i="14"/>
  <c r="BR63" i="14"/>
  <c r="BN63" i="14"/>
  <c r="BF63" i="14"/>
  <c r="BB63" i="14"/>
  <c r="AS63" i="14"/>
  <c r="AO63" i="14"/>
  <c r="AF63" i="14"/>
  <c r="AB63" i="14"/>
  <c r="S63" i="14"/>
  <c r="O63" i="14"/>
  <c r="F63" i="14"/>
  <c r="B63" i="14"/>
  <c r="CP62" i="14"/>
  <c r="CO62" i="14"/>
  <c r="CN62" i="14"/>
  <c r="CM62" i="14"/>
  <c r="CL62" i="14"/>
  <c r="CD62" i="14"/>
  <c r="CC62" i="14"/>
  <c r="CB62" i="14"/>
  <c r="CA62" i="14"/>
  <c r="BZ62" i="14"/>
  <c r="BR62" i="14"/>
  <c r="BQ62" i="14"/>
  <c r="BP62" i="14"/>
  <c r="BO62" i="14"/>
  <c r="BN62" i="14"/>
  <c r="BF62" i="14"/>
  <c r="BE62" i="14"/>
  <c r="BD62" i="14"/>
  <c r="BC62" i="14"/>
  <c r="BB62" i="14"/>
  <c r="AS62" i="14"/>
  <c r="AR62" i="14"/>
  <c r="AQ62" i="14"/>
  <c r="AP62" i="14"/>
  <c r="AO62" i="14"/>
  <c r="AF62" i="14"/>
  <c r="AE62" i="14"/>
  <c r="AD62" i="14"/>
  <c r="AC62" i="14"/>
  <c r="AB62" i="14"/>
  <c r="S62" i="14"/>
  <c r="R62" i="14"/>
  <c r="Q62" i="14"/>
  <c r="P62" i="14"/>
  <c r="O62" i="14"/>
  <c r="F62" i="14"/>
  <c r="E62" i="14"/>
  <c r="D62" i="14"/>
  <c r="C62" i="14"/>
  <c r="B62" i="14"/>
  <c r="CP61" i="14"/>
  <c r="CO61" i="14"/>
  <c r="CN61" i="14"/>
  <c r="CM61" i="14"/>
  <c r="CL61" i="14"/>
  <c r="CD61" i="14"/>
  <c r="CC61" i="14"/>
  <c r="CB61" i="14"/>
  <c r="CA61" i="14"/>
  <c r="BZ61" i="14"/>
  <c r="BR61" i="14"/>
  <c r="BQ61" i="14"/>
  <c r="BP61" i="14"/>
  <c r="BO61" i="14"/>
  <c r="BN61" i="14"/>
  <c r="BF61" i="14"/>
  <c r="BE61" i="14"/>
  <c r="BD61" i="14"/>
  <c r="BC61" i="14"/>
  <c r="BB61" i="14"/>
  <c r="AS61" i="14"/>
  <c r="AR61" i="14"/>
  <c r="AQ61" i="14"/>
  <c r="AP61" i="14"/>
  <c r="AO61" i="14"/>
  <c r="AF61" i="14"/>
  <c r="AE61" i="14"/>
  <c r="AD61" i="14"/>
  <c r="AC61" i="14"/>
  <c r="AB61" i="14"/>
  <c r="S61" i="14"/>
  <c r="R61" i="14"/>
  <c r="Q61" i="14"/>
  <c r="P61" i="14"/>
  <c r="O61" i="14"/>
  <c r="F61" i="14"/>
  <c r="E61" i="14"/>
  <c r="D61" i="14"/>
  <c r="C61" i="14"/>
  <c r="B61" i="14"/>
  <c r="CT60" i="14"/>
  <c r="CS60" i="14"/>
  <c r="CH60" i="14"/>
  <c r="CG60" i="14"/>
  <c r="BV60" i="14"/>
  <c r="BU60" i="14"/>
  <c r="BJ60" i="14"/>
  <c r="BI60" i="14"/>
  <c r="AX60" i="14"/>
  <c r="AW60" i="14"/>
  <c r="AV60" i="14"/>
  <c r="AY60" i="14" s="1"/>
  <c r="AJ60" i="14"/>
  <c r="AI60" i="14"/>
  <c r="W60" i="14"/>
  <c r="V60" i="14"/>
  <c r="J60" i="14"/>
  <c r="I60" i="14"/>
  <c r="CT59" i="14"/>
  <c r="CS59" i="14"/>
  <c r="CH59" i="14"/>
  <c r="CG59" i="14"/>
  <c r="BV59" i="14"/>
  <c r="BU59" i="14"/>
  <c r="BJ59" i="14"/>
  <c r="BI59" i="14"/>
  <c r="AX59" i="14"/>
  <c r="AW59" i="14"/>
  <c r="AV59" i="14"/>
  <c r="AY59" i="14" s="1"/>
  <c r="AJ59" i="14"/>
  <c r="AI59" i="14"/>
  <c r="W59" i="14"/>
  <c r="V59" i="14"/>
  <c r="J59" i="14"/>
  <c r="I59" i="14"/>
  <c r="CT58" i="14"/>
  <c r="CS58" i="14"/>
  <c r="CH58" i="14"/>
  <c r="CG58" i="14"/>
  <c r="BV58" i="14"/>
  <c r="BU58" i="14"/>
  <c r="BJ58" i="14"/>
  <c r="BI58" i="14"/>
  <c r="AX58" i="14"/>
  <c r="AW58" i="14"/>
  <c r="AV58" i="14"/>
  <c r="AY58" i="14" s="1"/>
  <c r="AJ58" i="14"/>
  <c r="AI58" i="14"/>
  <c r="W58" i="14"/>
  <c r="V58" i="14"/>
  <c r="J58" i="14"/>
  <c r="I58" i="14"/>
  <c r="CT57" i="14"/>
  <c r="CS57" i="14"/>
  <c r="CH57" i="14"/>
  <c r="CG57" i="14"/>
  <c r="BV57" i="14"/>
  <c r="BU57" i="14"/>
  <c r="BJ57" i="14"/>
  <c r="BI57" i="14"/>
  <c r="AX57" i="14"/>
  <c r="AW57" i="14"/>
  <c r="AV57" i="14"/>
  <c r="AY57" i="14" s="1"/>
  <c r="AJ57" i="14"/>
  <c r="AI57" i="14"/>
  <c r="W57" i="14"/>
  <c r="V57" i="14"/>
  <c r="J57" i="14"/>
  <c r="I57" i="14"/>
  <c r="CT56" i="14"/>
  <c r="CS56" i="14"/>
  <c r="CH56" i="14"/>
  <c r="CG56" i="14"/>
  <c r="BV56" i="14"/>
  <c r="BU56" i="14"/>
  <c r="BJ56" i="14"/>
  <c r="BI56" i="14"/>
  <c r="AX56" i="14"/>
  <c r="AW56" i="14"/>
  <c r="AV56" i="14"/>
  <c r="AY56" i="14" s="1"/>
  <c r="AJ56" i="14"/>
  <c r="AI56" i="14"/>
  <c r="W56" i="14"/>
  <c r="V56" i="14"/>
  <c r="J56" i="14"/>
  <c r="I56" i="14"/>
  <c r="CT55" i="14"/>
  <c r="CS55" i="14"/>
  <c r="CH55" i="14"/>
  <c r="CG55" i="14"/>
  <c r="BV55" i="14"/>
  <c r="BU55" i="14"/>
  <c r="BJ55" i="14"/>
  <c r="BI55" i="14"/>
  <c r="AX55" i="14"/>
  <c r="AW55" i="14"/>
  <c r="AV55" i="14"/>
  <c r="AY55" i="14" s="1"/>
  <c r="AJ55" i="14"/>
  <c r="AI55" i="14"/>
  <c r="W55" i="14"/>
  <c r="V55" i="14"/>
  <c r="J55" i="14"/>
  <c r="I55" i="14"/>
  <c r="CT54" i="14"/>
  <c r="CS54" i="14"/>
  <c r="CH54" i="14"/>
  <c r="CG54" i="14"/>
  <c r="BV54" i="14"/>
  <c r="BU54" i="14"/>
  <c r="BJ54" i="14"/>
  <c r="BI54" i="14"/>
  <c r="AX54" i="14"/>
  <c r="AW54" i="14"/>
  <c r="AV54" i="14"/>
  <c r="AY54" i="14" s="1"/>
  <c r="AJ54" i="14"/>
  <c r="AI54" i="14"/>
  <c r="W54" i="14"/>
  <c r="V54" i="14"/>
  <c r="J54" i="14"/>
  <c r="I54" i="14"/>
  <c r="CT53" i="14"/>
  <c r="CS53" i="14"/>
  <c r="CH53" i="14"/>
  <c r="CG53" i="14"/>
  <c r="BV53" i="14"/>
  <c r="BU53" i="14"/>
  <c r="BJ53" i="14"/>
  <c r="BI53" i="14"/>
  <c r="AX53" i="14"/>
  <c r="AW53" i="14"/>
  <c r="AV53" i="14"/>
  <c r="AY53" i="14" s="1"/>
  <c r="AJ53" i="14"/>
  <c r="AI53" i="14"/>
  <c r="W53" i="14"/>
  <c r="V53" i="14"/>
  <c r="J53" i="14"/>
  <c r="I53" i="14"/>
  <c r="CT52" i="14"/>
  <c r="CS52" i="14"/>
  <c r="CH52" i="14"/>
  <c r="CG52" i="14"/>
  <c r="BV52" i="14"/>
  <c r="BU52" i="14"/>
  <c r="BJ52" i="14"/>
  <c r="BI52" i="14"/>
  <c r="AX52" i="14"/>
  <c r="AW52" i="14"/>
  <c r="AV52" i="14"/>
  <c r="AY52" i="14" s="1"/>
  <c r="AJ52" i="14"/>
  <c r="AI52" i="14"/>
  <c r="W52" i="14"/>
  <c r="V52" i="14"/>
  <c r="J52" i="14"/>
  <c r="I52" i="14"/>
  <c r="CT51" i="14"/>
  <c r="CS51" i="14"/>
  <c r="CH51" i="14"/>
  <c r="CG51" i="14"/>
  <c r="BV51" i="14"/>
  <c r="BU51" i="14"/>
  <c r="BJ51" i="14"/>
  <c r="BI51" i="14"/>
  <c r="AX51" i="14"/>
  <c r="AW51" i="14"/>
  <c r="AV51" i="14"/>
  <c r="AY51" i="14" s="1"/>
  <c r="AJ51" i="14"/>
  <c r="AI51" i="14"/>
  <c r="W51" i="14"/>
  <c r="V51" i="14"/>
  <c r="J51" i="14"/>
  <c r="I51" i="14"/>
  <c r="CT50" i="14"/>
  <c r="CS50" i="14"/>
  <c r="CH50" i="14"/>
  <c r="CG50" i="14"/>
  <c r="BV50" i="14"/>
  <c r="BU50" i="14"/>
  <c r="BJ50" i="14"/>
  <c r="BI50" i="14"/>
  <c r="AX50" i="14"/>
  <c r="AW50" i="14"/>
  <c r="AV50" i="14"/>
  <c r="AY50" i="14" s="1"/>
  <c r="AJ50" i="14"/>
  <c r="AI50" i="14"/>
  <c r="W50" i="14"/>
  <c r="V50" i="14"/>
  <c r="J50" i="14"/>
  <c r="I50" i="14"/>
  <c r="CT49" i="14"/>
  <c r="CS49" i="14"/>
  <c r="CH49" i="14"/>
  <c r="CG49" i="14"/>
  <c r="BV49" i="14"/>
  <c r="BU49" i="14"/>
  <c r="BJ49" i="14"/>
  <c r="BI49" i="14"/>
  <c r="AX49" i="14"/>
  <c r="AW49" i="14"/>
  <c r="AV49" i="14"/>
  <c r="AY49" i="14" s="1"/>
  <c r="AJ49" i="14"/>
  <c r="AI49" i="14"/>
  <c r="W49" i="14"/>
  <c r="V49" i="14"/>
  <c r="J49" i="14"/>
  <c r="I49" i="14"/>
  <c r="CT48" i="14"/>
  <c r="CS48" i="14"/>
  <c r="CH48" i="14"/>
  <c r="CG48" i="14"/>
  <c r="BV48" i="14"/>
  <c r="BU48" i="14"/>
  <c r="BJ48" i="14"/>
  <c r="BI48" i="14"/>
  <c r="AX48" i="14"/>
  <c r="AW48" i="14"/>
  <c r="AV48" i="14"/>
  <c r="AY48" i="14" s="1"/>
  <c r="AJ48" i="14"/>
  <c r="AI48" i="14"/>
  <c r="W48" i="14"/>
  <c r="V48" i="14"/>
  <c r="J48" i="14"/>
  <c r="I48" i="14"/>
  <c r="CT47" i="14"/>
  <c r="CS47" i="14"/>
  <c r="CH47" i="14"/>
  <c r="CG47" i="14"/>
  <c r="BV47" i="14"/>
  <c r="BU47" i="14"/>
  <c r="BJ47" i="14"/>
  <c r="BI47" i="14"/>
  <c r="AX47" i="14"/>
  <c r="AW47" i="14"/>
  <c r="AV47" i="14"/>
  <c r="AY47" i="14" s="1"/>
  <c r="AJ47" i="14"/>
  <c r="AI47" i="14"/>
  <c r="W47" i="14"/>
  <c r="V47" i="14"/>
  <c r="J47" i="14"/>
  <c r="I47" i="14"/>
  <c r="CT46" i="14"/>
  <c r="CS46" i="14"/>
  <c r="CH46" i="14"/>
  <c r="CG46" i="14"/>
  <c r="BV46" i="14"/>
  <c r="BU46" i="14"/>
  <c r="BJ46" i="14"/>
  <c r="BI46" i="14"/>
  <c r="AX46" i="14"/>
  <c r="AW46" i="14"/>
  <c r="AV46" i="14"/>
  <c r="AY46" i="14" s="1"/>
  <c r="AJ46" i="14"/>
  <c r="AI46" i="14"/>
  <c r="W46" i="14"/>
  <c r="V46" i="14"/>
  <c r="J46" i="14"/>
  <c r="I46" i="14"/>
  <c r="CT45" i="14"/>
  <c r="CS45" i="14"/>
  <c r="CH45" i="14"/>
  <c r="CG45" i="14"/>
  <c r="BV45" i="14"/>
  <c r="BU45" i="14"/>
  <c r="BJ45" i="14"/>
  <c r="BI45" i="14"/>
  <c r="AX45" i="14"/>
  <c r="AW45" i="14"/>
  <c r="AV45" i="14"/>
  <c r="AY45" i="14" s="1"/>
  <c r="AJ45" i="14"/>
  <c r="AI45" i="14"/>
  <c r="W45" i="14"/>
  <c r="V45" i="14"/>
  <c r="J45" i="14"/>
  <c r="I45" i="14"/>
  <c r="CT44" i="14"/>
  <c r="CS44" i="14"/>
  <c r="CH44" i="14"/>
  <c r="CG44" i="14"/>
  <c r="BV44" i="14"/>
  <c r="BU44" i="14"/>
  <c r="BJ44" i="14"/>
  <c r="BI44" i="14"/>
  <c r="AX44" i="14"/>
  <c r="AW44" i="14"/>
  <c r="AV44" i="14"/>
  <c r="AY44" i="14" s="1"/>
  <c r="AJ44" i="14"/>
  <c r="AI44" i="14"/>
  <c r="W44" i="14"/>
  <c r="V44" i="14"/>
  <c r="J44" i="14"/>
  <c r="I44" i="14"/>
  <c r="CT43" i="14"/>
  <c r="CS43" i="14"/>
  <c r="CH43" i="14"/>
  <c r="CG43" i="14"/>
  <c r="BV43" i="14"/>
  <c r="BU43" i="14"/>
  <c r="BJ43" i="14"/>
  <c r="BI43" i="14"/>
  <c r="AX43" i="14"/>
  <c r="AW43" i="14"/>
  <c r="AV43" i="14"/>
  <c r="AY43" i="14" s="1"/>
  <c r="AJ43" i="14"/>
  <c r="AI43" i="14"/>
  <c r="W43" i="14"/>
  <c r="V43" i="14"/>
  <c r="J43" i="14"/>
  <c r="I43" i="14"/>
  <c r="CT42" i="14"/>
  <c r="CS42" i="14"/>
  <c r="CH42" i="14"/>
  <c r="CG42" i="14"/>
  <c r="BV42" i="14"/>
  <c r="BU42" i="14"/>
  <c r="BJ42" i="14"/>
  <c r="BI42" i="14"/>
  <c r="AX42" i="14"/>
  <c r="AW42" i="14"/>
  <c r="AV42" i="14"/>
  <c r="AY42" i="14" s="1"/>
  <c r="AJ42" i="14"/>
  <c r="AI42" i="14"/>
  <c r="W42" i="14"/>
  <c r="V42" i="14"/>
  <c r="J42" i="14"/>
  <c r="I42" i="14"/>
  <c r="CT41" i="14"/>
  <c r="CS41" i="14"/>
  <c r="CH41" i="14"/>
  <c r="CG41" i="14"/>
  <c r="BV41" i="14"/>
  <c r="BU41" i="14"/>
  <c r="BJ41" i="14"/>
  <c r="BI41" i="14"/>
  <c r="AX41" i="14"/>
  <c r="AW41" i="14"/>
  <c r="AV41" i="14"/>
  <c r="AY41" i="14" s="1"/>
  <c r="AJ41" i="14"/>
  <c r="AI41" i="14"/>
  <c r="W41" i="14"/>
  <c r="V41" i="14"/>
  <c r="J41" i="14"/>
  <c r="I41" i="14"/>
  <c r="CL34" i="14"/>
  <c r="BZ34" i="14"/>
  <c r="BN34" i="14"/>
  <c r="AO34" i="14"/>
  <c r="AB34" i="14"/>
  <c r="O34" i="14"/>
  <c r="B34" i="14"/>
  <c r="BB33" i="14"/>
  <c r="N161" i="14" s="1"/>
  <c r="CP31" i="14"/>
  <c r="CL31" i="14"/>
  <c r="CD31" i="14"/>
  <c r="BZ31" i="14"/>
  <c r="BR31" i="14"/>
  <c r="BN31" i="14"/>
  <c r="BF31" i="14"/>
  <c r="BB31" i="14"/>
  <c r="AS31" i="14"/>
  <c r="AO31" i="14"/>
  <c r="AF31" i="14"/>
  <c r="AB31" i="14"/>
  <c r="S31" i="14"/>
  <c r="O31" i="14"/>
  <c r="F31" i="14"/>
  <c r="B31" i="14"/>
  <c r="CP30" i="14"/>
  <c r="CL30" i="14"/>
  <c r="CD30" i="14"/>
  <c r="BZ30" i="14"/>
  <c r="BR30" i="14"/>
  <c r="BN30" i="14"/>
  <c r="BF30" i="14"/>
  <c r="BB30" i="14"/>
  <c r="AS30" i="14"/>
  <c r="AO30" i="14"/>
  <c r="AF30" i="14"/>
  <c r="AB30" i="14"/>
  <c r="S30" i="14"/>
  <c r="O30" i="14"/>
  <c r="F30" i="14"/>
  <c r="B30" i="14"/>
  <c r="CP29" i="14"/>
  <c r="CO29" i="14"/>
  <c r="CN29" i="14"/>
  <c r="CM29" i="14"/>
  <c r="CL29" i="14"/>
  <c r="CD29" i="14"/>
  <c r="CC29" i="14"/>
  <c r="CB29" i="14"/>
  <c r="CA29" i="14"/>
  <c r="BZ29" i="14"/>
  <c r="BR29" i="14"/>
  <c r="BQ29" i="14"/>
  <c r="BP29" i="14"/>
  <c r="BO29" i="14"/>
  <c r="BN29" i="14"/>
  <c r="BF29" i="14"/>
  <c r="BE29" i="14"/>
  <c r="BD29" i="14"/>
  <c r="BC29" i="14"/>
  <c r="BB29" i="14"/>
  <c r="AS29" i="14"/>
  <c r="AR29" i="14"/>
  <c r="AQ29" i="14"/>
  <c r="AP29" i="14"/>
  <c r="AO29" i="14"/>
  <c r="AF29" i="14"/>
  <c r="AE29" i="14"/>
  <c r="AD29" i="14"/>
  <c r="AC29" i="14"/>
  <c r="AB29" i="14"/>
  <c r="S29" i="14"/>
  <c r="R29" i="14"/>
  <c r="Q29" i="14"/>
  <c r="P29" i="14"/>
  <c r="O29" i="14"/>
  <c r="F29" i="14"/>
  <c r="E29" i="14"/>
  <c r="D29" i="14"/>
  <c r="C29" i="14"/>
  <c r="B29" i="14"/>
  <c r="CP28" i="14"/>
  <c r="CO28" i="14"/>
  <c r="CN28" i="14"/>
  <c r="CM28" i="14"/>
  <c r="CL28" i="14"/>
  <c r="CD28" i="14"/>
  <c r="CC28" i="14"/>
  <c r="CB28" i="14"/>
  <c r="CA28" i="14"/>
  <c r="BZ28" i="14"/>
  <c r="BR28" i="14"/>
  <c r="BQ28" i="14"/>
  <c r="BP28" i="14"/>
  <c r="BO28" i="14"/>
  <c r="BN28" i="14"/>
  <c r="BF28" i="14"/>
  <c r="BE28" i="14"/>
  <c r="BD28" i="14"/>
  <c r="BC28" i="14"/>
  <c r="BB28" i="14"/>
  <c r="AS28" i="14"/>
  <c r="AR28" i="14"/>
  <c r="AQ28" i="14"/>
  <c r="AP28" i="14"/>
  <c r="AO28" i="14"/>
  <c r="AF28" i="14"/>
  <c r="AE28" i="14"/>
  <c r="AD28" i="14"/>
  <c r="AC28" i="14"/>
  <c r="AB28" i="14"/>
  <c r="S28" i="14"/>
  <c r="R28" i="14"/>
  <c r="Q28" i="14"/>
  <c r="P28" i="14"/>
  <c r="O28" i="14"/>
  <c r="F28" i="14"/>
  <c r="E28" i="14"/>
  <c r="D28" i="14"/>
  <c r="C28" i="14"/>
  <c r="B28" i="14"/>
  <c r="CT27" i="14"/>
  <c r="CS27" i="14"/>
  <c r="CH27" i="14"/>
  <c r="CG27" i="14"/>
  <c r="BV27" i="14"/>
  <c r="BU27" i="14"/>
  <c r="BJ27" i="14"/>
  <c r="BI27" i="14"/>
  <c r="AW27" i="14"/>
  <c r="AV27" i="14"/>
  <c r="AL27" i="14"/>
  <c r="AK27" i="14"/>
  <c r="AJ27" i="14"/>
  <c r="Y27" i="14"/>
  <c r="X27" i="14"/>
  <c r="W27" i="14"/>
  <c r="L27" i="14"/>
  <c r="K27" i="14"/>
  <c r="J27" i="14"/>
  <c r="CT26" i="14"/>
  <c r="CS26" i="14"/>
  <c r="CH26" i="14"/>
  <c r="CG26" i="14"/>
  <c r="BV26" i="14"/>
  <c r="BU26" i="14"/>
  <c r="BJ26" i="14"/>
  <c r="BI26" i="14"/>
  <c r="AW26" i="14"/>
  <c r="AV26" i="14"/>
  <c r="AL26" i="14"/>
  <c r="AK26" i="14"/>
  <c r="AJ26" i="14"/>
  <c r="Y26" i="14"/>
  <c r="X26" i="14"/>
  <c r="W26" i="14"/>
  <c r="L26" i="14"/>
  <c r="K26" i="14"/>
  <c r="J26" i="14"/>
  <c r="CT25" i="14"/>
  <c r="CS25" i="14"/>
  <c r="CH25" i="14"/>
  <c r="CG25" i="14"/>
  <c r="BV25" i="14"/>
  <c r="BU25" i="14"/>
  <c r="BJ25" i="14"/>
  <c r="BI25" i="14"/>
  <c r="AW25" i="14"/>
  <c r="AV25" i="14"/>
  <c r="AL25" i="14"/>
  <c r="AK25" i="14"/>
  <c r="AJ25" i="14"/>
  <c r="Y25" i="14"/>
  <c r="X25" i="14"/>
  <c r="W25" i="14"/>
  <c r="L25" i="14"/>
  <c r="K25" i="14"/>
  <c r="J25" i="14"/>
  <c r="CT24" i="14"/>
  <c r="CS24" i="14"/>
  <c r="CH24" i="14"/>
  <c r="CG24" i="14"/>
  <c r="BV24" i="14"/>
  <c r="BU24" i="14"/>
  <c r="BJ24" i="14"/>
  <c r="BI24" i="14"/>
  <c r="AW24" i="14"/>
  <c r="AV24" i="14"/>
  <c r="AL24" i="14"/>
  <c r="AK24" i="14"/>
  <c r="AJ24" i="14"/>
  <c r="Y24" i="14"/>
  <c r="X24" i="14"/>
  <c r="W24" i="14"/>
  <c r="L24" i="14"/>
  <c r="K24" i="14"/>
  <c r="J24" i="14"/>
  <c r="CT23" i="14"/>
  <c r="CS23" i="14"/>
  <c r="CH23" i="14"/>
  <c r="CG23" i="14"/>
  <c r="BV23" i="14"/>
  <c r="BU23" i="14"/>
  <c r="BJ23" i="14"/>
  <c r="BI23" i="14"/>
  <c r="AW23" i="14"/>
  <c r="AV23" i="14"/>
  <c r="AL23" i="14"/>
  <c r="AK23" i="14"/>
  <c r="AJ23" i="14"/>
  <c r="Y23" i="14"/>
  <c r="X23" i="14"/>
  <c r="W23" i="14"/>
  <c r="L23" i="14"/>
  <c r="K23" i="14"/>
  <c r="J23" i="14"/>
  <c r="CT22" i="14"/>
  <c r="CS22" i="14"/>
  <c r="CH22" i="14"/>
  <c r="CG22" i="14"/>
  <c r="BV22" i="14"/>
  <c r="BU22" i="14"/>
  <c r="BJ22" i="14"/>
  <c r="BI22" i="14"/>
  <c r="AW22" i="14"/>
  <c r="AV22" i="14"/>
  <c r="AL22" i="14"/>
  <c r="AK22" i="14"/>
  <c r="AJ22" i="14"/>
  <c r="Y22" i="14"/>
  <c r="X22" i="14"/>
  <c r="W22" i="14"/>
  <c r="L22" i="14"/>
  <c r="K22" i="14"/>
  <c r="J22" i="14"/>
  <c r="CT21" i="14"/>
  <c r="CS21" i="14"/>
  <c r="CH21" i="14"/>
  <c r="CG21" i="14"/>
  <c r="BV21" i="14"/>
  <c r="BU21" i="14"/>
  <c r="BJ21" i="14"/>
  <c r="BI21" i="14"/>
  <c r="AW21" i="14"/>
  <c r="AV21" i="14"/>
  <c r="AL21" i="14"/>
  <c r="AK21" i="14"/>
  <c r="AJ21" i="14"/>
  <c r="Y21" i="14"/>
  <c r="X21" i="14"/>
  <c r="W21" i="14"/>
  <c r="L21" i="14"/>
  <c r="K21" i="14"/>
  <c r="J21" i="14"/>
  <c r="CT20" i="14"/>
  <c r="CS20" i="14"/>
  <c r="CH20" i="14"/>
  <c r="CG20" i="14"/>
  <c r="BV20" i="14"/>
  <c r="BU20" i="14"/>
  <c r="BJ20" i="14"/>
  <c r="BI20" i="14"/>
  <c r="AW20" i="14"/>
  <c r="AV20" i="14"/>
  <c r="AL20" i="14"/>
  <c r="AK20" i="14"/>
  <c r="AJ20" i="14"/>
  <c r="Y20" i="14"/>
  <c r="X20" i="14"/>
  <c r="W20" i="14"/>
  <c r="L20" i="14"/>
  <c r="K20" i="14"/>
  <c r="J20" i="14"/>
  <c r="CT19" i="14"/>
  <c r="CS19" i="14"/>
  <c r="CH19" i="14"/>
  <c r="CG19" i="14"/>
  <c r="BV19" i="14"/>
  <c r="BU19" i="14"/>
  <c r="BJ19" i="14"/>
  <c r="BI19" i="14"/>
  <c r="AW19" i="14"/>
  <c r="AV19" i="14"/>
  <c r="AL19" i="14"/>
  <c r="AK19" i="14"/>
  <c r="AJ19" i="14"/>
  <c r="Y19" i="14"/>
  <c r="X19" i="14"/>
  <c r="W19" i="14"/>
  <c r="L19" i="14"/>
  <c r="K19" i="14"/>
  <c r="J19" i="14"/>
  <c r="CT18" i="14"/>
  <c r="CS18" i="14"/>
  <c r="CH18" i="14"/>
  <c r="CG18" i="14"/>
  <c r="BV18" i="14"/>
  <c r="BU18" i="14"/>
  <c r="BJ18" i="14"/>
  <c r="BI18" i="14"/>
  <c r="AW18" i="14"/>
  <c r="AV18" i="14"/>
  <c r="AL18" i="14"/>
  <c r="AK18" i="14"/>
  <c r="AJ18" i="14"/>
  <c r="Y18" i="14"/>
  <c r="X18" i="14"/>
  <c r="W18" i="14"/>
  <c r="L18" i="14"/>
  <c r="K18" i="14"/>
  <c r="J18" i="14"/>
  <c r="CT17" i="14"/>
  <c r="CS17" i="14"/>
  <c r="CH17" i="14"/>
  <c r="CG17" i="14"/>
  <c r="BV17" i="14"/>
  <c r="BU17" i="14"/>
  <c r="BJ17" i="14"/>
  <c r="BI17" i="14"/>
  <c r="AW17" i="14"/>
  <c r="AV17" i="14"/>
  <c r="AL17" i="14"/>
  <c r="AK17" i="14"/>
  <c r="AJ17" i="14"/>
  <c r="Y17" i="14"/>
  <c r="X17" i="14"/>
  <c r="W17" i="14"/>
  <c r="L17" i="14"/>
  <c r="K17" i="14"/>
  <c r="J17" i="14"/>
  <c r="CT16" i="14"/>
  <c r="CS16" i="14"/>
  <c r="CH16" i="14"/>
  <c r="CG16" i="14"/>
  <c r="BV16" i="14"/>
  <c r="BU16" i="14"/>
  <c r="BJ16" i="14"/>
  <c r="BI16" i="14"/>
  <c r="AW16" i="14"/>
  <c r="AV16" i="14"/>
  <c r="AL16" i="14"/>
  <c r="AK16" i="14"/>
  <c r="AJ16" i="14"/>
  <c r="Y16" i="14"/>
  <c r="X16" i="14"/>
  <c r="W16" i="14"/>
  <c r="L16" i="14"/>
  <c r="K16" i="14"/>
  <c r="J16" i="14"/>
  <c r="CT15" i="14"/>
  <c r="CS15" i="14"/>
  <c r="CH15" i="14"/>
  <c r="CG15" i="14"/>
  <c r="BV15" i="14"/>
  <c r="BU15" i="14"/>
  <c r="BJ15" i="14"/>
  <c r="BI15" i="14"/>
  <c r="AW15" i="14"/>
  <c r="AV15" i="14"/>
  <c r="AL15" i="14"/>
  <c r="AK15" i="14"/>
  <c r="AJ15" i="14"/>
  <c r="Y15" i="14"/>
  <c r="X15" i="14"/>
  <c r="W15" i="14"/>
  <c r="L15" i="14"/>
  <c r="K15" i="14"/>
  <c r="J15" i="14"/>
  <c r="CT14" i="14"/>
  <c r="CS14" i="14"/>
  <c r="CH14" i="14"/>
  <c r="CG14" i="14"/>
  <c r="BV14" i="14"/>
  <c r="BU14" i="14"/>
  <c r="BJ14" i="14"/>
  <c r="BI14" i="14"/>
  <c r="AW14" i="14"/>
  <c r="AV14" i="14"/>
  <c r="AL14" i="14"/>
  <c r="AK14" i="14"/>
  <c r="AJ14" i="14"/>
  <c r="Y14" i="14"/>
  <c r="X14" i="14"/>
  <c r="W14" i="14"/>
  <c r="L14" i="14"/>
  <c r="K14" i="14"/>
  <c r="J14" i="14"/>
  <c r="CT13" i="14"/>
  <c r="CS13" i="14"/>
  <c r="CH13" i="14"/>
  <c r="CG13" i="14"/>
  <c r="BV13" i="14"/>
  <c r="BU13" i="14"/>
  <c r="BJ13" i="14"/>
  <c r="BI13" i="14"/>
  <c r="AW13" i="14"/>
  <c r="AV13" i="14"/>
  <c r="AL13" i="14"/>
  <c r="AK13" i="14"/>
  <c r="AJ13" i="14"/>
  <c r="Y13" i="14"/>
  <c r="X13" i="14"/>
  <c r="W13" i="14"/>
  <c r="L13" i="14"/>
  <c r="K13" i="14"/>
  <c r="J13" i="14"/>
  <c r="CT12" i="14"/>
  <c r="CS12" i="14"/>
  <c r="CH12" i="14"/>
  <c r="CG12" i="14"/>
  <c r="BV12" i="14"/>
  <c r="BU12" i="14"/>
  <c r="BJ12" i="14"/>
  <c r="BI12" i="14"/>
  <c r="AW12" i="14"/>
  <c r="AV12" i="14"/>
  <c r="AL12" i="14"/>
  <c r="AK12" i="14"/>
  <c r="AJ12" i="14"/>
  <c r="Y12" i="14"/>
  <c r="X12" i="14"/>
  <c r="W12" i="14"/>
  <c r="L12" i="14"/>
  <c r="K12" i="14"/>
  <c r="J12" i="14"/>
  <c r="CT11" i="14"/>
  <c r="CS11" i="14"/>
  <c r="CH11" i="14"/>
  <c r="CG11" i="14"/>
  <c r="BV11" i="14"/>
  <c r="BU11" i="14"/>
  <c r="BJ11" i="14"/>
  <c r="BI11" i="14"/>
  <c r="AW11" i="14"/>
  <c r="AV11" i="14"/>
  <c r="AL11" i="14"/>
  <c r="AK11" i="14"/>
  <c r="AJ11" i="14"/>
  <c r="Y11" i="14"/>
  <c r="X11" i="14"/>
  <c r="W11" i="14"/>
  <c r="L11" i="14"/>
  <c r="K11" i="14"/>
  <c r="J11" i="14"/>
  <c r="CT10" i="14"/>
  <c r="CS10" i="14"/>
  <c r="CH10" i="14"/>
  <c r="CG10" i="14"/>
  <c r="BV10" i="14"/>
  <c r="BU10" i="14"/>
  <c r="BJ10" i="14"/>
  <c r="BI10" i="14"/>
  <c r="AW10" i="14"/>
  <c r="AV10" i="14"/>
  <c r="AL10" i="14"/>
  <c r="AK10" i="14"/>
  <c r="AJ10" i="14"/>
  <c r="Y10" i="14"/>
  <c r="X10" i="14"/>
  <c r="W10" i="14"/>
  <c r="L10" i="14"/>
  <c r="K10" i="14"/>
  <c r="J10" i="14"/>
  <c r="CT9" i="14"/>
  <c r="CS9" i="14"/>
  <c r="CH9" i="14"/>
  <c r="CG9" i="14"/>
  <c r="BV9" i="14"/>
  <c r="BU9" i="14"/>
  <c r="BJ9" i="14"/>
  <c r="BI9" i="14"/>
  <c r="AW9" i="14"/>
  <c r="AV9" i="14"/>
  <c r="AL9" i="14"/>
  <c r="AK9" i="14"/>
  <c r="AJ9" i="14"/>
  <c r="Y9" i="14"/>
  <c r="X9" i="14"/>
  <c r="W9" i="14"/>
  <c r="L9" i="14"/>
  <c r="K9" i="14"/>
  <c r="J9" i="14"/>
  <c r="CT8" i="14"/>
  <c r="CS8" i="14"/>
  <c r="CH8" i="14"/>
  <c r="CG8" i="14"/>
  <c r="BV8" i="14"/>
  <c r="BU8" i="14"/>
  <c r="BJ8" i="14"/>
  <c r="BI8" i="14"/>
  <c r="AW8" i="14"/>
  <c r="AV8" i="14"/>
  <c r="AL8" i="14"/>
  <c r="AK8" i="14"/>
  <c r="AJ8" i="14"/>
  <c r="X8" i="14"/>
  <c r="W8" i="14"/>
  <c r="K8" i="14"/>
  <c r="J8" i="14"/>
  <c r="K165" i="8"/>
  <c r="K164" i="8"/>
  <c r="K163" i="8"/>
  <c r="K162" i="8"/>
  <c r="K161" i="8"/>
  <c r="K160" i="8"/>
  <c r="K159" i="8"/>
  <c r="K158" i="8"/>
  <c r="K157" i="8"/>
  <c r="K156" i="8"/>
  <c r="K155" i="8"/>
  <c r="K154" i="8"/>
  <c r="K153" i="8"/>
  <c r="K152" i="8"/>
  <c r="K151" i="8"/>
  <c r="K150" i="8"/>
  <c r="K149" i="8"/>
  <c r="K148" i="8"/>
  <c r="K147" i="8"/>
  <c r="K146" i="8"/>
  <c r="K141" i="8"/>
  <c r="K140" i="8"/>
  <c r="K139" i="8"/>
  <c r="K138" i="8"/>
  <c r="K137" i="8"/>
  <c r="K136" i="8"/>
  <c r="K135" i="8"/>
  <c r="K134" i="8"/>
  <c r="K133" i="8"/>
  <c r="K132" i="8"/>
  <c r="K131" i="8"/>
  <c r="K130" i="8"/>
  <c r="K129" i="8"/>
  <c r="K128" i="8"/>
  <c r="K127" i="8"/>
  <c r="K126" i="8"/>
  <c r="K125" i="8"/>
  <c r="K124" i="8"/>
  <c r="K123" i="8"/>
  <c r="K122" i="8"/>
  <c r="K117" i="8"/>
  <c r="K116" i="8"/>
  <c r="K115" i="8"/>
  <c r="K114" i="8"/>
  <c r="K113" i="8"/>
  <c r="K112" i="8"/>
  <c r="K111" i="8"/>
  <c r="K110" i="8"/>
  <c r="K109" i="8"/>
  <c r="K108" i="8"/>
  <c r="K107" i="8"/>
  <c r="K106" i="8"/>
  <c r="K105" i="8"/>
  <c r="K104" i="8"/>
  <c r="K103" i="8"/>
  <c r="K102" i="8"/>
  <c r="K101" i="8"/>
  <c r="K100" i="8"/>
  <c r="K99" i="8"/>
  <c r="K98" i="8"/>
  <c r="K93" i="8"/>
  <c r="K92" i="8"/>
  <c r="K91" i="8"/>
  <c r="K90" i="8"/>
  <c r="K89" i="8"/>
  <c r="K88" i="8"/>
  <c r="K87" i="8"/>
  <c r="K86" i="8"/>
  <c r="K85" i="8"/>
  <c r="K84" i="8"/>
  <c r="K83" i="8"/>
  <c r="K82" i="8"/>
  <c r="K81" i="8"/>
  <c r="K80" i="8"/>
  <c r="K79" i="8"/>
  <c r="K78" i="8"/>
  <c r="K77" i="8"/>
  <c r="K76" i="8"/>
  <c r="K75" i="8"/>
  <c r="K74" i="8"/>
  <c r="K69" i="8"/>
  <c r="K68" i="8"/>
  <c r="K67" i="8"/>
  <c r="K66" i="8"/>
  <c r="K65" i="8"/>
  <c r="K64" i="8"/>
  <c r="K63" i="8"/>
  <c r="K62" i="8"/>
  <c r="K61" i="8"/>
  <c r="K60" i="8"/>
  <c r="K59" i="8"/>
  <c r="K58" i="8"/>
  <c r="K57" i="8"/>
  <c r="K56" i="8"/>
  <c r="K55" i="8"/>
  <c r="K54" i="8"/>
  <c r="K53" i="8"/>
  <c r="K52" i="8"/>
  <c r="K51" i="8"/>
  <c r="K50" i="8"/>
  <c r="K45" i="8"/>
  <c r="K44" i="8"/>
  <c r="K43" i="8"/>
  <c r="K42" i="8"/>
  <c r="K41" i="8"/>
  <c r="K40" i="8"/>
  <c r="K39" i="8"/>
  <c r="K38" i="8"/>
  <c r="K37" i="8"/>
  <c r="K36" i="8"/>
  <c r="K35" i="8"/>
  <c r="K34" i="8"/>
  <c r="K33" i="8"/>
  <c r="K32" i="8"/>
  <c r="K31" i="8"/>
  <c r="K30" i="8"/>
  <c r="K29" i="8"/>
  <c r="K28" i="8"/>
  <c r="K27" i="8"/>
  <c r="K26" i="8"/>
  <c r="K22" i="8"/>
  <c r="K21" i="8"/>
  <c r="K20" i="8"/>
  <c r="K19" i="8"/>
  <c r="K18" i="8"/>
  <c r="K17" i="8"/>
  <c r="K16" i="8"/>
  <c r="K15" i="8"/>
  <c r="K14" i="8"/>
  <c r="K13" i="8"/>
  <c r="K12" i="8"/>
  <c r="K11" i="8"/>
  <c r="K10" i="8"/>
  <c r="K9" i="8"/>
  <c r="K8" i="8"/>
  <c r="K7" i="8"/>
  <c r="K6" i="8"/>
  <c r="K5" i="8"/>
  <c r="K4" i="8"/>
  <c r="K3" i="8"/>
  <c r="K165" i="7"/>
  <c r="K164" i="7"/>
  <c r="K163" i="7"/>
  <c r="K162" i="7"/>
  <c r="K161" i="7"/>
  <c r="K160" i="7"/>
  <c r="K159" i="7"/>
  <c r="K158" i="7"/>
  <c r="K157" i="7"/>
  <c r="K156" i="7"/>
  <c r="K155" i="7"/>
  <c r="K154" i="7"/>
  <c r="K153" i="7"/>
  <c r="K152" i="7"/>
  <c r="K151" i="7"/>
  <c r="K150" i="7"/>
  <c r="K149" i="7"/>
  <c r="K148" i="7"/>
  <c r="K147" i="7"/>
  <c r="K146" i="7"/>
  <c r="K141" i="7"/>
  <c r="K140" i="7"/>
  <c r="K139" i="7"/>
  <c r="K138" i="7"/>
  <c r="K137" i="7"/>
  <c r="K136" i="7"/>
  <c r="K135" i="7"/>
  <c r="K134" i="7"/>
  <c r="K133" i="7"/>
  <c r="K132" i="7"/>
  <c r="K131" i="7"/>
  <c r="K130" i="7"/>
  <c r="K129" i="7"/>
  <c r="K128" i="7"/>
  <c r="K127" i="7"/>
  <c r="K126" i="7"/>
  <c r="K125" i="7"/>
  <c r="K124" i="7"/>
  <c r="K123" i="7"/>
  <c r="K122" i="7"/>
  <c r="K117" i="7"/>
  <c r="K116" i="7"/>
  <c r="K115" i="7"/>
  <c r="K114" i="7"/>
  <c r="K113" i="7"/>
  <c r="K112" i="7"/>
  <c r="K111" i="7"/>
  <c r="K110" i="7"/>
  <c r="K109" i="7"/>
  <c r="K108" i="7"/>
  <c r="K107" i="7"/>
  <c r="K106" i="7"/>
  <c r="K105" i="7"/>
  <c r="K104" i="7"/>
  <c r="K103" i="7"/>
  <c r="K102" i="7"/>
  <c r="K101" i="7"/>
  <c r="K100" i="7"/>
  <c r="K99" i="7"/>
  <c r="K98" i="7"/>
  <c r="K93" i="7"/>
  <c r="K92" i="7"/>
  <c r="K91" i="7"/>
  <c r="K90" i="7"/>
  <c r="K89" i="7"/>
  <c r="K88" i="7"/>
  <c r="K87" i="7"/>
  <c r="K86" i="7"/>
  <c r="K85" i="7"/>
  <c r="K84" i="7"/>
  <c r="K83" i="7"/>
  <c r="K82" i="7"/>
  <c r="K81" i="7"/>
  <c r="K80" i="7"/>
  <c r="K79" i="7"/>
  <c r="K78" i="7"/>
  <c r="K77" i="7"/>
  <c r="K76" i="7"/>
  <c r="K75" i="7"/>
  <c r="K74" i="7"/>
  <c r="K69" i="7"/>
  <c r="K68" i="7"/>
  <c r="K67" i="7"/>
  <c r="K66" i="7"/>
  <c r="K65" i="7"/>
  <c r="K64" i="7"/>
  <c r="K63" i="7"/>
  <c r="K62" i="7"/>
  <c r="K61" i="7"/>
  <c r="K60" i="7"/>
  <c r="K59" i="7"/>
  <c r="K58" i="7"/>
  <c r="K57" i="7"/>
  <c r="K56" i="7"/>
  <c r="K55" i="7"/>
  <c r="K54" i="7"/>
  <c r="K53" i="7"/>
  <c r="K52" i="7"/>
  <c r="K51" i="7"/>
  <c r="K50" i="7"/>
  <c r="K45" i="7"/>
  <c r="K44" i="7"/>
  <c r="K43" i="7"/>
  <c r="K42" i="7"/>
  <c r="K41" i="7"/>
  <c r="K40" i="7"/>
  <c r="K39" i="7"/>
  <c r="K38" i="7"/>
  <c r="K37" i="7"/>
  <c r="K36" i="7"/>
  <c r="K35" i="7"/>
  <c r="K34" i="7"/>
  <c r="K33" i="7"/>
  <c r="K32" i="7"/>
  <c r="K31" i="7"/>
  <c r="K30" i="7"/>
  <c r="K29" i="7"/>
  <c r="K28" i="7"/>
  <c r="K27" i="7"/>
  <c r="K26" i="7"/>
  <c r="K22" i="7"/>
  <c r="K21" i="7"/>
  <c r="K20" i="7"/>
  <c r="K19" i="7"/>
  <c r="K18" i="7"/>
  <c r="K17" i="7"/>
  <c r="K16" i="7"/>
  <c r="K15" i="7"/>
  <c r="K14" i="7"/>
  <c r="K13" i="7"/>
  <c r="K12" i="7"/>
  <c r="K11" i="7"/>
  <c r="K10" i="7"/>
  <c r="K9" i="7"/>
  <c r="K8" i="7"/>
  <c r="K7" i="7"/>
  <c r="K6" i="7"/>
  <c r="K5" i="7"/>
  <c r="K4" i="7"/>
  <c r="K3" i="7"/>
  <c r="AW177" i="3"/>
  <c r="AO177" i="3"/>
  <c r="AG177" i="3"/>
  <c r="AA177" i="3"/>
  <c r="S177" i="3"/>
  <c r="F177" i="3"/>
  <c r="L182" i="3" s="1"/>
  <c r="L183" i="3" s="1"/>
  <c r="AW176" i="3"/>
  <c r="AO176" i="3"/>
  <c r="AG176" i="3"/>
  <c r="AA176" i="3"/>
  <c r="S176" i="3"/>
  <c r="K176" i="3"/>
  <c r="F176" i="3"/>
  <c r="L180" i="3" s="1"/>
  <c r="L181" i="3" s="1"/>
  <c r="AW175" i="3"/>
  <c r="AO175" i="3"/>
  <c r="AG175" i="3"/>
  <c r="AA175" i="3"/>
  <c r="S175" i="3"/>
  <c r="K175" i="3"/>
  <c r="F175" i="3"/>
  <c r="AW174" i="3"/>
  <c r="AO174" i="3"/>
  <c r="AG174" i="3"/>
  <c r="AA174" i="3"/>
  <c r="S174" i="3"/>
  <c r="K174" i="3"/>
  <c r="F174" i="3"/>
  <c r="AW173" i="3"/>
  <c r="AO173" i="3"/>
  <c r="AG173" i="3"/>
  <c r="AA173" i="3"/>
  <c r="S173" i="3"/>
  <c r="K173" i="3"/>
  <c r="F173" i="3"/>
  <c r="AW172" i="3"/>
  <c r="AO172" i="3"/>
  <c r="AG172" i="3"/>
  <c r="AA172" i="3"/>
  <c r="S172" i="3"/>
  <c r="K172" i="3"/>
  <c r="F172" i="3"/>
  <c r="AW171" i="3"/>
  <c r="AO171" i="3"/>
  <c r="AG171" i="3"/>
  <c r="AA171" i="3"/>
  <c r="S171" i="3"/>
  <c r="K171" i="3"/>
  <c r="F171" i="3"/>
  <c r="AW170" i="3"/>
  <c r="AO170" i="3"/>
  <c r="AG170" i="3"/>
  <c r="AA170" i="3"/>
  <c r="S170" i="3"/>
  <c r="K170" i="3"/>
  <c r="F170" i="3"/>
  <c r="AW169" i="3"/>
  <c r="AO169" i="3"/>
  <c r="AG169" i="3"/>
  <c r="AA169" i="3"/>
  <c r="S169" i="3"/>
  <c r="K169" i="3"/>
  <c r="F169" i="3"/>
  <c r="AW168" i="3"/>
  <c r="AO168" i="3"/>
  <c r="AG168" i="3"/>
  <c r="AA168" i="3"/>
  <c r="S168" i="3"/>
  <c r="K168" i="3"/>
  <c r="F168" i="3"/>
  <c r="AW167" i="3"/>
  <c r="AO167" i="3"/>
  <c r="AG167" i="3"/>
  <c r="AA167" i="3"/>
  <c r="S167" i="3"/>
  <c r="K167" i="3"/>
  <c r="F167" i="3"/>
  <c r="AW166" i="3"/>
  <c r="AO166" i="3"/>
  <c r="AG166" i="3"/>
  <c r="AA166" i="3"/>
  <c r="S166" i="3"/>
  <c r="K166" i="3"/>
  <c r="F166" i="3"/>
  <c r="AW165" i="3"/>
  <c r="AO165" i="3"/>
  <c r="AG165" i="3"/>
  <c r="AA165" i="3"/>
  <c r="S165" i="3"/>
  <c r="K165" i="3"/>
  <c r="F165" i="3"/>
  <c r="AW164" i="3"/>
  <c r="AO164" i="3"/>
  <c r="AG164" i="3"/>
  <c r="AA164" i="3"/>
  <c r="S164" i="3"/>
  <c r="K164" i="3"/>
  <c r="F164" i="3"/>
  <c r="AW163" i="3"/>
  <c r="AO163" i="3"/>
  <c r="AG163" i="3"/>
  <c r="AA163" i="3"/>
  <c r="S163" i="3"/>
  <c r="K163" i="3"/>
  <c r="F163" i="3"/>
  <c r="AW162" i="3"/>
  <c r="AO162" i="3"/>
  <c r="AG162" i="3"/>
  <c r="AA162" i="3"/>
  <c r="S162" i="3"/>
  <c r="K162" i="3"/>
  <c r="F162" i="3"/>
  <c r="AW161" i="3"/>
  <c r="AO161" i="3"/>
  <c r="AG161" i="3"/>
  <c r="AA161" i="3"/>
  <c r="S161" i="3"/>
  <c r="K161" i="3"/>
  <c r="F161" i="3"/>
  <c r="AW160" i="3"/>
  <c r="AO160" i="3"/>
  <c r="AG160" i="3"/>
  <c r="AA160" i="3"/>
  <c r="S160" i="3"/>
  <c r="K160" i="3"/>
  <c r="F160" i="3"/>
  <c r="AW159" i="3"/>
  <c r="AO159" i="3"/>
  <c r="AG159" i="3"/>
  <c r="AA159" i="3"/>
  <c r="S159" i="3"/>
  <c r="K159" i="3"/>
  <c r="F159" i="3"/>
  <c r="AW158" i="3"/>
  <c r="AO158" i="3"/>
  <c r="AG158" i="3"/>
  <c r="AA158" i="3"/>
  <c r="S158" i="3"/>
  <c r="K158" i="3"/>
  <c r="F158" i="3"/>
  <c r="AW157" i="3"/>
  <c r="AO157" i="3"/>
  <c r="AG157" i="3"/>
  <c r="AA157" i="3"/>
  <c r="S157" i="3"/>
  <c r="K157" i="3"/>
  <c r="F157" i="3"/>
  <c r="BE156" i="3"/>
  <c r="AW156" i="3"/>
  <c r="AO156" i="3"/>
  <c r="AG156" i="3"/>
  <c r="AA156" i="3"/>
  <c r="S156" i="3"/>
  <c r="K156" i="3"/>
  <c r="F156" i="3"/>
  <c r="BK149" i="3"/>
  <c r="BA149" i="3"/>
  <c r="AQ149" i="3"/>
  <c r="AG149" i="3"/>
  <c r="V149" i="3"/>
  <c r="L149" i="3"/>
  <c r="B149" i="3"/>
  <c r="BO146" i="3"/>
  <c r="BK146" i="3"/>
  <c r="BE146" i="3"/>
  <c r="BA146" i="3"/>
  <c r="AU146" i="3"/>
  <c r="AQ146" i="3"/>
  <c r="AK146" i="3"/>
  <c r="AG146" i="3"/>
  <c r="Z146" i="3"/>
  <c r="V146" i="3"/>
  <c r="P146" i="3"/>
  <c r="L146" i="3"/>
  <c r="F146" i="3"/>
  <c r="B146" i="3"/>
  <c r="BO145" i="3"/>
  <c r="BK145" i="3"/>
  <c r="BE145" i="3"/>
  <c r="BA145" i="3"/>
  <c r="AU145" i="3"/>
  <c r="AQ145" i="3"/>
  <c r="AK145" i="3"/>
  <c r="AG145" i="3"/>
  <c r="Z145" i="3"/>
  <c r="V145" i="3"/>
  <c r="P145" i="3"/>
  <c r="L145" i="3"/>
  <c r="F145" i="3"/>
  <c r="B145" i="3"/>
  <c r="BO144" i="3"/>
  <c r="BN144" i="3"/>
  <c r="BM144" i="3"/>
  <c r="BL144" i="3"/>
  <c r="BK144" i="3"/>
  <c r="BE144" i="3"/>
  <c r="BD144" i="3"/>
  <c r="BC144" i="3"/>
  <c r="BB144" i="3"/>
  <c r="BA144" i="3"/>
  <c r="AU144" i="3"/>
  <c r="AT144" i="3"/>
  <c r="AS144" i="3"/>
  <c r="AR144" i="3"/>
  <c r="AQ144" i="3"/>
  <c r="AK144" i="3"/>
  <c r="AJ144" i="3"/>
  <c r="AI144" i="3"/>
  <c r="AH144" i="3"/>
  <c r="AG144" i="3"/>
  <c r="Z144" i="3"/>
  <c r="Y144" i="3"/>
  <c r="X144" i="3"/>
  <c r="W144" i="3"/>
  <c r="V144" i="3"/>
  <c r="P144" i="3"/>
  <c r="O144" i="3"/>
  <c r="N144" i="3"/>
  <c r="M144" i="3"/>
  <c r="L144" i="3"/>
  <c r="F144" i="3"/>
  <c r="E144" i="3"/>
  <c r="D144" i="3"/>
  <c r="C144" i="3"/>
  <c r="B144" i="3"/>
  <c r="BO143" i="3"/>
  <c r="BN143" i="3"/>
  <c r="BM143" i="3"/>
  <c r="BL143" i="3"/>
  <c r="BK143" i="3"/>
  <c r="BE143" i="3"/>
  <c r="BD143" i="3"/>
  <c r="BC143" i="3"/>
  <c r="BB143" i="3"/>
  <c r="BA143" i="3"/>
  <c r="AU143" i="3"/>
  <c r="AT143" i="3"/>
  <c r="AS143" i="3"/>
  <c r="AR143" i="3"/>
  <c r="AQ143" i="3"/>
  <c r="AK143" i="3"/>
  <c r="AJ143" i="3"/>
  <c r="AI143" i="3"/>
  <c r="AH143" i="3"/>
  <c r="AG143" i="3"/>
  <c r="Z143" i="3"/>
  <c r="Y143" i="3"/>
  <c r="X143" i="3"/>
  <c r="W143" i="3"/>
  <c r="V143" i="3"/>
  <c r="P143" i="3"/>
  <c r="O143" i="3"/>
  <c r="N143" i="3"/>
  <c r="M143" i="3"/>
  <c r="L143" i="3"/>
  <c r="F143" i="3"/>
  <c r="E143" i="3"/>
  <c r="D143" i="3"/>
  <c r="C143" i="3"/>
  <c r="B143" i="3"/>
  <c r="BU117" i="3"/>
  <c r="BK117" i="3"/>
  <c r="BA117" i="3"/>
  <c r="AQ117" i="3"/>
  <c r="AG117" i="3"/>
  <c r="V117" i="3"/>
  <c r="L117" i="3"/>
  <c r="B117" i="3"/>
  <c r="BY114" i="3"/>
  <c r="BU114" i="3"/>
  <c r="BO114" i="3"/>
  <c r="BK114" i="3"/>
  <c r="BE114" i="3"/>
  <c r="BA114" i="3"/>
  <c r="AU114" i="3"/>
  <c r="AQ114" i="3"/>
  <c r="AK114" i="3"/>
  <c r="AG114" i="3"/>
  <c r="Z114" i="3"/>
  <c r="V114" i="3"/>
  <c r="P114" i="3"/>
  <c r="L114" i="3"/>
  <c r="F114" i="3"/>
  <c r="B114" i="3"/>
  <c r="BY113" i="3"/>
  <c r="BU113" i="3"/>
  <c r="BO113" i="3"/>
  <c r="BK113" i="3"/>
  <c r="BE113" i="3"/>
  <c r="BA113" i="3"/>
  <c r="AU113" i="3"/>
  <c r="AQ113" i="3"/>
  <c r="AK113" i="3"/>
  <c r="AG113" i="3"/>
  <c r="Z113" i="3"/>
  <c r="V113" i="3"/>
  <c r="P113" i="3"/>
  <c r="L113" i="3"/>
  <c r="F113" i="3"/>
  <c r="B113" i="3"/>
  <c r="BY112" i="3"/>
  <c r="BX112" i="3"/>
  <c r="BW112" i="3"/>
  <c r="BV112" i="3"/>
  <c r="BU112" i="3"/>
  <c r="BO112" i="3"/>
  <c r="BN112" i="3"/>
  <c r="BM112" i="3"/>
  <c r="BL112" i="3"/>
  <c r="BK112" i="3"/>
  <c r="BE112" i="3"/>
  <c r="BD112" i="3"/>
  <c r="BC112" i="3"/>
  <c r="BB112" i="3"/>
  <c r="BA112" i="3"/>
  <c r="AU112" i="3"/>
  <c r="AT112" i="3"/>
  <c r="AS112" i="3"/>
  <c r="AR112" i="3"/>
  <c r="AQ112" i="3"/>
  <c r="AK112" i="3"/>
  <c r="AJ112" i="3"/>
  <c r="AI112" i="3"/>
  <c r="AH112" i="3"/>
  <c r="AG112" i="3"/>
  <c r="Z112" i="3"/>
  <c r="Y112" i="3"/>
  <c r="X112" i="3"/>
  <c r="W112" i="3"/>
  <c r="V112" i="3"/>
  <c r="P112" i="3"/>
  <c r="O112" i="3"/>
  <c r="N112" i="3"/>
  <c r="M112" i="3"/>
  <c r="L112" i="3"/>
  <c r="F112" i="3"/>
  <c r="E112" i="3"/>
  <c r="D112" i="3"/>
  <c r="C112" i="3"/>
  <c r="B112" i="3"/>
  <c r="BY111" i="3"/>
  <c r="BX111" i="3"/>
  <c r="BW111" i="3"/>
  <c r="BV111" i="3"/>
  <c r="BU111" i="3"/>
  <c r="BO111" i="3"/>
  <c r="BN111" i="3"/>
  <c r="BM111" i="3"/>
  <c r="BL111" i="3"/>
  <c r="BK111" i="3"/>
  <c r="BE111" i="3"/>
  <c r="BD111" i="3"/>
  <c r="BC111" i="3"/>
  <c r="BB111" i="3"/>
  <c r="BA111" i="3"/>
  <c r="AU111" i="3"/>
  <c r="AT111" i="3"/>
  <c r="AS111" i="3"/>
  <c r="AR111" i="3"/>
  <c r="AQ111" i="3"/>
  <c r="AK111" i="3"/>
  <c r="AJ111" i="3"/>
  <c r="AI111" i="3"/>
  <c r="AH111" i="3"/>
  <c r="AG111" i="3"/>
  <c r="Z111" i="3"/>
  <c r="Y111" i="3"/>
  <c r="X111" i="3"/>
  <c r="W111" i="3"/>
  <c r="V111" i="3"/>
  <c r="P111" i="3"/>
  <c r="O111" i="3"/>
  <c r="N111" i="3"/>
  <c r="M111" i="3"/>
  <c r="L111" i="3"/>
  <c r="F111" i="3"/>
  <c r="E111" i="3"/>
  <c r="D111" i="3"/>
  <c r="C111" i="3"/>
  <c r="B111" i="3"/>
  <c r="BU84" i="3"/>
  <c r="BK84" i="3"/>
  <c r="BA84" i="3"/>
  <c r="AQ84" i="3"/>
  <c r="AG84" i="3"/>
  <c r="V84" i="3"/>
  <c r="L84" i="3"/>
  <c r="B84" i="3"/>
  <c r="BY81" i="3"/>
  <c r="BU81" i="3"/>
  <c r="BO81" i="3"/>
  <c r="BK81" i="3"/>
  <c r="BE81" i="3"/>
  <c r="BA81" i="3"/>
  <c r="AU81" i="3"/>
  <c r="AQ81" i="3"/>
  <c r="AK81" i="3"/>
  <c r="AG81" i="3"/>
  <c r="Z81" i="3"/>
  <c r="V81" i="3"/>
  <c r="P81" i="3"/>
  <c r="L81" i="3"/>
  <c r="F81" i="3"/>
  <c r="B81" i="3"/>
  <c r="BY80" i="3"/>
  <c r="BU80" i="3"/>
  <c r="BO80" i="3"/>
  <c r="BK80" i="3"/>
  <c r="BE80" i="3"/>
  <c r="BA80" i="3"/>
  <c r="AU80" i="3"/>
  <c r="AQ80" i="3"/>
  <c r="AK80" i="3"/>
  <c r="AG80" i="3"/>
  <c r="Z80" i="3"/>
  <c r="V80" i="3"/>
  <c r="P80" i="3"/>
  <c r="L80" i="3"/>
  <c r="F80" i="3"/>
  <c r="B80" i="3"/>
  <c r="BY79" i="3"/>
  <c r="BX79" i="3"/>
  <c r="BW79" i="3"/>
  <c r="BV79" i="3"/>
  <c r="BU79" i="3"/>
  <c r="BO79" i="3"/>
  <c r="BN79" i="3"/>
  <c r="BM79" i="3"/>
  <c r="BL79" i="3"/>
  <c r="BK79" i="3"/>
  <c r="BE79" i="3"/>
  <c r="BD79" i="3"/>
  <c r="BC79" i="3"/>
  <c r="BB79" i="3"/>
  <c r="BA79" i="3"/>
  <c r="AU79" i="3"/>
  <c r="AT79" i="3"/>
  <c r="AS79" i="3"/>
  <c r="AR79" i="3"/>
  <c r="AQ79" i="3"/>
  <c r="AK79" i="3"/>
  <c r="AJ79" i="3"/>
  <c r="AI79" i="3"/>
  <c r="AH79" i="3"/>
  <c r="AG79" i="3"/>
  <c r="AE79" i="3"/>
  <c r="Z79" i="3"/>
  <c r="Y79" i="3"/>
  <c r="X79" i="3"/>
  <c r="W79" i="3"/>
  <c r="V79" i="3"/>
  <c r="P79" i="3"/>
  <c r="O79" i="3"/>
  <c r="N79" i="3"/>
  <c r="M79" i="3"/>
  <c r="L79" i="3"/>
  <c r="F79" i="3"/>
  <c r="E79" i="3"/>
  <c r="D79" i="3"/>
  <c r="C79" i="3"/>
  <c r="B79" i="3"/>
  <c r="BY78" i="3"/>
  <c r="BX78" i="3"/>
  <c r="BW78" i="3"/>
  <c r="BV78" i="3"/>
  <c r="BU78" i="3"/>
  <c r="BO78" i="3"/>
  <c r="BN78" i="3"/>
  <c r="BM78" i="3"/>
  <c r="BL78" i="3"/>
  <c r="BK78" i="3"/>
  <c r="BE78" i="3"/>
  <c r="BD78" i="3"/>
  <c r="BC78" i="3"/>
  <c r="BB78" i="3"/>
  <c r="BA78" i="3"/>
  <c r="AU78" i="3"/>
  <c r="AT78" i="3"/>
  <c r="AS78" i="3"/>
  <c r="AR78" i="3"/>
  <c r="AQ78" i="3"/>
  <c r="AK78" i="3"/>
  <c r="AJ78" i="3"/>
  <c r="AI78" i="3"/>
  <c r="AH78" i="3"/>
  <c r="AG78" i="3"/>
  <c r="Z78" i="3"/>
  <c r="Y78" i="3"/>
  <c r="X78" i="3"/>
  <c r="W78" i="3"/>
  <c r="V78" i="3"/>
  <c r="P78" i="3"/>
  <c r="O78" i="3"/>
  <c r="N78" i="3"/>
  <c r="M78" i="3"/>
  <c r="L78" i="3"/>
  <c r="F78" i="3"/>
  <c r="E78" i="3"/>
  <c r="D78" i="3"/>
  <c r="C78" i="3"/>
  <c r="B78" i="3"/>
  <c r="BU34" i="3"/>
  <c r="BK34" i="3"/>
  <c r="BA34" i="3"/>
  <c r="AQ34" i="3"/>
  <c r="AG34" i="3"/>
  <c r="V34" i="3"/>
  <c r="L34" i="3"/>
  <c r="B34" i="3"/>
  <c r="AQ33" i="3"/>
  <c r="K177" i="3" s="1"/>
  <c r="BE157" i="3" s="1"/>
  <c r="BY31" i="3"/>
  <c r="BU31" i="3"/>
  <c r="BO31" i="3"/>
  <c r="BK31" i="3"/>
  <c r="BE31" i="3"/>
  <c r="BA31" i="3"/>
  <c r="AU31" i="3"/>
  <c r="AQ31" i="3"/>
  <c r="AK31" i="3"/>
  <c r="AG31" i="3"/>
  <c r="Z31" i="3"/>
  <c r="V31" i="3"/>
  <c r="P31" i="3"/>
  <c r="L31" i="3"/>
  <c r="F31" i="3"/>
  <c r="B31" i="3"/>
  <c r="BY30" i="3"/>
  <c r="BU30" i="3"/>
  <c r="BO30" i="3"/>
  <c r="BK30" i="3"/>
  <c r="BE30" i="3"/>
  <c r="BA30" i="3"/>
  <c r="AU30" i="3"/>
  <c r="AQ30" i="3"/>
  <c r="AK30" i="3"/>
  <c r="AG30" i="3"/>
  <c r="Z30" i="3"/>
  <c r="V30" i="3"/>
  <c r="P30" i="3"/>
  <c r="L30" i="3"/>
  <c r="F30" i="3"/>
  <c r="B30" i="3"/>
  <c r="BY29" i="3"/>
  <c r="BX29" i="3"/>
  <c r="BW29" i="3"/>
  <c r="BV29" i="3"/>
  <c r="BU29" i="3"/>
  <c r="BO29" i="3"/>
  <c r="BN29" i="3"/>
  <c r="BM29" i="3"/>
  <c r="BL29" i="3"/>
  <c r="BK29" i="3"/>
  <c r="BE29" i="3"/>
  <c r="BD29" i="3"/>
  <c r="BC29" i="3"/>
  <c r="BB29" i="3"/>
  <c r="BA29" i="3"/>
  <c r="AU29" i="3"/>
  <c r="AT29" i="3"/>
  <c r="AS29" i="3"/>
  <c r="AR29" i="3"/>
  <c r="AQ29" i="3"/>
  <c r="AK29" i="3"/>
  <c r="AJ29" i="3"/>
  <c r="AI29" i="3"/>
  <c r="AH29" i="3"/>
  <c r="AG29" i="3"/>
  <c r="Z29" i="3"/>
  <c r="Y29" i="3"/>
  <c r="X29" i="3"/>
  <c r="W29" i="3"/>
  <c r="V29" i="3"/>
  <c r="P29" i="3"/>
  <c r="O29" i="3"/>
  <c r="N29" i="3"/>
  <c r="M29" i="3"/>
  <c r="L29" i="3"/>
  <c r="F29" i="3"/>
  <c r="E29" i="3"/>
  <c r="D29" i="3"/>
  <c r="C29" i="3"/>
  <c r="B29" i="3"/>
  <c r="BY28" i="3"/>
  <c r="BX28" i="3"/>
  <c r="BW28" i="3"/>
  <c r="BV28" i="3"/>
  <c r="BU28" i="3"/>
  <c r="BO28" i="3"/>
  <c r="BN28" i="3"/>
  <c r="BM28" i="3"/>
  <c r="BL28" i="3"/>
  <c r="BK28" i="3"/>
  <c r="BE28" i="3"/>
  <c r="BD28" i="3"/>
  <c r="BC28" i="3"/>
  <c r="BB28" i="3"/>
  <c r="BA28" i="3"/>
  <c r="AU28" i="3"/>
  <c r="AT28" i="3"/>
  <c r="AS28" i="3"/>
  <c r="AR28" i="3"/>
  <c r="AQ28" i="3"/>
  <c r="AK28" i="3"/>
  <c r="AJ28" i="3"/>
  <c r="AI28" i="3"/>
  <c r="AH28" i="3"/>
  <c r="AG28" i="3"/>
  <c r="Z28" i="3"/>
  <c r="Y28" i="3"/>
  <c r="X28" i="3"/>
  <c r="W28" i="3"/>
  <c r="V28" i="3"/>
  <c r="P28" i="3"/>
  <c r="O28" i="3"/>
  <c r="N28" i="3"/>
  <c r="M28" i="3"/>
  <c r="L28" i="3"/>
  <c r="F28" i="3"/>
  <c r="E28" i="3"/>
  <c r="D28" i="3"/>
  <c r="C28" i="3"/>
  <c r="B28" i="3"/>
  <c r="N98" i="1"/>
  <c r="O98" i="1" s="1"/>
  <c r="N97" i="1"/>
  <c r="O97" i="1" s="1"/>
  <c r="N96" i="1"/>
  <c r="O96" i="1" s="1"/>
  <c r="N95" i="1"/>
  <c r="O95" i="1" s="1"/>
  <c r="N94" i="1"/>
  <c r="O94" i="1" s="1"/>
  <c r="N93" i="1"/>
  <c r="O93" i="1" s="1"/>
  <c r="N92" i="1"/>
  <c r="O92" i="1" s="1"/>
  <c r="N91" i="1"/>
  <c r="O91" i="1" s="1"/>
  <c r="N90" i="1"/>
  <c r="O90" i="1" s="1"/>
  <c r="N89" i="1"/>
  <c r="O89" i="1" s="1"/>
  <c r="N88" i="1"/>
  <c r="O88" i="1" s="1"/>
  <c r="N87" i="1"/>
  <c r="O87" i="1" s="1"/>
  <c r="N86" i="1"/>
  <c r="O86" i="1" s="1"/>
  <c r="N85" i="1"/>
  <c r="O85" i="1" s="1"/>
  <c r="N84" i="1"/>
  <c r="O84" i="1" s="1"/>
  <c r="N83" i="1"/>
  <c r="O83" i="1" s="1"/>
  <c r="N82" i="1"/>
  <c r="O82" i="1" s="1"/>
  <c r="N81" i="1"/>
  <c r="O81" i="1" s="1"/>
  <c r="N80" i="1"/>
  <c r="O80" i="1" s="1"/>
  <c r="N79" i="1"/>
  <c r="O79" i="1" s="1"/>
  <c r="N78" i="1"/>
  <c r="O78" i="1" s="1"/>
  <c r="N77" i="1"/>
  <c r="O77" i="1" s="1"/>
  <c r="N76" i="1"/>
  <c r="O76" i="1" s="1"/>
  <c r="N75" i="1"/>
  <c r="O75" i="1" s="1"/>
  <c r="N74" i="1"/>
  <c r="O74" i="1" s="1"/>
  <c r="N73" i="1"/>
  <c r="O73" i="1" s="1"/>
  <c r="N72" i="1"/>
  <c r="O72" i="1" s="1"/>
  <c r="N71" i="1"/>
  <c r="O71" i="1" s="1"/>
  <c r="N70" i="1"/>
  <c r="O70" i="1" s="1"/>
  <c r="N69" i="1"/>
  <c r="O69" i="1" s="1"/>
  <c r="N68" i="1"/>
  <c r="O68" i="1" s="1"/>
  <c r="N67" i="1"/>
  <c r="O67" i="1" s="1"/>
  <c r="N66" i="1"/>
  <c r="O66" i="1" s="1"/>
  <c r="N65" i="1"/>
  <c r="O65" i="1" s="1"/>
  <c r="N64" i="1"/>
  <c r="O64" i="1" s="1"/>
  <c r="N63" i="1"/>
  <c r="O63" i="1" s="1"/>
  <c r="N62" i="1"/>
  <c r="O62" i="1" s="1"/>
  <c r="N61" i="1"/>
  <c r="O61" i="1" s="1"/>
  <c r="N60" i="1"/>
  <c r="O60" i="1" s="1"/>
  <c r="N59" i="1"/>
  <c r="O59" i="1" s="1"/>
  <c r="N58" i="1"/>
  <c r="O58" i="1" s="1"/>
  <c r="N57" i="1"/>
  <c r="O57" i="1" s="1"/>
  <c r="N56" i="1"/>
  <c r="O56" i="1" s="1"/>
  <c r="N55" i="1"/>
  <c r="O55" i="1" s="1"/>
  <c r="N54" i="1"/>
  <c r="O54" i="1" s="1"/>
  <c r="N53" i="1"/>
  <c r="O53" i="1" s="1"/>
  <c r="N52" i="1"/>
  <c r="O52" i="1" s="1"/>
  <c r="N51" i="1"/>
  <c r="O51" i="1" s="1"/>
  <c r="N50" i="1"/>
  <c r="O50" i="1" s="1"/>
  <c r="N49" i="1"/>
  <c r="O49" i="1" s="1"/>
  <c r="N48" i="1"/>
  <c r="O48" i="1" s="1"/>
  <c r="N47" i="1"/>
  <c r="O47" i="1" s="1"/>
  <c r="N46" i="1"/>
  <c r="O46" i="1" s="1"/>
  <c r="N45" i="1"/>
  <c r="O45" i="1" s="1"/>
  <c r="N44" i="1"/>
  <c r="O44" i="1" s="1"/>
  <c r="N43" i="1"/>
  <c r="O43" i="1" s="1"/>
  <c r="N42" i="1"/>
  <c r="O42" i="1" s="1"/>
  <c r="N41" i="1"/>
  <c r="O41" i="1" s="1"/>
  <c r="N40" i="1"/>
  <c r="O40" i="1" s="1"/>
  <c r="N39" i="1"/>
  <c r="O39" i="1" s="1"/>
  <c r="N38" i="1"/>
  <c r="O38" i="1" s="1"/>
  <c r="N37" i="1"/>
  <c r="O37" i="1" s="1"/>
  <c r="N36" i="1"/>
  <c r="O36" i="1" s="1"/>
  <c r="N35" i="1"/>
  <c r="O35" i="1" s="1"/>
  <c r="N34" i="1"/>
  <c r="O34" i="1" s="1"/>
  <c r="N33" i="1"/>
  <c r="O33" i="1" s="1"/>
  <c r="N32" i="1"/>
  <c r="O32" i="1" s="1"/>
  <c r="N31" i="1"/>
  <c r="O31" i="1" s="1"/>
  <c r="N30" i="1"/>
  <c r="O30" i="1" s="1"/>
  <c r="N29" i="1"/>
  <c r="O29" i="1" s="1"/>
  <c r="N28" i="1"/>
  <c r="O28" i="1" s="1"/>
  <c r="N27" i="1"/>
  <c r="O27" i="1" s="1"/>
  <c r="N26" i="1"/>
  <c r="O26" i="1" s="1"/>
  <c r="N25" i="1"/>
  <c r="O25" i="1" s="1"/>
  <c r="N24" i="1"/>
  <c r="O24" i="1" s="1"/>
  <c r="N23" i="1"/>
  <c r="O23" i="1" s="1"/>
  <c r="N22" i="1"/>
  <c r="O22" i="1" s="1"/>
  <c r="N21" i="1"/>
  <c r="O21" i="1" s="1"/>
  <c r="N20" i="1"/>
  <c r="O20" i="1" s="1"/>
  <c r="N19" i="1"/>
  <c r="O19" i="1" s="1"/>
  <c r="N18" i="1"/>
  <c r="O18" i="1" s="1"/>
  <c r="N17" i="1"/>
  <c r="O17" i="1" s="1"/>
  <c r="N16" i="1"/>
  <c r="O16" i="1" s="1"/>
  <c r="N15" i="1"/>
  <c r="O15" i="1" s="1"/>
  <c r="N14" i="1"/>
  <c r="O14" i="1" s="1"/>
  <c r="N13" i="1"/>
  <c r="O13" i="1" s="1"/>
  <c r="N12" i="1"/>
  <c r="O12" i="1" s="1"/>
  <c r="N11" i="1"/>
  <c r="O11" i="1" s="1"/>
  <c r="N10" i="1"/>
  <c r="O10" i="1" s="1"/>
  <c r="N9" i="1"/>
  <c r="O9" i="1" s="1"/>
  <c r="N8" i="1"/>
  <c r="O8" i="1" s="1"/>
  <c r="N7" i="1"/>
  <c r="O7" i="1" s="1"/>
  <c r="N6" i="1"/>
  <c r="O6" i="1" s="1"/>
  <c r="N5" i="1"/>
  <c r="O5" i="1" s="1"/>
  <c r="N4" i="1"/>
  <c r="O4" i="1" s="1"/>
  <c r="N3" i="1"/>
  <c r="O3" i="1" s="1"/>
  <c r="N2" i="1"/>
  <c r="O2" i="1" s="1"/>
  <c r="E182" i="14" l="1"/>
  <c r="D177" i="14"/>
  <c r="E189" i="14"/>
  <c r="E185" i="14"/>
  <c r="E192" i="14"/>
  <c r="D176" i="14"/>
  <c r="D186" i="14"/>
  <c r="E186" i="14"/>
  <c r="E181" i="14"/>
  <c r="E187" i="14"/>
  <c r="BB34" i="14"/>
  <c r="E184" i="14"/>
  <c r="D175" i="14"/>
  <c r="E177" i="14"/>
  <c r="D178" i="14"/>
  <c r="E191" i="14"/>
  <c r="E188" i="14"/>
  <c r="D194" i="14"/>
  <c r="D193" i="14"/>
  <c r="D184" i="14"/>
  <c r="D188" i="14"/>
  <c r="BR140" i="14"/>
  <c r="D185" i="14"/>
  <c r="D179" i="14"/>
  <c r="D192" i="14"/>
  <c r="D183" i="14"/>
  <c r="E179" i="14"/>
  <c r="D190" i="14"/>
  <c r="E183" i="14"/>
  <c r="E190" i="14"/>
  <c r="E176" i="14"/>
  <c r="D191" i="14"/>
  <c r="D180" i="14"/>
  <c r="D182" i="14"/>
  <c r="E180" i="14"/>
  <c r="D181" i="14"/>
  <c r="E175" i="14"/>
  <c r="E178" i="14"/>
  <c r="D189" i="14"/>
  <c r="E194" i="14"/>
  <c r="D187" i="14"/>
  <c r="E193" i="14"/>
  <c r="BR141" i="14"/>
  <c r="O166" i="14"/>
  <c r="O167" i="14" s="1"/>
  <c r="O164" i="14"/>
  <c r="O165" i="14" s="1"/>
</calcChain>
</file>

<file path=xl/sharedStrings.xml><?xml version="1.0" encoding="utf-8"?>
<sst xmlns="http://schemas.openxmlformats.org/spreadsheetml/2006/main" count="4800" uniqueCount="399">
  <si>
    <t>Fecha</t>
  </si>
  <si>
    <t>Costo_total</t>
  </si>
  <si>
    <t>Parametro_tiempo</t>
  </si>
  <si>
    <t>Tiempo_de_Ejecucion</t>
  </si>
  <si>
    <t>Estaciones</t>
  </si>
  <si>
    <t>Inventario_inicial</t>
  </si>
  <si>
    <t>Asimetria</t>
  </si>
  <si>
    <t>Inventario_final</t>
  </si>
  <si>
    <t>Cantidad Total de Flujos</t>
  </si>
  <si>
    <t>Estaciones_Flujos</t>
  </si>
  <si>
    <t>Cantidad_Flujos</t>
  </si>
  <si>
    <t>Limites</t>
  </si>
  <si>
    <t>Capacidad</t>
  </si>
  <si>
    <t>Día</t>
  </si>
  <si>
    <t>Dia_sem</t>
  </si>
  <si>
    <t>2024-11-08 18:00</t>
  </si>
  <si>
    <t>['LC009 - Municipalidad De Las Condes', 'LC010 - Metro Manquehue - Norte', 'LC011 - Metro Hernando De Magallanes', 'LC019 - Metro Alcántara', 'LC033 - Vitacura / San Patricio', 'LC034 - Zurich', 'LC047 - Apoquindo / Luiz Zegers', 'LC066 - Cerro Colorado / Rosario Norte', 'LC068 - Metro Manquehue - Sur', 'LC097 - Roger de Flor', 'S01 - Agustinas / Manuel Rodríguez Norte', 'S03 - Teatinos / General Mackenna', 'S05 - Metro Bellas Artes', 'S09 - Santo Domingo / Morandé', 'S11 - Metro Toesca', 'S17 - San Isidro / Santa Isabel', 'S20 - Metro Santa Lucía', 'S24 - Plaza Yungay', 'S30 - San Pablo', 'S64 - República / Gorbea']</t>
  </si>
  <si>
    <t>[0, 0, 9, 7, 3, 1, 4, 8, 1, 4, 7, 15, 17, 15, 29, 25, 13, 11, 13, 14]</t>
  </si>
  <si>
    <t>[0.5374760547115782, 0.6226826696453704, 0.5242683658840511, 0.6769158622950837, 0.655473679459604, 0.7025635826993327, 1.142529291833076, 0.8015465912718208, 0.7517656075102336, 0.7026776211226393, -0.85169148296274, -1.12017317951397, -1.115413321197425, -1.072806810743151, -0.9909598760596486, -1.679865001322572, -0.9083437288136523, -1.196962071035268, -1.209770588374047, -0.883103240350566]</t>
  </si>
  <si>
    <t>[6, 5, 8, 6, 6, 6, 7, 8, 6, 7, 10, 7, 15, 3, 27, 20, 12, 11, 13, 13]</t>
  </si>
  <si>
    <t>['LC011 - Metro Hernando De Magallanes -&gt; LC010 - Metro Manquehue - Norte', 'LC019 - Metro Alcántara -&gt; LC009 - Municipalidad De Las Condes', 'LC033 - Vitacura / San Patricio -&gt; LC019 - Metro Alcántara', 'LC034 - Zurich -&gt; LC033 - Vitacura / San Patricio', 'LC047 - Apoquindo / Luiz Zegers -&gt; LC010 - Metro Manquehue - Norte', 'LC066 - Cerro Colorado / Rosario Norte -&gt; LC009 - Municipalidad De Las Condes', 'LC066 - Cerro Colorado / Rosario Norte -&gt; LC068 - Metro Manquehue - Sur', 'LC097 - Roger de Flor -&gt; LC033 - Vitacura / San Patricio', 'S03 - Teatinos / General Mackenna -&gt; LC066 - Cerro Colorado / Rosario Norte', 'S05 - Metro Bellas Artes -&gt; S09 - Santo Domingo / Morandé', 'S09 - Santo Domingo / Morandé -&gt; LC047 - Apoquindo / Luiz Zegers', 'S09 - Santo Domingo / Morandé -&gt; LC097 - Roger de Flor', 'S11 - Metro Toesca -&gt; S01 - Agustinas / Manuel Rodríguez Norte', 'S17 - San Isidro / Santa Isabel -&gt; S20 - Metro Santa Lucía', 'S20 - Metro Santa Lucía -&gt; LC034 - Zurich', 'S64 - República / Gorbea -&gt; S11 - Metro Toesca']</t>
  </si>
  <si>
    <t>[1.0, 3.0, 2.0, 1.0, 4.0, 3.0, 5.0, 4.0, 8.0, 2.0, 7.0, 7.0, 3.0, 5.0, 6.0, 1.0]</t>
  </si>
  <si>
    <t>[[10.004090559629871, 5.533385495081708], [10.635406214001765, 4.987276455643605], [12.434759141564998, 7.089509224319054], [9.851698579939331, 5.8252172823557515], [10.238196952275317, 5.417276727184288], [10.17501565430895, 5.527547928390382], [10.099401024599093, 6.043128267233983], [12.051882199972221, 7.749664391299598], [10.319775554499904, 5.43199005301033], [11.045976347800645, 6.656701273321994], [14.839788149619329, 2.16021185038067], [13.776895067858325, 2.223104932141675], [16.680569347898047, 2.319430652101955], [16.74875868917577, 2.2512413108242297], [27.2821978021978, 3.7178021978022002], [24.496714129244246, 2.5032858707557506], [12.993069306930696, 2.006930693069305], [16.690830850711684, 2.3091691492883153], [13.09930486593843, 1.9006951340615696], [13.019198940748096, 1.9808010592519047]]</t>
  </si>
  <si>
    <t>[15,15,19,15,15,15,15,19,15,17,17,16,19,19,31,27,15,19,15,15]</t>
  </si>
  <si>
    <t>[6, 5, 8, 6, 6, 6, 7, 8, 6, 11, 10, 3, 9, 16, 27, 19, 6, 11, 13, 13]</t>
  </si>
  <si>
    <t>['LC011 - Metro Hernando De Magallanes -&gt; LC068 - Metro Manquehue - Sur', 'LC019 - Metro Alcántara -&gt; LC009 - Municipalidad De Las Condes', 'LC034 - Zurich -&gt; LC033 - Vitacura / San Patricio', 'LC047 - Apoquindo / Luiz Zegers -&gt; LC010 - Metro Manquehue - Norte', 'LC066 - Cerro Colorado / Rosario Norte -&gt; LC009 - Municipalidad De Las Condes', 'LC066 - Cerro Colorado / Rosario Norte -&gt; LC068 - Metro Manquehue - Sur', 'LC068 - Metro Manquehue - Sur -&gt; LC010 - Metro Manquehue - Norte', 'LC097 - Roger de Flor -&gt; LC019 - Metro Alcántara', 'LC097 - Roger de Flor -&gt; LC033 - Vitacura / San Patricio', 'S03 - Teatinos / General Mackenna -&gt; S09 - Santo Domingo / Morandé', 'S05 - Metro Bellas Artes -&gt; LC066 - Cerro Colorado / Rosario Norte', 'S09 - Santo Domingo / Morandé -&gt; LC097 - Roger de Flor', 'S11 - Metro Toesca -&gt; S01 - Agustinas / Manuel Rodríguez Norte', 'S17 - San Isidro / Santa Isabel -&gt; LC034 - Zurich', 'S20 - Metro Santa Lucía -&gt; LC047 - Apoquindo / Luiz Zegers', 'S64 - República / Gorbea -&gt; S11 - Metro Toesca']</t>
  </si>
  <si>
    <t>[1.0, 3.0, 1.0, 4.0, 3.0, 5.0, 1.0, 2.0, 2.0, 12.0, 8.0, 11.0, 3.0, 6.0, 7.0, 1.0]</t>
  </si>
  <si>
    <t>[6, 5, 8, 6, 6, 6, 7, 8, 6, 10, 12, 13, 3, 15, 27, 18, 3, 11, 13, 13]</t>
  </si>
  <si>
    <t>['LC011 - Metro Hernando De Magallanes -&gt; LC010 - Metro Manquehue - Norte', 'LC019 - Metro Alcántara -&gt; LC009 - Municipalidad De Las Condes', 'LC033 - Vitacura / San Patricio -&gt; LC034 - Zurich', 'LC047 - Apoquindo / Luiz Zegers -&gt; LC010 - Metro Manquehue - Norte', 'LC066 - Cerro Colorado / Rosario Norte -&gt; LC009 - Municipalidad De Las Condes', 'LC066 - Cerro Colorado / Rosario Norte -&gt; LC068 - Metro Manquehue - Sur', 'LC097 - Roger de Flor -&gt; LC019 - Metro Alcántara', 'LC097 - Roger de Flor -&gt; LC034 - Zurich', 'S03 - Teatinos / General Mackenna -&gt; S01 - Agustinas / Manuel Rodríguez Norte', 'S05 - Metro Bellas Artes -&gt; LC033 - Vitacura / San Patricio', 'S05 - Metro Bellas Artes -&gt; LC066 - Cerro Colorado / Rosario Norte', 'S11 - Metro Toesca -&gt; S01 - Agustinas / Manuel Rodríguez Norte', 'S17 - San Isidro / Santa Isabel -&gt; LC047 - Apoquindo / Luiz Zegers', 'S20 - Metro Santa Lucía -&gt; LC097 - Roger de Flor', 'S64 - República / Gorbea -&gt; S11 - Metro Toesca']</t>
  </si>
  <si>
    <t>[1.0, 3.0, 3.0, 4.0, 3.0, 5.0, 2.0, 2.0, 2.0, 6.0, 8.0, 3.0, 7.0, 10.0, 1.0]</t>
  </si>
  <si>
    <t>[6, 5, 8, 6, 10, 6, 7, 8, 6, 11, 14, 5, 6, 15, 23, 18, 5, 11, 13, 13]</t>
  </si>
  <si>
    <t>['LC011 - Metro Hernando De Magallanes -&gt; LC068 - Metro Manquehue - Sur', 'LC019 - Metro Alcántara -&gt; LC009 - Municipalidad De Las Condes', 'LC033 - Vitacura / San Patricio -&gt; LC034 - Zurich', 'LC047 - Apoquindo / Luiz Zegers -&gt; LC068 - Metro Manquehue - Sur', 'LC066 - Cerro Colorado / Rosario Norte -&gt; LC009 - Municipalidad De Las Condes', 'LC066 - Cerro Colorado / Rosario Norte -&gt; LC010 - Metro Manquehue - Norte', 'LC097 - Roger de Flor -&gt; LC019 - Metro Alcántara', 'LC097 - Roger de Flor -&gt; LC034 - Zurich', 'S03 - Teatinos / General Mackenna -&gt; LC033 - Vitacura / San Patricio', 'S05 - Metro Bellas Artes -&gt; LC097 - Roger de Flor', 'S11 - Metro Toesca -&gt; S01 - Agustinas / Manuel Rodríguez Norte', 'S17 - San Isidro / Santa Isabel -&gt; LC047 - Apoquindo / Luiz Zegers', 'S20 - Metro Santa Lucía -&gt; LC066 - Cerro Colorado / Rosario Norte', 'S64 - República / Gorbea -&gt; S11 - Metro Toesca']</t>
  </si>
  <si>
    <t>[1.0, 3.0, 3.0, 4.0, 3.0, 5.0, 2.0, 2.0, 10.0, 11.0, 7.0, 7.0, 8.0, 1.0]</t>
  </si>
  <si>
    <t>[6, 5, 8, 6, 10, 6, 7, 12, 6, 7, 14, 5, 5, 15, 27, 18, 6, 11, 13, 9]</t>
  </si>
  <si>
    <t>['LC011 - Metro Hernando De Magallanes -&gt; LC068 - Metro Manquehue - Sur', 'LC019 - Metro Alcántara -&gt; LC009 - Municipalidad De Las Condes', 'LC033 - Vitacura / San Patricio -&gt; LC034 - Zurich', 'LC047 - Apoquindo / Luiz Zegers -&gt; LC068 - Metro Manquehue - Sur', 'LC066 - Cerro Colorado / Rosario Norte -&gt; LC009 - Municipalidad De Las Condes', 'LC066 - Cerro Colorado / Rosario Norte -&gt; LC010 - Metro Manquehue - Norte', 'LC097 - Roger de Flor -&gt; LC019 - Metro Alcántara', 'LC097 - Roger de Flor -&gt; LC034 - Zurich', 'S03 - Teatinos / General Mackenna -&gt; LC033 - Vitacura / San Patricio', 'S05 - Metro Bellas Artes -&gt; LC066 - Cerro Colorado / Rosario Norte', 'S11 - Metro Toesca -&gt; S01 - Agustinas / Manuel Rodríguez Norte', 'S17 - San Isidro / Santa Isabel -&gt; LC047 - Apoquindo / Luiz Zegers', 'S20 - Metro Santa Lucía -&gt; LC097 - Roger de Flor', 'S64 - República / Gorbea -&gt; S11 - Metro Toesca']</t>
  </si>
  <si>
    <t>[1.0, 3.0, 3.0, 4.0, 3.0, 5.0, 2.0, 2.0, 10.0, 12.0, 7.0, 7.0, 7.0, 5.0]</t>
  </si>
  <si>
    <t>2024-11-09 18:00</t>
  </si>
  <si>
    <t>[5, 3, 1, 6, 3, 3, 5, 5, 1, 3, 15, 14, 16, 17, 29, 18, 15, 19, 12, 15]</t>
  </si>
  <si>
    <t>[6, 5, 8, 6, 6, 6, 7, 8, 6, 7, 13, 13, 3, 16, 27, 18, 8, 16, 13, 13]</t>
  </si>
  <si>
    <t>['LC009 - Municipalidad De Las Condes -&gt; LC066 - Cerro Colorado / Rosario Norte', 'LC047 - Apoquindo / Luiz Zegers -&gt; LC068 - Metro Manquehue - Sur', 'LC066 - Cerro Colorado / Rosario Norte -&gt; LC010 - Metro Manquehue - Norte', 'LC097 - Roger de Flor -&gt; LC034 - Zurich', 'S01 - Agustinas / Manuel Rodríguez Norte -&gt; S09 - Santo Domingo / Morandé', 'S03 - Teatinos / General Mackenna -&gt; S30 - San Pablo', 'S05 - Metro Bellas Artes -&gt; LC009 - Municipalidad De Las Condes', 'S05 - Metro Bellas Artes -&gt; LC097 - Roger de Flor', 'S09 - Santo Domingo / Morandé -&gt; LC047 - Apoquindo / Luiz Zegers', 'S11 - Metro Toesca -&gt; S01 - Agustinas / Manuel Rodríguez Norte', 'S20 - Metro Santa Lucía -&gt; LC011 - Metro Hernando De Magallanes', 'S24 - Plaza Yungay -&gt; LC033 - Vitacura / San Patricio', 'S64 - República / Gorbea -&gt; S11 - Metro Toesca']</t>
  </si>
  <si>
    <t>[5.0, 5.0, 2.0, 3.0, 6.0, 1.0, 6.0, 7.0, 7.0, 4.0, 7.0, 3.0, 2.0]</t>
  </si>
  <si>
    <t>[6, 5, 12, 6, 6, 6, 10, 12, 6, 11, 14, 13, 4, 16, 27, 6, 5, 14, 13, 13]</t>
  </si>
  <si>
    <t>['LC010 - Metro Manquehue - Norte -&gt; LC068 - Metro Manquehue - Sur', 'LC011 - Metro Hernando De Magallanes -&gt; LC010 - Metro Manquehue - Norte', 'LC019 - Metro Alcántara -&gt; LC033 - Vitacura / San Patricio', 'LC047 - Apoquindo / Luiz Zegers -&gt; LC010 - Metro Manquehue - Norte', 'LC047 - Apoquindo / Luiz Zegers -&gt; LC019 - Metro Alcántara', 'LC066 - Cerro Colorado / Rosario Norte -&gt; LC009 - Municipalidad De Las Condes', 'LC066 - Cerro Colorado / Rosario Norte -&gt; LC068 - Metro Manquehue - Sur', 'LC097 - Roger de Flor -&gt; LC034 - Zurich', 'S01 - Agustinas / Manuel Rodríguez Norte -&gt; S09 - Santo Domingo / Morandé', 'S03 - Teatinos / General Mackenna -&gt; S30 - San Pablo', 'S05 - Metro Bellas Artes -&gt; LC011 - Metro Hernando De Magallanes', 'S09 - Santo Domingo / Morandé -&gt; S30 - San Pablo', 'S11 - Metro Toesca -&gt; S64 - República / Gorbea', 'S17 - San Isidro / Santa Isabel -&gt; LC066 - Cerro Colorado / Rosario Norte', 'S20 - Metro Santa Lucía -&gt; LC047 - Apoquindo / Luiz Zegers', 'S24 - Plaza Yungay -&gt; S01 - Agustinas / Manuel Rodríguez Norte', 'S30 - San Pablo -&gt; LC097 - Roger de Flor', 'S64 - República / Gorbea -&gt; S01 - Agustinas / Manuel Rodríguez Norte']</t>
  </si>
  <si>
    <t>[1.0, 1.0, 3.0, 2.0, 3.0, 1.0, 4.0, 3.0, 10.0, 1.0, 12.0, 11.0, 2.0, 12.0, 10.0, 5.0, 11.0, 4.0]</t>
  </si>
  <si>
    <t>2024-11-10 18:00</t>
  </si>
  <si>
    <t>[5, 6, 6, 5, 5, 5, 5, 5, 5, 5, 13, 12, 15, 15, 24, 22, 11, 15, 12, 12]</t>
  </si>
  <si>
    <t>[6, 5, 8, 6, 6, 8, 7, 12, 6, 8, 13, 12, 3, 15, 24, 22, 3, 15, 12, 12]</t>
  </si>
  <si>
    <t>['LC009 - Municipalidad De Las Condes -&gt; LC047 - Apoquindo / Luiz Zegers', 'LC010 - Metro Manquehue - Norte -&gt; LC068 - Metro Manquehue - Sur', 'LC034 - Zurich -&gt; LC033 - Vitacura / San Patricio', 'LC047 - Apoquindo / Luiz Zegers -&gt; LC011 - Metro Hernando De Magallanes', 'LC066 - Cerro Colorado / Rosario Norte -&gt; LC009 - Municipalidad De Las Condes', 'LC097 - Roger de Flor -&gt; LC019 - Metro Alcántara', 'LC097 - Roger de Flor -&gt; LC034 - Zurich', 'S05 - Metro Bellas Artes -&gt; LC066 - Cerro Colorado / Rosario Norte', 'S20 - Metro Santa Lucía -&gt; LC097 - Roger de Flor']</t>
  </si>
  <si>
    <t>[4.0, 1.0, 1.0, 2.0, 5.0, 1.0, 4.0, 12.0, 8.0]</t>
  </si>
  <si>
    <t>[6, 5, 8, 6, 6, 6, 7, 8, 6, 7, 13, 12, 9, 15, 24, 22, 4, 15, 12, 12]</t>
  </si>
  <si>
    <t>['LC009 - Municipalidad De Las Condes -&gt; LC066 - Cerro Colorado / Rosario Norte', 'LC010 - Metro Manquehue - Norte -&gt; LC068 - Metro Manquehue - Sur', 'LC019 - Metro Alcántara -&gt; LC047 - Apoquindo / Luiz Zegers', 'LC033 - Vitacura / San Patricio -&gt; LC009 - Municipalidad De Las Condes', 'LC034 - Zurich -&gt; LC033 - Vitacura / San Patricio', 'LC047 - Apoquindo / Luiz Zegers -&gt; LC011 - Metro Hernando De Magallanes', 'LC097 - Roger de Flor -&gt; LC019 - Metro Alcántara', 'S05 - Metro Bellas Artes -&gt; LC034 - Zurich', 'S20 - Metro Santa Lucía -&gt; LC097 - Roger de Flor']</t>
  </si>
  <si>
    <t>[3.0, 1.0, 4.0, 4.0, 5.0, 2.0, 5.0, 6.0, 7.0]</t>
  </si>
  <si>
    <t>2024-11-11 18:00</t>
  </si>
  <si>
    <t>[0, 9, 5, 2, 10, 5, 6, 2, 8, 8, 12, 14, 6, 11, 10, 23, 10, 16, 10, 6]</t>
  </si>
  <si>
    <t>[6, 6, 8, 6, 6, 7, 7, 8, 7, 11, 12, 3, 6, 11, 10, 23, 4, 16, 10, 6]</t>
  </si>
  <si>
    <t>['LC010 - Metro Manquehue - Norte -&gt; LC011 - Metro Hernando De Magallanes', 'LC033 - Vitacura / San Patricio -&gt; LC019 - Metro Alcántara', 'LC033 - Vitacura / San Patricio -&gt; LC066 - Cerro Colorado / Rosario Norte', 'LC068 - Metro Manquehue - Sur -&gt; LC047 - Apoquindo / Luiz Zegers', 'LC097 - Roger de Flor -&gt; LC009 - Municipalidad De Las Condes', 'LC097 - Roger de Flor -&gt; LC034 - Zurich', 'S03 - Teatinos / General Mackenna -&gt; LC097 - Roger de Flor', 'S20 - Metro Santa Lucía -&gt; LC033 - Vitacura / San Patricio']</t>
  </si>
  <si>
    <t>[3.0, 4.0, 6.0, 1.0, 6.0, 2.0, 11.0, 6.0]</t>
  </si>
  <si>
    <t>[6, 6, 8, 6, 6, 6, 7, 9, 7, 7, 12, 8, 6, 11, 10, 23, 3, 16, 10, 6]</t>
  </si>
  <si>
    <t>['LC010 - Metro Manquehue - Norte -&gt; LC011 - Metro Hernando De Magallanes', 'LC033 - Vitacura / San Patricio -&gt; LC019 - Metro Alcántara', 'LC034 - Zurich -&gt; LC097 - Roger de Flor', 'LC068 - Metro Manquehue - Sur -&gt; LC047 - Apoquindo / Luiz Zegers', 'LC097 - Roger de Flor -&gt; LC009 - Municipalidad De Las Condes', 'S03 - Teatinos / General Mackenna -&gt; LC034 - Zurich', 'S20 - Metro Santa Lucía -&gt; LC066 - Cerro Colorado / Rosario Norte']</t>
  </si>
  <si>
    <t>[3.0, 4.0, 5.0, 1.0, 6.0, 6.0, 7.0]</t>
  </si>
  <si>
    <t>[6, 5, 9, 6, 6, 6, 7, 8, 8, 7, 12, 8, 6, 11, 10, 23, 3, 16, 10, 6]</t>
  </si>
  <si>
    <t>['LC010 - Metro Manquehue - Norte -&gt; LC011 - Metro Hernando De Magallanes', 'LC033 - Vitacura / San Patricio -&gt; LC019 - Metro Alcántara', 'LC034 - Zurich -&gt; LC097 - Roger de Flor', 'LC047 - Apoquindo / Luiz Zegers -&gt; LC066 - Cerro Colorado / Rosario Norte', 'LC097 - Roger de Flor -&gt; LC009 - Municipalidad De Las Condes', 'S03 - Teatinos / General Mackenna -&gt; LC034 - Zurich', 'S20 - Metro Santa Lucía -&gt; LC047 - Apoquindo / Luiz Zegers']</t>
  </si>
  <si>
    <t>[4.0, 4.0, 5.0, 6.0, 6.0, 6.0, 7.0]</t>
  </si>
  <si>
    <t>2024-11-12 18:00</t>
  </si>
  <si>
    <t>[8, 1, 11, 2, 7, 0, 2, 6, 2, 4, 10, 5, 1, 9, 18, 26, 12, 16, 8, 14]</t>
  </si>
  <si>
    <t>[6, 5, 8, 6, 6, 6, 7, 8, 7, 7, 10, 5, 3, 9, 19, 3, 10, 16, 8, 13]</t>
  </si>
  <si>
    <t>['LC009 - Municipalidad De Las Condes -&gt; LC066 - Cerro Colorado / Rosario Norte', 'LC011 - Metro Hernando De Magallanes -&gt; LC010 - Metro Manquehue - Norte', 'LC033 - Vitacura / San Patricio -&gt; LC019 - Metro Alcántara', 'LC033 - Vitacura / San Patricio -&gt; LC034 - Zurich', 'LC068 - Metro Manquehue - Sur -&gt; LC010 - Metro Manquehue - Norte', 'LC097 - Roger de Flor -&gt; LC034 - Zurich', 'S17 - San Isidro / Santa Isabel -&gt; LC033 - Vitacura / San Patricio', 'S17 - San Isidro / Santa Isabel -&gt; LC047 - Apoquindo / Luiz Zegers', 'S17 - San Isidro / Santa Isabel -&gt; LC068 - Metro Manquehue - Sur', 'S17 - San Isidro / Santa Isabel -&gt; LC097 - Roger de Flor', 'S20 - Metro Santa Lucía -&gt; S05 - Metro Bellas Artes', 'S64 - República / Gorbea -&gt; S11 - Metro Toesca']</t>
  </si>
  <si>
    <t>[2.0, 3.0, 4.0, 3.0, 1.0, 3.0, 6.0, 5.0, 6.0, 6.0, 2.0, 1.0]</t>
  </si>
  <si>
    <t>[6, 5, 11, 6, 7, 6, 7, 8, 6, 7, 10, 5, 3, 3, 27, 13, 3, 16, 8, 5]</t>
  </si>
  <si>
    <t>['LC009 - Municipalidad De Las Condes -&gt; LC066 - Cerro Colorado / Rosario Norte', 'LC047 - Apoquindo / Luiz Zegers -&gt; LC010 - Metro Manquehue - Norte', 'LC068 - Metro Manquehue - Sur -&gt; LC010 - Metro Manquehue - Norte', 'LC097 - Roger de Flor -&gt; LC019 - Metro Alcántara', 'S09 - Santo Domingo / Morandé -&gt; LC068 - Metro Manquehue - Sur', 'S17 - San Isidro / Santa Isabel -&gt; LC034 - Zurich', 'S17 - San Isidro / Santa Isabel -&gt; LC097 - Roger de Flor', 'S20 - Metro Santa Lucía -&gt; LC047 - Apoquindo / Luiz Zegers', 'S20 - Metro Santa Lucía -&gt; S05 - Metro Bellas Artes', 'S64 - República / Gorbea -&gt; S11 - Metro Toesca']</t>
  </si>
  <si>
    <t>[2.0, 2.0, 2.0, 4.0, 6.0, 6.0, 7.0, 7.0, 2.0, 9.0]</t>
  </si>
  <si>
    <t>[6, 5, 11, 6, 7, 6, 7, 8, 6, 7, 10, 5, 3, 3, 19, 13, 3, 16, 8, 13]</t>
  </si>
  <si>
    <t>['LC009 - Municipalidad De Las Condes -&gt; LC066 - Cerro Colorado / Rosario Norte', 'LC047 - Apoquindo / Luiz Zegers -&gt; LC010 - Metro Manquehue - Norte', 'LC068 - Metro Manquehue - Sur -&gt; LC010 - Metro Manquehue - Norte', 'LC097 - Roger de Flor -&gt; LC019 - Metro Alcántara', 'S09 - Santo Domingo / Morandé -&gt; LC068 - Metro Manquehue - Sur', 'S17 - San Isidro / Santa Isabel -&gt; LC034 - Zurich', 'S17 - San Isidro / Santa Isabel -&gt; LC047 - Apoquindo / Luiz Zegers', 'S20 - Metro Santa Lucía -&gt; LC097 - Roger de Flor', 'S20 - Metro Santa Lucía -&gt; S05 - Metro Bellas Artes', 'S64 - República / Gorbea -&gt; S11 - Metro Toesca']</t>
  </si>
  <si>
    <t>[2.0, 2.0, 2.0, 4.0, 6.0, 6.0, 7.0, 7.0, 2.0, 1.0]</t>
  </si>
  <si>
    <t>[6, 5, 8, 6, 6, 6, 7, 8, 6, 7, 10, 5, 7, 3, 19, 12, 4, 16, 8, 13]</t>
  </si>
  <si>
    <t>['LC009 - Municipalidad De Las Condes -&gt; LC019 - Metro Alcántara', 'LC011 - Metro Hernando De Magallanes -&gt; LC068 - Metro Manquehue - Sur', 'LC019 - Metro Alcántara -&gt; LC033 - Vitacura / San Patricio', 'LC033 - Vitacura / San Patricio -&gt; LC034 - Zurich', 'LC047 - Apoquindo / Luiz Zegers -&gt; LC068 - Metro Manquehue - Sur', 'LC066 - Cerro Colorado / Rosario Norte -&gt; LC009 - Municipalidad De Las Condes', 'LC066 - Cerro Colorado / Rosario Norte -&gt; LC010 - Metro Manquehue - Norte', 'LC068 - Metro Manquehue - Sur -&gt; LC010 - Metro Manquehue - Norte', 'LC097 - Roger de Flor -&gt; LC034 - Zurich', 'S09 - Santo Domingo / Morandé -&gt; S05 - Metro Bellas Artes', 'S17 - San Isidro / Santa Isabel -&gt; LC047 - Apoquindo / Luiz Zegers', 'S17 - San Isidro / Santa Isabel -&gt; LC097 - Roger de Flor', 'S20 - Metro Santa Lucía -&gt; LC066 - Cerro Colorado / Rosario Norte', 'S64 - República / Gorbea -&gt; S11 - Metro Toesca']</t>
  </si>
  <si>
    <t>[5.0, 3.0, 1.0, 2.0, 2.0, 3.0, 3.0, 1.0, 4.0, 6.0, 7.0, 7.0, 8.0, 1.0]</t>
  </si>
  <si>
    <t>2024-11-13 18:00</t>
  </si>
  <si>
    <t>[2, 3, 9, 2, 1, 9, 10, 3, 8, 3, 11, 5, 12, 10, 13, 27, 14, 15, 4, 6]</t>
  </si>
  <si>
    <t>[6, 5, 8, 6, 6, 6, 7, 8, 6, 7, 11, 5, 12, 10, 13, 19, 7, 15, 4, 6]</t>
  </si>
  <si>
    <t>['LC011 - Metro Hernando De Magallanes -&gt; LC010 - Metro Manquehue - Norte', 'LC034 - Zurich -&gt; LC033 - Vitacura / San Patricio', 'LC047 - Apoquindo / Luiz Zegers -&gt; LC019 - Metro Alcántara', 'LC066 - Cerro Colorado / Rosario Norte -&gt; LC009 - Municipalidad De Las Condes', 'LC068 - Metro Manquehue - Sur -&gt; LC009 - Municipalidad De Las Condes', 'LC068 - Metro Manquehue - Sur -&gt; LC010 - Metro Manquehue - Norte', 'LC097 - Roger de Flor -&gt; LC019 - Metro Alcántara', 'LC097 - Roger de Flor -&gt; LC034 - Zurich', 'S17 - San Isidro / Santa Isabel -&gt; LC066 - Cerro Colorado / Rosario Norte', 'S20 - Metro Santa Lucía -&gt; LC097 - Roger de Flor']</t>
  </si>
  <si>
    <t>[1.0, 5.0, 3.0, 3.0, 1.0, 1.0, 1.0, 2.0, 8.0, 7.0]</t>
  </si>
  <si>
    <t>[6, 5, 8, 6, 6, 6, 7, 12, 6, 11, 11, 5, 12, 10, 13, 15, 3, 15, 4, 6]</t>
  </si>
  <si>
    <t>['LC011 - Metro Hernando De Magallanes -&gt; LC009 - Municipalidad De Las Condes', 'LC034 - Zurich -&gt; LC033 - Vitacura / San Patricio', 'LC047 - Apoquindo / Luiz Zegers -&gt; LC019 - Metro Alcántara', 'LC066 - Cerro Colorado / Rosario Norte -&gt; LC009 - Municipalidad De Las Condes', 'LC068 - Metro Manquehue - Sur -&gt; LC010 - Metro Manquehue - Norte', 'LC097 - Roger de Flor -&gt; LC019 - Metro Alcántara', 'LC097 - Roger de Flor -&gt; LC034 - Zurich', 'S17 - San Isidro / Santa Isabel -&gt; LC066 - Cerro Colorado / Rosario Norte', 'S20 - Metro Santa Lucía -&gt; LC097 - Roger de Flor']</t>
  </si>
  <si>
    <t>[1.0, 5.0, 3.0, 3.0, 2.0, 1.0, 2.0, 12.0, 11.0]</t>
  </si>
  <si>
    <t>2024-11-14 18:00</t>
  </si>
  <si>
    <t>[5, 14, 10, 7, 12, 5, 8, 5, 8, 4, 15, 8, 6, 10, 18, 26, 9, 14, 8, 13]</t>
  </si>
  <si>
    <t>[6, 10, 10, 7, 8, 6, 8, 8, 8, 7, 9, 8, 6, 16, 18, 23, 12, 14, 8, 13]</t>
  </si>
  <si>
    <t>['LC010 - Metro Manquehue - Norte -&gt; LC066 - Cerro Colorado / Rosario Norte', 'LC033 - Vitacura / San Patricio -&gt; LC034 - Zurich', 'LC034 - Zurich -&gt; LC097 - Roger de Flor', 'LC066 - Cerro Colorado / Rosario Norte -&gt; LC009 - Municipalidad De Las Condes', 'S01 - Agustinas / Manuel Rodríguez Norte -&gt; S09 - Santo Domingo / Morandé', 'S17 - San Isidro / Santa Isabel -&gt; S20 - Metro Santa Lucía']</t>
  </si>
  <si>
    <t>[4.0, 4.0, 3.0, 1.0, 6.0, 3.0]</t>
  </si>
  <si>
    <t>2024-11-15 18:00</t>
  </si>
  <si>
    <t>[8, 3, 5, 5, 1, 3, 7, 4, 2, 4, 6, 10, 11, 16, 19, 27, 8, 13, 13, 9]</t>
  </si>
  <si>
    <t>[8, 5, 8, 6, 6, 10, 7, 8, 6, 7, 6, 10, 5, 3, 19, 23, 12, 13, 3, 9]</t>
  </si>
  <si>
    <t>['LC009 - Municipalidad De Las Condes -&gt; LC066 - Cerro Colorado / Rosario Norte', 'LC010 - Metro Manquehue - Norte -&gt; LC011 - Metro Hernando De Magallanes', 'LC033 - Vitacura / San Patricio -&gt; LC019 - Metro Alcántara', 'LC034 - Zurich -&gt; LC097 - Roger de Flor', 'LC066 - Cerro Colorado / Rosario Norte -&gt; LC068 - Metro Manquehue - Sur', 'S05 - Metro Bellas Artes -&gt; LC033 - Vitacura / San Patricio', 'S09 - Santo Domingo / Morandé -&gt; LC009 - Municipalidad De Las Condes', 'S09 - Santo Domingo / Morandé -&gt; LC010 - Metro Manquehue - Norte', 'S17 - San Isidro / Santa Isabel -&gt; S20 - Metro Santa Lucía', 'S30 - San Pablo -&gt; LC034 - Zurich']</t>
  </si>
  <si>
    <t>[8.0, 3.0, 1.0, 3.0, 4.0, 6.0, 8.0, 5.0, 4.0, 10.0]</t>
  </si>
  <si>
    <t>[6, 5, 8, 6, 6, 7, 7, 8, 6, 7, 6, 5, 4, 16, 19, 20, 3, 13, 13, 9]</t>
  </si>
  <si>
    <t>['LC009 - Municipalidad De Las Condes -&gt; LC068 - Metro Manquehue - Sur', 'LC019 - Metro Alcántara -&gt; LC009 - Municipalidad De Las Condes', 'LC066 - Cerro Colorado / Rosario Norte -&gt; LC011 - Metro Hernando De Magallanes', 'LC068 - Metro Manquehue - Sur -&gt; LC010 - Metro Manquehue - Norte', 'LC097 - Roger de Flor -&gt; LC034 - Zurich', 'S03 - Teatinos / General Mackenna -&gt; LC019 - Metro Alcántara', 'S05 - Metro Bellas Artes -&gt; LC066 - Cerro Colorado / Rosario Norte', 'S17 - San Isidro / Santa Isabel -&gt; LC097 - Roger de Flor', 'S20 - Metro Santa Lucía -&gt; LC033 - Vitacura / San Patricio']</t>
  </si>
  <si>
    <t>[6.0, 4.0, 3.0, 2.0, 4.0, 5.0, 7.0, 7.0, 5.0]</t>
  </si>
  <si>
    <t>[6, 5, 8, 6, 6, 8, 7, 8, 6, 7, 6, 10, 3, 16, 19, 19, 4, 13, 8, 9]</t>
  </si>
  <si>
    <t>['LC009 - Municipalidad De Las Condes -&gt; LC068 - Metro Manquehue - Sur', 'LC010 - Metro Manquehue - Norte -&gt; LC011 - Metro Hernando De Magallanes', 'LC019 - Metro Alcántara -&gt; LC009 - Municipalidad De Las Condes', 'LC034 - Zurich -&gt; LC097 - Roger de Flor', 'LC066 - Cerro Colorado / Rosario Norte -&gt; LC010 - Metro Manquehue - Norte', 'LC068 - Metro Manquehue - Sur -&gt; LC010 - Metro Manquehue - Norte', 'S05 - Metro Bellas Artes -&gt; LC034 - Zurich', 'S17 - San Isidro / Santa Isabel -&gt; LC066 - Cerro Colorado / Rosario Norte', 'S20 - Metro Santa Lucía -&gt; LC019 - Metro Alcántara', 'S30 - San Pablo -&gt; LC033 - Vitacura / San Patricio']</t>
  </si>
  <si>
    <t>[5.0, 3.0, 3.0, 3.0, 4.0, 1.0, 8.0, 8.0, 4.0, 5.0]</t>
  </si>
  <si>
    <t>[6, 5, 8, 6, 10, 8, 7, 12, 6, 7, 6, 10, 3, 7, 19, 15, 4, 13, 13, 9]</t>
  </si>
  <si>
    <t>['LC009 - Municipalidad De Las Condes -&gt; LC010 - Metro Manquehue - Norte', 'LC010 - Metro Manquehue - Norte -&gt; LC011 - Metro Hernando De Magallanes', 'LC019 - Metro Alcántara -&gt; LC009 - Municipalidad De Las Condes', 'LC034 - Zurich -&gt; LC097 - Roger de Flor', 'LC066 - Cerro Colorado / Rosario Norte -&gt; LC068 - Metro Manquehue - Sur', 'S05 - Metro Bellas Artes -&gt; LC034 - Zurich', 'S09 - Santo Domingo / Morandé -&gt; LC033 - Vitacura / San Patricio', 'S17 - San Isidro / Santa Isabel -&gt; LC066 - Cerro Colorado / Rosario Norte', 'S20 - Metro Santa Lucía -&gt; LC019 - Metro Alcántara']</t>
  </si>
  <si>
    <t>[5.0, 3.0, 3.0, 3.0, 4.0, 8.0, 9.0, 12.0, 4.0]</t>
  </si>
  <si>
    <t>[6, 5, 8, 6, 6, 6, 7, 12, 6, 7, 6, 10, 3, 9, 19, 15, 8, 13, 13, 9]</t>
  </si>
  <si>
    <t>['LC009 - Municipalidad De Las Condes -&gt; LC068 - Metro Manquehue - Sur', 'LC019 - Metro Alcántara -&gt; LC009 - Municipalidad De Las Condes', 'LC066 - Cerro Colorado / Rosario Norte -&gt; LC009 - Municipalidad De Las Condes', 'LC066 - Cerro Colorado / Rosario Norte -&gt; LC011 - Metro Hernando De Magallanes', 'LC068 - Metro Manquehue - Sur -&gt; LC010 - Metro Manquehue - Norte', 'LC097 - Roger de Flor -&gt; LC019 - Metro Alcántara', 'S05 - Metro Bellas Artes -&gt; LC033 - Vitacura / San Patricio', 'S05 - Metro Bellas Artes -&gt; LC034 - Zurich', 'S09 - Santo Domingo / Morandé -&gt; LC097 - Roger de Flor', 'S17 - San Isidro / Santa Isabel -&gt; LC066 - Cerro Colorado / Rosario Norte']</t>
  </si>
  <si>
    <t>[6.0, 3.0, 1.0, 3.0, 2.0, 4.0, 5.0, 3.0, 7.0, 12.0]</t>
  </si>
  <si>
    <t>[6, 5, 8, 6, 6, 6, 7, 8, 6, 7, 6, 10, 3, 9, 19, 19, 8, 13, 13, 9]</t>
  </si>
  <si>
    <t>['LC009 - Municipalidad De Las Condes -&gt; LC047 - Apoquindo / Luiz Zegers', 'LC010 - Metro Manquehue - Norte -&gt; LC011 - Metro Hernando De Magallanes', 'LC019 - Metro Alcántara -&gt; LC009 - Municipalidad De Las Condes', 'LC047 - Apoquindo / Luiz Zegers -&gt; LC010 - Metro Manquehue - Norte', 'LC066 - Cerro Colorado / Rosario Norte -&gt; LC068 - Metro Manquehue - Sur', 'LC097 - Roger de Flor -&gt; LC019 - Metro Alcántara', 'S05 - Metro Bellas Artes -&gt; LC033 - Vitacura / San Patricio', 'S05 - Metro Bellas Artes -&gt; LC034 - Zurich', 'S09 - Santo Domingo / Morandé -&gt; LC097 - Roger de Flor', 'S17 - San Isidro / Santa Isabel -&gt; LC066 - Cerro Colorado / Rosario Norte']</t>
  </si>
  <si>
    <t>[5.0, 3.0, 3.0, 5.0, 4.0, 4.0, 5.0, 3.0, 7.0, 8.0]</t>
  </si>
  <si>
    <t>[6, 5, 8, 6, 6, 6, 7, 8, 6, 7, 6, 10, 3, 16, 19, 20, 8, 13, 5, 9]</t>
  </si>
  <si>
    <t>['LC009 - Municipalidad De Las Condes -&gt; LC019 - Metro Alcántara', 'LC011 - Metro Hernando De Magallanes -&gt; LC068 - Metro Manquehue - Sur', 'LC019 - Metro Alcántara -&gt; LC033 - Vitacura / San Patricio', 'LC034 - Zurich -&gt; LC033 - Vitacura / San Patricio', 'LC066 - Cerro Colorado / Rosario Norte -&gt; LC009 - Municipalidad De Las Condes', 'LC066 - Cerro Colorado / Rosario Norte -&gt; LC010 - Metro Manquehue - Norte', 'LC068 - Metro Manquehue - Sur -&gt; LC010 - Metro Manquehue - Norte', 'LC097 - Roger de Flor -&gt; LC034 - Zurich', 'S05 - Metro Bellas Artes -&gt; LC011 - Metro Hernando De Magallanes', 'S17 - San Isidro / Santa Isabel -&gt; LC097 - Roger de Flor', 'S30 - San Pablo -&gt; LC066 - Cerro Colorado / Rosario Norte']</t>
  </si>
  <si>
    <t>[5.0, 5.0, 4.0, 1.0, 3.0, 1.0, 1.0, 4.0, 8.0, 7.0, 8.0]</t>
  </si>
  <si>
    <t>2024-11-16 18:00</t>
  </si>
  <si>
    <t>[2, 8, 9, 7, 4, 9, 7, 2, 2, 5, 11, 13, 7, 14, 13, 26, 14, 6, 12, 9]</t>
  </si>
  <si>
    <t>[6, 5, 8, 6, 6, 9, 7, 8, 6, 7, 11, 13, 7, 14, 13, 19, 8, 6, 12, 9]</t>
  </si>
  <si>
    <t>['LC010 - Metro Manquehue - Norte -&gt; LC068 - Metro Manquehue - Sur', 'LC011 - Metro Hernando De Magallanes -&gt; LC010 - Metro Manquehue - Norte', 'LC019 - Metro Alcántara -&gt; LC066 - Cerro Colorado / Rosario Norte', 'LC033 - Vitacura / San Patricio -&gt; LC009 - Municipalidad De Las Condes', 'LC097 - Roger de Flor -&gt; LC019 - Metro Alcántara', 'S17 - San Isidro / Santa Isabel -&gt; LC097 - Roger de Flor', 'S20 - Metro Santa Lucía -&gt; LC033 - Vitacura / San Patricio']</t>
  </si>
  <si>
    <t>[4.0, 1.0, 6.0, 4.0, 5.0, 7.0, 6.0]</t>
  </si>
  <si>
    <t>2024-11-17 18:00</t>
  </si>
  <si>
    <t>[5, 2, 9, 14, 5, 11, 6, 8, 0, 5, 11, 14, 12, 18, 26, 20, 11, 10, 14, 13]</t>
  </si>
  <si>
    <t>[6, 5, 8, 6, 6, 6, 7, 8, 6, 7, 11, 13, 16, 16, 26, 20, 11, 10, 13, 13]</t>
  </si>
  <si>
    <t>['LC009 - Municipalidad De Las Condes -&gt; LC010 - Metro Manquehue - Norte', 'LC011 - Metro Hernando De Magallanes -&gt; LC010 - Metro Manquehue - Norte', 'LC019 - Metro Alcántara -&gt; LC009 - Municipalidad De Las Condes', 'LC019 - Metro Alcántara -&gt; LC047 - Apoquindo / Luiz Zegers', 'LC034 - Zurich -&gt; LC033 - Vitacura / San Patricio', 'LC034 - Zurich -&gt; LC097 - Roger de Flor', 'LC047 - Apoquindo / Luiz Zegers -&gt; LC068 - Metro Manquehue - Sur', 'LC097 - Roger de Flor -&gt; LC019 - Metro Alcántara', 'S03 - Teatinos / General Mackenna -&gt; S30 - San Pablo', 'S09 - Santo Domingo / Morandé -&gt; S05 - Metro Bellas Artes', 'S30 - San Pablo -&gt; S09 - Santo Domingo / Morandé']</t>
  </si>
  <si>
    <t>[2.0, 1.0, 3.0, 7.0, 1.0, 4.0, 6.0, 2.0, 1.0, 4.0, 2.0]</t>
  </si>
  <si>
    <t>2024-11-18 18:00</t>
  </si>
  <si>
    <t>[2, 0, 6, 11, 10, 6, 8, 2, 0, 3, 13, 14, 16, 18, 29, 27, 13, 12, 3, 6]</t>
  </si>
  <si>
    <t>[6, 5, 8, 7, 6, 6, 7, 8, 6, 7, 13, 13, 8, 9, 22, 23, 7, 12, 13, 13]</t>
  </si>
  <si>
    <t>['LC011 - Metro Hernando De Magallanes -&gt; LC068 - Metro Manquehue - Sur', 'LC019 - Metro Alcántara -&gt; LC009 - Municipalidad De Las Condes', 'LC033 - Vitacura / San Patricio -&gt; LC047 - Apoquindo / Luiz Zegers', 'LC034 - Zurich -&gt; LC066 - Cerro Colorado / Rosario Norte', 'LC047 - Apoquindo / Luiz Zegers -&gt; LC010 - Metro Manquehue - Norte', 'S03 - Teatinos / General Mackenna -&gt; S30 - San Pablo', 'S05 - Metro Bellas Artes -&gt; LC011 - Metro Hernando De Magallanes', 'S09 - Santo Domingo / Morandé -&gt; S30 - San Pablo', 'S11 - Metro Toesca -&gt; S64 - República / Gorbea', 'S17 - San Isidro / Santa Isabel -&gt; LC097 - Roger de Flor', 'S20 - Metro Santa Lucía -&gt; LC034 - Zurich']</t>
  </si>
  <si>
    <t>[6.0, 4.0, 4.0, 6.0, 5.0, 1.0, 8.0, 9.0, 7.0, 4.0, 6.0]</t>
  </si>
  <si>
    <t>2024-11-19 18:00</t>
  </si>
  <si>
    <t>[5, 6, 1, 2, 9, 2, 0, 2, 2, 3, 0, 14, 14, 19, 26, 26, 8, 18, 14, 5]</t>
  </si>
  <si>
    <t>[6, 5, 12, 6, 6, 6, 7, 8, 6, 7, 3, 7, 3, 12, 26, 15, 8, 15, 13, 5]</t>
  </si>
  <si>
    <t>['LC009 - Municipalidad De Las Condes -&gt; LC010 - Metro Manquehue - Norte', 'LC010 - Metro Manquehue - Norte -&gt; LC068 - Metro Manquehue - Sur', 'LC019 - Metro Alcántara -&gt; LC009 - Municipalidad De Las Condes', 'LC033 - Vitacura / San Patricio -&gt; LC034 - Zurich', 'LC033 - Vitacura / San Patricio -&gt; LC047 - Apoquindo / Luiz Zegers', 'LC066 - Cerro Colorado / Rosario Norte -&gt; LC009 - Municipalidad De Las Condes', 'LC097 - Roger de Flor -&gt; LC034 - Zurich', 'S03 - Teatinos / General Mackenna -&gt; S30 - San Pablo', 'S05 - Metro Bellas Artes -&gt; LC019 - Metro Alcántara', 'S05 - Metro Bellas Artes -&gt; LC033 - Vitacura / San Patricio', 'S09 - Santo Domingo / Morandé -&gt; LC097 - Roger de Flor', 'S17 - San Isidro / Santa Isabel -&gt; LC011 - Metro Hernando De Magallanes', 'S24 - Plaza Yungay -&gt; S01 - Agustinas / Manuel Rodríguez Norte', 'S30 - San Pablo -&gt; LC066 - Cerro Colorado / Rosario Norte']</t>
  </si>
  <si>
    <t>[3.0, 4.0, 2.0, 1.0, 7.0, 2.0, 3.0, 7.0, 6.0, 5.0, 7.0, 11.0, 3.0, 8.0]</t>
  </si>
  <si>
    <t>2024-11-20 18:00</t>
  </si>
  <si>
    <t>[8, 1, 14, 4, 5, 11, 8, 11, 1, 15, 16, 10, 12, 16, 19, 27, 9, 17, 14, 6]</t>
  </si>
  <si>
    <t>[8, 5, 8, 8, 6, 10, 8, 8, 6, 11, 14, 13, 12, 16, 19, 24, 12, 16, 13, 7]</t>
  </si>
  <si>
    <t>['LC011 - Metro Hernando De Magallanes -&gt; LC068 - Metro Manquehue - Sur', 'LC034 - Zurich -&gt; LC033 - Vitacura / San Patricio', 'LC066 - Cerro Colorado / Rosario Norte -&gt; LC010 - Metro Manquehue - Norte', 'LC068 - Metro Manquehue - Sur -&gt; LC010 - Metro Manquehue - Norte', 'LC097 - Roger de Flor -&gt; LC019 - Metro Alcántara', 'S01 - Agustinas / Manuel Rodríguez Norte -&gt; S30 - San Pablo', 'S17 - San Isidro / Santa Isabel -&gt; S20 - Metro Santa Lucía', 'S24 - Plaza Yungay -&gt; S64 - República / Gorbea', 'S30 - San Pablo -&gt; S03 - Teatinos / General Mackenna']</t>
  </si>
  <si>
    <t>[6.0, 1.0, 3.0, 1.0, 4.0, 2.0, 3.0, 1.0, 3.0]</t>
  </si>
  <si>
    <t>2024-11-21 18:00</t>
  </si>
  <si>
    <t>[11, 6, 4, 2, 14, 9, 3, 12, 8, 11, 6, 1, 12, 16, 28, 23, 9, 15, 13, 10]</t>
  </si>
  <si>
    <t>[6, 5, 8, 6, 10, 9, 7, 12, 6, 11, 6, 3, 12, 16, 27, 23, 9, 15, 11, 11]</t>
  </si>
  <si>
    <t>['LC009 - Municipalidad De Las Condes -&gt; LC047 - Apoquindo / Luiz Zegers', 'LC010 - Metro Manquehue - Norte -&gt; LC011 - Metro Hernando De Magallanes', 'LC033 - Vitacura / San Patricio -&gt; LC019 - Metro Alcántara', 'LC047 - Apoquindo / Luiz Zegers -&gt; LC068 - Metro Manquehue - Sur', 'LC068 - Metro Manquehue - Sur -&gt; LC010 - Metro Manquehue - Norte', 'S11 - Metro Toesca -&gt; S64 - República / Gorbea', 'S30 - San Pablo -&gt; S03 - Teatinos / General Mackenna']</t>
  </si>
  <si>
    <t>[5.0, 4.0, 4.0, 1.0, 3.0, 1.0, 2.0]</t>
  </si>
  <si>
    <t>2024-11-22 18:00</t>
  </si>
  <si>
    <t>[5, 1, 5, 1, 1, 11, 10, 7, 0, 7, 6, 4, 12, 9, 25, 27, 9, 19, 5, 12]</t>
  </si>
  <si>
    <t>[6, 5, 9, 6, 10, 6, 7, 8, 6, 7, 14, 4, 3, 9, 25, 20, 3, 11, 5, 12]</t>
  </si>
  <si>
    <t>['LC009 - Municipalidad De Las Condes -&gt; LC066 - Cerro Colorado / Rosario Norte', 'LC034 - Zurich -&gt; LC019 - Metro Alcántara', 'LC047 - Apoquindo / Luiz Zegers -&gt; LC010 - Metro Manquehue - Norte', 'LC047 - Apoquindo / Luiz Zegers -&gt; LC068 - Metro Manquehue - Sur', 'LC066 - Cerro Colorado / Rosario Norte -&gt; LC011 - Metro Hernando De Magallanes', 'S05 - Metro Bellas Artes -&gt; LC033 - Vitacura / San Patricio', 'S17 - San Isidro / Santa Isabel -&gt; LC047 - Apoquindo / Luiz Zegers', 'S20 - Metro Santa Lucía -&gt; LC009 - Municipalidad De Las Condes', 'S24 - Plaza Yungay -&gt; S01 - Agustinas / Manuel Rodríguez Norte']</t>
  </si>
  <si>
    <t>[5.0, 5.0, 4.0, 6.0, 4.0, 9.0, 7.0, 6.0, 8.0]</t>
  </si>
  <si>
    <t>2024-11-23 18:00</t>
  </si>
  <si>
    <t>[5, 8, 4, 6, 0, 9, 7, 11, 2, 9, 8, 9, 19, 10, 9, 21, 14, 19, 11, 15]</t>
  </si>
  <si>
    <t>[6, 5, 8, 6, 6, 6, 7, 11, 6, 11, 14, 9, 16, 10, 11, 21, 6, 13, 11, 13]</t>
  </si>
  <si>
    <t>['LC009 - Municipalidad De Las Condes -&gt; LC010 - Metro Manquehue - Norte', 'LC010 - Metro Manquehue - Norte -&gt; LC011 - Metro Hernando De Magallanes', 'LC010 - Metro Manquehue - Norte -&gt; LC068 - Metro Manquehue - Sur', 'LC034 - Zurich -&gt; LC033 - Vitacura / San Patricio', 'LC097 - Roger de Flor -&gt; LC009 - Municipalidad De Las Condes', 'LC097 - Roger de Flor -&gt; LC034 - Zurich', 'S05 - Metro Bellas Artes -&gt; LC097 - Roger de Flor', 'S20 - Metro Santa Lucía -&gt; S05 - Metro Bellas Artes', 'S24 - Plaza Yungay -&gt; S01 - Agustinas / Manuel Rodríguez Norte', 'S64 - República / Gorbea -&gt; S11 - Metro Toesca']</t>
  </si>
  <si>
    <t>[5.0, 4.0, 4.0, 6.0, 6.0, 3.0, 11.0, 8.0, 6.0, 2.0]</t>
  </si>
  <si>
    <t>2024-11-24 18:00</t>
  </si>
  <si>
    <t>[3, 2, 2, 4, 1, 1, 4, 8, 1, 4, 15, 6, 16, 16, 30, 26, 9, 17, 14, 13]</t>
  </si>
  <si>
    <t>[6, 5, 12, 6, 6, 6, 7, 12, 6, 7, 9, 7, 10, 16, 23, 14, 9, 5, 13, 13]</t>
  </si>
  <si>
    <t>['LC011 - Metro Hernando De Magallanes -&gt; LC010 - Metro Manquehue - Norte', 'LC019 - Metro Alcántara -&gt; LC047 - Apoquindo / Luiz Zegers', 'LC033 - Vitacura / San Patricio -&gt; LC034 - Zurich', 'LC047 - Apoquindo / Luiz Zegers -&gt; LC009 - Municipalidad De Las Condes', 'LC066 - Cerro Colorado / Rosario Norte -&gt; LC047 - Apoquindo / Luiz Zegers', 'LC066 - Cerro Colorado / Rosario Norte -&gt; LC068 - Metro Manquehue - Sur', 'LC068 - Metro Manquehue - Sur -&gt; LC010 - Metro Manquehue - Norte', 'LC097 - Roger de Flor -&gt; LC034 - Zurich', 'S01 - Agustinas / Manuel Rodríguez Norte -&gt; LC033 - Vitacura / San Patricio', 'S05 - Metro Bellas Artes -&gt; LC019 - Metro Alcántara', 'S09 - Santo Domingo / Morandé -&gt; S03 - Teatinos / General Mackenna', 'S11 - Metro Toesca -&gt; LC097 - Roger de Flor', 'S17 - San Isidro / Santa Isabel -&gt; LC011 - Metro Hernando De Magallanes', 'S24 - Plaza Yungay -&gt; LC066 - Cerro Colorado / Rosario Norte', 'S30 - San Pablo -&gt; S09 - Santo Domingo / Morandé']</t>
  </si>
  <si>
    <t>[2.0, 4.0, 1.0, 3.0, 2.0, 6.0, 1.0, 4.0, 6.0, 6.0, 1.0, 7.0, 12.0, 12.0, 1.0]</t>
  </si>
  <si>
    <t>2024-11-25 18:00</t>
  </si>
  <si>
    <t>[0, 0, 8, 1, 14, 5, 3, 3, 0, 3, 3, 14, 16, 11, 28, 25, 12, 8, 14, 14]</t>
  </si>
  <si>
    <t>[6, 5, 8, 6, 6, 10, 10, 8, 6, 7, 3, 13, 8, 11, 27, 15, 12, 8, 5, 8]</t>
  </si>
  <si>
    <t>['LC033 - Vitacura / San Patricio -&gt; LC009 - Municipalidad De Las Condes', 'LC033 - Vitacura / San Patricio -&gt; LC010 - Metro Manquehue - Norte', 'LC034 - Zurich -&gt; LC019 - Metro Alcántara', 'LC047 - Apoquindo / Luiz Zegers -&gt; LC068 - Metro Manquehue - Sur', 'LC066 - Cerro Colorado / Rosario Norte -&gt; LC068 - Metro Manquehue - Sur', 'LC097 - Roger de Flor -&gt; LC033 - Vitacura / San Patricio', 'S03 - Teatinos / General Mackenna -&gt; LC047 - Apoquindo / Luiz Zegers', 'S05 - Metro Bellas Artes -&gt; LC066 - Cerro Colorado / Rosario Norte', 'S11 - Metro Toesca -&gt; LC097 - Roger de Flor', 'S17 - San Isidro / Santa Isabel -&gt; LC034 - Zurich', 'S30 - San Pablo -&gt; S03 - Teatinos / General Mackenna', 'S64 - República / Gorbea -&gt; S11 - Metro Toesca']</t>
  </si>
  <si>
    <t>[6.0, 5.0, 5.0, 3.0, 3.0, 3.0, 10.0, 8.0, 7.0, 10.0, 9.0, 6.0]</t>
  </si>
  <si>
    <t>2024-11-26 18:00</t>
  </si>
  <si>
    <t>[9, 10, 10, 9, 1, 5, 5, 2, 4, 6, 15, 10, 14, 18, 17, 19, 14, 2, 9, 5]</t>
  </si>
  <si>
    <t>[6, 5, 10, 6, 6, 6, 7, 8, 7, 11, 3, 10, 14, 16, 17, 19, 3, 14, 11, 5]</t>
  </si>
  <si>
    <t>['LC009 - Municipalidad De Las Condes -&gt; LC066 - Cerro Colorado / Rosario Norte', 'LC010 - Metro Manquehue - Norte -&gt; LC068 - Metro Manquehue - Sur', 'LC019 - Metro Alcántara -&gt; LC009 - Municipalidad De Las Condes', 'LC034 - Zurich -&gt; LC033 - Vitacura / San Patricio', 'LC068 - Metro Manquehue - Sur -&gt; LC047 - Apoquindo / Luiz Zegers', 'LC097 - Roger de Flor -&gt; LC034 - Zurich', 'S01 - Agustinas / Manuel Rodríguez Norte -&gt; S24 - Plaza Yungay', 'S09 - Santo Domingo / Morandé -&gt; S30 - San Pablo', 'S20 - Metro Santa Lucía -&gt; LC097 - Roger de Flor']</t>
  </si>
  <si>
    <t>[6.0, 5.0, 3.0, 5.0, 2.0, 6.0, 12.0, 2.0, 11.0]</t>
  </si>
  <si>
    <t>2024-11-27 18:00</t>
  </si>
  <si>
    <t>[9, 6, 2, 0, 11, 12, 2, 3, 1, 5, 10, 6, 7, 8, 31, 26, 15, 12, 4, 13]</t>
  </si>
  <si>
    <t>[6, 5, 8, 6, 6, 6, 10, 8, 6, 7, 14, 6, 7, 8, 27, 19, 5, 12, 4, 13]</t>
  </si>
  <si>
    <t>['LC009 - Municipalidad De Las Condes -&gt; LC066 - Cerro Colorado / Rosario Norte', 'LC010 - Metro Manquehue - Norte -&gt; LC011 - Metro Hernando De Magallanes', 'LC033 - Vitacura / San Patricio -&gt; LC068 - Metro Manquehue - Sur', 'LC034 - Zurich -&gt; LC019 - Metro Alcántara', 'LC047 - Apoquindo / Luiz Zegers -&gt; LC009 - Municipalidad De Las Condes', 'LC097 - Roger de Flor -&gt; LC010 - Metro Manquehue - Norte', 'S11 - Metro Toesca -&gt; S01 - Agustinas / Manuel Rodríguez Norte', 'S17 - San Isidro / Santa Isabel -&gt; LC097 - Roger de Flor', 'S20 - Metro Santa Lucía -&gt; LC047 - Apoquindo / Luiz Zegers']</t>
  </si>
  <si>
    <t>[5.0, 6.0, 5.0, 6.0, 2.0, 5.0, 4.0, 7.0, 10.0]</t>
  </si>
  <si>
    <t>2024-11-28 18:00</t>
  </si>
  <si>
    <t>[11, 3, 4, 7, 10, 10, 5, 7, 2, 1, 11, 4, 16, 14, 17, 26, 15, 7, 9, 10]</t>
  </si>
  <si>
    <t>[6, 5, 8, 7, 6, 6, 7, 8, 6, 7, 11, 4, 16, 14, 17, 23, 12, 7, 9, 10]</t>
  </si>
  <si>
    <t>['LC009 - Municipalidad De Las Condes -&gt; LC047 - Apoquindo / Luiz Zegers', 'LC033 - Vitacura / San Patricio -&gt; LC066 - Cerro Colorado / Rosario Norte', 'LC034 - Zurich -&gt; LC033 - Vitacura / San Patricio', 'LC047 - Apoquindo / Luiz Zegers -&gt; LC011 - Metro Hernando De Magallanes', 'LC066 - Cerro Colorado / Rosario Norte -&gt; LC009 - Municipalidad De Las Condes', 'LC066 - Cerro Colorado / Rosario Norte -&gt; LC068 - Metro Manquehue - Sur', 'LC068 - Metro Manquehue - Sur -&gt; LC010 - Metro Manquehue - Norte', 'S17 - San Isidro / Santa Isabel -&gt; S20 - Metro Santa Lucía', 'S20 - Metro Santa Lucía -&gt; LC097 - Roger de Flor']</t>
  </si>
  <si>
    <t>[6.0, 8.0, 4.0, 4.0, 1.0, 6.0, 2.0, 3.0, 6.0]</t>
  </si>
  <si>
    <t>2024-11-29 18:00</t>
  </si>
  <si>
    <t>[5, 2, 11, 2, 5, 9, 10, 3, 1, 9, 6, 8, 9, 13, 30, 27, 2, 15, 6, 9]</t>
  </si>
  <si>
    <t>[6, 5, 8, 6, 6, 6, 7, 8, 6, 7, 6, 8, 8, 13, 27, 19, 3, 15, 6, 12]</t>
  </si>
  <si>
    <t>['LC009 - Municipalidad De Las Condes -&gt; LC047 - Apoquindo / Luiz Zegers', 'LC011 - Metro Hernando De Magallanes -&gt; LC010 - Metro Manquehue - Norte', 'LC034 - Zurich -&gt; LC033 - Vitacura / San Patricio', 'LC034 - Zurich -&gt; LC097 - Roger de Flor', 'LC047 - Apoquindo / Luiz Zegers -&gt; LC068 - Metro Manquehue - Sur', 'LC066 - Cerro Colorado / Rosario Norte -&gt; LC009 - Municipalidad De Las Condes', 'LC097 - Roger de Flor -&gt; LC019 - Metro Alcántara', 'S05 - Metro Bellas Artes -&gt; S20 - Metro Santa Lucía', 'S11 - Metro Toesca -&gt; S64 - República / Gorbea', 'S17 - San Isidro / Santa Isabel -&gt; LC066 - Cerro Colorado / Rosario Norte']</t>
  </si>
  <si>
    <t>[2.0, 3.0, 1.0, 2.0, 5.0, 3.0, 4.0, 1.0, 3.0, 8.0]</t>
  </si>
  <si>
    <t>2024-11-30 18:00</t>
  </si>
  <si>
    <t>[2, 10, 5, 7, 4, 11, 5, 4, 7, 2, 13, 16, 14, 17, 23, 13, 13, 15, 15, 10]</t>
  </si>
  <si>
    <t>[6, 5, 8, 6, 6, 6, 7, 8, 6, 7, 13, 11, 16, 16, 23, 13, 11, 15, 13, 10]</t>
  </si>
  <si>
    <t>['LC010 - Metro Manquehue - Norte -&gt; LC011 - Metro Hernando De Magallanes', 'LC010 - Metro Manquehue - Norte -&gt; LC068 - Metro Manquehue - Sur', 'LC019 - Metro Alcántara -&gt; LC033 - Vitacura / San Patricio', 'LC034 - Zurich -&gt; LC097 - Roger de Flor', 'LC047 - Apoquindo / Luiz Zegers -&gt; LC019 - Metro Alcántara', 'LC066 - Cerro Colorado / Rosario Norte -&gt; LC009 - Municipalidad De Las Condes', 'LC068 - Metro Manquehue - Sur -&gt; LC047 - Apoquindo / Luiz Zegers', 'S03 - Teatinos / General Mackenna -&gt; LC066 - Cerro Colorado / Rosario Norte', 'S09 - Santo Domingo / Morandé -&gt; S03 - Teatinos / General Mackenna', 'S20 - Metro Santa Lucía -&gt; S05 - Metro Bellas Artes', 'S30 - San Pablo -&gt; S03 - Teatinos / General Mackenna']</t>
  </si>
  <si>
    <t>[3.0, 2.0, 2.0, 5.0, 1.0, 4.0, 3.0, 8.0, 1.0, 2.0, 2.0]</t>
  </si>
  <si>
    <t>2024-12-01 18:00</t>
  </si>
  <si>
    <t>[2, 6, 2, 7, 7, 14, 6, 7, 4, 0, 14, 14, 15, 3, 30, 27, 14, 16, 13, 10]</t>
  </si>
  <si>
    <t>[6, 5, 8, 6, 7, 7, 7, 8, 6, 7, 14, 13, 8, 4, 27, 24, 12, 16, 13, 13]</t>
  </si>
  <si>
    <t>['LC009 - Municipalidad De Las Condes -&gt; LC066 - Cerro Colorado / Rosario Norte', 'LC010 - Metro Manquehue - Norte -&gt; LC011 - Metro Hernando De Magallanes', 'LC019 - Metro Alcántara -&gt; LC009 - Municipalidad De Las Condes', 'LC034 - Zurich -&gt; LC097 - Roger de Flor', 'LC047 - Apoquindo / Luiz Zegers -&gt; LC068 - Metro Manquehue - Sur', 'LC066 - Cerro Colorado / Rosario Norte -&gt; LC010 - Metro Manquehue - Norte', 'LC068 - Metro Manquehue - Sur -&gt; LC010 - Metro Manquehue - Norte', 'S03 - Teatinos / General Mackenna -&gt; S09 - Santo Domingo / Morandé', 'S05 - Metro Bellas Artes -&gt; LC047 - Apoquindo / Luiz Zegers', 'S11 - Metro Toesca -&gt; S64 - República / Gorbea', 'S17 - San Isidro / Santa Isabel -&gt; S20 - Metro Santa Lucía', 'S20 - Metro Santa Lucía -&gt; LC019 - Metro Alcántara']</t>
  </si>
  <si>
    <t>[2.0, 6.0, 6.0, 7.0, 6.0, 1.0, 4.0, 1.0, 7.0, 3.0, 3.0, 5.0]</t>
  </si>
  <si>
    <t>2024-12-02 18:00</t>
  </si>
  <si>
    <t>[12, 8, 12, 4, 10, 14, 7, 8, 2, 1, 12, 9, 3, 13, 29, 24, 13, 18, 10, 14]</t>
  </si>
  <si>
    <t>[7, 8, 8, 9, 10, 6, 7, 8, 6, 9, 14, 9, 16, 13, 27, 24, 3, 16, 10, 13]</t>
  </si>
  <si>
    <t>['LC009 - Municipalidad De Las Condes -&gt; LC019 - Metro Alcántara', 'LC011 - Metro Hernando De Magallanes -&gt; LC068 - Metro Manquehue - Sur', 'LC034 - Zurich -&gt; LC097 - Roger de Flor', 'S11 - Metro Toesca -&gt; S20 - Metro Santa Lucía', 'S20 - Metro Santa Lucía -&gt; S05 - Metro Bellas Artes', 'S24 - Plaza Yungay -&gt; S01 - Agustinas / Manuel Rodríguez Norte', 'S64 - República / Gorbea -&gt; S11 - Metro Toesca']</t>
  </si>
  <si>
    <t>[5.0, 4.0, 8.0, 3.0, 13.0, 2.0, 1.0]</t>
  </si>
  <si>
    <t>2024-12-03 18:00</t>
  </si>
  <si>
    <t>2024-12-04 18:00</t>
  </si>
  <si>
    <t>[0, 1, 5, 0, 14, 7, 2, 1, 1, 2, 17, 9, 18, 8, 28, 21, 15, 8, 11, 10]</t>
  </si>
  <si>
    <t>[6, 5, 9, 6, 6, 6, 8, 8, 6, 7, 10, 9, 3, 8, 25, 21, 3, 8, 11, 13]</t>
  </si>
  <si>
    <t>['LC011 - Metro Hernando De Magallanes -&gt; LC068 - Metro Manquehue - Sur', 'LC033 - Vitacura / San Patricio -&gt; LC009 - Municipalidad De Las Condes', 'LC033 - Vitacura / San Patricio -&gt; LC010 - Metro Manquehue - Norte', 'LC034 - Zurich -&gt; LC033 - Vitacura / San Patricio', 'LC097 - Roger de Flor -&gt; LC034 - Zurich', 'S01 - Agustinas / Manuel Rodríguez Norte -&gt; LC066 - Cerro Colorado / Rosario Norte', 'S05 - Metro Bellas Artes -&gt; LC011 - Metro Hernando De Magallanes', 'S05 - Metro Bellas Artes -&gt; LC097 - Roger de Flor', 'S11 - Metro Toesca -&gt; S64 - República / Gorbea', 'S20 - Metro Santa Lucía -&gt; LC019 - Metro Alcántara', 'S20 - Metro Santa Lucía -&gt; LC047 - Apoquindo / Luiz Zegers']</t>
  </si>
  <si>
    <t>[5.0, 6.0, 4.0, 2.0, 1.0, 7.0, 9.0, 6.0, 3.0, 6.0, 6.0]</t>
  </si>
  <si>
    <t>2024-12-05 18:00</t>
  </si>
  <si>
    <t>[7, 1, 5, 1, 8, 13, 8, 1, 1, 12, 11, 12, 16, 16, 10, 26, 14, 13, 14, 15]</t>
  </si>
  <si>
    <t>[6, 5, 12, 6, 6, 6, 7, 8, 6, 7, 11, 13, 16, 16, 23, 16, 12, 13, 13, 2]</t>
  </si>
  <si>
    <t>['LC009 - Municipalidad De Las Condes -&gt; LC047 - Apoquindo / Luiz Zegers', 'LC011 - Metro Hernando De Magallanes -&gt; LC068 - Metro Manquehue - Sur', 'LC033 - Vitacura / San Patricio -&gt; LC009 - Municipalidad De Las Condes', 'LC034 - Zurich -&gt; LC066 - Cerro Colorado / Rosario Norte', 'LC047 - Apoquindo / Luiz Zegers -&gt; LC010 - Metro Manquehue - Norte', 'LC097 - Roger de Flor -&gt; LC019 - Metro Alcántara', 'S17 - San Isidro / Santa Isabel -&gt; S20 - Metro Santa Lucía', 'S20 - Metro Santa Lucía -&gt; LC011 - Metro Hernando De Magallanes', 'S30 - San Pablo -&gt; S03 - Teatinos / General Mackenna', 'S64 - República / Gorbea -&gt; S11 - Metro Toesca']</t>
  </si>
  <si>
    <t>[3.0, 5.0, 2.0, 7.0, 4.0, 5.0, 10.0, 12.0, 1.0, 13.0]</t>
  </si>
  <si>
    <t>2024-12-06 18:00</t>
  </si>
  <si>
    <t>[6, 0, 7, 8, 7, 4, 2, 13, 6, 4, 14, 9, 19, 14, 28, 21, 9, 17, 10, 15]</t>
  </si>
  <si>
    <t>[6, 5, 8, 8, 7, 6, 7, 8, 10, 11, 14, 9, 10, 14, 27, 24, 9, 14, 13, 3]</t>
  </si>
  <si>
    <t>['LC066 - Cerro Colorado / Rosario Norte -&gt; LC047 - Apoquindo / Luiz Zegers', 'LC068 - Metro Manquehue - Sur -&gt; LC010 - Metro Manquehue - Norte', 'LC068 - Metro Manquehue - Sur -&gt; LC011 - Metro Hernando De Magallanes', 'LC097 - Roger de Flor -&gt; LC034 - Zurich', 'S05 - Metro Bellas Artes -&gt; LC097 - Roger de Flor', 'S11 - Metro Toesca -&gt; S17 - San Isidro / Santa Isabel', 'S17 - San Isidro / Santa Isabel -&gt; LC068 - Metro Manquehue - Sur', 'S24 - Plaza Yungay -&gt; S30 - San Pablo', 'S64 - República / Gorbea -&gt; S11 - Metro Toesca']</t>
  </si>
  <si>
    <t>[5.0, 5.0, 1.0, 2.0, 9.0, 13.0, 10.0, 3.0, 12.0]</t>
  </si>
  <si>
    <t>2024-12-07 18:00</t>
  </si>
  <si>
    <t>[1, 5, 8, 6, 6, 4, 1, 5, 7, 9, 14, 16, 13, 11, 27, 25, 5, 19, 11, 12]</t>
  </si>
  <si>
    <t>[6, 5, 8, 6, 6, 6, 7, 8, 7, 7, 14, 13, 5, 16, 27, 19, 5, 15, 13, 12]</t>
  </si>
  <si>
    <t>['LC066 - Cerro Colorado / Rosario Norte -&gt; LC009 - Municipalidad De Las Condes', 'LC097 - Roger de Flor -&gt; LC034 - Zurich', 'S03 - Teatinos / General Mackenna -&gt; S30 - San Pablo', 'S05 - Metro Bellas Artes -&gt; LC066 - Cerro Colorado / Rosario Norte', 'S17 - San Isidro / Santa Isabel -&gt; LC047 - Apoquindo / Luiz Zegers', 'S24 - Plaza Yungay -&gt; S30 - San Pablo', 'S30 - San Pablo -&gt; S09 - Santo Domingo / Morandé']</t>
  </si>
  <si>
    <t>[5.0, 2.0, 3.0, 8.0, 6.0, 4.0, 5.0]</t>
  </si>
  <si>
    <t>2024-12-08 18:00</t>
  </si>
  <si>
    <t>[12, 5, 6, 7, 4, 3, 4, 12, 3, 6, 7, 12, 15, 4, 29, 26, 15, 18, 15, 12]</t>
  </si>
  <si>
    <t>[7, 5, 8, 7, 6, 6, 8, 8, 6, 7, 14, 12, 15, 6, 24, 23, 12, 16, 13, 12]</t>
  </si>
  <si>
    <t>['LC009 - Municipalidad De Las Condes -&gt; LC068 - Metro Manquehue - Sur', 'LC034 - Zurich -&gt; LC033 - Vitacura / San Patricio', 'LC034 - Zurich -&gt; LC097 - Roger de Flor', 'LC066 - Cerro Colorado / Rosario Norte -&gt; LC047 - Apoquindo / Luiz Zegers', 'LC068 - Metro Manquehue - Sur -&gt; LC011 - Metro Hernando De Magallanes', 'S11 - Metro Toesca -&gt; S01 - Agustinas / Manuel Rodríguez Norte', 'S17 - San Isidro / Santa Isabel -&gt; S20 - Metro Santa Lucía', 'S20 - Metro Santa Lucía -&gt; LC034 - Zurich', 'S24 - Plaza Yungay -&gt; S01 - Agustinas / Manuel Rodríguez Norte', 'S30 - San Pablo -&gt; S09 - Santo Domingo / Morandé']</t>
  </si>
  <si>
    <t>[5.0, 2.0, 1.0, 4.0, 2.0, 5.0, 3.0, 6.0, 2.0, 2.0]</t>
  </si>
  <si>
    <t>8 noviembre 18:00 hrs</t>
  </si>
  <si>
    <t>9 noviembre 18:00 hrs</t>
  </si>
  <si>
    <t>10 noviembre 18:00 hrs</t>
  </si>
  <si>
    <t>Lunes 11 noviembre 18:00 hrs</t>
  </si>
  <si>
    <t>12 noviembre 18:00 hrs</t>
  </si>
  <si>
    <t>13 noviembre 18:00 hrs</t>
  </si>
  <si>
    <t>14 noviembre 18:00 hrs</t>
  </si>
  <si>
    <t>15 noviembre 18:00 hrs</t>
  </si>
  <si>
    <t>Estacion</t>
  </si>
  <si>
    <t>Inv_inicialprom_viernes</t>
  </si>
  <si>
    <t>Inv_final 18:45</t>
  </si>
  <si>
    <t>Inv_final 19:00</t>
  </si>
  <si>
    <t>Inventario_Final</t>
  </si>
  <si>
    <t>Asimetría</t>
  </si>
  <si>
    <t>Validar_asimetria</t>
  </si>
  <si>
    <t>Diferencia</t>
  </si>
  <si>
    <t>Inv_inicialprom_sabado</t>
  </si>
  <si>
    <t>Inv_inicialprom_domingo</t>
  </si>
  <si>
    <t>Inv_inicialprom_lunes</t>
  </si>
  <si>
    <t>Inv_inicialprom_martes</t>
  </si>
  <si>
    <t>Promedio_bikes</t>
  </si>
  <si>
    <t>Inv_inicialprom_miercoles</t>
  </si>
  <si>
    <t>Inv_inicialprom_jueves</t>
  </si>
  <si>
    <t>LC009 - Municipalidad De Las Condes</t>
  </si>
  <si>
    <t>LC010 - Metro Manquehue - Norte</t>
  </si>
  <si>
    <t>LC011 - Metro Hernando De Magallanes</t>
  </si>
  <si>
    <t>LC019 - Metro Alcántara</t>
  </si>
  <si>
    <t>LC033 - Vitacura / San Patricio</t>
  </si>
  <si>
    <t>LC034 - Zurich</t>
  </si>
  <si>
    <t>LC047 - Apoquindo / Luiz Zegers</t>
  </si>
  <si>
    <t>LC066 - Cerro Colorado / Rosario Norte</t>
  </si>
  <si>
    <t>LC068 - Metro Manquehue - Sur</t>
  </si>
  <si>
    <t>LC097 - Roger de Flor</t>
  </si>
  <si>
    <t>S01 - Agustinas / Manuel Rodríguez Norte</t>
  </si>
  <si>
    <t>S03 - Teatinos / General Mackenna</t>
  </si>
  <si>
    <t>S05 - Metro Bellas Artes</t>
  </si>
  <si>
    <t>S09 - Santo Domingo / Morandé</t>
  </si>
  <si>
    <t>S11 - Metro Toesca</t>
  </si>
  <si>
    <t>S17 - San Isidro / Santa Isabel</t>
  </si>
  <si>
    <t>S20 - Metro Santa Lucía</t>
  </si>
  <si>
    <t>S24 - Plaza Yungay</t>
  </si>
  <si>
    <t>S30 - San Pablo</t>
  </si>
  <si>
    <t>S64 - República / Gorbea</t>
  </si>
  <si>
    <t>Promedio L</t>
  </si>
  <si>
    <t>Promedio S</t>
  </si>
  <si>
    <t>Asimetria L</t>
  </si>
  <si>
    <t>Asimetria S</t>
  </si>
  <si>
    <t>Costo</t>
  </si>
  <si>
    <t>Flujos</t>
  </si>
  <si>
    <t>Cantidad de estaciones que visita</t>
  </si>
  <si>
    <t>16 noviembre 18:00 hrs</t>
  </si>
  <si>
    <t>17 noviembre 18:00 hrs</t>
  </si>
  <si>
    <t>Lunes 18 noviembre 18:00 hrs</t>
  </si>
  <si>
    <t>19 noviembre 18:00 hrs</t>
  </si>
  <si>
    <t>20 noviembre 18:00 hrs</t>
  </si>
  <si>
    <t>21 noviembre 18:00 hrs</t>
  </si>
  <si>
    <t>22 noviembre 18:00 hrs</t>
  </si>
  <si>
    <t>23 noviembre 18:00 hrs</t>
  </si>
  <si>
    <t>Estación</t>
  </si>
  <si>
    <t>vaciado el inv final debe ser mayor que el prom</t>
  </si>
  <si>
    <t>24 noviembre 18:00 hrs</t>
  </si>
  <si>
    <t>25 noviembre 18:00 hrs</t>
  </si>
  <si>
    <t>26 noviembre 18:00 hrs</t>
  </si>
  <si>
    <t>27 noviembre 18:00 hrs</t>
  </si>
  <si>
    <t>28 noviembre 18:00 hrs</t>
  </si>
  <si>
    <t>29 noviembre 18:00 hrs</t>
  </si>
  <si>
    <t>30 noviembre 18:00 hrs</t>
  </si>
  <si>
    <t>01 diciembre 18:00 hrs</t>
  </si>
  <si>
    <t>02 diciembre 18:00 hrs</t>
  </si>
  <si>
    <t>03 diciembre 18:00 hrs</t>
  </si>
  <si>
    <t>04 diciembre 18:00 hrs</t>
  </si>
  <si>
    <t>05 diciembre 18:00 hrs</t>
  </si>
  <si>
    <t>06 diciembre 18:00 hrs</t>
  </si>
  <si>
    <t>07 diciembre 18:00 hrs</t>
  </si>
  <si>
    <t>08 diciembre 18:00 hrs</t>
  </si>
  <si>
    <t>Lunes 18:00 hrs</t>
  </si>
  <si>
    <t>Martes</t>
  </si>
  <si>
    <t>Miercoles</t>
  </si>
  <si>
    <t>Jueves</t>
  </si>
  <si>
    <t>Viernes</t>
  </si>
  <si>
    <t>Sábado</t>
  </si>
  <si>
    <t>Domingo</t>
  </si>
  <si>
    <t>Recomendación global</t>
  </si>
  <si>
    <t>CT semanal</t>
  </si>
  <si>
    <t>Flujos totales</t>
  </si>
  <si>
    <t>60 flujos AM</t>
  </si>
  <si>
    <t>se multiplica por 2, pq hay 2 estaciones</t>
  </si>
  <si>
    <t>visitan la estacion de las condes 20</t>
  </si>
  <si>
    <t>Costo promedio</t>
  </si>
  <si>
    <t>Flujos promedio</t>
  </si>
  <si>
    <t>Costo semanal promedio</t>
  </si>
  <si>
    <t>Flujos empresa</t>
  </si>
  <si>
    <t>Flujos sistema</t>
  </si>
  <si>
    <t>Costo mensual promedio</t>
  </si>
  <si>
    <t>Asumir que rebalancean las Top 10 y comparar con nuestras Top 10</t>
  </si>
  <si>
    <t>Flujo prom diario</t>
  </si>
  <si>
    <t>Comparar tomar del total 2 muestras representativas y ver que pasa con ellas</t>
  </si>
  <si>
    <t>Estaciones visitadas diario</t>
  </si>
  <si>
    <t>$1 costo de rebalancear lo nuestro CT</t>
  </si>
  <si>
    <t>$2 costo de rebalancear top 10 de ellos CT</t>
  </si>
  <si>
    <t>A medida que el promedio de vaciado baja el costo va a subir</t>
  </si>
  <si>
    <t>Bikes disponibles</t>
  </si>
  <si>
    <t>Fecha_Hora</t>
  </si>
  <si>
    <t>2024-11-08 18:45</t>
  </si>
  <si>
    <t>2024-11-08 19:00</t>
  </si>
  <si>
    <t>Lunes</t>
  </si>
  <si>
    <t>octubre y noviembre</t>
  </si>
  <si>
    <t xml:space="preserve"> Inv_inical 18:00</t>
  </si>
  <si>
    <t>Lunes 14-10</t>
  </si>
  <si>
    <t>Lunes 21-10</t>
  </si>
  <si>
    <t>Lunes 28-10</t>
  </si>
  <si>
    <t>Lunes 04-11</t>
  </si>
  <si>
    <t>Lunes 11-11</t>
  </si>
  <si>
    <t>Lunes 18-11</t>
  </si>
  <si>
    <t>Lunes 25-11</t>
  </si>
  <si>
    <t>Lunes 02-12</t>
  </si>
  <si>
    <t>Lunes 09-12</t>
  </si>
  <si>
    <t>RECUERDA ORDENAR LOS PROM_LUNES</t>
  </si>
  <si>
    <t xml:space="preserve"> Inv_inical 18:00 Martes</t>
  </si>
  <si>
    <t xml:space="preserve"> Inv_inical 18:00 Miercoles</t>
  </si>
  <si>
    <t xml:space="preserve"> Inv_inical 18:00 Jueves</t>
  </si>
  <si>
    <t xml:space="preserve"> Inv_inical 18:00 Viernes</t>
  </si>
  <si>
    <t>no habia valor y le puse 9:30 2 de no</t>
  </si>
  <si>
    <t xml:space="preserve"> Inv_inical 18:00 Sabado</t>
  </si>
  <si>
    <t xml:space="preserve"> Inv_inical 18:00 Domingo</t>
  </si>
  <si>
    <t xml:space="preserve">20-10 cambiada falta info </t>
  </si>
  <si>
    <t>27 falta info</t>
  </si>
  <si>
    <t>Prom_lunes</t>
  </si>
  <si>
    <t>Prom_martes</t>
  </si>
  <si>
    <t>Prom_miercoles</t>
  </si>
  <si>
    <t>Prom_jueves</t>
  </si>
  <si>
    <t>Prom_viernes</t>
  </si>
  <si>
    <t>Prom_sabado</t>
  </si>
  <si>
    <t>Prom_domingo</t>
  </si>
  <si>
    <t>Sabado</t>
  </si>
  <si>
    <t>Inventario</t>
  </si>
  <si>
    <t>Promedio vaciado</t>
  </si>
  <si>
    <t>Promedio llenado</t>
  </si>
  <si>
    <t>conteo_validar_asimetría</t>
  </si>
  <si>
    <t xml:space="preserve">promedio diferencia </t>
  </si>
  <si>
    <t>10.004090559629871, 5.533385495081708</t>
  </si>
  <si>
    <t>10.635406214001765, 4.987276455643605</t>
  </si>
  <si>
    <t>12.434759141564998, 7.089509224319054</t>
  </si>
  <si>
    <t>9.851698579939331, 5.8252172823557515</t>
  </si>
  <si>
    <t>10.238196952275317, 5.417276727184288</t>
  </si>
  <si>
    <t>10.17501565430895, 5.527547928390382</t>
  </si>
  <si>
    <t>10.099401024599093, 6.043128267233983</t>
  </si>
  <si>
    <t>12.051882199972221, 7.749664391299598</t>
  </si>
  <si>
    <t>10.319775554499904, 5.43199005301033</t>
  </si>
  <si>
    <t>11.045976347800645, 6.656701273321994</t>
  </si>
  <si>
    <t>14.839788149619329, 2.16021185038067</t>
  </si>
  <si>
    <t>13.776895067858325, 2.223104932141675</t>
  </si>
  <si>
    <t>16.680569347898047, 2.319430652101955</t>
  </si>
  <si>
    <t>16.74875868917577, 2.2512413108242297</t>
  </si>
  <si>
    <t>27.2821978021978, 3.7178021978022002</t>
  </si>
  <si>
    <t>24.496714129244246, 2.5032858707557506</t>
  </si>
  <si>
    <t>12.993069306930696, 2.006930693069305</t>
  </si>
  <si>
    <t>16.690830850711684, 2.3091691492883153</t>
  </si>
  <si>
    <t>13.09930486593843, 1.9006951340615696</t>
  </si>
  <si>
    <t>13.019198940748096, 1.9808010592519047</t>
  </si>
  <si>
    <t>5-10</t>
  </si>
  <si>
    <t>4-10</t>
  </si>
  <si>
    <t>7-12</t>
  </si>
  <si>
    <t>5-9</t>
  </si>
  <si>
    <t>6-10</t>
  </si>
  <si>
    <t>6-11</t>
  </si>
  <si>
    <t>2-14</t>
  </si>
  <si>
    <t>2-13</t>
  </si>
  <si>
    <t>2-16</t>
  </si>
  <si>
    <t>3-27</t>
  </si>
  <si>
    <t>2-24</t>
  </si>
  <si>
    <t>2-12</t>
  </si>
  <si>
    <t>1-13</t>
  </si>
  <si>
    <t>ORDEN ENTREGADO PROGRAMA LIMITES</t>
  </si>
  <si>
    <t>Límites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</si>
</sst>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00000"/>
  </numFmts>
  <fonts count="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font>
    <font>
      <sz val="11"/>
      <color theme="1"/>
      <name val="Calibri"/>
      <family val="2"/>
      <scheme val="minor"/>
    </font>
    <font>
      <sz val="11"/>
      <color theme="1"/>
      <name val="Calibri"/>
      <family val="2"/>
    </font>
    <font>
      <sz val="11"/>
      <color rgb="FFFF0000"/>
      <name val="Calibri"/>
      <family val="2"/>
    </font>
  </fonts>
  <fills count="3">
    <fill>
      <patternFill patternType="none"/>
    </fill>
    <fill>
      <patternFill patternType="gray125"/>
    </fill>
    <fill>
      <patternFill patternType="solid">
        <fgColor rgb="FFFFFF00"/>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top style="thin">
        <color rgb="FF000000"/>
      </top>
      <bottom/>
      <diagonal/>
    </border>
    <border>
      <left style="thin">
        <color rgb="FF000000"/>
      </left>
      <right/>
      <top/>
      <bottom style="thin">
        <color rgb="FF000000"/>
      </bottom>
      <diagonal/>
    </border>
  </borders>
  <cellStyleXfs count="1">
    <xf numFmtId="0" fontId="0" fillId="0" borderId="0"/>
  </cellStyleXfs>
  <cellXfs count="47">
    <xf numFmtId="0" fontId="0" fillId="0" borderId="0" xfId="0"/>
    <xf numFmtId="0" fontId="4" fillId="0" borderId="1" xfId="0" applyFont="1" applyBorder="1" applyAlignment="1">
      <alignment horizontal="center" vertical="top"/>
    </xf>
    <xf numFmtId="0" fontId="4" fillId="0" borderId="2" xfId="0" applyFont="1" applyBorder="1" applyAlignment="1">
      <alignment horizontal="center" vertical="top"/>
    </xf>
    <xf numFmtId="0" fontId="5" fillId="0" borderId="0" xfId="0" applyFont="1"/>
    <xf numFmtId="0" fontId="6" fillId="0" borderId="1" xfId="0" applyFont="1" applyBorder="1"/>
    <xf numFmtId="0" fontId="6" fillId="0" borderId="0" xfId="0" applyFont="1"/>
    <xf numFmtId="0" fontId="6" fillId="0" borderId="3" xfId="0" applyFont="1" applyBorder="1"/>
    <xf numFmtId="0" fontId="6" fillId="0" borderId="1" xfId="0" applyFont="1" applyBorder="1" applyAlignment="1">
      <alignment horizontal="center" vertical="top"/>
    </xf>
    <xf numFmtId="1" fontId="6" fillId="0" borderId="1" xfId="0" applyNumberFormat="1" applyFont="1" applyBorder="1"/>
    <xf numFmtId="1" fontId="6" fillId="0" borderId="0" xfId="0" applyNumberFormat="1" applyFont="1"/>
    <xf numFmtId="164" fontId="6" fillId="0" borderId="0" xfId="0" applyNumberFormat="1" applyFont="1"/>
    <xf numFmtId="0" fontId="6" fillId="0" borderId="1" xfId="0" applyFont="1" applyBorder="1" applyAlignment="1">
      <alignment wrapText="1"/>
    </xf>
    <xf numFmtId="0" fontId="6" fillId="0" borderId="0" xfId="0" applyFont="1" applyAlignment="1">
      <alignment wrapText="1"/>
    </xf>
    <xf numFmtId="0" fontId="4" fillId="0" borderId="0" xfId="0" applyFont="1" applyAlignment="1">
      <alignment horizontal="center" vertical="top"/>
    </xf>
    <xf numFmtId="0" fontId="6" fillId="0" borderId="4" xfId="0" applyFont="1" applyBorder="1"/>
    <xf numFmtId="0" fontId="6" fillId="0" borderId="5" xfId="0" applyFont="1" applyBorder="1"/>
    <xf numFmtId="165" fontId="6" fillId="0" borderId="1" xfId="0" applyNumberFormat="1" applyFont="1" applyBorder="1"/>
    <xf numFmtId="2" fontId="6" fillId="0" borderId="1" xfId="0" applyNumberFormat="1" applyFont="1" applyBorder="1"/>
    <xf numFmtId="0" fontId="6" fillId="0" borderId="2" xfId="0" applyFont="1" applyBorder="1"/>
    <xf numFmtId="0" fontId="6" fillId="0" borderId="6" xfId="0" applyFont="1" applyBorder="1"/>
    <xf numFmtId="16" fontId="6" fillId="0" borderId="1" xfId="0" applyNumberFormat="1" applyFont="1" applyBorder="1"/>
    <xf numFmtId="16" fontId="7" fillId="0" borderId="2" xfId="0" applyNumberFormat="1" applyFont="1" applyBorder="1"/>
    <xf numFmtId="1" fontId="6" fillId="0" borderId="4" xfId="0" applyNumberFormat="1" applyFont="1" applyBorder="1"/>
    <xf numFmtId="1" fontId="6" fillId="0" borderId="7" xfId="0" applyNumberFormat="1" applyFont="1" applyBorder="1"/>
    <xf numFmtId="0" fontId="0" fillId="0" borderId="7" xfId="0" applyBorder="1"/>
    <xf numFmtId="1" fontId="0" fillId="0" borderId="7" xfId="0" applyNumberFormat="1" applyBorder="1"/>
    <xf numFmtId="0" fontId="6" fillId="0" borderId="7" xfId="0" applyFont="1" applyBorder="1"/>
    <xf numFmtId="164" fontId="0" fillId="0" borderId="7" xfId="0" applyNumberFormat="1" applyBorder="1"/>
    <xf numFmtId="0" fontId="6" fillId="0" borderId="7" xfId="0" applyFont="1" applyBorder="1" applyAlignment="1">
      <alignment horizontal="center" vertical="top"/>
    </xf>
    <xf numFmtId="2" fontId="6" fillId="0" borderId="7" xfId="0" applyNumberFormat="1" applyFont="1" applyBorder="1"/>
    <xf numFmtId="2" fontId="6" fillId="0" borderId="4" xfId="0" applyNumberFormat="1" applyFont="1" applyBorder="1"/>
    <xf numFmtId="0" fontId="6" fillId="0" borderId="8" xfId="0" applyFont="1" applyBorder="1"/>
    <xf numFmtId="0" fontId="3" fillId="0" borderId="1" xfId="0" applyFont="1" applyBorder="1"/>
    <xf numFmtId="0" fontId="3" fillId="0" borderId="4" xfId="0" applyFont="1" applyBorder="1"/>
    <xf numFmtId="0" fontId="3" fillId="0" borderId="7" xfId="0" applyFont="1" applyBorder="1"/>
    <xf numFmtId="0" fontId="3" fillId="0" borderId="0" xfId="0" applyFont="1"/>
    <xf numFmtId="0" fontId="6" fillId="0" borderId="9" xfId="0" applyFont="1" applyBorder="1"/>
    <xf numFmtId="0" fontId="2" fillId="0" borderId="0" xfId="0" applyFont="1"/>
    <xf numFmtId="1" fontId="0" fillId="0" borderId="0" xfId="0" applyNumberFormat="1"/>
    <xf numFmtId="0" fontId="0" fillId="2" borderId="0" xfId="0" applyFill="1"/>
    <xf numFmtId="0" fontId="1" fillId="0" borderId="0" xfId="0" applyFont="1"/>
    <xf numFmtId="0" fontId="6" fillId="0" borderId="0" xfId="0" applyFont="1" applyBorder="1"/>
    <xf numFmtId="0" fontId="0" fillId="0" borderId="0" xfId="0" applyBorder="1"/>
    <xf numFmtId="0" fontId="1" fillId="0" borderId="0" xfId="0" applyFont="1" applyBorder="1"/>
    <xf numFmtId="0" fontId="4" fillId="0" borderId="4" xfId="0" applyFont="1" applyBorder="1" applyAlignment="1">
      <alignment horizontal="center" vertical="top"/>
    </xf>
    <xf numFmtId="0" fontId="3" fillId="0" borderId="10" xfId="0" applyFont="1" applyBorder="1"/>
    <xf numFmtId="1" fontId="6" fillId="0" borderId="5" xfId="0" applyNumberFormat="1" applyFont="1" applyBorder="1"/>
  </cellXfs>
  <cellStyles count="1">
    <cellStyle name="Normal" xfId="0" builtinId="0"/>
  </cellStyles>
  <dxfs count="1">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 reequilibrado contra histórico 18:00 horas Vaciado y llenado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'120seg'!$AF$41:$AF$60</c:f>
              <c:numCache>
                <c:formatCode>General</c:formatCode>
                <c:ptCount val="20"/>
                <c:pt idx="0">
                  <c:v>7</c:v>
                </c:pt>
                <c:pt idx="1">
                  <c:v>8</c:v>
                </c:pt>
                <c:pt idx="2">
                  <c:v>6</c:v>
                </c:pt>
                <c:pt idx="3">
                  <c:v>7</c:v>
                </c:pt>
                <c:pt idx="4">
                  <c:v>6</c:v>
                </c:pt>
                <c:pt idx="5">
                  <c:v>7</c:v>
                </c:pt>
                <c:pt idx="6">
                  <c:v>6</c:v>
                </c:pt>
                <c:pt idx="7">
                  <c:v>5</c:v>
                </c:pt>
                <c:pt idx="8">
                  <c:v>6</c:v>
                </c:pt>
                <c:pt idx="9">
                  <c:v>8</c:v>
                </c:pt>
                <c:pt idx="10">
                  <c:v>13</c:v>
                </c:pt>
                <c:pt idx="11">
                  <c:v>13</c:v>
                </c:pt>
                <c:pt idx="12">
                  <c:v>7</c:v>
                </c:pt>
                <c:pt idx="13">
                  <c:v>22</c:v>
                </c:pt>
                <c:pt idx="14">
                  <c:v>9</c:v>
                </c:pt>
                <c:pt idx="15">
                  <c:v>8</c:v>
                </c:pt>
                <c:pt idx="16">
                  <c:v>13</c:v>
                </c:pt>
                <c:pt idx="17">
                  <c:v>12</c:v>
                </c:pt>
                <c:pt idx="18">
                  <c:v>13</c:v>
                </c:pt>
                <c:pt idx="19">
                  <c:v>23</c:v>
                </c:pt>
              </c:numCache>
            </c:numRef>
          </c:val>
          <c:smooth val="0"/>
          <c:extLst>
            <c:ext xmlns:c16="http://schemas.microsoft.com/office/drawing/2014/chart" uri="{C3380CC4-5D6E-409C-BE32-E72D297353CC}">
              <c16:uniqueId val="{00000000-B0C0-4496-ADBA-A45079EFBE2A}"/>
            </c:ext>
          </c:extLst>
        </c:ser>
        <c:ser>
          <c:idx val="1"/>
          <c:order val="1"/>
          <c:tx>
            <c:v>Inv_inicialprom_lunes</c:v>
          </c:tx>
          <c:spPr>
            <a:ln w="28575" cmpd="sng">
              <a:solidFill>
                <a:schemeClr val="accent2"/>
              </a:solidFill>
            </a:ln>
          </c:spPr>
          <c:marker>
            <c:symbol val="none"/>
          </c:marker>
          <c:val>
            <c:numRef>
              <c:f>'120seg'!$AC$41:$AC$60</c:f>
              <c:numCache>
                <c:formatCode>0</c:formatCode>
                <c:ptCount val="20"/>
                <c:pt idx="0">
                  <c:v>6.1111111111111107</c:v>
                </c:pt>
                <c:pt idx="1">
                  <c:v>3.5555555555555554</c:v>
                </c:pt>
                <c:pt idx="2">
                  <c:v>3.2222222222222223</c:v>
                </c:pt>
                <c:pt idx="3">
                  <c:v>4.7777777777777777</c:v>
                </c:pt>
                <c:pt idx="4">
                  <c:v>6.7777777777777777</c:v>
                </c:pt>
                <c:pt idx="5">
                  <c:v>3.8888888888888888</c:v>
                </c:pt>
                <c:pt idx="6">
                  <c:v>10</c:v>
                </c:pt>
                <c:pt idx="7">
                  <c:v>3.6666666666666665</c:v>
                </c:pt>
                <c:pt idx="8">
                  <c:v>4.5555555555555554</c:v>
                </c:pt>
                <c:pt idx="9">
                  <c:v>5.333333333333333</c:v>
                </c:pt>
                <c:pt idx="10">
                  <c:v>11.222222222222221</c:v>
                </c:pt>
                <c:pt idx="11">
                  <c:v>11.333333333333334</c:v>
                </c:pt>
                <c:pt idx="12">
                  <c:v>9.2222222222222214</c:v>
                </c:pt>
                <c:pt idx="13">
                  <c:v>22.777777777777779</c:v>
                </c:pt>
                <c:pt idx="14">
                  <c:v>13.555555555555555</c:v>
                </c:pt>
                <c:pt idx="15">
                  <c:v>10.333333333333334</c:v>
                </c:pt>
                <c:pt idx="16">
                  <c:v>10.777777777777779</c:v>
                </c:pt>
                <c:pt idx="17">
                  <c:v>13.111111111111111</c:v>
                </c:pt>
                <c:pt idx="18">
                  <c:v>11.222222222222221</c:v>
                </c:pt>
                <c:pt idx="19">
                  <c:v>23.111111111111111</c:v>
                </c:pt>
              </c:numCache>
            </c:numRef>
          </c:val>
          <c:smooth val="0"/>
          <c:extLst>
            <c:ext xmlns:c16="http://schemas.microsoft.com/office/drawing/2014/chart" uri="{C3380CC4-5D6E-409C-BE32-E72D297353CC}">
              <c16:uniqueId val="{00000001-B0C0-4496-ADBA-A45079EFBE2A}"/>
            </c:ext>
          </c:extLst>
        </c:ser>
        <c:dLbls>
          <c:showLegendKey val="0"/>
          <c:showVal val="0"/>
          <c:showCatName val="0"/>
          <c:showSerName val="0"/>
          <c:showPercent val="0"/>
          <c:showBubbleSize val="0"/>
        </c:dLbls>
        <c:smooth val="0"/>
        <c:axId val="1305692504"/>
        <c:axId val="1720086250"/>
      </c:lineChart>
      <c:catAx>
        <c:axId val="1305692504"/>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20086250"/>
        <c:crosses val="autoZero"/>
        <c:auto val="1"/>
        <c:lblAlgn val="ctr"/>
        <c:lblOffset val="100"/>
        <c:noMultiLvlLbl val="1"/>
      </c:catAx>
      <c:valAx>
        <c:axId val="172008625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0569250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llenado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'120seg'!$AF$51:$AF$60</c:f>
              <c:numCache>
                <c:formatCode>General</c:formatCode>
                <c:ptCount val="10"/>
                <c:pt idx="0">
                  <c:v>13</c:v>
                </c:pt>
                <c:pt idx="1">
                  <c:v>13</c:v>
                </c:pt>
                <c:pt idx="2">
                  <c:v>7</c:v>
                </c:pt>
                <c:pt idx="3">
                  <c:v>22</c:v>
                </c:pt>
                <c:pt idx="4">
                  <c:v>9</c:v>
                </c:pt>
                <c:pt idx="5">
                  <c:v>8</c:v>
                </c:pt>
                <c:pt idx="6">
                  <c:v>13</c:v>
                </c:pt>
                <c:pt idx="7">
                  <c:v>12</c:v>
                </c:pt>
                <c:pt idx="8">
                  <c:v>13</c:v>
                </c:pt>
                <c:pt idx="9">
                  <c:v>23</c:v>
                </c:pt>
              </c:numCache>
            </c:numRef>
          </c:val>
          <c:smooth val="0"/>
          <c:extLst>
            <c:ext xmlns:c16="http://schemas.microsoft.com/office/drawing/2014/chart" uri="{C3380CC4-5D6E-409C-BE32-E72D297353CC}">
              <c16:uniqueId val="{00000000-3647-4CC8-8884-5F666FDEA4E3}"/>
            </c:ext>
          </c:extLst>
        </c:ser>
        <c:ser>
          <c:idx val="1"/>
          <c:order val="1"/>
          <c:tx>
            <c:v>inv_inicialprom_lunes</c:v>
          </c:tx>
          <c:spPr>
            <a:ln w="28575" cmpd="sng">
              <a:solidFill>
                <a:schemeClr val="accent2"/>
              </a:solidFill>
            </a:ln>
          </c:spPr>
          <c:marker>
            <c:symbol val="none"/>
          </c:marker>
          <c:val>
            <c:numRef>
              <c:f>'120seg'!$AC$51:$AC$60</c:f>
              <c:numCache>
                <c:formatCode>0</c:formatCode>
                <c:ptCount val="10"/>
                <c:pt idx="0">
                  <c:v>11.222222222222221</c:v>
                </c:pt>
                <c:pt idx="1">
                  <c:v>11.333333333333334</c:v>
                </c:pt>
                <c:pt idx="2">
                  <c:v>9.2222222222222214</c:v>
                </c:pt>
                <c:pt idx="3">
                  <c:v>22.777777777777779</c:v>
                </c:pt>
                <c:pt idx="4">
                  <c:v>13.555555555555555</c:v>
                </c:pt>
                <c:pt idx="5">
                  <c:v>10.333333333333334</c:v>
                </c:pt>
                <c:pt idx="6">
                  <c:v>10.777777777777779</c:v>
                </c:pt>
                <c:pt idx="7">
                  <c:v>13.111111111111111</c:v>
                </c:pt>
                <c:pt idx="8">
                  <c:v>11.222222222222221</c:v>
                </c:pt>
                <c:pt idx="9">
                  <c:v>23.111111111111111</c:v>
                </c:pt>
              </c:numCache>
            </c:numRef>
          </c:val>
          <c:smooth val="0"/>
          <c:extLst>
            <c:ext xmlns:c16="http://schemas.microsoft.com/office/drawing/2014/chart" uri="{C3380CC4-5D6E-409C-BE32-E72D297353CC}">
              <c16:uniqueId val="{00000001-3647-4CC8-8884-5F666FDEA4E3}"/>
            </c:ext>
          </c:extLst>
        </c:ser>
        <c:dLbls>
          <c:showLegendKey val="0"/>
          <c:showVal val="0"/>
          <c:showCatName val="0"/>
          <c:showSerName val="0"/>
          <c:showPercent val="0"/>
          <c:showBubbleSize val="0"/>
        </c:dLbls>
        <c:smooth val="0"/>
        <c:axId val="608801485"/>
        <c:axId val="86309220"/>
      </c:lineChart>
      <c:catAx>
        <c:axId val="60880148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6309220"/>
        <c:crosses val="autoZero"/>
        <c:auto val="1"/>
        <c:lblAlgn val="ctr"/>
        <c:lblOffset val="100"/>
        <c:noMultiLvlLbl val="1"/>
      </c:catAx>
      <c:valAx>
        <c:axId val="8630922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60880148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vaciado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'120seg'!$AF$41:$AF$50</c:f>
              <c:numCache>
                <c:formatCode>General</c:formatCode>
                <c:ptCount val="10"/>
                <c:pt idx="0">
                  <c:v>7</c:v>
                </c:pt>
                <c:pt idx="1">
                  <c:v>8</c:v>
                </c:pt>
                <c:pt idx="2">
                  <c:v>6</c:v>
                </c:pt>
                <c:pt idx="3">
                  <c:v>7</c:v>
                </c:pt>
                <c:pt idx="4">
                  <c:v>6</c:v>
                </c:pt>
                <c:pt idx="5">
                  <c:v>7</c:v>
                </c:pt>
                <c:pt idx="6">
                  <c:v>6</c:v>
                </c:pt>
                <c:pt idx="7">
                  <c:v>5</c:v>
                </c:pt>
                <c:pt idx="8">
                  <c:v>6</c:v>
                </c:pt>
                <c:pt idx="9">
                  <c:v>8</c:v>
                </c:pt>
              </c:numCache>
            </c:numRef>
          </c:val>
          <c:smooth val="0"/>
          <c:extLst>
            <c:ext xmlns:c16="http://schemas.microsoft.com/office/drawing/2014/chart" uri="{C3380CC4-5D6E-409C-BE32-E72D297353CC}">
              <c16:uniqueId val="{00000000-08FD-4A8A-A7BF-93EFF0BA2A05}"/>
            </c:ext>
          </c:extLst>
        </c:ser>
        <c:ser>
          <c:idx val="1"/>
          <c:order val="1"/>
          <c:tx>
            <c:v>inv_inicialprom_lunes</c:v>
          </c:tx>
          <c:spPr>
            <a:ln w="28575" cmpd="sng">
              <a:solidFill>
                <a:schemeClr val="accent2"/>
              </a:solidFill>
            </a:ln>
          </c:spPr>
          <c:marker>
            <c:symbol val="none"/>
          </c:marker>
          <c:val>
            <c:numRef>
              <c:f>'120seg'!$AC$42:$AC$50</c:f>
              <c:numCache>
                <c:formatCode>0</c:formatCode>
                <c:ptCount val="9"/>
                <c:pt idx="0">
                  <c:v>3.5555555555555554</c:v>
                </c:pt>
                <c:pt idx="1">
                  <c:v>3.2222222222222223</c:v>
                </c:pt>
                <c:pt idx="2">
                  <c:v>4.7777777777777777</c:v>
                </c:pt>
                <c:pt idx="3">
                  <c:v>6.7777777777777777</c:v>
                </c:pt>
                <c:pt idx="4">
                  <c:v>3.8888888888888888</c:v>
                </c:pt>
                <c:pt idx="5">
                  <c:v>10</c:v>
                </c:pt>
                <c:pt idx="6">
                  <c:v>3.6666666666666665</c:v>
                </c:pt>
                <c:pt idx="7">
                  <c:v>4.5555555555555554</c:v>
                </c:pt>
                <c:pt idx="8">
                  <c:v>5.333333333333333</c:v>
                </c:pt>
              </c:numCache>
            </c:numRef>
          </c:val>
          <c:smooth val="0"/>
          <c:extLst>
            <c:ext xmlns:c16="http://schemas.microsoft.com/office/drawing/2014/chart" uri="{C3380CC4-5D6E-409C-BE32-E72D297353CC}">
              <c16:uniqueId val="{00000001-08FD-4A8A-A7BF-93EFF0BA2A05}"/>
            </c:ext>
          </c:extLst>
        </c:ser>
        <c:dLbls>
          <c:showLegendKey val="0"/>
          <c:showVal val="0"/>
          <c:showCatName val="0"/>
          <c:showSerName val="0"/>
          <c:showPercent val="0"/>
          <c:showBubbleSize val="0"/>
        </c:dLbls>
        <c:smooth val="0"/>
        <c:axId val="763915353"/>
        <c:axId val="1782937423"/>
      </c:lineChart>
      <c:catAx>
        <c:axId val="76391535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82937423"/>
        <c:crosses val="autoZero"/>
        <c:auto val="1"/>
        <c:lblAlgn val="ctr"/>
        <c:lblOffset val="100"/>
        <c:noMultiLvlLbl val="1"/>
      </c:catAx>
      <c:valAx>
        <c:axId val="178293742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76391535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a:t>
            </a:r>
          </a:p>
        </c:rich>
      </c:tx>
      <c:layout>
        <c:manualLayout>
          <c:xMode val="edge"/>
          <c:yMode val="edge"/>
          <c:x val="0.14209179834462002"/>
          <c:y val="2.8542303771661569E-2"/>
        </c:manualLayout>
      </c:layout>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FD7D-4D35-9169-B6A761E7E389}"/>
            </c:ext>
          </c:extLst>
        </c:ser>
        <c:ser>
          <c:idx val="1"/>
          <c:order val="1"/>
          <c:tx>
            <c:v>Inventario_Final</c:v>
          </c:tx>
          <c:marker>
            <c:symbol val="none"/>
          </c:marker>
          <c:val>
            <c:numRef>
              <c:f>'120seg'!$AS$41:$AS$50</c:f>
              <c:numCache>
                <c:formatCode>General</c:formatCode>
                <c:ptCount val="10"/>
                <c:pt idx="0">
                  <c:v>7</c:v>
                </c:pt>
                <c:pt idx="1">
                  <c:v>8</c:v>
                </c:pt>
                <c:pt idx="2">
                  <c:v>6</c:v>
                </c:pt>
                <c:pt idx="3">
                  <c:v>7</c:v>
                </c:pt>
                <c:pt idx="4">
                  <c:v>6</c:v>
                </c:pt>
                <c:pt idx="5">
                  <c:v>6</c:v>
                </c:pt>
                <c:pt idx="6">
                  <c:v>6</c:v>
                </c:pt>
                <c:pt idx="7">
                  <c:v>5</c:v>
                </c:pt>
                <c:pt idx="8">
                  <c:v>6</c:v>
                </c:pt>
                <c:pt idx="9">
                  <c:v>12</c:v>
                </c:pt>
              </c:numCache>
            </c:numRef>
          </c:val>
          <c:smooth val="0"/>
          <c:extLst>
            <c:ext xmlns:c16="http://schemas.microsoft.com/office/drawing/2014/chart" uri="{C3380CC4-5D6E-409C-BE32-E72D297353CC}">
              <c16:uniqueId val="{00000001-FD7D-4D35-9169-B6A761E7E389}"/>
            </c:ext>
          </c:extLst>
        </c:ser>
        <c:dLbls>
          <c:showLegendKey val="0"/>
          <c:showVal val="0"/>
          <c:showCatName val="0"/>
          <c:showSerName val="0"/>
          <c:showPercent val="0"/>
          <c:showBubbleSize val="0"/>
        </c:dLbls>
        <c:smooth val="0"/>
        <c:axId val="611488426"/>
        <c:axId val="204952738"/>
      </c:lineChart>
      <c:catAx>
        <c:axId val="61148842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4952738"/>
        <c:crosses val="autoZero"/>
        <c:auto val="1"/>
        <c:lblAlgn val="ctr"/>
        <c:lblOffset val="100"/>
        <c:noMultiLvlLbl val="1"/>
      </c:catAx>
      <c:valAx>
        <c:axId val="20495273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611488426"/>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a:t>
            </a:r>
          </a:p>
        </c:rich>
      </c:tx>
      <c:layout>
        <c:manualLayout>
          <c:xMode val="edge"/>
          <c:yMode val="edge"/>
          <c:x val="0.15413092550790067"/>
          <c:y val="5.3007135575942915E-2"/>
        </c:manualLayout>
      </c:layout>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15E4-4461-AADB-0E44CBA2EE04}"/>
            </c:ext>
          </c:extLst>
        </c:ser>
        <c:ser>
          <c:idx val="1"/>
          <c:order val="1"/>
          <c:tx>
            <c:v>Inventario_Final</c:v>
          </c:tx>
          <c:marker>
            <c:symbol val="none"/>
          </c:marker>
          <c:val>
            <c:numRef>
              <c:f>'120seg'!$AS$51:$AS$60</c:f>
              <c:numCache>
                <c:formatCode>General</c:formatCode>
                <c:ptCount val="10"/>
                <c:pt idx="0">
                  <c:v>3</c:v>
                </c:pt>
                <c:pt idx="1">
                  <c:v>5</c:v>
                </c:pt>
                <c:pt idx="2">
                  <c:v>8</c:v>
                </c:pt>
                <c:pt idx="3">
                  <c:v>26</c:v>
                </c:pt>
                <c:pt idx="4">
                  <c:v>12</c:v>
                </c:pt>
                <c:pt idx="5">
                  <c:v>3</c:v>
                </c:pt>
                <c:pt idx="6">
                  <c:v>7</c:v>
                </c:pt>
                <c:pt idx="7">
                  <c:v>15</c:v>
                </c:pt>
                <c:pt idx="8">
                  <c:v>13</c:v>
                </c:pt>
                <c:pt idx="9">
                  <c:v>15</c:v>
                </c:pt>
              </c:numCache>
            </c:numRef>
          </c:val>
          <c:smooth val="0"/>
          <c:extLst>
            <c:ext xmlns:c16="http://schemas.microsoft.com/office/drawing/2014/chart" uri="{C3380CC4-5D6E-409C-BE32-E72D297353CC}">
              <c16:uniqueId val="{00000001-15E4-4461-AADB-0E44CBA2EE04}"/>
            </c:ext>
          </c:extLst>
        </c:ser>
        <c:dLbls>
          <c:showLegendKey val="0"/>
          <c:showVal val="0"/>
          <c:showCatName val="0"/>
          <c:showSerName val="0"/>
          <c:showPercent val="0"/>
          <c:showBubbleSize val="0"/>
        </c:dLbls>
        <c:smooth val="0"/>
        <c:axId val="1635026835"/>
        <c:axId val="183755297"/>
      </c:lineChart>
      <c:catAx>
        <c:axId val="163502683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83755297"/>
        <c:crosses val="autoZero"/>
        <c:auto val="1"/>
        <c:lblAlgn val="ctr"/>
        <c:lblOffset val="100"/>
        <c:noMultiLvlLbl val="1"/>
      </c:catAx>
      <c:valAx>
        <c:axId val="18375529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635026835"/>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vaciado</a:t>
            </a:r>
          </a:p>
        </c:rich>
      </c:tx>
      <c:overlay val="0"/>
    </c:title>
    <c:autoTitleDeleted val="0"/>
    <c:plotArea>
      <c:layout>
        <c:manualLayout>
          <c:layoutTarget val="inner"/>
          <c:xMode val="edge"/>
          <c:yMode val="edge"/>
          <c:x val="6.9273515876828395E-2"/>
          <c:y val="0.20978303747534516"/>
          <c:w val="0.90066459199231397"/>
          <c:h val="0.52087406233984068"/>
        </c:manualLayout>
      </c:layout>
      <c:lineChart>
        <c:grouping val="standard"/>
        <c:varyColors val="1"/>
        <c:ser>
          <c:idx val="0"/>
          <c:order val="0"/>
          <c:tx>
            <c:v>Inv_inicialprom_miercoles</c:v>
          </c:tx>
          <c:spPr>
            <a:ln w="28575" cmpd="sng">
              <a:solidFill>
                <a:schemeClr val="accent1"/>
              </a:solidFill>
            </a:ln>
          </c:spPr>
          <c:marker>
            <c:symbol val="none"/>
          </c:marker>
          <c:val>
            <c:numRef>
              <c:f>'120seg'!$BC$41:$BC$50</c:f>
              <c:numCache>
                <c:formatCode>0</c:formatCode>
                <c:ptCount val="10"/>
                <c:pt idx="0">
                  <c:v>4.666666666666667</c:v>
                </c:pt>
                <c:pt idx="1">
                  <c:v>5.2222222222222223</c:v>
                </c:pt>
                <c:pt idx="2">
                  <c:v>2.6666666666666665</c:v>
                </c:pt>
                <c:pt idx="3">
                  <c:v>5</c:v>
                </c:pt>
                <c:pt idx="4">
                  <c:v>6.2222222222222223</c:v>
                </c:pt>
                <c:pt idx="5">
                  <c:v>1.5555555555555556</c:v>
                </c:pt>
                <c:pt idx="6">
                  <c:v>8.3333333333333339</c:v>
                </c:pt>
                <c:pt idx="7">
                  <c:v>3.4444444444444446</c:v>
                </c:pt>
                <c:pt idx="8">
                  <c:v>5.333333333333333</c:v>
                </c:pt>
                <c:pt idx="9">
                  <c:v>7</c:v>
                </c:pt>
              </c:numCache>
            </c:numRef>
          </c:val>
          <c:smooth val="0"/>
          <c:extLst>
            <c:ext xmlns:c16="http://schemas.microsoft.com/office/drawing/2014/chart" uri="{C3380CC4-5D6E-409C-BE32-E72D297353CC}">
              <c16:uniqueId val="{00000000-6BA6-4E9D-8B38-418A2CBF1F42}"/>
            </c:ext>
          </c:extLst>
        </c:ser>
        <c:ser>
          <c:idx val="1"/>
          <c:order val="1"/>
          <c:tx>
            <c:v>Inventario_Final</c:v>
          </c:tx>
          <c:spPr>
            <a:ln w="28575" cmpd="sng">
              <a:solidFill>
                <a:schemeClr val="accent2"/>
              </a:solidFill>
            </a:ln>
          </c:spPr>
          <c:marker>
            <c:symbol val="none"/>
          </c:marker>
          <c:val>
            <c:numRef>
              <c:f>'120seg'!$BF$41:$BF$50</c:f>
              <c:numCache>
                <c:formatCode>General</c:formatCode>
                <c:ptCount val="10"/>
                <c:pt idx="0">
                  <c:v>8</c:v>
                </c:pt>
                <c:pt idx="1">
                  <c:v>8</c:v>
                </c:pt>
                <c:pt idx="2">
                  <c:v>6</c:v>
                </c:pt>
                <c:pt idx="3">
                  <c:v>11</c:v>
                </c:pt>
                <c:pt idx="4">
                  <c:v>10</c:v>
                </c:pt>
                <c:pt idx="5">
                  <c:v>8</c:v>
                </c:pt>
                <c:pt idx="6">
                  <c:v>6</c:v>
                </c:pt>
                <c:pt idx="7">
                  <c:v>5</c:v>
                </c:pt>
                <c:pt idx="8">
                  <c:v>8</c:v>
                </c:pt>
                <c:pt idx="9">
                  <c:v>8</c:v>
                </c:pt>
              </c:numCache>
            </c:numRef>
          </c:val>
          <c:smooth val="0"/>
          <c:extLst>
            <c:ext xmlns:c16="http://schemas.microsoft.com/office/drawing/2014/chart" uri="{C3380CC4-5D6E-409C-BE32-E72D297353CC}">
              <c16:uniqueId val="{00000001-6BA6-4E9D-8B38-418A2CBF1F42}"/>
            </c:ext>
          </c:extLst>
        </c:ser>
        <c:dLbls>
          <c:showLegendKey val="0"/>
          <c:showVal val="0"/>
          <c:showCatName val="0"/>
          <c:showSerName val="0"/>
          <c:showPercent val="0"/>
          <c:showBubbleSize val="0"/>
        </c:dLbls>
        <c:smooth val="0"/>
        <c:axId val="1539091261"/>
        <c:axId val="1608910340"/>
      </c:lineChart>
      <c:catAx>
        <c:axId val="153909126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08910340"/>
        <c:crosses val="autoZero"/>
        <c:auto val="1"/>
        <c:lblAlgn val="ctr"/>
        <c:lblOffset val="100"/>
        <c:noMultiLvlLbl val="1"/>
      </c:catAx>
      <c:valAx>
        <c:axId val="160891034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53909126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Llenado</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'120seg'!$BC$51:$BC$60</c:f>
              <c:numCache>
                <c:formatCode>0</c:formatCode>
                <c:ptCount val="10"/>
                <c:pt idx="0">
                  <c:v>13.555555555555555</c:v>
                </c:pt>
                <c:pt idx="1">
                  <c:v>8.5555555555555554</c:v>
                </c:pt>
                <c:pt idx="2">
                  <c:v>11.444444444444445</c:v>
                </c:pt>
                <c:pt idx="3">
                  <c:v>23.222222222222221</c:v>
                </c:pt>
                <c:pt idx="4">
                  <c:v>12.555555555555555</c:v>
                </c:pt>
                <c:pt idx="5">
                  <c:v>13.111111111111111</c:v>
                </c:pt>
                <c:pt idx="6">
                  <c:v>7</c:v>
                </c:pt>
                <c:pt idx="7">
                  <c:v>11.111111111111111</c:v>
                </c:pt>
                <c:pt idx="8">
                  <c:v>7.333333333333333</c:v>
                </c:pt>
                <c:pt idx="9">
                  <c:v>24.111111111111111</c:v>
                </c:pt>
              </c:numCache>
            </c:numRef>
          </c:val>
          <c:smooth val="0"/>
          <c:extLst>
            <c:ext xmlns:c16="http://schemas.microsoft.com/office/drawing/2014/chart" uri="{C3380CC4-5D6E-409C-BE32-E72D297353CC}">
              <c16:uniqueId val="{00000000-DFA2-4D74-BDB1-81425F7721B2}"/>
            </c:ext>
          </c:extLst>
        </c:ser>
        <c:ser>
          <c:idx val="1"/>
          <c:order val="1"/>
          <c:tx>
            <c:v>Inventario_Final</c:v>
          </c:tx>
          <c:spPr>
            <a:ln w="28575" cmpd="sng">
              <a:solidFill>
                <a:schemeClr val="accent2"/>
              </a:solidFill>
            </a:ln>
          </c:spPr>
          <c:marker>
            <c:symbol val="none"/>
          </c:marker>
          <c:val>
            <c:numRef>
              <c:f>'120seg'!$BF$51:$BF$60</c:f>
              <c:numCache>
                <c:formatCode>General</c:formatCode>
                <c:ptCount val="10"/>
                <c:pt idx="0">
                  <c:v>14</c:v>
                </c:pt>
                <c:pt idx="1">
                  <c:v>7</c:v>
                </c:pt>
                <c:pt idx="2">
                  <c:v>12</c:v>
                </c:pt>
                <c:pt idx="3">
                  <c:v>19</c:v>
                </c:pt>
                <c:pt idx="4">
                  <c:v>16</c:v>
                </c:pt>
                <c:pt idx="5">
                  <c:v>12</c:v>
                </c:pt>
                <c:pt idx="6">
                  <c:v>13</c:v>
                </c:pt>
                <c:pt idx="7">
                  <c:v>16</c:v>
                </c:pt>
                <c:pt idx="8">
                  <c:v>13</c:v>
                </c:pt>
                <c:pt idx="9">
                  <c:v>24</c:v>
                </c:pt>
              </c:numCache>
            </c:numRef>
          </c:val>
          <c:smooth val="0"/>
          <c:extLst>
            <c:ext xmlns:c16="http://schemas.microsoft.com/office/drawing/2014/chart" uri="{C3380CC4-5D6E-409C-BE32-E72D297353CC}">
              <c16:uniqueId val="{00000001-DFA2-4D74-BDB1-81425F7721B2}"/>
            </c:ext>
          </c:extLst>
        </c:ser>
        <c:dLbls>
          <c:showLegendKey val="0"/>
          <c:showVal val="0"/>
          <c:showCatName val="0"/>
          <c:showSerName val="0"/>
          <c:showPercent val="0"/>
          <c:showBubbleSize val="0"/>
        </c:dLbls>
        <c:smooth val="0"/>
        <c:axId val="1877428482"/>
        <c:axId val="2022613213"/>
      </c:lineChart>
      <c:catAx>
        <c:axId val="187742848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22613213"/>
        <c:crosses val="autoZero"/>
        <c:auto val="1"/>
        <c:lblAlgn val="ctr"/>
        <c:lblOffset val="100"/>
        <c:noMultiLvlLbl val="1"/>
      </c:catAx>
      <c:valAx>
        <c:axId val="202261321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87742848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Vaciado</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'120seg'!$BO$41:$BO$50</c:f>
              <c:numCache>
                <c:formatCode>0</c:formatCode>
                <c:ptCount val="10"/>
                <c:pt idx="0">
                  <c:v>6.1111111111111107</c:v>
                </c:pt>
                <c:pt idx="1">
                  <c:v>6.5555555555555554</c:v>
                </c:pt>
                <c:pt idx="2">
                  <c:v>4.333333333333333</c:v>
                </c:pt>
                <c:pt idx="3">
                  <c:v>6.7777777777777777</c:v>
                </c:pt>
                <c:pt idx="4">
                  <c:v>8.1111111111111107</c:v>
                </c:pt>
                <c:pt idx="5">
                  <c:v>3.1111111111111112</c:v>
                </c:pt>
                <c:pt idx="6">
                  <c:v>9.2222222222222214</c:v>
                </c:pt>
                <c:pt idx="7">
                  <c:v>4.4444444444444446</c:v>
                </c:pt>
                <c:pt idx="8">
                  <c:v>6.4444444444444446</c:v>
                </c:pt>
                <c:pt idx="9">
                  <c:v>5.5555555555555554</c:v>
                </c:pt>
              </c:numCache>
            </c:numRef>
          </c:val>
          <c:smooth val="0"/>
          <c:extLst>
            <c:ext xmlns:c16="http://schemas.microsoft.com/office/drawing/2014/chart" uri="{C3380CC4-5D6E-409C-BE32-E72D297353CC}">
              <c16:uniqueId val="{00000000-38EC-4826-A875-3148E26EF6EF}"/>
            </c:ext>
          </c:extLst>
        </c:ser>
        <c:ser>
          <c:idx val="1"/>
          <c:order val="1"/>
          <c:tx>
            <c:v>Inventario_Final</c:v>
          </c:tx>
          <c:spPr>
            <a:ln w="28575" cmpd="sng">
              <a:solidFill>
                <a:schemeClr val="accent2"/>
              </a:solidFill>
            </a:ln>
          </c:spPr>
          <c:marker>
            <c:symbol val="none"/>
          </c:marker>
          <c:val>
            <c:numRef>
              <c:f>'120seg'!$BR$41:$BR$50</c:f>
              <c:numCache>
                <c:formatCode>General</c:formatCode>
                <c:ptCount val="10"/>
                <c:pt idx="0">
                  <c:v>7</c:v>
                </c:pt>
                <c:pt idx="1">
                  <c:v>12</c:v>
                </c:pt>
                <c:pt idx="2">
                  <c:v>6</c:v>
                </c:pt>
                <c:pt idx="3">
                  <c:v>11</c:v>
                </c:pt>
                <c:pt idx="4">
                  <c:v>9</c:v>
                </c:pt>
                <c:pt idx="5">
                  <c:v>6</c:v>
                </c:pt>
                <c:pt idx="6">
                  <c:v>10</c:v>
                </c:pt>
                <c:pt idx="7">
                  <c:v>5</c:v>
                </c:pt>
                <c:pt idx="8">
                  <c:v>6</c:v>
                </c:pt>
                <c:pt idx="9">
                  <c:v>8</c:v>
                </c:pt>
              </c:numCache>
            </c:numRef>
          </c:val>
          <c:smooth val="0"/>
          <c:extLst>
            <c:ext xmlns:c16="http://schemas.microsoft.com/office/drawing/2014/chart" uri="{C3380CC4-5D6E-409C-BE32-E72D297353CC}">
              <c16:uniqueId val="{00000001-38EC-4826-A875-3148E26EF6EF}"/>
            </c:ext>
          </c:extLst>
        </c:ser>
        <c:dLbls>
          <c:showLegendKey val="0"/>
          <c:showVal val="0"/>
          <c:showCatName val="0"/>
          <c:showSerName val="0"/>
          <c:showPercent val="0"/>
          <c:showBubbleSize val="0"/>
        </c:dLbls>
        <c:smooth val="0"/>
        <c:axId val="1934977233"/>
        <c:axId val="558723571"/>
      </c:lineChart>
      <c:catAx>
        <c:axId val="193497723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558723571"/>
        <c:crosses val="autoZero"/>
        <c:auto val="1"/>
        <c:lblAlgn val="ctr"/>
        <c:lblOffset val="100"/>
        <c:noMultiLvlLbl val="1"/>
      </c:catAx>
      <c:valAx>
        <c:axId val="55872357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93497723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Llenado</a:t>
            </a:r>
          </a:p>
        </c:rich>
      </c:tx>
      <c:layout>
        <c:manualLayout>
          <c:xMode val="edge"/>
          <c:yMode val="edge"/>
          <c:x val="0.13036652144370278"/>
          <c:y val="4.8582995951417005E-2"/>
        </c:manualLayout>
      </c:layout>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'120seg'!$BO$51:$BO$60</c:f>
              <c:numCache>
                <c:formatCode>0</c:formatCode>
                <c:ptCount val="10"/>
                <c:pt idx="0">
                  <c:v>9.8888888888888893</c:v>
                </c:pt>
                <c:pt idx="1">
                  <c:v>11.777777777777779</c:v>
                </c:pt>
                <c:pt idx="2">
                  <c:v>11.444444444444445</c:v>
                </c:pt>
                <c:pt idx="3">
                  <c:v>18.444444444444443</c:v>
                </c:pt>
                <c:pt idx="4">
                  <c:v>14.222222222222221</c:v>
                </c:pt>
                <c:pt idx="5">
                  <c:v>13.555555555555555</c:v>
                </c:pt>
                <c:pt idx="6">
                  <c:v>8.8888888888888893</c:v>
                </c:pt>
                <c:pt idx="7">
                  <c:v>12.666666666666666</c:v>
                </c:pt>
                <c:pt idx="8">
                  <c:v>10.888888888888889</c:v>
                </c:pt>
                <c:pt idx="9">
                  <c:v>24</c:v>
                </c:pt>
              </c:numCache>
            </c:numRef>
          </c:val>
          <c:smooth val="0"/>
          <c:extLst>
            <c:ext xmlns:c16="http://schemas.microsoft.com/office/drawing/2014/chart" uri="{C3380CC4-5D6E-409C-BE32-E72D297353CC}">
              <c16:uniqueId val="{00000000-3F15-4EBA-97BD-1C83AE7938E8}"/>
            </c:ext>
          </c:extLst>
        </c:ser>
        <c:ser>
          <c:idx val="1"/>
          <c:order val="1"/>
          <c:tx>
            <c:v>Inventario_Final</c:v>
          </c:tx>
          <c:spPr>
            <a:ln w="28575" cmpd="sng">
              <a:solidFill>
                <a:schemeClr val="accent2"/>
              </a:solidFill>
            </a:ln>
          </c:spPr>
          <c:marker>
            <c:symbol val="none"/>
          </c:marker>
          <c:val>
            <c:numRef>
              <c:f>'120seg'!$BR$51:$BR$60</c:f>
              <c:numCache>
                <c:formatCode>General</c:formatCode>
                <c:ptCount val="10"/>
                <c:pt idx="0">
                  <c:v>6</c:v>
                </c:pt>
                <c:pt idx="1">
                  <c:v>11</c:v>
                </c:pt>
                <c:pt idx="2">
                  <c:v>9</c:v>
                </c:pt>
                <c:pt idx="3">
                  <c:v>27</c:v>
                </c:pt>
                <c:pt idx="4">
                  <c:v>16</c:v>
                </c:pt>
                <c:pt idx="5">
                  <c:v>12</c:v>
                </c:pt>
                <c:pt idx="6">
                  <c:v>3</c:v>
                </c:pt>
                <c:pt idx="7">
                  <c:v>15</c:v>
                </c:pt>
                <c:pt idx="8">
                  <c:v>11</c:v>
                </c:pt>
                <c:pt idx="9">
                  <c:v>23</c:v>
                </c:pt>
              </c:numCache>
            </c:numRef>
          </c:val>
          <c:smooth val="0"/>
          <c:extLst>
            <c:ext xmlns:c16="http://schemas.microsoft.com/office/drawing/2014/chart" uri="{C3380CC4-5D6E-409C-BE32-E72D297353CC}">
              <c16:uniqueId val="{00000001-3F15-4EBA-97BD-1C83AE7938E8}"/>
            </c:ext>
          </c:extLst>
        </c:ser>
        <c:dLbls>
          <c:showLegendKey val="0"/>
          <c:showVal val="0"/>
          <c:showCatName val="0"/>
          <c:showSerName val="0"/>
          <c:showPercent val="0"/>
          <c:showBubbleSize val="0"/>
        </c:dLbls>
        <c:smooth val="0"/>
        <c:axId val="980339342"/>
        <c:axId val="847503307"/>
      </c:lineChart>
      <c:catAx>
        <c:axId val="98033934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47503307"/>
        <c:crosses val="autoZero"/>
        <c:auto val="1"/>
        <c:lblAlgn val="ctr"/>
        <c:lblOffset val="100"/>
        <c:noMultiLvlLbl val="1"/>
      </c:catAx>
      <c:valAx>
        <c:axId val="84750330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98033934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Vaciado
</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'120seg'!$CA$41:$CA$50</c:f>
              <c:numCache>
                <c:formatCode>0</c:formatCode>
                <c:ptCount val="10"/>
                <c:pt idx="0">
                  <c:v>4.666666666666667</c:v>
                </c:pt>
                <c:pt idx="1">
                  <c:v>6.1111111111111107</c:v>
                </c:pt>
                <c:pt idx="2">
                  <c:v>2.1111111111111112</c:v>
                </c:pt>
                <c:pt idx="3">
                  <c:v>4.666666666666667</c:v>
                </c:pt>
                <c:pt idx="4">
                  <c:v>5.5555555555555554</c:v>
                </c:pt>
                <c:pt idx="5">
                  <c:v>5.1111111111111107</c:v>
                </c:pt>
                <c:pt idx="6">
                  <c:v>3.3333333333333335</c:v>
                </c:pt>
                <c:pt idx="7">
                  <c:v>2.5555555555555554</c:v>
                </c:pt>
                <c:pt idx="8">
                  <c:v>5.4444444444444446</c:v>
                </c:pt>
                <c:pt idx="9">
                  <c:v>7.5555555555555554</c:v>
                </c:pt>
              </c:numCache>
            </c:numRef>
          </c:val>
          <c:smooth val="0"/>
          <c:extLst>
            <c:ext xmlns:c16="http://schemas.microsoft.com/office/drawing/2014/chart" uri="{C3380CC4-5D6E-409C-BE32-E72D297353CC}">
              <c16:uniqueId val="{00000000-40C6-421F-9435-96E23285AAA8}"/>
            </c:ext>
          </c:extLst>
        </c:ser>
        <c:ser>
          <c:idx val="1"/>
          <c:order val="1"/>
          <c:tx>
            <c:v>Inventario_Final</c:v>
          </c:tx>
          <c:spPr>
            <a:ln w="28575" cmpd="sng">
              <a:solidFill>
                <a:schemeClr val="accent2"/>
              </a:solidFill>
            </a:ln>
          </c:spPr>
          <c:marker>
            <c:symbol val="none"/>
          </c:marker>
          <c:val>
            <c:numRef>
              <c:f>'120seg'!$CD$41:$CD$50</c:f>
              <c:numCache>
                <c:formatCode>General</c:formatCode>
                <c:ptCount val="10"/>
                <c:pt idx="0">
                  <c:v>7</c:v>
                </c:pt>
                <c:pt idx="1">
                  <c:v>8</c:v>
                </c:pt>
                <c:pt idx="2">
                  <c:v>6</c:v>
                </c:pt>
                <c:pt idx="3">
                  <c:v>7</c:v>
                </c:pt>
                <c:pt idx="4">
                  <c:v>6</c:v>
                </c:pt>
                <c:pt idx="5">
                  <c:v>6</c:v>
                </c:pt>
                <c:pt idx="6">
                  <c:v>10</c:v>
                </c:pt>
                <c:pt idx="7">
                  <c:v>5</c:v>
                </c:pt>
                <c:pt idx="8">
                  <c:v>6</c:v>
                </c:pt>
                <c:pt idx="9">
                  <c:v>9</c:v>
                </c:pt>
              </c:numCache>
            </c:numRef>
          </c:val>
          <c:smooth val="0"/>
          <c:extLst>
            <c:ext xmlns:c16="http://schemas.microsoft.com/office/drawing/2014/chart" uri="{C3380CC4-5D6E-409C-BE32-E72D297353CC}">
              <c16:uniqueId val="{00000001-40C6-421F-9435-96E23285AAA8}"/>
            </c:ext>
          </c:extLst>
        </c:ser>
        <c:dLbls>
          <c:showLegendKey val="0"/>
          <c:showVal val="0"/>
          <c:showCatName val="0"/>
          <c:showSerName val="0"/>
          <c:showPercent val="0"/>
          <c:showBubbleSize val="0"/>
        </c:dLbls>
        <c:smooth val="0"/>
        <c:axId val="884787712"/>
        <c:axId val="864781379"/>
      </c:lineChart>
      <c:catAx>
        <c:axId val="88478771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64781379"/>
        <c:crosses val="autoZero"/>
        <c:auto val="1"/>
        <c:lblAlgn val="ctr"/>
        <c:lblOffset val="100"/>
        <c:noMultiLvlLbl val="1"/>
      </c:catAx>
      <c:valAx>
        <c:axId val="86478137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88478771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Llenado
</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'120seg'!$CA$51:$CA$60</c:f>
              <c:numCache>
                <c:formatCode>0</c:formatCode>
                <c:ptCount val="10"/>
                <c:pt idx="0">
                  <c:v>10.555555555555555</c:v>
                </c:pt>
                <c:pt idx="1">
                  <c:v>10.777777777777779</c:v>
                </c:pt>
                <c:pt idx="2">
                  <c:v>9.6666666666666661</c:v>
                </c:pt>
                <c:pt idx="3">
                  <c:v>23.888888888888889</c:v>
                </c:pt>
                <c:pt idx="4">
                  <c:v>12.777777777777779</c:v>
                </c:pt>
                <c:pt idx="5">
                  <c:v>15.888888888888889</c:v>
                </c:pt>
                <c:pt idx="6">
                  <c:v>10.333333333333334</c:v>
                </c:pt>
                <c:pt idx="7">
                  <c:v>13.777777777777779</c:v>
                </c:pt>
                <c:pt idx="8">
                  <c:v>10.555555555555555</c:v>
                </c:pt>
                <c:pt idx="9">
                  <c:v>24.555555555555557</c:v>
                </c:pt>
              </c:numCache>
            </c:numRef>
          </c:val>
          <c:smooth val="0"/>
          <c:extLst>
            <c:ext xmlns:c16="http://schemas.microsoft.com/office/drawing/2014/chart" uri="{C3380CC4-5D6E-409C-BE32-E72D297353CC}">
              <c16:uniqueId val="{00000000-1DAC-4373-8AA0-EB0DF8BCD5EA}"/>
            </c:ext>
          </c:extLst>
        </c:ser>
        <c:ser>
          <c:idx val="1"/>
          <c:order val="1"/>
          <c:tx>
            <c:v>Inventario_Final</c:v>
          </c:tx>
          <c:spPr>
            <a:ln w="28575" cmpd="sng">
              <a:solidFill>
                <a:schemeClr val="accent2"/>
              </a:solidFill>
            </a:ln>
          </c:spPr>
          <c:marker>
            <c:symbol val="none"/>
          </c:marker>
          <c:val>
            <c:numRef>
              <c:f>'120seg'!$CD$51:$CD$60</c:f>
              <c:numCache>
                <c:formatCode>General</c:formatCode>
                <c:ptCount val="10"/>
                <c:pt idx="0">
                  <c:v>14</c:v>
                </c:pt>
                <c:pt idx="1">
                  <c:v>12</c:v>
                </c:pt>
                <c:pt idx="2">
                  <c:v>3</c:v>
                </c:pt>
                <c:pt idx="3">
                  <c:v>25</c:v>
                </c:pt>
                <c:pt idx="4">
                  <c:v>9</c:v>
                </c:pt>
                <c:pt idx="5">
                  <c:v>3</c:v>
                </c:pt>
                <c:pt idx="6">
                  <c:v>4</c:v>
                </c:pt>
                <c:pt idx="7">
                  <c:v>11</c:v>
                </c:pt>
                <c:pt idx="8">
                  <c:v>5</c:v>
                </c:pt>
                <c:pt idx="9">
                  <c:v>20</c:v>
                </c:pt>
              </c:numCache>
            </c:numRef>
          </c:val>
          <c:smooth val="0"/>
          <c:extLst>
            <c:ext xmlns:c16="http://schemas.microsoft.com/office/drawing/2014/chart" uri="{C3380CC4-5D6E-409C-BE32-E72D297353CC}">
              <c16:uniqueId val="{00000001-1DAC-4373-8AA0-EB0DF8BCD5EA}"/>
            </c:ext>
          </c:extLst>
        </c:ser>
        <c:dLbls>
          <c:showLegendKey val="0"/>
          <c:showVal val="0"/>
          <c:showCatName val="0"/>
          <c:showSerName val="0"/>
          <c:showPercent val="0"/>
          <c:showBubbleSize val="0"/>
        </c:dLbls>
        <c:smooth val="0"/>
        <c:axId val="1059183605"/>
        <c:axId val="1701951955"/>
      </c:lineChart>
      <c:catAx>
        <c:axId val="105918360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01951955"/>
        <c:crosses val="autoZero"/>
        <c:auto val="1"/>
        <c:lblAlgn val="ctr"/>
        <c:lblOffset val="100"/>
        <c:noMultiLvlLbl val="1"/>
      </c:catAx>
      <c:valAx>
        <c:axId val="17019519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05918360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Vaciado
</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'120seg'!$CM$41:$CM$50</c:f>
              <c:numCache>
                <c:formatCode>0</c:formatCode>
                <c:ptCount val="10"/>
                <c:pt idx="0">
                  <c:v>5.5555555555555554</c:v>
                </c:pt>
                <c:pt idx="1">
                  <c:v>5.8888888888888893</c:v>
                </c:pt>
                <c:pt idx="2">
                  <c:v>2.4444444444444446</c:v>
                </c:pt>
                <c:pt idx="3">
                  <c:v>5.1111111111111107</c:v>
                </c:pt>
                <c:pt idx="4">
                  <c:v>6.666666666666667</c:v>
                </c:pt>
                <c:pt idx="5">
                  <c:v>5.333333333333333</c:v>
                </c:pt>
                <c:pt idx="6">
                  <c:v>4.2222222222222223</c:v>
                </c:pt>
                <c:pt idx="7">
                  <c:v>4.4444444444444446</c:v>
                </c:pt>
                <c:pt idx="8">
                  <c:v>3.4444444444444446</c:v>
                </c:pt>
                <c:pt idx="9">
                  <c:v>5.5555555555555554</c:v>
                </c:pt>
              </c:numCache>
            </c:numRef>
          </c:val>
          <c:smooth val="0"/>
          <c:extLst>
            <c:ext xmlns:c16="http://schemas.microsoft.com/office/drawing/2014/chart" uri="{C3380CC4-5D6E-409C-BE32-E72D297353CC}">
              <c16:uniqueId val="{00000000-E50D-47D7-A868-F35F3E6E64E9}"/>
            </c:ext>
          </c:extLst>
        </c:ser>
        <c:ser>
          <c:idx val="1"/>
          <c:order val="1"/>
          <c:tx>
            <c:v>Inventario_Final</c:v>
          </c:tx>
          <c:spPr>
            <a:ln w="28575" cmpd="sng">
              <a:solidFill>
                <a:schemeClr val="accent2"/>
              </a:solidFill>
            </a:ln>
          </c:spPr>
          <c:marker>
            <c:symbol val="none"/>
          </c:marker>
          <c:val>
            <c:numRef>
              <c:f>'120seg'!$CP$41:$CP$50</c:f>
              <c:numCache>
                <c:formatCode>General</c:formatCode>
                <c:ptCount val="10"/>
                <c:pt idx="0">
                  <c:v>7</c:v>
                </c:pt>
                <c:pt idx="1">
                  <c:v>11</c:v>
                </c:pt>
                <c:pt idx="2">
                  <c:v>6</c:v>
                </c:pt>
                <c:pt idx="3">
                  <c:v>11</c:v>
                </c:pt>
                <c:pt idx="4">
                  <c:v>6</c:v>
                </c:pt>
                <c:pt idx="5">
                  <c:v>6</c:v>
                </c:pt>
                <c:pt idx="6">
                  <c:v>6</c:v>
                </c:pt>
                <c:pt idx="7">
                  <c:v>5</c:v>
                </c:pt>
                <c:pt idx="8">
                  <c:v>6</c:v>
                </c:pt>
                <c:pt idx="9">
                  <c:v>8</c:v>
                </c:pt>
              </c:numCache>
            </c:numRef>
          </c:val>
          <c:smooth val="0"/>
          <c:extLst>
            <c:ext xmlns:c16="http://schemas.microsoft.com/office/drawing/2014/chart" uri="{C3380CC4-5D6E-409C-BE32-E72D297353CC}">
              <c16:uniqueId val="{00000001-E50D-47D7-A868-F35F3E6E64E9}"/>
            </c:ext>
          </c:extLst>
        </c:ser>
        <c:dLbls>
          <c:showLegendKey val="0"/>
          <c:showVal val="0"/>
          <c:showCatName val="0"/>
          <c:showSerName val="0"/>
          <c:showPercent val="0"/>
          <c:showBubbleSize val="0"/>
        </c:dLbls>
        <c:smooth val="0"/>
        <c:axId val="1078213420"/>
        <c:axId val="1500711118"/>
      </c:lineChart>
      <c:catAx>
        <c:axId val="1078213420"/>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00711118"/>
        <c:crosses val="autoZero"/>
        <c:auto val="1"/>
        <c:lblAlgn val="ctr"/>
        <c:lblOffset val="100"/>
        <c:noMultiLvlLbl val="1"/>
      </c:catAx>
      <c:valAx>
        <c:axId val="15007111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078213420"/>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Llenado
</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'120seg'!$CM$51:$CM$60</c:f>
              <c:numCache>
                <c:formatCode>0</c:formatCode>
                <c:ptCount val="10"/>
                <c:pt idx="0">
                  <c:v>11.333333333333334</c:v>
                </c:pt>
                <c:pt idx="1">
                  <c:v>11</c:v>
                </c:pt>
                <c:pt idx="2">
                  <c:v>11.333333333333334</c:v>
                </c:pt>
                <c:pt idx="3">
                  <c:v>22</c:v>
                </c:pt>
                <c:pt idx="4">
                  <c:v>12.111111111111111</c:v>
                </c:pt>
                <c:pt idx="5">
                  <c:v>14.777777777777779</c:v>
                </c:pt>
                <c:pt idx="6">
                  <c:v>12.777777777777779</c:v>
                </c:pt>
                <c:pt idx="7">
                  <c:v>15.666666666666666</c:v>
                </c:pt>
                <c:pt idx="8">
                  <c:v>12.111111111111111</c:v>
                </c:pt>
                <c:pt idx="9">
                  <c:v>18.777777777777779</c:v>
                </c:pt>
              </c:numCache>
            </c:numRef>
          </c:val>
          <c:smooth val="0"/>
          <c:extLst>
            <c:ext xmlns:c16="http://schemas.microsoft.com/office/drawing/2014/chart" uri="{C3380CC4-5D6E-409C-BE32-E72D297353CC}">
              <c16:uniqueId val="{00000000-D44F-4600-A09D-550A1C9134CE}"/>
            </c:ext>
          </c:extLst>
        </c:ser>
        <c:ser>
          <c:idx val="1"/>
          <c:order val="1"/>
          <c:tx>
            <c:v>Inventario_Final</c:v>
          </c:tx>
          <c:spPr>
            <a:ln w="28575" cmpd="sng">
              <a:solidFill>
                <a:schemeClr val="accent2"/>
              </a:solidFill>
            </a:ln>
          </c:spPr>
          <c:marker>
            <c:symbol val="none"/>
          </c:marker>
          <c:val>
            <c:numRef>
              <c:f>'120seg'!$CP$51:$CP$60</c:f>
              <c:numCache>
                <c:formatCode>General</c:formatCode>
                <c:ptCount val="10"/>
                <c:pt idx="0">
                  <c:v>14</c:v>
                </c:pt>
                <c:pt idx="1">
                  <c:v>13</c:v>
                </c:pt>
                <c:pt idx="2">
                  <c:v>6</c:v>
                </c:pt>
                <c:pt idx="3">
                  <c:v>11</c:v>
                </c:pt>
                <c:pt idx="4">
                  <c:v>10</c:v>
                </c:pt>
                <c:pt idx="5">
                  <c:v>16</c:v>
                </c:pt>
                <c:pt idx="6">
                  <c:v>9</c:v>
                </c:pt>
                <c:pt idx="7">
                  <c:v>13</c:v>
                </c:pt>
                <c:pt idx="8">
                  <c:v>11</c:v>
                </c:pt>
                <c:pt idx="9">
                  <c:v>21</c:v>
                </c:pt>
              </c:numCache>
            </c:numRef>
          </c:val>
          <c:smooth val="0"/>
          <c:extLst>
            <c:ext xmlns:c16="http://schemas.microsoft.com/office/drawing/2014/chart" uri="{C3380CC4-5D6E-409C-BE32-E72D297353CC}">
              <c16:uniqueId val="{00000001-D44F-4600-A09D-550A1C9134CE}"/>
            </c:ext>
          </c:extLst>
        </c:ser>
        <c:dLbls>
          <c:showLegendKey val="0"/>
          <c:showVal val="0"/>
          <c:showCatName val="0"/>
          <c:showSerName val="0"/>
          <c:showPercent val="0"/>
          <c:showBubbleSize val="0"/>
        </c:dLbls>
        <c:smooth val="0"/>
        <c:axId val="1152560887"/>
        <c:axId val="1250081836"/>
      </c:lineChart>
      <c:catAx>
        <c:axId val="115256088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50081836"/>
        <c:crosses val="autoZero"/>
        <c:auto val="1"/>
        <c:lblAlgn val="ctr"/>
        <c:lblOffset val="100"/>
        <c:noMultiLvlLbl val="1"/>
      </c:catAx>
      <c:valAx>
        <c:axId val="125008183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15256088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Domingo 18-11 18:00 hrs vaciado</a:t>
            </a:r>
          </a:p>
        </c:rich>
      </c:tx>
      <c:overlay val="0"/>
    </c:title>
    <c:autoTitleDeleted val="0"/>
    <c:plotArea>
      <c:layout/>
      <c:lineChart>
        <c:grouping val="standard"/>
        <c:varyColors val="1"/>
        <c:ser>
          <c:idx val="0"/>
          <c:order val="0"/>
          <c:tx>
            <c:v>Inv_final 19:00</c:v>
          </c:tx>
          <c:spPr>
            <a:ln w="28575" cmpd="sng">
              <a:solidFill>
                <a:schemeClr val="accent1"/>
              </a:solidFill>
            </a:ln>
          </c:spPr>
          <c:marker>
            <c:symbol val="none"/>
          </c:marker>
          <c:val>
            <c:numRef>
              <c:f>'120seg'!$E$74:$E$83</c:f>
              <c:numCache>
                <c:formatCode>General</c:formatCode>
                <c:ptCount val="10"/>
                <c:pt idx="0">
                  <c:v>4</c:v>
                </c:pt>
                <c:pt idx="1">
                  <c:v>8</c:v>
                </c:pt>
                <c:pt idx="2">
                  <c:v>1</c:v>
                </c:pt>
                <c:pt idx="3">
                  <c:v>4</c:v>
                </c:pt>
                <c:pt idx="4">
                  <c:v>1</c:v>
                </c:pt>
                <c:pt idx="5">
                  <c:v>4</c:v>
                </c:pt>
                <c:pt idx="6">
                  <c:v>4</c:v>
                </c:pt>
                <c:pt idx="7">
                  <c:v>3</c:v>
                </c:pt>
                <c:pt idx="8">
                  <c:v>1</c:v>
                </c:pt>
                <c:pt idx="9">
                  <c:v>2</c:v>
                </c:pt>
              </c:numCache>
            </c:numRef>
          </c:val>
          <c:smooth val="0"/>
          <c:extLst>
            <c:ext xmlns:c16="http://schemas.microsoft.com/office/drawing/2014/chart" uri="{C3380CC4-5D6E-409C-BE32-E72D297353CC}">
              <c16:uniqueId val="{00000000-866A-4533-8625-EA7622B042DB}"/>
            </c:ext>
          </c:extLst>
        </c:ser>
        <c:ser>
          <c:idx val="1"/>
          <c:order val="1"/>
          <c:tx>
            <c:v>Inventario_Final</c:v>
          </c:tx>
          <c:spPr>
            <a:ln w="28575" cmpd="sng">
              <a:solidFill>
                <a:schemeClr val="accent2"/>
              </a:solidFill>
            </a:ln>
          </c:spPr>
          <c:marker>
            <c:symbol val="none"/>
          </c:marker>
          <c:val>
            <c:numRef>
              <c:f>'120seg'!$F$74:$F$83</c:f>
              <c:numCache>
                <c:formatCode>General</c:formatCode>
                <c:ptCount val="10"/>
                <c:pt idx="0">
                  <c:v>7</c:v>
                </c:pt>
                <c:pt idx="1">
                  <c:v>12</c:v>
                </c:pt>
                <c:pt idx="2">
                  <c:v>6</c:v>
                </c:pt>
                <c:pt idx="3">
                  <c:v>7</c:v>
                </c:pt>
                <c:pt idx="4">
                  <c:v>6</c:v>
                </c:pt>
                <c:pt idx="5">
                  <c:v>6</c:v>
                </c:pt>
                <c:pt idx="6">
                  <c:v>6</c:v>
                </c:pt>
                <c:pt idx="7">
                  <c:v>5</c:v>
                </c:pt>
                <c:pt idx="8">
                  <c:v>6</c:v>
                </c:pt>
                <c:pt idx="9">
                  <c:v>12</c:v>
                </c:pt>
              </c:numCache>
            </c:numRef>
          </c:val>
          <c:smooth val="0"/>
          <c:extLst>
            <c:ext xmlns:c16="http://schemas.microsoft.com/office/drawing/2014/chart" uri="{C3380CC4-5D6E-409C-BE32-E72D297353CC}">
              <c16:uniqueId val="{00000001-866A-4533-8625-EA7622B042DB}"/>
            </c:ext>
          </c:extLst>
        </c:ser>
        <c:dLbls>
          <c:showLegendKey val="0"/>
          <c:showVal val="0"/>
          <c:showCatName val="0"/>
          <c:showSerName val="0"/>
          <c:showPercent val="0"/>
          <c:showBubbleSize val="0"/>
        </c:dLbls>
        <c:smooth val="0"/>
        <c:axId val="1051743136"/>
        <c:axId val="1648413179"/>
      </c:lineChart>
      <c:catAx>
        <c:axId val="105174313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48413179"/>
        <c:crosses val="autoZero"/>
        <c:auto val="1"/>
        <c:lblAlgn val="ctr"/>
        <c:lblOffset val="100"/>
        <c:noMultiLvlLbl val="1"/>
      </c:catAx>
      <c:valAx>
        <c:axId val="164841317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05174313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Domingo 18-11 18:00 hrs Llenado</a:t>
            </a:r>
          </a:p>
        </c:rich>
      </c:tx>
      <c:overlay val="0"/>
    </c:title>
    <c:autoTitleDeleted val="0"/>
    <c:plotArea>
      <c:layout/>
      <c:lineChart>
        <c:grouping val="standard"/>
        <c:varyColors val="1"/>
        <c:ser>
          <c:idx val="0"/>
          <c:order val="0"/>
          <c:tx>
            <c:v>Inv_final 19:00</c:v>
          </c:tx>
          <c:spPr>
            <a:ln w="28575" cmpd="sng">
              <a:solidFill>
                <a:schemeClr val="accent1"/>
              </a:solidFill>
            </a:ln>
          </c:spPr>
          <c:marker>
            <c:symbol val="none"/>
          </c:marker>
          <c:val>
            <c:numRef>
              <c:f>'120seg'!$E$84:$E$93</c:f>
              <c:numCache>
                <c:formatCode>General</c:formatCode>
                <c:ptCount val="10"/>
                <c:pt idx="0">
                  <c:v>14</c:v>
                </c:pt>
                <c:pt idx="1">
                  <c:v>12</c:v>
                </c:pt>
                <c:pt idx="2">
                  <c:v>10</c:v>
                </c:pt>
                <c:pt idx="3">
                  <c:v>30</c:v>
                </c:pt>
                <c:pt idx="4">
                  <c:v>16</c:v>
                </c:pt>
                <c:pt idx="5">
                  <c:v>19</c:v>
                </c:pt>
                <c:pt idx="6">
                  <c:v>13</c:v>
                </c:pt>
                <c:pt idx="7">
                  <c:v>17</c:v>
                </c:pt>
                <c:pt idx="8">
                  <c:v>15</c:v>
                </c:pt>
                <c:pt idx="9">
                  <c:v>27</c:v>
                </c:pt>
              </c:numCache>
            </c:numRef>
          </c:val>
          <c:smooth val="0"/>
          <c:extLst>
            <c:ext xmlns:c16="http://schemas.microsoft.com/office/drawing/2014/chart" uri="{C3380CC4-5D6E-409C-BE32-E72D297353CC}">
              <c16:uniqueId val="{00000000-3968-41AA-A930-8D377F912833}"/>
            </c:ext>
          </c:extLst>
        </c:ser>
        <c:ser>
          <c:idx val="1"/>
          <c:order val="1"/>
          <c:tx>
            <c:v>Inventario_Final</c:v>
          </c:tx>
          <c:spPr>
            <a:ln w="28575" cmpd="sng">
              <a:solidFill>
                <a:schemeClr val="accent2"/>
              </a:solidFill>
            </a:ln>
          </c:spPr>
          <c:marker>
            <c:symbol val="none"/>
          </c:marker>
          <c:val>
            <c:numRef>
              <c:f>'120seg'!$F$84:$F$93</c:f>
              <c:numCache>
                <c:formatCode>General</c:formatCode>
                <c:ptCount val="10"/>
                <c:pt idx="0">
                  <c:v>9</c:v>
                </c:pt>
                <c:pt idx="1">
                  <c:v>13</c:v>
                </c:pt>
                <c:pt idx="2">
                  <c:v>9</c:v>
                </c:pt>
                <c:pt idx="3">
                  <c:v>23</c:v>
                </c:pt>
                <c:pt idx="4">
                  <c:v>16</c:v>
                </c:pt>
                <c:pt idx="5">
                  <c:v>10</c:v>
                </c:pt>
                <c:pt idx="6">
                  <c:v>7</c:v>
                </c:pt>
                <c:pt idx="7">
                  <c:v>5</c:v>
                </c:pt>
                <c:pt idx="8">
                  <c:v>13</c:v>
                </c:pt>
                <c:pt idx="9">
                  <c:v>14</c:v>
                </c:pt>
              </c:numCache>
            </c:numRef>
          </c:val>
          <c:smooth val="0"/>
          <c:extLst>
            <c:ext xmlns:c16="http://schemas.microsoft.com/office/drawing/2014/chart" uri="{C3380CC4-5D6E-409C-BE32-E72D297353CC}">
              <c16:uniqueId val="{00000001-3968-41AA-A930-8D377F912833}"/>
            </c:ext>
          </c:extLst>
        </c:ser>
        <c:dLbls>
          <c:showLegendKey val="0"/>
          <c:showVal val="0"/>
          <c:showCatName val="0"/>
          <c:showSerName val="0"/>
          <c:showPercent val="0"/>
          <c:showBubbleSize val="0"/>
        </c:dLbls>
        <c:smooth val="0"/>
        <c:axId val="2110763714"/>
        <c:axId val="1787998469"/>
      </c:lineChart>
      <c:catAx>
        <c:axId val="2110763714"/>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87998469"/>
        <c:crosses val="autoZero"/>
        <c:auto val="1"/>
        <c:lblAlgn val="ctr"/>
        <c:lblOffset val="100"/>
        <c:noMultiLvlLbl val="1"/>
      </c:catAx>
      <c:valAx>
        <c:axId val="178799846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211076371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 reequilibrado contra histórico 18:00 horas Vaciado y llenado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'120seg (final)'!$Z$58:$Z$77</c:f>
              <c:numCache>
                <c:formatCode>General</c:formatCode>
                <c:ptCount val="20"/>
                <c:pt idx="0">
                  <c:v>7</c:v>
                </c:pt>
                <c:pt idx="1">
                  <c:v>8</c:v>
                </c:pt>
                <c:pt idx="2">
                  <c:v>6</c:v>
                </c:pt>
                <c:pt idx="3">
                  <c:v>7</c:v>
                </c:pt>
                <c:pt idx="4">
                  <c:v>6</c:v>
                </c:pt>
                <c:pt idx="5">
                  <c:v>7</c:v>
                </c:pt>
                <c:pt idx="6">
                  <c:v>6</c:v>
                </c:pt>
                <c:pt idx="7">
                  <c:v>5</c:v>
                </c:pt>
                <c:pt idx="8">
                  <c:v>6</c:v>
                </c:pt>
                <c:pt idx="9">
                  <c:v>8</c:v>
                </c:pt>
                <c:pt idx="10">
                  <c:v>13</c:v>
                </c:pt>
                <c:pt idx="11">
                  <c:v>13</c:v>
                </c:pt>
                <c:pt idx="12">
                  <c:v>7</c:v>
                </c:pt>
                <c:pt idx="13">
                  <c:v>22</c:v>
                </c:pt>
                <c:pt idx="14">
                  <c:v>9</c:v>
                </c:pt>
                <c:pt idx="15">
                  <c:v>8</c:v>
                </c:pt>
                <c:pt idx="16">
                  <c:v>13</c:v>
                </c:pt>
                <c:pt idx="17">
                  <c:v>12</c:v>
                </c:pt>
                <c:pt idx="18">
                  <c:v>13</c:v>
                </c:pt>
                <c:pt idx="19">
                  <c:v>23</c:v>
                </c:pt>
              </c:numCache>
            </c:numRef>
          </c:val>
          <c:smooth val="0"/>
          <c:extLst>
            <c:ext xmlns:c16="http://schemas.microsoft.com/office/drawing/2014/chart" uri="{C3380CC4-5D6E-409C-BE32-E72D297353CC}">
              <c16:uniqueId val="{00000000-7850-488F-9F75-250C236C7C95}"/>
            </c:ext>
          </c:extLst>
        </c:ser>
        <c:ser>
          <c:idx val="1"/>
          <c:order val="1"/>
          <c:tx>
            <c:v>Inv_inicialprom_lunes</c:v>
          </c:tx>
          <c:spPr>
            <a:ln w="28575" cmpd="sng">
              <a:solidFill>
                <a:schemeClr val="accent2"/>
              </a:solidFill>
            </a:ln>
          </c:spPr>
          <c:marker>
            <c:symbol val="none"/>
          </c:marker>
          <c:val>
            <c:numRef>
              <c:f>'120seg (final)'!$W$58:$W$77</c:f>
              <c:numCache>
                <c:formatCode>0</c:formatCode>
                <c:ptCount val="20"/>
                <c:pt idx="0">
                  <c:v>6.1111111111111107</c:v>
                </c:pt>
                <c:pt idx="1">
                  <c:v>3.5555555555555554</c:v>
                </c:pt>
                <c:pt idx="2">
                  <c:v>3.2222222222222223</c:v>
                </c:pt>
                <c:pt idx="3">
                  <c:v>4.7777777777777777</c:v>
                </c:pt>
                <c:pt idx="4">
                  <c:v>6.7777777777777777</c:v>
                </c:pt>
                <c:pt idx="5">
                  <c:v>3.8888888888888888</c:v>
                </c:pt>
                <c:pt idx="6">
                  <c:v>10</c:v>
                </c:pt>
                <c:pt idx="7">
                  <c:v>3.6666666666666665</c:v>
                </c:pt>
                <c:pt idx="8">
                  <c:v>4.5555555555555554</c:v>
                </c:pt>
                <c:pt idx="9">
                  <c:v>5.333333333333333</c:v>
                </c:pt>
                <c:pt idx="10">
                  <c:v>11.222222222222221</c:v>
                </c:pt>
                <c:pt idx="11">
                  <c:v>11.333333333333334</c:v>
                </c:pt>
                <c:pt idx="12">
                  <c:v>9.2222222222222214</c:v>
                </c:pt>
                <c:pt idx="13">
                  <c:v>22.777777777777779</c:v>
                </c:pt>
                <c:pt idx="14">
                  <c:v>13.555555555555555</c:v>
                </c:pt>
                <c:pt idx="15">
                  <c:v>10.333333333333334</c:v>
                </c:pt>
                <c:pt idx="16">
                  <c:v>10.777777777777779</c:v>
                </c:pt>
                <c:pt idx="17">
                  <c:v>13.111111111111111</c:v>
                </c:pt>
                <c:pt idx="18">
                  <c:v>11.222222222222221</c:v>
                </c:pt>
                <c:pt idx="19">
                  <c:v>23.111111111111111</c:v>
                </c:pt>
              </c:numCache>
            </c:numRef>
          </c:val>
          <c:smooth val="0"/>
          <c:extLst>
            <c:ext xmlns:c16="http://schemas.microsoft.com/office/drawing/2014/chart" uri="{C3380CC4-5D6E-409C-BE32-E72D297353CC}">
              <c16:uniqueId val="{00000001-7850-488F-9F75-250C236C7C95}"/>
            </c:ext>
          </c:extLst>
        </c:ser>
        <c:dLbls>
          <c:showLegendKey val="0"/>
          <c:showVal val="0"/>
          <c:showCatName val="0"/>
          <c:showSerName val="0"/>
          <c:showPercent val="0"/>
          <c:showBubbleSize val="0"/>
        </c:dLbls>
        <c:smooth val="0"/>
        <c:axId val="353957921"/>
        <c:axId val="217169201"/>
      </c:lineChart>
      <c:catAx>
        <c:axId val="35395792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17169201"/>
        <c:crosses val="autoZero"/>
        <c:auto val="1"/>
        <c:lblAlgn val="ctr"/>
        <c:lblOffset val="100"/>
        <c:noMultiLvlLbl val="1"/>
      </c:catAx>
      <c:valAx>
        <c:axId val="21716920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35395792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Lunes 18-11 18:00 hrs llenado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'120seg (final)'!$Z$68:$Z$77</c:f>
              <c:numCache>
                <c:formatCode>General</c:formatCode>
                <c:ptCount val="10"/>
                <c:pt idx="0">
                  <c:v>13</c:v>
                </c:pt>
                <c:pt idx="1">
                  <c:v>13</c:v>
                </c:pt>
                <c:pt idx="2">
                  <c:v>7</c:v>
                </c:pt>
                <c:pt idx="3">
                  <c:v>22</c:v>
                </c:pt>
                <c:pt idx="4">
                  <c:v>9</c:v>
                </c:pt>
                <c:pt idx="5">
                  <c:v>8</c:v>
                </c:pt>
                <c:pt idx="6">
                  <c:v>13</c:v>
                </c:pt>
                <c:pt idx="7">
                  <c:v>12</c:v>
                </c:pt>
                <c:pt idx="8">
                  <c:v>13</c:v>
                </c:pt>
                <c:pt idx="9">
                  <c:v>23</c:v>
                </c:pt>
              </c:numCache>
            </c:numRef>
          </c:val>
          <c:smooth val="0"/>
          <c:extLst>
            <c:ext xmlns:c16="http://schemas.microsoft.com/office/drawing/2014/chart" uri="{C3380CC4-5D6E-409C-BE32-E72D297353CC}">
              <c16:uniqueId val="{00000000-D47A-421A-AED4-EFC33EEDBB44}"/>
            </c:ext>
          </c:extLst>
        </c:ser>
        <c:ser>
          <c:idx val="1"/>
          <c:order val="1"/>
          <c:tx>
            <c:v>inv_inicialprom_lunes</c:v>
          </c:tx>
          <c:spPr>
            <a:ln w="28575" cmpd="sng">
              <a:solidFill>
                <a:schemeClr val="accent2"/>
              </a:solidFill>
            </a:ln>
          </c:spPr>
          <c:marker>
            <c:symbol val="none"/>
          </c:marker>
          <c:val>
            <c:numRef>
              <c:f>'120seg (final)'!$W$68:$W$77</c:f>
              <c:numCache>
                <c:formatCode>0</c:formatCode>
                <c:ptCount val="10"/>
                <c:pt idx="0">
                  <c:v>11.222222222222221</c:v>
                </c:pt>
                <c:pt idx="1">
                  <c:v>11.333333333333334</c:v>
                </c:pt>
                <c:pt idx="2">
                  <c:v>9.2222222222222214</c:v>
                </c:pt>
                <c:pt idx="3">
                  <c:v>22.777777777777779</c:v>
                </c:pt>
                <c:pt idx="4">
                  <c:v>13.555555555555555</c:v>
                </c:pt>
                <c:pt idx="5">
                  <c:v>10.333333333333334</c:v>
                </c:pt>
                <c:pt idx="6">
                  <c:v>10.777777777777779</c:v>
                </c:pt>
                <c:pt idx="7">
                  <c:v>13.111111111111111</c:v>
                </c:pt>
                <c:pt idx="8">
                  <c:v>11.222222222222221</c:v>
                </c:pt>
                <c:pt idx="9">
                  <c:v>23.111111111111111</c:v>
                </c:pt>
              </c:numCache>
            </c:numRef>
          </c:val>
          <c:smooth val="0"/>
          <c:extLst>
            <c:ext xmlns:c16="http://schemas.microsoft.com/office/drawing/2014/chart" uri="{C3380CC4-5D6E-409C-BE32-E72D297353CC}">
              <c16:uniqueId val="{00000001-D47A-421A-AED4-EFC33EEDBB44}"/>
            </c:ext>
          </c:extLst>
        </c:ser>
        <c:dLbls>
          <c:showLegendKey val="0"/>
          <c:showVal val="0"/>
          <c:showCatName val="0"/>
          <c:showSerName val="0"/>
          <c:showPercent val="0"/>
          <c:showBubbleSize val="0"/>
        </c:dLbls>
        <c:smooth val="0"/>
        <c:axId val="1361876244"/>
        <c:axId val="626652165"/>
      </c:lineChart>
      <c:catAx>
        <c:axId val="136187624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26652165"/>
        <c:crosses val="autoZero"/>
        <c:auto val="1"/>
        <c:lblAlgn val="ctr"/>
        <c:lblOffset val="100"/>
        <c:noMultiLvlLbl val="1"/>
      </c:catAx>
      <c:valAx>
        <c:axId val="62665216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6187624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Lunes 18-11 18:00 hrs vaciado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'120seg (final)'!$Z$58:$Z$67</c:f>
              <c:numCache>
                <c:formatCode>General</c:formatCode>
                <c:ptCount val="10"/>
                <c:pt idx="0">
                  <c:v>7</c:v>
                </c:pt>
                <c:pt idx="1">
                  <c:v>8</c:v>
                </c:pt>
                <c:pt idx="2">
                  <c:v>6</c:v>
                </c:pt>
                <c:pt idx="3">
                  <c:v>7</c:v>
                </c:pt>
                <c:pt idx="4">
                  <c:v>6</c:v>
                </c:pt>
                <c:pt idx="5">
                  <c:v>7</c:v>
                </c:pt>
                <c:pt idx="6">
                  <c:v>6</c:v>
                </c:pt>
                <c:pt idx="7">
                  <c:v>5</c:v>
                </c:pt>
                <c:pt idx="8">
                  <c:v>6</c:v>
                </c:pt>
                <c:pt idx="9">
                  <c:v>8</c:v>
                </c:pt>
              </c:numCache>
            </c:numRef>
          </c:val>
          <c:smooth val="0"/>
          <c:extLst>
            <c:ext xmlns:c16="http://schemas.microsoft.com/office/drawing/2014/chart" uri="{C3380CC4-5D6E-409C-BE32-E72D297353CC}">
              <c16:uniqueId val="{00000000-7C4D-44C2-AAE2-A5DD38625F6D}"/>
            </c:ext>
          </c:extLst>
        </c:ser>
        <c:ser>
          <c:idx val="1"/>
          <c:order val="1"/>
          <c:tx>
            <c:v>inv_inicialprom_lunes</c:v>
          </c:tx>
          <c:spPr>
            <a:ln w="28575" cmpd="sng">
              <a:solidFill>
                <a:schemeClr val="accent2"/>
              </a:solidFill>
            </a:ln>
          </c:spPr>
          <c:marker>
            <c:symbol val="none"/>
          </c:marker>
          <c:val>
            <c:numRef>
              <c:f>'120seg (final)'!$W$59:$W$67</c:f>
              <c:numCache>
                <c:formatCode>0</c:formatCode>
                <c:ptCount val="9"/>
                <c:pt idx="0">
                  <c:v>3.5555555555555554</c:v>
                </c:pt>
                <c:pt idx="1">
                  <c:v>3.2222222222222223</c:v>
                </c:pt>
                <c:pt idx="2">
                  <c:v>4.7777777777777777</c:v>
                </c:pt>
                <c:pt idx="3">
                  <c:v>6.7777777777777777</c:v>
                </c:pt>
                <c:pt idx="4">
                  <c:v>3.8888888888888888</c:v>
                </c:pt>
                <c:pt idx="5">
                  <c:v>10</c:v>
                </c:pt>
                <c:pt idx="6">
                  <c:v>3.6666666666666665</c:v>
                </c:pt>
                <c:pt idx="7">
                  <c:v>4.5555555555555554</c:v>
                </c:pt>
                <c:pt idx="8">
                  <c:v>5.333333333333333</c:v>
                </c:pt>
              </c:numCache>
            </c:numRef>
          </c:val>
          <c:smooth val="0"/>
          <c:extLst>
            <c:ext xmlns:c16="http://schemas.microsoft.com/office/drawing/2014/chart" uri="{C3380CC4-5D6E-409C-BE32-E72D297353CC}">
              <c16:uniqueId val="{00000001-7C4D-44C2-AAE2-A5DD38625F6D}"/>
            </c:ext>
          </c:extLst>
        </c:ser>
        <c:dLbls>
          <c:showLegendKey val="0"/>
          <c:showVal val="0"/>
          <c:showCatName val="0"/>
          <c:showSerName val="0"/>
          <c:showPercent val="0"/>
          <c:showBubbleSize val="0"/>
        </c:dLbls>
        <c:smooth val="0"/>
        <c:axId val="770967192"/>
        <c:axId val="244448985"/>
      </c:lineChart>
      <c:catAx>
        <c:axId val="770967192"/>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44448985"/>
        <c:crosses val="autoZero"/>
        <c:auto val="1"/>
        <c:lblAlgn val="ctr"/>
        <c:lblOffset val="100"/>
        <c:noMultiLvlLbl val="1"/>
      </c:catAx>
      <c:valAx>
        <c:axId val="24444898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77096719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Martes 19-11 18:00 hrs vaciado</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 (final)'!$AH$58:$AH$67</c:f>
              <c:numCache>
                <c:formatCode>0</c:formatCode>
                <c:ptCount val="10"/>
                <c:pt idx="0">
                  <c:v>4.2222222222222223</c:v>
                </c:pt>
                <c:pt idx="1">
                  <c:v>3.3333333333333335</c:v>
                </c:pt>
                <c:pt idx="2">
                  <c:v>2.8888888888888888</c:v>
                </c:pt>
                <c:pt idx="3">
                  <c:v>5.8888888888888893</c:v>
                </c:pt>
                <c:pt idx="4">
                  <c:v>4.2222222222222223</c:v>
                </c:pt>
                <c:pt idx="5">
                  <c:v>6.8888888888888893</c:v>
                </c:pt>
                <c:pt idx="6">
                  <c:v>6.2222222222222223</c:v>
                </c:pt>
                <c:pt idx="7">
                  <c:v>6.4444444444444446</c:v>
                </c:pt>
                <c:pt idx="8">
                  <c:v>5.333333333333333</c:v>
                </c:pt>
                <c:pt idx="9">
                  <c:v>8.1111111111111107</c:v>
                </c:pt>
              </c:numCache>
            </c:numRef>
          </c:val>
          <c:smooth val="0"/>
          <c:extLst>
            <c:ext xmlns:c16="http://schemas.microsoft.com/office/drawing/2014/chart" uri="{C3380CC4-5D6E-409C-BE32-E72D297353CC}">
              <c16:uniqueId val="{00000000-CFCC-4241-8993-8C57DA414F88}"/>
            </c:ext>
          </c:extLst>
        </c:ser>
        <c:ser>
          <c:idx val="1"/>
          <c:order val="1"/>
          <c:tx>
            <c:v>Inventario_Final</c:v>
          </c:tx>
          <c:spPr>
            <a:ln w="28575" cmpd="sng">
              <a:solidFill>
                <a:schemeClr val="accent2"/>
              </a:solidFill>
            </a:ln>
          </c:spPr>
          <c:marker>
            <c:symbol val="none"/>
          </c:marker>
          <c:val>
            <c:numRef>
              <c:f>'120seg (final)'!$AK$58:$AK$67</c:f>
              <c:numCache>
                <c:formatCode>General</c:formatCode>
                <c:ptCount val="10"/>
                <c:pt idx="0">
                  <c:v>7</c:v>
                </c:pt>
                <c:pt idx="1">
                  <c:v>8</c:v>
                </c:pt>
                <c:pt idx="2">
                  <c:v>6</c:v>
                </c:pt>
                <c:pt idx="3">
                  <c:v>7</c:v>
                </c:pt>
                <c:pt idx="4">
                  <c:v>6</c:v>
                </c:pt>
                <c:pt idx="5">
                  <c:v>6</c:v>
                </c:pt>
                <c:pt idx="6">
                  <c:v>6</c:v>
                </c:pt>
                <c:pt idx="7">
                  <c:v>5</c:v>
                </c:pt>
                <c:pt idx="8">
                  <c:v>6</c:v>
                </c:pt>
                <c:pt idx="9">
                  <c:v>12</c:v>
                </c:pt>
              </c:numCache>
            </c:numRef>
          </c:val>
          <c:smooth val="0"/>
          <c:extLst>
            <c:ext xmlns:c16="http://schemas.microsoft.com/office/drawing/2014/chart" uri="{C3380CC4-5D6E-409C-BE32-E72D297353CC}">
              <c16:uniqueId val="{00000001-CFCC-4241-8993-8C57DA414F88}"/>
            </c:ext>
          </c:extLst>
        </c:ser>
        <c:dLbls>
          <c:showLegendKey val="0"/>
          <c:showVal val="0"/>
          <c:showCatName val="0"/>
          <c:showSerName val="0"/>
          <c:showPercent val="0"/>
          <c:showBubbleSize val="0"/>
        </c:dLbls>
        <c:smooth val="0"/>
        <c:axId val="767752145"/>
        <c:axId val="1258907364"/>
      </c:lineChart>
      <c:catAx>
        <c:axId val="76775214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58907364"/>
        <c:crosses val="autoZero"/>
        <c:auto val="1"/>
        <c:lblAlgn val="ctr"/>
        <c:lblOffset val="100"/>
        <c:noMultiLvlLbl val="1"/>
      </c:catAx>
      <c:valAx>
        <c:axId val="125890736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76775214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Martes 19-11 18:00 hrs llenado</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 (final)'!$AH$68:$AH$77</c:f>
              <c:numCache>
                <c:formatCode>0</c:formatCode>
                <c:ptCount val="10"/>
                <c:pt idx="0">
                  <c:v>10.333333333333334</c:v>
                </c:pt>
                <c:pt idx="1">
                  <c:v>9.2222222222222214</c:v>
                </c:pt>
                <c:pt idx="2">
                  <c:v>11.333333333333334</c:v>
                </c:pt>
                <c:pt idx="3">
                  <c:v>21.333333333333332</c:v>
                </c:pt>
                <c:pt idx="4">
                  <c:v>15</c:v>
                </c:pt>
                <c:pt idx="5">
                  <c:v>12.555555555555555</c:v>
                </c:pt>
                <c:pt idx="6">
                  <c:v>8.6666666666666661</c:v>
                </c:pt>
                <c:pt idx="7">
                  <c:v>9.2222222222222214</c:v>
                </c:pt>
                <c:pt idx="8">
                  <c:v>8.4444444444444446</c:v>
                </c:pt>
                <c:pt idx="9">
                  <c:v>23.888888888888889</c:v>
                </c:pt>
              </c:numCache>
            </c:numRef>
          </c:val>
          <c:smooth val="0"/>
          <c:extLst>
            <c:ext xmlns:c16="http://schemas.microsoft.com/office/drawing/2014/chart" uri="{C3380CC4-5D6E-409C-BE32-E72D297353CC}">
              <c16:uniqueId val="{00000000-59CF-4DFF-AC97-BEBAC0067202}"/>
            </c:ext>
          </c:extLst>
        </c:ser>
        <c:ser>
          <c:idx val="1"/>
          <c:order val="1"/>
          <c:tx>
            <c:v>Inventario_Final</c:v>
          </c:tx>
          <c:spPr>
            <a:ln w="28575" cmpd="sng">
              <a:solidFill>
                <a:schemeClr val="accent2"/>
              </a:solidFill>
            </a:ln>
          </c:spPr>
          <c:marker>
            <c:symbol val="none"/>
          </c:marker>
          <c:val>
            <c:numRef>
              <c:f>'120seg (final)'!$AK$68:$AK$77</c:f>
              <c:numCache>
                <c:formatCode>General</c:formatCode>
                <c:ptCount val="10"/>
                <c:pt idx="0">
                  <c:v>3</c:v>
                </c:pt>
                <c:pt idx="1">
                  <c:v>5</c:v>
                </c:pt>
                <c:pt idx="2">
                  <c:v>8</c:v>
                </c:pt>
                <c:pt idx="3">
                  <c:v>26</c:v>
                </c:pt>
                <c:pt idx="4">
                  <c:v>12</c:v>
                </c:pt>
                <c:pt idx="5">
                  <c:v>3</c:v>
                </c:pt>
                <c:pt idx="6">
                  <c:v>7</c:v>
                </c:pt>
                <c:pt idx="7">
                  <c:v>15</c:v>
                </c:pt>
                <c:pt idx="8">
                  <c:v>13</c:v>
                </c:pt>
                <c:pt idx="9">
                  <c:v>15</c:v>
                </c:pt>
              </c:numCache>
            </c:numRef>
          </c:val>
          <c:smooth val="0"/>
          <c:extLst>
            <c:ext xmlns:c16="http://schemas.microsoft.com/office/drawing/2014/chart" uri="{C3380CC4-5D6E-409C-BE32-E72D297353CC}">
              <c16:uniqueId val="{00000001-59CF-4DFF-AC97-BEBAC0067202}"/>
            </c:ext>
          </c:extLst>
        </c:ser>
        <c:dLbls>
          <c:showLegendKey val="0"/>
          <c:showVal val="0"/>
          <c:showCatName val="0"/>
          <c:showSerName val="0"/>
          <c:showPercent val="0"/>
          <c:showBubbleSize val="0"/>
        </c:dLbls>
        <c:smooth val="0"/>
        <c:axId val="1065153885"/>
        <c:axId val="730115230"/>
      </c:lineChart>
      <c:catAx>
        <c:axId val="106515388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730115230"/>
        <c:crosses val="autoZero"/>
        <c:auto val="1"/>
        <c:lblAlgn val="ctr"/>
        <c:lblOffset val="100"/>
        <c:noMultiLvlLbl val="1"/>
      </c:catAx>
      <c:valAx>
        <c:axId val="73011523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06515388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Miércoles 20-11 18:00 hrs vaciado</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 (final)'!$AR$58:$AR$67</c:f>
              <c:numCache>
                <c:formatCode>0</c:formatCode>
                <c:ptCount val="10"/>
                <c:pt idx="0">
                  <c:v>4.666666666666667</c:v>
                </c:pt>
                <c:pt idx="1">
                  <c:v>5.2222222222222223</c:v>
                </c:pt>
                <c:pt idx="2">
                  <c:v>2.6666666666666665</c:v>
                </c:pt>
                <c:pt idx="3">
                  <c:v>5</c:v>
                </c:pt>
                <c:pt idx="4">
                  <c:v>6.2222222222222223</c:v>
                </c:pt>
                <c:pt idx="5">
                  <c:v>1.5555555555555556</c:v>
                </c:pt>
                <c:pt idx="6">
                  <c:v>8.3333333333333339</c:v>
                </c:pt>
                <c:pt idx="7">
                  <c:v>3.4444444444444446</c:v>
                </c:pt>
                <c:pt idx="8">
                  <c:v>5.333333333333333</c:v>
                </c:pt>
                <c:pt idx="9">
                  <c:v>7</c:v>
                </c:pt>
              </c:numCache>
            </c:numRef>
          </c:val>
          <c:smooth val="0"/>
          <c:extLst>
            <c:ext xmlns:c16="http://schemas.microsoft.com/office/drawing/2014/chart" uri="{C3380CC4-5D6E-409C-BE32-E72D297353CC}">
              <c16:uniqueId val="{00000000-63B2-442D-B459-242E00149469}"/>
            </c:ext>
          </c:extLst>
        </c:ser>
        <c:ser>
          <c:idx val="1"/>
          <c:order val="1"/>
          <c:tx>
            <c:v>Inventario_Final</c:v>
          </c:tx>
          <c:spPr>
            <a:ln w="28575" cmpd="sng">
              <a:solidFill>
                <a:schemeClr val="accent2"/>
              </a:solidFill>
            </a:ln>
          </c:spPr>
          <c:marker>
            <c:symbol val="none"/>
          </c:marker>
          <c:val>
            <c:numRef>
              <c:f>'120seg (final)'!$AU$58:$AU$67</c:f>
              <c:numCache>
                <c:formatCode>General</c:formatCode>
                <c:ptCount val="10"/>
                <c:pt idx="0">
                  <c:v>8</c:v>
                </c:pt>
                <c:pt idx="1">
                  <c:v>8</c:v>
                </c:pt>
                <c:pt idx="2">
                  <c:v>6</c:v>
                </c:pt>
                <c:pt idx="3">
                  <c:v>11</c:v>
                </c:pt>
                <c:pt idx="4">
                  <c:v>10</c:v>
                </c:pt>
                <c:pt idx="5">
                  <c:v>8</c:v>
                </c:pt>
                <c:pt idx="6">
                  <c:v>6</c:v>
                </c:pt>
                <c:pt idx="7">
                  <c:v>5</c:v>
                </c:pt>
                <c:pt idx="8">
                  <c:v>8</c:v>
                </c:pt>
                <c:pt idx="9">
                  <c:v>8</c:v>
                </c:pt>
              </c:numCache>
            </c:numRef>
          </c:val>
          <c:smooth val="0"/>
          <c:extLst>
            <c:ext xmlns:c16="http://schemas.microsoft.com/office/drawing/2014/chart" uri="{C3380CC4-5D6E-409C-BE32-E72D297353CC}">
              <c16:uniqueId val="{00000001-63B2-442D-B459-242E00149469}"/>
            </c:ext>
          </c:extLst>
        </c:ser>
        <c:dLbls>
          <c:showLegendKey val="0"/>
          <c:showVal val="0"/>
          <c:showCatName val="0"/>
          <c:showSerName val="0"/>
          <c:showPercent val="0"/>
          <c:showBubbleSize val="0"/>
        </c:dLbls>
        <c:smooth val="0"/>
        <c:axId val="327130093"/>
        <c:axId val="129785068"/>
      </c:lineChart>
      <c:catAx>
        <c:axId val="32713009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9785068"/>
        <c:crosses val="autoZero"/>
        <c:auto val="1"/>
        <c:lblAlgn val="ctr"/>
        <c:lblOffset val="100"/>
        <c:noMultiLvlLbl val="1"/>
      </c:catAx>
      <c:valAx>
        <c:axId val="12978506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32713009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Miércoles 20-11 18:00 hrs Llenado</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 (final)'!$AR$68:$AR$77</c:f>
              <c:numCache>
                <c:formatCode>0</c:formatCode>
                <c:ptCount val="10"/>
                <c:pt idx="0">
                  <c:v>13.555555555555555</c:v>
                </c:pt>
                <c:pt idx="1">
                  <c:v>8.5555555555555554</c:v>
                </c:pt>
                <c:pt idx="2">
                  <c:v>11.444444444444445</c:v>
                </c:pt>
                <c:pt idx="3">
                  <c:v>23.222222222222221</c:v>
                </c:pt>
                <c:pt idx="4">
                  <c:v>12.555555555555555</c:v>
                </c:pt>
                <c:pt idx="5">
                  <c:v>13.111111111111111</c:v>
                </c:pt>
                <c:pt idx="6">
                  <c:v>7</c:v>
                </c:pt>
                <c:pt idx="7">
                  <c:v>11.111111111111111</c:v>
                </c:pt>
                <c:pt idx="8">
                  <c:v>7.333333333333333</c:v>
                </c:pt>
                <c:pt idx="9">
                  <c:v>24.111111111111111</c:v>
                </c:pt>
              </c:numCache>
            </c:numRef>
          </c:val>
          <c:smooth val="0"/>
          <c:extLst>
            <c:ext xmlns:c16="http://schemas.microsoft.com/office/drawing/2014/chart" uri="{C3380CC4-5D6E-409C-BE32-E72D297353CC}">
              <c16:uniqueId val="{00000000-8A22-4CFE-93AF-826297BFF617}"/>
            </c:ext>
          </c:extLst>
        </c:ser>
        <c:ser>
          <c:idx val="1"/>
          <c:order val="1"/>
          <c:tx>
            <c:v>Inventario_Final</c:v>
          </c:tx>
          <c:spPr>
            <a:ln w="28575" cmpd="sng">
              <a:solidFill>
                <a:schemeClr val="accent2"/>
              </a:solidFill>
            </a:ln>
          </c:spPr>
          <c:marker>
            <c:symbol val="none"/>
          </c:marker>
          <c:val>
            <c:numRef>
              <c:f>'120seg (final)'!$AU$68:$AU$77</c:f>
              <c:numCache>
                <c:formatCode>General</c:formatCode>
                <c:ptCount val="10"/>
                <c:pt idx="0">
                  <c:v>14</c:v>
                </c:pt>
                <c:pt idx="1">
                  <c:v>7</c:v>
                </c:pt>
                <c:pt idx="2">
                  <c:v>12</c:v>
                </c:pt>
                <c:pt idx="3">
                  <c:v>19</c:v>
                </c:pt>
                <c:pt idx="4">
                  <c:v>16</c:v>
                </c:pt>
                <c:pt idx="5">
                  <c:v>12</c:v>
                </c:pt>
                <c:pt idx="6">
                  <c:v>13</c:v>
                </c:pt>
                <c:pt idx="7">
                  <c:v>16</c:v>
                </c:pt>
                <c:pt idx="8">
                  <c:v>13</c:v>
                </c:pt>
                <c:pt idx="9">
                  <c:v>24</c:v>
                </c:pt>
              </c:numCache>
            </c:numRef>
          </c:val>
          <c:smooth val="0"/>
          <c:extLst>
            <c:ext xmlns:c16="http://schemas.microsoft.com/office/drawing/2014/chart" uri="{C3380CC4-5D6E-409C-BE32-E72D297353CC}">
              <c16:uniqueId val="{00000001-8A22-4CFE-93AF-826297BFF617}"/>
            </c:ext>
          </c:extLst>
        </c:ser>
        <c:dLbls>
          <c:showLegendKey val="0"/>
          <c:showVal val="0"/>
          <c:showCatName val="0"/>
          <c:showSerName val="0"/>
          <c:showPercent val="0"/>
          <c:showBubbleSize val="0"/>
        </c:dLbls>
        <c:smooth val="0"/>
        <c:axId val="1036655608"/>
        <c:axId val="1502939337"/>
      </c:lineChart>
      <c:catAx>
        <c:axId val="10366556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02939337"/>
        <c:crosses val="autoZero"/>
        <c:auto val="1"/>
        <c:lblAlgn val="ctr"/>
        <c:lblOffset val="100"/>
        <c:noMultiLvlLbl val="1"/>
      </c:catAx>
      <c:valAx>
        <c:axId val="150293933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036655608"/>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Jueves 21-11 18:00 hrs Vaciado</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 (final)'!$BB$58:$BB$67</c:f>
              <c:numCache>
                <c:formatCode>0</c:formatCode>
                <c:ptCount val="10"/>
                <c:pt idx="0">
                  <c:v>6.1111111111111107</c:v>
                </c:pt>
                <c:pt idx="1">
                  <c:v>6.5555555555555554</c:v>
                </c:pt>
                <c:pt idx="2">
                  <c:v>4.333333333333333</c:v>
                </c:pt>
                <c:pt idx="3">
                  <c:v>6.7777777777777777</c:v>
                </c:pt>
                <c:pt idx="4">
                  <c:v>8.1111111111111107</c:v>
                </c:pt>
                <c:pt idx="5">
                  <c:v>3.1111111111111112</c:v>
                </c:pt>
                <c:pt idx="6">
                  <c:v>9.2222222222222214</c:v>
                </c:pt>
                <c:pt idx="7">
                  <c:v>4.4444444444444446</c:v>
                </c:pt>
                <c:pt idx="8">
                  <c:v>6.4444444444444446</c:v>
                </c:pt>
                <c:pt idx="9">
                  <c:v>5.5555555555555554</c:v>
                </c:pt>
              </c:numCache>
            </c:numRef>
          </c:val>
          <c:smooth val="0"/>
          <c:extLst>
            <c:ext xmlns:c16="http://schemas.microsoft.com/office/drawing/2014/chart" uri="{C3380CC4-5D6E-409C-BE32-E72D297353CC}">
              <c16:uniqueId val="{00000000-BAF1-4C6C-967A-58B187CE1CCE}"/>
            </c:ext>
          </c:extLst>
        </c:ser>
        <c:ser>
          <c:idx val="1"/>
          <c:order val="1"/>
          <c:tx>
            <c:v>Inventario_Final</c:v>
          </c:tx>
          <c:spPr>
            <a:ln w="28575" cmpd="sng">
              <a:solidFill>
                <a:schemeClr val="accent2"/>
              </a:solidFill>
            </a:ln>
          </c:spPr>
          <c:marker>
            <c:symbol val="none"/>
          </c:marker>
          <c:val>
            <c:numRef>
              <c:f>'120seg (final)'!$BE$58:$BE$67</c:f>
              <c:numCache>
                <c:formatCode>General</c:formatCode>
                <c:ptCount val="10"/>
                <c:pt idx="0">
                  <c:v>7</c:v>
                </c:pt>
                <c:pt idx="1">
                  <c:v>12</c:v>
                </c:pt>
                <c:pt idx="2">
                  <c:v>6</c:v>
                </c:pt>
                <c:pt idx="3">
                  <c:v>11</c:v>
                </c:pt>
                <c:pt idx="4">
                  <c:v>9</c:v>
                </c:pt>
                <c:pt idx="5">
                  <c:v>6</c:v>
                </c:pt>
                <c:pt idx="6">
                  <c:v>10</c:v>
                </c:pt>
                <c:pt idx="7">
                  <c:v>5</c:v>
                </c:pt>
                <c:pt idx="8">
                  <c:v>6</c:v>
                </c:pt>
                <c:pt idx="9">
                  <c:v>8</c:v>
                </c:pt>
              </c:numCache>
            </c:numRef>
          </c:val>
          <c:smooth val="0"/>
          <c:extLst>
            <c:ext xmlns:c16="http://schemas.microsoft.com/office/drawing/2014/chart" uri="{C3380CC4-5D6E-409C-BE32-E72D297353CC}">
              <c16:uniqueId val="{00000001-BAF1-4C6C-967A-58B187CE1CCE}"/>
            </c:ext>
          </c:extLst>
        </c:ser>
        <c:dLbls>
          <c:showLegendKey val="0"/>
          <c:showVal val="0"/>
          <c:showCatName val="0"/>
          <c:showSerName val="0"/>
          <c:showPercent val="0"/>
          <c:showBubbleSize val="0"/>
        </c:dLbls>
        <c:smooth val="0"/>
        <c:axId val="988357174"/>
        <c:axId val="1821341177"/>
      </c:lineChart>
      <c:catAx>
        <c:axId val="98835717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821341177"/>
        <c:crosses val="autoZero"/>
        <c:auto val="1"/>
        <c:lblAlgn val="ctr"/>
        <c:lblOffset val="100"/>
        <c:noMultiLvlLbl val="1"/>
      </c:catAx>
      <c:valAx>
        <c:axId val="182134117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98835717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Jueves 21-11 18:00 hrs Llenado</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 (final)'!$BB$68:$BB$77</c:f>
              <c:numCache>
                <c:formatCode>0</c:formatCode>
                <c:ptCount val="10"/>
                <c:pt idx="0">
                  <c:v>9.8888888888888893</c:v>
                </c:pt>
                <c:pt idx="1">
                  <c:v>11.777777777777779</c:v>
                </c:pt>
                <c:pt idx="2">
                  <c:v>11.444444444444445</c:v>
                </c:pt>
                <c:pt idx="3">
                  <c:v>18.444444444444443</c:v>
                </c:pt>
                <c:pt idx="4">
                  <c:v>14.222222222222221</c:v>
                </c:pt>
                <c:pt idx="5">
                  <c:v>13.555555555555555</c:v>
                </c:pt>
                <c:pt idx="6">
                  <c:v>8.8888888888888893</c:v>
                </c:pt>
                <c:pt idx="7">
                  <c:v>12.666666666666666</c:v>
                </c:pt>
                <c:pt idx="8">
                  <c:v>10.888888888888889</c:v>
                </c:pt>
                <c:pt idx="9">
                  <c:v>24</c:v>
                </c:pt>
              </c:numCache>
            </c:numRef>
          </c:val>
          <c:smooth val="0"/>
          <c:extLst>
            <c:ext xmlns:c16="http://schemas.microsoft.com/office/drawing/2014/chart" uri="{C3380CC4-5D6E-409C-BE32-E72D297353CC}">
              <c16:uniqueId val="{00000000-6C89-453A-A029-960637DCF80A}"/>
            </c:ext>
          </c:extLst>
        </c:ser>
        <c:ser>
          <c:idx val="1"/>
          <c:order val="1"/>
          <c:tx>
            <c:v>Inventario_Final</c:v>
          </c:tx>
          <c:spPr>
            <a:ln w="28575" cmpd="sng">
              <a:solidFill>
                <a:schemeClr val="accent2"/>
              </a:solidFill>
            </a:ln>
          </c:spPr>
          <c:marker>
            <c:symbol val="none"/>
          </c:marker>
          <c:val>
            <c:numRef>
              <c:f>'120seg (final)'!$BE$68:$BE$77</c:f>
              <c:numCache>
                <c:formatCode>General</c:formatCode>
                <c:ptCount val="10"/>
                <c:pt idx="0">
                  <c:v>6</c:v>
                </c:pt>
                <c:pt idx="1">
                  <c:v>11</c:v>
                </c:pt>
                <c:pt idx="2">
                  <c:v>9</c:v>
                </c:pt>
                <c:pt idx="3">
                  <c:v>27</c:v>
                </c:pt>
                <c:pt idx="4">
                  <c:v>16</c:v>
                </c:pt>
                <c:pt idx="5">
                  <c:v>12</c:v>
                </c:pt>
                <c:pt idx="6">
                  <c:v>3</c:v>
                </c:pt>
                <c:pt idx="7">
                  <c:v>15</c:v>
                </c:pt>
                <c:pt idx="8">
                  <c:v>11</c:v>
                </c:pt>
                <c:pt idx="9">
                  <c:v>23</c:v>
                </c:pt>
              </c:numCache>
            </c:numRef>
          </c:val>
          <c:smooth val="0"/>
          <c:extLst>
            <c:ext xmlns:c16="http://schemas.microsoft.com/office/drawing/2014/chart" uri="{C3380CC4-5D6E-409C-BE32-E72D297353CC}">
              <c16:uniqueId val="{00000001-6C89-453A-A029-960637DCF80A}"/>
            </c:ext>
          </c:extLst>
        </c:ser>
        <c:dLbls>
          <c:showLegendKey val="0"/>
          <c:showVal val="0"/>
          <c:showCatName val="0"/>
          <c:showSerName val="0"/>
          <c:showPercent val="0"/>
          <c:showBubbleSize val="0"/>
        </c:dLbls>
        <c:smooth val="0"/>
        <c:axId val="219773715"/>
        <c:axId val="1551355880"/>
      </c:lineChart>
      <c:catAx>
        <c:axId val="21977371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51355880"/>
        <c:crosses val="autoZero"/>
        <c:auto val="1"/>
        <c:lblAlgn val="ctr"/>
        <c:lblOffset val="100"/>
        <c:noMultiLvlLbl val="1"/>
      </c:catAx>
      <c:valAx>
        <c:axId val="155135588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21977371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Vaciado
</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 (final)'!$BL$58:$BL$67</c:f>
              <c:numCache>
                <c:formatCode>0</c:formatCode>
                <c:ptCount val="10"/>
                <c:pt idx="0">
                  <c:v>4.666666666666667</c:v>
                </c:pt>
                <c:pt idx="1">
                  <c:v>6.1111111111111107</c:v>
                </c:pt>
                <c:pt idx="2">
                  <c:v>2.1111111111111112</c:v>
                </c:pt>
                <c:pt idx="3">
                  <c:v>4.666666666666667</c:v>
                </c:pt>
                <c:pt idx="4">
                  <c:v>5.5555555555555554</c:v>
                </c:pt>
                <c:pt idx="5">
                  <c:v>5.1111111111111107</c:v>
                </c:pt>
                <c:pt idx="6">
                  <c:v>3.3333333333333335</c:v>
                </c:pt>
                <c:pt idx="7">
                  <c:v>2.5555555555555554</c:v>
                </c:pt>
                <c:pt idx="8">
                  <c:v>5.4444444444444446</c:v>
                </c:pt>
                <c:pt idx="9">
                  <c:v>7.5555555555555554</c:v>
                </c:pt>
              </c:numCache>
            </c:numRef>
          </c:val>
          <c:smooth val="0"/>
          <c:extLst>
            <c:ext xmlns:c16="http://schemas.microsoft.com/office/drawing/2014/chart" uri="{C3380CC4-5D6E-409C-BE32-E72D297353CC}">
              <c16:uniqueId val="{00000000-82DF-46FB-8FBE-E3B98F4AF7F7}"/>
            </c:ext>
          </c:extLst>
        </c:ser>
        <c:ser>
          <c:idx val="1"/>
          <c:order val="1"/>
          <c:tx>
            <c:v>Inventario_Final</c:v>
          </c:tx>
          <c:spPr>
            <a:ln w="28575" cmpd="sng">
              <a:solidFill>
                <a:schemeClr val="accent2"/>
              </a:solidFill>
            </a:ln>
          </c:spPr>
          <c:marker>
            <c:symbol val="none"/>
          </c:marker>
          <c:val>
            <c:numRef>
              <c:f>'120seg (final)'!$BO$58:$BO$67</c:f>
              <c:numCache>
                <c:formatCode>General</c:formatCode>
                <c:ptCount val="10"/>
                <c:pt idx="0">
                  <c:v>7</c:v>
                </c:pt>
                <c:pt idx="1">
                  <c:v>8</c:v>
                </c:pt>
                <c:pt idx="2">
                  <c:v>6</c:v>
                </c:pt>
                <c:pt idx="3">
                  <c:v>7</c:v>
                </c:pt>
                <c:pt idx="4">
                  <c:v>6</c:v>
                </c:pt>
                <c:pt idx="5">
                  <c:v>6</c:v>
                </c:pt>
                <c:pt idx="6">
                  <c:v>10</c:v>
                </c:pt>
                <c:pt idx="7">
                  <c:v>5</c:v>
                </c:pt>
                <c:pt idx="8">
                  <c:v>6</c:v>
                </c:pt>
                <c:pt idx="9">
                  <c:v>9</c:v>
                </c:pt>
              </c:numCache>
            </c:numRef>
          </c:val>
          <c:smooth val="0"/>
          <c:extLst>
            <c:ext xmlns:c16="http://schemas.microsoft.com/office/drawing/2014/chart" uri="{C3380CC4-5D6E-409C-BE32-E72D297353CC}">
              <c16:uniqueId val="{00000001-82DF-46FB-8FBE-E3B98F4AF7F7}"/>
            </c:ext>
          </c:extLst>
        </c:ser>
        <c:dLbls>
          <c:showLegendKey val="0"/>
          <c:showVal val="0"/>
          <c:showCatName val="0"/>
          <c:showSerName val="0"/>
          <c:showPercent val="0"/>
          <c:showBubbleSize val="0"/>
        </c:dLbls>
        <c:smooth val="0"/>
        <c:axId val="533284373"/>
        <c:axId val="1332538904"/>
      </c:lineChart>
      <c:catAx>
        <c:axId val="53328437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332538904"/>
        <c:crosses val="autoZero"/>
        <c:auto val="1"/>
        <c:lblAlgn val="ctr"/>
        <c:lblOffset val="100"/>
        <c:noMultiLvlLbl val="1"/>
      </c:catAx>
      <c:valAx>
        <c:axId val="13325389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53328437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Llenado
</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 (final)'!$BL$68:$BL$77</c:f>
              <c:numCache>
                <c:formatCode>0</c:formatCode>
                <c:ptCount val="10"/>
                <c:pt idx="0">
                  <c:v>10.555555555555555</c:v>
                </c:pt>
                <c:pt idx="1">
                  <c:v>10.777777777777779</c:v>
                </c:pt>
                <c:pt idx="2">
                  <c:v>9.6666666666666661</c:v>
                </c:pt>
                <c:pt idx="3">
                  <c:v>23.888888888888889</c:v>
                </c:pt>
                <c:pt idx="4">
                  <c:v>12.777777777777779</c:v>
                </c:pt>
                <c:pt idx="5">
                  <c:v>15.888888888888889</c:v>
                </c:pt>
                <c:pt idx="6">
                  <c:v>10.333333333333334</c:v>
                </c:pt>
                <c:pt idx="7">
                  <c:v>13.777777777777779</c:v>
                </c:pt>
                <c:pt idx="8">
                  <c:v>10.555555555555555</c:v>
                </c:pt>
                <c:pt idx="9">
                  <c:v>24.555555555555557</c:v>
                </c:pt>
              </c:numCache>
            </c:numRef>
          </c:val>
          <c:smooth val="0"/>
          <c:extLst>
            <c:ext xmlns:c16="http://schemas.microsoft.com/office/drawing/2014/chart" uri="{C3380CC4-5D6E-409C-BE32-E72D297353CC}">
              <c16:uniqueId val="{00000000-85C1-48E8-B9F8-A21F00AB81DE}"/>
            </c:ext>
          </c:extLst>
        </c:ser>
        <c:ser>
          <c:idx val="1"/>
          <c:order val="1"/>
          <c:tx>
            <c:v>Inventario_Final</c:v>
          </c:tx>
          <c:spPr>
            <a:ln w="28575" cmpd="sng">
              <a:solidFill>
                <a:schemeClr val="accent2"/>
              </a:solidFill>
            </a:ln>
          </c:spPr>
          <c:marker>
            <c:symbol val="none"/>
          </c:marker>
          <c:val>
            <c:numRef>
              <c:f>'120seg (final)'!$BO$68:$BO$77</c:f>
              <c:numCache>
                <c:formatCode>General</c:formatCode>
                <c:ptCount val="10"/>
                <c:pt idx="0">
                  <c:v>14</c:v>
                </c:pt>
                <c:pt idx="1">
                  <c:v>12</c:v>
                </c:pt>
                <c:pt idx="2">
                  <c:v>3</c:v>
                </c:pt>
                <c:pt idx="3">
                  <c:v>25</c:v>
                </c:pt>
                <c:pt idx="4">
                  <c:v>9</c:v>
                </c:pt>
                <c:pt idx="5">
                  <c:v>3</c:v>
                </c:pt>
                <c:pt idx="6">
                  <c:v>4</c:v>
                </c:pt>
                <c:pt idx="7">
                  <c:v>11</c:v>
                </c:pt>
                <c:pt idx="8">
                  <c:v>5</c:v>
                </c:pt>
                <c:pt idx="9">
                  <c:v>20</c:v>
                </c:pt>
              </c:numCache>
            </c:numRef>
          </c:val>
          <c:smooth val="0"/>
          <c:extLst>
            <c:ext xmlns:c16="http://schemas.microsoft.com/office/drawing/2014/chart" uri="{C3380CC4-5D6E-409C-BE32-E72D297353CC}">
              <c16:uniqueId val="{00000001-85C1-48E8-B9F8-A21F00AB81DE}"/>
            </c:ext>
          </c:extLst>
        </c:ser>
        <c:dLbls>
          <c:showLegendKey val="0"/>
          <c:showVal val="0"/>
          <c:showCatName val="0"/>
          <c:showSerName val="0"/>
          <c:showPercent val="0"/>
          <c:showBubbleSize val="0"/>
        </c:dLbls>
        <c:smooth val="0"/>
        <c:axId val="1925775131"/>
        <c:axId val="65302848"/>
      </c:lineChart>
      <c:catAx>
        <c:axId val="192577513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5302848"/>
        <c:crosses val="autoZero"/>
        <c:auto val="1"/>
        <c:lblAlgn val="ctr"/>
        <c:lblOffset val="100"/>
        <c:noMultiLvlLbl val="1"/>
      </c:catAx>
      <c:valAx>
        <c:axId val="6530284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92577513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Vaciado
</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 (final)'!$BV$58:$BV$67</c:f>
              <c:numCache>
                <c:formatCode>0</c:formatCode>
                <c:ptCount val="10"/>
                <c:pt idx="0">
                  <c:v>5.5555555555555554</c:v>
                </c:pt>
                <c:pt idx="1">
                  <c:v>5.8888888888888893</c:v>
                </c:pt>
                <c:pt idx="2">
                  <c:v>2.4444444444444446</c:v>
                </c:pt>
                <c:pt idx="3">
                  <c:v>5.1111111111111107</c:v>
                </c:pt>
                <c:pt idx="4">
                  <c:v>6.666666666666667</c:v>
                </c:pt>
                <c:pt idx="5">
                  <c:v>5.333333333333333</c:v>
                </c:pt>
                <c:pt idx="6">
                  <c:v>4.2222222222222223</c:v>
                </c:pt>
                <c:pt idx="7">
                  <c:v>4.4444444444444446</c:v>
                </c:pt>
                <c:pt idx="8">
                  <c:v>3.4444444444444446</c:v>
                </c:pt>
                <c:pt idx="9">
                  <c:v>5.5555555555555554</c:v>
                </c:pt>
              </c:numCache>
            </c:numRef>
          </c:val>
          <c:smooth val="0"/>
          <c:extLst>
            <c:ext xmlns:c16="http://schemas.microsoft.com/office/drawing/2014/chart" uri="{C3380CC4-5D6E-409C-BE32-E72D297353CC}">
              <c16:uniqueId val="{00000000-D29C-4435-80EC-307460666AAD}"/>
            </c:ext>
          </c:extLst>
        </c:ser>
        <c:ser>
          <c:idx val="1"/>
          <c:order val="1"/>
          <c:tx>
            <c:v>Inventario_Final</c:v>
          </c:tx>
          <c:spPr>
            <a:ln w="28575" cmpd="sng">
              <a:solidFill>
                <a:schemeClr val="accent2"/>
              </a:solidFill>
            </a:ln>
          </c:spPr>
          <c:marker>
            <c:symbol val="none"/>
          </c:marker>
          <c:val>
            <c:numRef>
              <c:f>'120seg (final)'!$BY$58:$BY$67</c:f>
              <c:numCache>
                <c:formatCode>General</c:formatCode>
                <c:ptCount val="10"/>
                <c:pt idx="0">
                  <c:v>7</c:v>
                </c:pt>
                <c:pt idx="1">
                  <c:v>11</c:v>
                </c:pt>
                <c:pt idx="2">
                  <c:v>6</c:v>
                </c:pt>
                <c:pt idx="3">
                  <c:v>11</c:v>
                </c:pt>
                <c:pt idx="4">
                  <c:v>6</c:v>
                </c:pt>
                <c:pt idx="5">
                  <c:v>6</c:v>
                </c:pt>
                <c:pt idx="6">
                  <c:v>6</c:v>
                </c:pt>
                <c:pt idx="7">
                  <c:v>5</c:v>
                </c:pt>
                <c:pt idx="8">
                  <c:v>6</c:v>
                </c:pt>
                <c:pt idx="9">
                  <c:v>8</c:v>
                </c:pt>
              </c:numCache>
            </c:numRef>
          </c:val>
          <c:smooth val="0"/>
          <c:extLst>
            <c:ext xmlns:c16="http://schemas.microsoft.com/office/drawing/2014/chart" uri="{C3380CC4-5D6E-409C-BE32-E72D297353CC}">
              <c16:uniqueId val="{00000001-D29C-4435-80EC-307460666AAD}"/>
            </c:ext>
          </c:extLst>
        </c:ser>
        <c:dLbls>
          <c:showLegendKey val="0"/>
          <c:showVal val="0"/>
          <c:showCatName val="0"/>
          <c:showSerName val="0"/>
          <c:showPercent val="0"/>
          <c:showBubbleSize val="0"/>
        </c:dLbls>
        <c:smooth val="0"/>
        <c:axId val="4741687"/>
        <c:axId val="416452364"/>
      </c:lineChart>
      <c:catAx>
        <c:axId val="474168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416452364"/>
        <c:crosses val="autoZero"/>
        <c:auto val="1"/>
        <c:lblAlgn val="ctr"/>
        <c:lblOffset val="100"/>
        <c:noMultiLvlLbl val="1"/>
      </c:catAx>
      <c:valAx>
        <c:axId val="41645236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474168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Llenado
</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 (final)'!$BV$68:$BV$77</c:f>
              <c:numCache>
                <c:formatCode>0</c:formatCode>
                <c:ptCount val="10"/>
                <c:pt idx="0">
                  <c:v>11.333333333333334</c:v>
                </c:pt>
                <c:pt idx="1">
                  <c:v>11</c:v>
                </c:pt>
                <c:pt idx="2">
                  <c:v>11.333333333333334</c:v>
                </c:pt>
                <c:pt idx="3">
                  <c:v>22</c:v>
                </c:pt>
                <c:pt idx="4">
                  <c:v>12.111111111111111</c:v>
                </c:pt>
                <c:pt idx="5">
                  <c:v>14.777777777777779</c:v>
                </c:pt>
                <c:pt idx="6">
                  <c:v>12.777777777777779</c:v>
                </c:pt>
                <c:pt idx="7">
                  <c:v>15.666666666666666</c:v>
                </c:pt>
                <c:pt idx="8">
                  <c:v>12.111111111111111</c:v>
                </c:pt>
                <c:pt idx="9">
                  <c:v>18.777777777777779</c:v>
                </c:pt>
              </c:numCache>
            </c:numRef>
          </c:val>
          <c:smooth val="0"/>
          <c:extLst>
            <c:ext xmlns:c16="http://schemas.microsoft.com/office/drawing/2014/chart" uri="{C3380CC4-5D6E-409C-BE32-E72D297353CC}">
              <c16:uniqueId val="{00000000-0896-4895-86DA-CFD00F8FDCD1}"/>
            </c:ext>
          </c:extLst>
        </c:ser>
        <c:ser>
          <c:idx val="1"/>
          <c:order val="1"/>
          <c:tx>
            <c:v>Inventario_Final</c:v>
          </c:tx>
          <c:spPr>
            <a:ln w="28575" cmpd="sng">
              <a:solidFill>
                <a:schemeClr val="accent2"/>
              </a:solidFill>
            </a:ln>
          </c:spPr>
          <c:marker>
            <c:symbol val="none"/>
          </c:marker>
          <c:val>
            <c:numRef>
              <c:f>'120seg (final)'!$BY$68:$BY$77</c:f>
              <c:numCache>
                <c:formatCode>General</c:formatCode>
                <c:ptCount val="10"/>
                <c:pt idx="0">
                  <c:v>14</c:v>
                </c:pt>
                <c:pt idx="1">
                  <c:v>13</c:v>
                </c:pt>
                <c:pt idx="2">
                  <c:v>6</c:v>
                </c:pt>
                <c:pt idx="3">
                  <c:v>11</c:v>
                </c:pt>
                <c:pt idx="4">
                  <c:v>10</c:v>
                </c:pt>
                <c:pt idx="5">
                  <c:v>16</c:v>
                </c:pt>
                <c:pt idx="6">
                  <c:v>9</c:v>
                </c:pt>
                <c:pt idx="7">
                  <c:v>13</c:v>
                </c:pt>
                <c:pt idx="8">
                  <c:v>11</c:v>
                </c:pt>
                <c:pt idx="9">
                  <c:v>21</c:v>
                </c:pt>
              </c:numCache>
            </c:numRef>
          </c:val>
          <c:smooth val="0"/>
          <c:extLst>
            <c:ext xmlns:c16="http://schemas.microsoft.com/office/drawing/2014/chart" uri="{C3380CC4-5D6E-409C-BE32-E72D297353CC}">
              <c16:uniqueId val="{00000001-0896-4895-86DA-CFD00F8FDCD1}"/>
            </c:ext>
          </c:extLst>
        </c:ser>
        <c:dLbls>
          <c:showLegendKey val="0"/>
          <c:showVal val="0"/>
          <c:showCatName val="0"/>
          <c:showSerName val="0"/>
          <c:showPercent val="0"/>
          <c:showBubbleSize val="0"/>
        </c:dLbls>
        <c:smooth val="0"/>
        <c:axId val="573280144"/>
        <c:axId val="727507029"/>
      </c:lineChart>
      <c:catAx>
        <c:axId val="57328014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727507029"/>
        <c:crosses val="autoZero"/>
        <c:auto val="1"/>
        <c:lblAlgn val="ctr"/>
        <c:lblOffset val="100"/>
        <c:noMultiLvlLbl val="1"/>
      </c:catAx>
      <c:valAx>
        <c:axId val="7275070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57328014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18-11 18:00 hrs vaciado</a:t>
            </a:r>
          </a:p>
        </c:rich>
      </c:tx>
      <c:overlay val="0"/>
    </c:title>
    <c:autoTitleDeleted val="0"/>
    <c:plotArea>
      <c:layout/>
      <c:lineChart>
        <c:grouping val="standard"/>
        <c:varyColors val="1"/>
        <c:ser>
          <c:idx val="0"/>
          <c:order val="0"/>
          <c:tx>
            <c:v>Inv_final 19:00</c:v>
          </c:tx>
          <c:spPr>
            <a:ln w="28575" cmpd="sng">
              <a:solidFill>
                <a:schemeClr val="accent1"/>
              </a:solidFill>
            </a:ln>
          </c:spPr>
          <c:marker>
            <c:symbol val="none"/>
          </c:marker>
          <c:val>
            <c:numRef>
              <c:f>'120seg (final)'!$E$91:$E$100</c:f>
              <c:numCache>
                <c:formatCode>General</c:formatCode>
                <c:ptCount val="10"/>
                <c:pt idx="0">
                  <c:v>4</c:v>
                </c:pt>
                <c:pt idx="1">
                  <c:v>8</c:v>
                </c:pt>
                <c:pt idx="2">
                  <c:v>1</c:v>
                </c:pt>
                <c:pt idx="3">
                  <c:v>4</c:v>
                </c:pt>
                <c:pt idx="4">
                  <c:v>1</c:v>
                </c:pt>
                <c:pt idx="5">
                  <c:v>4</c:v>
                </c:pt>
                <c:pt idx="6">
                  <c:v>4</c:v>
                </c:pt>
                <c:pt idx="7">
                  <c:v>3</c:v>
                </c:pt>
                <c:pt idx="8">
                  <c:v>1</c:v>
                </c:pt>
                <c:pt idx="9">
                  <c:v>2</c:v>
                </c:pt>
              </c:numCache>
            </c:numRef>
          </c:val>
          <c:smooth val="0"/>
          <c:extLst>
            <c:ext xmlns:c16="http://schemas.microsoft.com/office/drawing/2014/chart" uri="{C3380CC4-5D6E-409C-BE32-E72D297353CC}">
              <c16:uniqueId val="{00000000-0F53-43B6-8F4E-E562F50ADDE9}"/>
            </c:ext>
          </c:extLst>
        </c:ser>
        <c:ser>
          <c:idx val="1"/>
          <c:order val="1"/>
          <c:tx>
            <c:v>Inventario_Final</c:v>
          </c:tx>
          <c:spPr>
            <a:ln w="28575" cmpd="sng">
              <a:solidFill>
                <a:schemeClr val="accent2"/>
              </a:solidFill>
            </a:ln>
          </c:spPr>
          <c:marker>
            <c:symbol val="none"/>
          </c:marker>
          <c:val>
            <c:numRef>
              <c:f>'120seg (final)'!$F$91:$F$100</c:f>
              <c:numCache>
                <c:formatCode>General</c:formatCode>
                <c:ptCount val="10"/>
                <c:pt idx="0">
                  <c:v>7</c:v>
                </c:pt>
                <c:pt idx="1">
                  <c:v>12</c:v>
                </c:pt>
                <c:pt idx="2">
                  <c:v>6</c:v>
                </c:pt>
                <c:pt idx="3">
                  <c:v>7</c:v>
                </c:pt>
                <c:pt idx="4">
                  <c:v>6</c:v>
                </c:pt>
                <c:pt idx="5">
                  <c:v>6</c:v>
                </c:pt>
                <c:pt idx="6">
                  <c:v>6</c:v>
                </c:pt>
                <c:pt idx="7">
                  <c:v>5</c:v>
                </c:pt>
                <c:pt idx="8">
                  <c:v>6</c:v>
                </c:pt>
                <c:pt idx="9">
                  <c:v>12</c:v>
                </c:pt>
              </c:numCache>
            </c:numRef>
          </c:val>
          <c:smooth val="0"/>
          <c:extLst>
            <c:ext xmlns:c16="http://schemas.microsoft.com/office/drawing/2014/chart" uri="{C3380CC4-5D6E-409C-BE32-E72D297353CC}">
              <c16:uniqueId val="{00000001-0F53-43B6-8F4E-E562F50ADDE9}"/>
            </c:ext>
          </c:extLst>
        </c:ser>
        <c:dLbls>
          <c:showLegendKey val="0"/>
          <c:showVal val="0"/>
          <c:showCatName val="0"/>
          <c:showSerName val="0"/>
          <c:showPercent val="0"/>
          <c:showBubbleSize val="0"/>
        </c:dLbls>
        <c:smooth val="0"/>
        <c:axId val="1773559977"/>
        <c:axId val="152910261"/>
      </c:lineChart>
      <c:catAx>
        <c:axId val="17735599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2910261"/>
        <c:crosses val="autoZero"/>
        <c:auto val="1"/>
        <c:lblAlgn val="ctr"/>
        <c:lblOffset val="100"/>
        <c:noMultiLvlLbl val="1"/>
      </c:catAx>
      <c:valAx>
        <c:axId val="15291026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77355997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18-11 18:00 hrs Llenado</a:t>
            </a:r>
          </a:p>
        </c:rich>
      </c:tx>
      <c:overlay val="0"/>
    </c:title>
    <c:autoTitleDeleted val="0"/>
    <c:plotArea>
      <c:layout/>
      <c:lineChart>
        <c:grouping val="standard"/>
        <c:varyColors val="1"/>
        <c:ser>
          <c:idx val="0"/>
          <c:order val="0"/>
          <c:tx>
            <c:v>Inv_final 19:00</c:v>
          </c:tx>
          <c:spPr>
            <a:ln w="28575" cmpd="sng">
              <a:solidFill>
                <a:schemeClr val="accent1"/>
              </a:solidFill>
            </a:ln>
          </c:spPr>
          <c:marker>
            <c:symbol val="none"/>
          </c:marker>
          <c:val>
            <c:numRef>
              <c:f>'120seg (final)'!$E$101:$E$110</c:f>
              <c:numCache>
                <c:formatCode>General</c:formatCode>
                <c:ptCount val="10"/>
                <c:pt idx="0">
                  <c:v>14</c:v>
                </c:pt>
                <c:pt idx="1">
                  <c:v>12</c:v>
                </c:pt>
                <c:pt idx="2">
                  <c:v>10</c:v>
                </c:pt>
                <c:pt idx="3">
                  <c:v>30</c:v>
                </c:pt>
                <c:pt idx="4">
                  <c:v>16</c:v>
                </c:pt>
                <c:pt idx="5">
                  <c:v>19</c:v>
                </c:pt>
                <c:pt idx="6">
                  <c:v>13</c:v>
                </c:pt>
                <c:pt idx="7">
                  <c:v>17</c:v>
                </c:pt>
                <c:pt idx="8">
                  <c:v>15</c:v>
                </c:pt>
                <c:pt idx="9">
                  <c:v>27</c:v>
                </c:pt>
              </c:numCache>
            </c:numRef>
          </c:val>
          <c:smooth val="0"/>
          <c:extLst>
            <c:ext xmlns:c16="http://schemas.microsoft.com/office/drawing/2014/chart" uri="{C3380CC4-5D6E-409C-BE32-E72D297353CC}">
              <c16:uniqueId val="{00000000-3698-4BE9-A0D7-23722D467A54}"/>
            </c:ext>
          </c:extLst>
        </c:ser>
        <c:ser>
          <c:idx val="1"/>
          <c:order val="1"/>
          <c:tx>
            <c:v>Inventario_Final</c:v>
          </c:tx>
          <c:spPr>
            <a:ln w="28575" cmpd="sng">
              <a:solidFill>
                <a:schemeClr val="accent2"/>
              </a:solidFill>
            </a:ln>
          </c:spPr>
          <c:marker>
            <c:symbol val="none"/>
          </c:marker>
          <c:val>
            <c:numRef>
              <c:f>'120seg (final)'!$F$101:$F$110</c:f>
              <c:numCache>
                <c:formatCode>General</c:formatCode>
                <c:ptCount val="10"/>
                <c:pt idx="0">
                  <c:v>9</c:v>
                </c:pt>
                <c:pt idx="1">
                  <c:v>13</c:v>
                </c:pt>
                <c:pt idx="2">
                  <c:v>9</c:v>
                </c:pt>
                <c:pt idx="3">
                  <c:v>23</c:v>
                </c:pt>
                <c:pt idx="4">
                  <c:v>16</c:v>
                </c:pt>
                <c:pt idx="5">
                  <c:v>10</c:v>
                </c:pt>
                <c:pt idx="6">
                  <c:v>7</c:v>
                </c:pt>
                <c:pt idx="7">
                  <c:v>5</c:v>
                </c:pt>
                <c:pt idx="8">
                  <c:v>13</c:v>
                </c:pt>
                <c:pt idx="9">
                  <c:v>14</c:v>
                </c:pt>
              </c:numCache>
            </c:numRef>
          </c:val>
          <c:smooth val="0"/>
          <c:extLst>
            <c:ext xmlns:c16="http://schemas.microsoft.com/office/drawing/2014/chart" uri="{C3380CC4-5D6E-409C-BE32-E72D297353CC}">
              <c16:uniqueId val="{00000001-3698-4BE9-A0D7-23722D467A54}"/>
            </c:ext>
          </c:extLst>
        </c:ser>
        <c:dLbls>
          <c:showLegendKey val="0"/>
          <c:showVal val="0"/>
          <c:showCatName val="0"/>
          <c:showSerName val="0"/>
          <c:showPercent val="0"/>
          <c:showBubbleSize val="0"/>
        </c:dLbls>
        <c:smooth val="0"/>
        <c:axId val="1921222122"/>
        <c:axId val="1149382697"/>
      </c:lineChart>
      <c:catAx>
        <c:axId val="1921222122"/>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149382697"/>
        <c:crosses val="autoZero"/>
        <c:auto val="1"/>
        <c:lblAlgn val="ctr"/>
        <c:lblOffset val="100"/>
        <c:noMultiLvlLbl val="1"/>
      </c:catAx>
      <c:valAx>
        <c:axId val="114938269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2122212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en km 15-11-2024 18:00 hrs</a:t>
            </a:r>
          </a:p>
        </c:rich>
      </c:tx>
      <c:overlay val="0"/>
    </c:title>
    <c:autoTitleDeleted val="0"/>
    <c:plotArea>
      <c:layout/>
      <c:lineChart>
        <c:grouping val="standard"/>
        <c:varyColors val="0"/>
        <c:ser>
          <c:idx val="0"/>
          <c:order val="0"/>
          <c:spPr>
            <a:ln w="28575" cmpd="sng">
              <a:solidFill>
                <a:schemeClr val="accent1"/>
              </a:solidFill>
              <a:prstDash val="solid"/>
            </a:ln>
          </c:spPr>
          <c:marker>
            <c:symbol val="none"/>
          </c:marker>
          <c:dLbls>
            <c:spPr>
              <a:noFill/>
              <a:ln>
                <a:noFill/>
              </a:ln>
              <a:effectLst/>
            </c:spPr>
            <c:txPr>
              <a:bodyPr/>
              <a:lstStyle/>
              <a:p>
                <a:pPr lvl="0">
                  <a:defRPr sz="900" b="0" i="0">
                    <a:latin typeface="+mn-lt"/>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Sheet1!$D$67:$D$75</c:f>
              <c:numCache>
                <c:formatCode>General</c:formatCode>
                <c:ptCount val="9"/>
                <c:pt idx="0">
                  <c:v>10.58922910690308</c:v>
                </c:pt>
                <c:pt idx="1">
                  <c:v>30.547088861465451</c:v>
                </c:pt>
                <c:pt idx="2">
                  <c:v>61.024132966995239</c:v>
                </c:pt>
                <c:pt idx="3">
                  <c:v>120.6836864948273</c:v>
                </c:pt>
                <c:pt idx="4">
                  <c:v>180.52700161933899</c:v>
                </c:pt>
                <c:pt idx="5">
                  <c:v>240.79692697525019</c:v>
                </c:pt>
                <c:pt idx="6">
                  <c:v>300.83396887779242</c:v>
                </c:pt>
                <c:pt idx="7">
                  <c:v>900.93794441223145</c:v>
                </c:pt>
                <c:pt idx="8">
                  <c:v>1802.0543699264531</c:v>
                </c:pt>
              </c:numCache>
            </c:numRef>
          </c:cat>
          <c:val>
            <c:numRef>
              <c:f>Sheet1!$B$67:$B$75</c:f>
              <c:numCache>
                <c:formatCode>General</c:formatCode>
                <c:ptCount val="9"/>
                <c:pt idx="0">
                  <c:v>31.58575564379953</c:v>
                </c:pt>
                <c:pt idx="1">
                  <c:v>29.2403532584587</c:v>
                </c:pt>
                <c:pt idx="2">
                  <c:v>29.184800721488479</c:v>
                </c:pt>
                <c:pt idx="3">
                  <c:v>29.078924722739821</c:v>
                </c:pt>
                <c:pt idx="4">
                  <c:v>29.078359890472669</c:v>
                </c:pt>
                <c:pt idx="5">
                  <c:v>28.978342879565169</c:v>
                </c:pt>
                <c:pt idx="6">
                  <c:v>28.460192307371809</c:v>
                </c:pt>
                <c:pt idx="7">
                  <c:v>28.460192307371809</c:v>
                </c:pt>
                <c:pt idx="8">
                  <c:v>28.460192307371809</c:v>
                </c:pt>
              </c:numCache>
            </c:numRef>
          </c:val>
          <c:smooth val="0"/>
          <c:extLst>
            <c:ext xmlns:c16="http://schemas.microsoft.com/office/drawing/2014/chart" uri="{C3380CC4-5D6E-409C-BE32-E72D297353CC}">
              <c16:uniqueId val="{00000000-2D94-4BA9-A7EA-D324D0BBF6F6}"/>
            </c:ext>
          </c:extLst>
        </c:ser>
        <c:dLbls>
          <c:showLegendKey val="0"/>
          <c:showVal val="0"/>
          <c:showCatName val="0"/>
          <c:showSerName val="0"/>
          <c:showPercent val="0"/>
          <c:showBubbleSize val="0"/>
        </c:dLbls>
        <c:smooth val="0"/>
        <c:axId val="2116330287"/>
        <c:axId val="248766547"/>
      </c:lineChart>
      <c:catAx>
        <c:axId val="2116330287"/>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Tiempo de ejecución</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48766547"/>
        <c:crosses val="autoZero"/>
        <c:auto val="1"/>
        <c:lblAlgn val="ctr"/>
        <c:lblOffset val="100"/>
        <c:noMultiLvlLbl val="1"/>
      </c:catAx>
      <c:valAx>
        <c:axId val="248766547"/>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lang="es-CL" sz="1000" b="0" i="0">
                    <a:solidFill>
                      <a:srgbClr val="000000"/>
                    </a:solidFill>
                    <a:latin typeface="+mn-lt"/>
                  </a:rPr>
                  <a:t>Costo en distancia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211633028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en km 14-11-24 a las 18:00 hrs</a:t>
            </a:r>
          </a:p>
        </c:rich>
      </c:tx>
      <c:overlay val="0"/>
    </c:title>
    <c:autoTitleDeleted val="0"/>
    <c:plotArea>
      <c:layout/>
      <c:lineChart>
        <c:grouping val="standard"/>
        <c:varyColors val="0"/>
        <c:ser>
          <c:idx val="0"/>
          <c:order val="0"/>
          <c:spPr>
            <a:ln w="28575" cmpd="sng">
              <a:solidFill>
                <a:schemeClr val="accent1"/>
              </a:solidFill>
              <a:prstDash val="solid"/>
            </a:ln>
          </c:spPr>
          <c:marker>
            <c:symbol val="none"/>
          </c:marker>
          <c:dLbls>
            <c:spPr>
              <a:noFill/>
              <a:ln>
                <a:noFill/>
              </a:ln>
              <a:effectLst/>
            </c:spPr>
            <c:txPr>
              <a:bodyPr/>
              <a:lstStyle/>
              <a:p>
                <a:pPr lvl="0">
                  <a:defRPr sz="900" b="0" i="0">
                    <a:latin typeface="+mn-lt"/>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Sheet1!$D$57:$D$66</c:f>
              <c:numCache>
                <c:formatCode>General</c:formatCode>
                <c:ptCount val="10"/>
                <c:pt idx="0">
                  <c:v>0.66204810142517101</c:v>
                </c:pt>
                <c:pt idx="1">
                  <c:v>0.56203961372375488</c:v>
                </c:pt>
                <c:pt idx="2">
                  <c:v>0.54904484748840332</c:v>
                </c:pt>
                <c:pt idx="3">
                  <c:v>0.49803948402404791</c:v>
                </c:pt>
                <c:pt idx="4">
                  <c:v>0.69304823875427246</c:v>
                </c:pt>
                <c:pt idx="5">
                  <c:v>0.4490358829498291</c:v>
                </c:pt>
                <c:pt idx="6">
                  <c:v>0.48403429985046392</c:v>
                </c:pt>
                <c:pt idx="7">
                  <c:v>0.57803916931152344</c:v>
                </c:pt>
                <c:pt idx="8">
                  <c:v>0.56429219245910645</c:v>
                </c:pt>
                <c:pt idx="9">
                  <c:v>0.67186498641967773</c:v>
                </c:pt>
              </c:numCache>
            </c:numRef>
          </c:cat>
          <c:val>
            <c:numRef>
              <c:f>Sheet1!$B$57:$B$66</c:f>
              <c:numCache>
                <c:formatCode>General</c:formatCode>
                <c:ptCount val="10"/>
                <c:pt idx="0">
                  <c:v>3.9074702335643181</c:v>
                </c:pt>
                <c:pt idx="1">
                  <c:v>3.9074702335643181</c:v>
                </c:pt>
                <c:pt idx="2">
                  <c:v>3.9074702335643181</c:v>
                </c:pt>
                <c:pt idx="3">
                  <c:v>3.9074702335643181</c:v>
                </c:pt>
                <c:pt idx="4">
                  <c:v>3.9074702335643181</c:v>
                </c:pt>
                <c:pt idx="5">
                  <c:v>3.9074702335643181</c:v>
                </c:pt>
                <c:pt idx="6">
                  <c:v>3.9074702335643181</c:v>
                </c:pt>
                <c:pt idx="7">
                  <c:v>3.9074702335643181</c:v>
                </c:pt>
                <c:pt idx="8">
                  <c:v>3.9074702335643181</c:v>
                </c:pt>
                <c:pt idx="9">
                  <c:v>3.9074702335643181</c:v>
                </c:pt>
              </c:numCache>
            </c:numRef>
          </c:val>
          <c:smooth val="0"/>
          <c:extLst>
            <c:ext xmlns:c16="http://schemas.microsoft.com/office/drawing/2014/chart" uri="{C3380CC4-5D6E-409C-BE32-E72D297353CC}">
              <c16:uniqueId val="{00000000-588A-45C7-9BCF-05CED2E7F703}"/>
            </c:ext>
          </c:extLst>
        </c:ser>
        <c:dLbls>
          <c:showLegendKey val="0"/>
          <c:showVal val="0"/>
          <c:showCatName val="0"/>
          <c:showSerName val="0"/>
          <c:showPercent val="0"/>
          <c:showBubbleSize val="0"/>
        </c:dLbls>
        <c:smooth val="0"/>
        <c:axId val="1647779301"/>
        <c:axId val="2094479311"/>
      </c:lineChart>
      <c:catAx>
        <c:axId val="1647779301"/>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Tiempo de Ejecución</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94479311"/>
        <c:crosses val="autoZero"/>
        <c:auto val="1"/>
        <c:lblAlgn val="ctr"/>
        <c:lblOffset val="100"/>
        <c:noMultiLvlLbl val="1"/>
      </c:catAx>
      <c:valAx>
        <c:axId val="2094479311"/>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lang="es-CL" sz="1000" b="0" i="0">
                    <a:solidFill>
                      <a:srgbClr val="000000"/>
                    </a:solidFill>
                    <a:latin typeface="+mn-lt"/>
                  </a:rPr>
                  <a:t>Costo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64777930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llenado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D244-45AB-A771-C5E412A68836}"/>
            </c:ext>
          </c:extLst>
        </c:ser>
        <c:ser>
          <c:idx val="1"/>
          <c:order val="1"/>
          <c:tx>
            <c:v>inv_inicialprom_lunes</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D244-45AB-A771-C5E412A68836}"/>
            </c:ext>
          </c:extLst>
        </c:ser>
        <c:dLbls>
          <c:showLegendKey val="0"/>
          <c:showVal val="0"/>
          <c:showCatName val="0"/>
          <c:showSerName val="0"/>
          <c:showPercent val="0"/>
          <c:showBubbleSize val="0"/>
        </c:dLbls>
        <c:smooth val="0"/>
        <c:axId val="1553936056"/>
        <c:axId val="1348358987"/>
      </c:lineChart>
      <c:catAx>
        <c:axId val="155393605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348358987"/>
        <c:crosses val="autoZero"/>
        <c:auto val="1"/>
        <c:lblAlgn val="ctr"/>
        <c:lblOffset val="100"/>
        <c:noMultiLvlLbl val="1"/>
      </c:catAx>
      <c:valAx>
        <c:axId val="134835898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55393605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vaciado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D3AE-4939-AEF5-ED0C38FE651F}"/>
            </c:ext>
          </c:extLst>
        </c:ser>
        <c:ser>
          <c:idx val="1"/>
          <c:order val="1"/>
          <c:tx>
            <c:v>inv_inicialprom_lunes</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D3AE-4939-AEF5-ED0C38FE651F}"/>
            </c:ext>
          </c:extLst>
        </c:ser>
        <c:dLbls>
          <c:showLegendKey val="0"/>
          <c:showVal val="0"/>
          <c:showCatName val="0"/>
          <c:showSerName val="0"/>
          <c:showPercent val="0"/>
          <c:showBubbleSize val="0"/>
        </c:dLbls>
        <c:smooth val="0"/>
        <c:axId val="1484227259"/>
        <c:axId val="266281885"/>
      </c:lineChart>
      <c:catAx>
        <c:axId val="148422725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66281885"/>
        <c:crosses val="autoZero"/>
        <c:auto val="1"/>
        <c:lblAlgn val="ctr"/>
        <c:lblOffset val="100"/>
        <c:noMultiLvlLbl val="1"/>
      </c:catAx>
      <c:valAx>
        <c:axId val="26628188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48422725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 reequilibrado contra histórico 18:00 horas Vaciado y llenado</a:t>
            </a:r>
          </a:p>
        </c:rich>
      </c:tx>
      <c:overlay val="0"/>
    </c:title>
    <c:autoTitleDeleted val="0"/>
    <c:plotArea>
      <c:layout/>
      <c:lineChart>
        <c:grouping val="standard"/>
        <c:varyColors val="1"/>
        <c:ser>
          <c:idx val="0"/>
          <c:order val="0"/>
          <c:tx>
            <c:v>Inventario_Final</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1122-41A8-BA5D-078CC6D5A725}"/>
            </c:ext>
          </c:extLst>
        </c:ser>
        <c:ser>
          <c:idx val="1"/>
          <c:order val="1"/>
          <c:tx>
            <c:v>Inv_inicialprom_lunes</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1122-41A8-BA5D-078CC6D5A725}"/>
            </c:ext>
          </c:extLst>
        </c:ser>
        <c:dLbls>
          <c:showLegendKey val="0"/>
          <c:showVal val="0"/>
          <c:showCatName val="0"/>
          <c:showSerName val="0"/>
          <c:showPercent val="0"/>
          <c:showBubbleSize val="0"/>
        </c:dLbls>
        <c:smooth val="0"/>
        <c:axId val="137074619"/>
        <c:axId val="423092169"/>
      </c:lineChart>
      <c:catAx>
        <c:axId val="13707461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423092169"/>
        <c:crosses val="autoZero"/>
        <c:auto val="1"/>
        <c:lblAlgn val="ctr"/>
        <c:lblOffset val="100"/>
        <c:noMultiLvlLbl val="1"/>
      </c:catAx>
      <c:valAx>
        <c:axId val="42309216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707461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9063-49CB-8E61-B769A3CE9879}"/>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9063-49CB-8E61-B769A3CE9879}"/>
            </c:ext>
          </c:extLst>
        </c:ser>
        <c:dLbls>
          <c:showLegendKey val="0"/>
          <c:showVal val="0"/>
          <c:showCatName val="0"/>
          <c:showSerName val="0"/>
          <c:showPercent val="0"/>
          <c:showBubbleSize val="0"/>
        </c:dLbls>
        <c:smooth val="0"/>
        <c:axId val="500009675"/>
        <c:axId val="810385684"/>
      </c:lineChart>
      <c:catAx>
        <c:axId val="50000967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10385684"/>
        <c:crosses val="autoZero"/>
        <c:auto val="1"/>
        <c:lblAlgn val="ctr"/>
        <c:lblOffset val="100"/>
        <c:noMultiLvlLbl val="1"/>
      </c:catAx>
      <c:valAx>
        <c:axId val="81038568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500009675"/>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BAF8-4E19-853C-765DA621AC05}"/>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BAF8-4E19-853C-765DA621AC05}"/>
            </c:ext>
          </c:extLst>
        </c:ser>
        <c:dLbls>
          <c:showLegendKey val="0"/>
          <c:showVal val="0"/>
          <c:showCatName val="0"/>
          <c:showSerName val="0"/>
          <c:showPercent val="0"/>
          <c:showBubbleSize val="0"/>
        </c:dLbls>
        <c:smooth val="0"/>
        <c:axId val="190596731"/>
        <c:axId val="1713383733"/>
      </c:lineChart>
      <c:catAx>
        <c:axId val="19059673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13383733"/>
        <c:crosses val="autoZero"/>
        <c:auto val="1"/>
        <c:lblAlgn val="ctr"/>
        <c:lblOffset val="100"/>
        <c:noMultiLvlLbl val="1"/>
      </c:catAx>
      <c:valAx>
        <c:axId val="17133837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0596731"/>
        <c:crosses val="autoZero"/>
        <c:crossBetween val="between"/>
      </c:valAx>
    </c:plotArea>
    <c:legend>
      <c:legendPos val="b"/>
      <c:overlay val="0"/>
      <c:txPr>
        <a:bodyPr/>
        <a:lstStyle/>
        <a:p>
          <a:pPr lvl="0" rt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vaciado</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F9BB-42A6-A5C7-4FFF0C2886CF}"/>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F9BB-42A6-A5C7-4FFF0C2886CF}"/>
            </c:ext>
          </c:extLst>
        </c:ser>
        <c:dLbls>
          <c:showLegendKey val="0"/>
          <c:showVal val="0"/>
          <c:showCatName val="0"/>
          <c:showSerName val="0"/>
          <c:showPercent val="0"/>
          <c:showBubbleSize val="0"/>
        </c:dLbls>
        <c:smooth val="0"/>
        <c:axId val="910162147"/>
        <c:axId val="1452638710"/>
      </c:lineChart>
      <c:catAx>
        <c:axId val="91016214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452638710"/>
        <c:crosses val="autoZero"/>
        <c:auto val="1"/>
        <c:lblAlgn val="ctr"/>
        <c:lblOffset val="100"/>
        <c:noMultiLvlLbl val="1"/>
      </c:catAx>
      <c:valAx>
        <c:axId val="145263871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91016214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Llenado</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2547-48FE-A628-184A67FD6368}"/>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2547-48FE-A628-184A67FD6368}"/>
            </c:ext>
          </c:extLst>
        </c:ser>
        <c:dLbls>
          <c:showLegendKey val="0"/>
          <c:showVal val="0"/>
          <c:showCatName val="0"/>
          <c:showSerName val="0"/>
          <c:showPercent val="0"/>
          <c:showBubbleSize val="0"/>
        </c:dLbls>
        <c:smooth val="0"/>
        <c:axId val="757199483"/>
        <c:axId val="1285733449"/>
      </c:lineChart>
      <c:catAx>
        <c:axId val="75719948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85733449"/>
        <c:crosses val="autoZero"/>
        <c:auto val="1"/>
        <c:lblAlgn val="ctr"/>
        <c:lblOffset val="100"/>
        <c:noMultiLvlLbl val="1"/>
      </c:catAx>
      <c:valAx>
        <c:axId val="128573344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75719948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Jueves 21-11 18:00 hrs Vaciado</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A195-44D8-9635-63E2EAEA9CA2}"/>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A195-44D8-9635-63E2EAEA9CA2}"/>
            </c:ext>
          </c:extLst>
        </c:ser>
        <c:dLbls>
          <c:showLegendKey val="0"/>
          <c:showVal val="0"/>
          <c:showCatName val="0"/>
          <c:showSerName val="0"/>
          <c:showPercent val="0"/>
          <c:showBubbleSize val="0"/>
        </c:dLbls>
        <c:smooth val="0"/>
        <c:axId val="196625829"/>
        <c:axId val="60403044"/>
      </c:lineChart>
      <c:catAx>
        <c:axId val="19662582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0403044"/>
        <c:crosses val="autoZero"/>
        <c:auto val="1"/>
        <c:lblAlgn val="ctr"/>
        <c:lblOffset val="100"/>
        <c:noMultiLvlLbl val="1"/>
      </c:catAx>
      <c:valAx>
        <c:axId val="6040304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9662582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Jueves 21-11 18:00 hrs Llenado</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C38F-4476-BE97-6793E8CB788F}"/>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C38F-4476-BE97-6793E8CB788F}"/>
            </c:ext>
          </c:extLst>
        </c:ser>
        <c:dLbls>
          <c:showLegendKey val="0"/>
          <c:showVal val="0"/>
          <c:showCatName val="0"/>
          <c:showSerName val="0"/>
          <c:showPercent val="0"/>
          <c:showBubbleSize val="0"/>
        </c:dLbls>
        <c:smooth val="0"/>
        <c:axId val="730879012"/>
        <c:axId val="530802070"/>
      </c:lineChart>
      <c:catAx>
        <c:axId val="730879012"/>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530802070"/>
        <c:crosses val="autoZero"/>
        <c:auto val="1"/>
        <c:lblAlgn val="ctr"/>
        <c:lblOffset val="100"/>
        <c:noMultiLvlLbl val="1"/>
      </c:catAx>
      <c:valAx>
        <c:axId val="53080207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73087901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Vaciado
</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3771-4E5A-BB1D-5D5AD41A1456}"/>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3771-4E5A-BB1D-5D5AD41A1456}"/>
            </c:ext>
          </c:extLst>
        </c:ser>
        <c:dLbls>
          <c:showLegendKey val="0"/>
          <c:showVal val="0"/>
          <c:showCatName val="0"/>
          <c:showSerName val="0"/>
          <c:showPercent val="0"/>
          <c:showBubbleSize val="0"/>
        </c:dLbls>
        <c:smooth val="0"/>
        <c:axId val="1075596307"/>
        <c:axId val="515858054"/>
      </c:lineChart>
      <c:catAx>
        <c:axId val="10755963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515858054"/>
        <c:crosses val="autoZero"/>
        <c:auto val="1"/>
        <c:lblAlgn val="ctr"/>
        <c:lblOffset val="100"/>
        <c:noMultiLvlLbl val="1"/>
      </c:catAx>
      <c:valAx>
        <c:axId val="51585805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07559630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Llenado
</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E049-441C-99D5-5C1877591FE2}"/>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E049-441C-99D5-5C1877591FE2}"/>
            </c:ext>
          </c:extLst>
        </c:ser>
        <c:dLbls>
          <c:showLegendKey val="0"/>
          <c:showVal val="0"/>
          <c:showCatName val="0"/>
          <c:showSerName val="0"/>
          <c:showPercent val="0"/>
          <c:showBubbleSize val="0"/>
        </c:dLbls>
        <c:smooth val="0"/>
        <c:axId val="1358935181"/>
        <c:axId val="1336858622"/>
      </c:lineChart>
      <c:catAx>
        <c:axId val="13589351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336858622"/>
        <c:crosses val="autoZero"/>
        <c:auto val="1"/>
        <c:lblAlgn val="ctr"/>
        <c:lblOffset val="100"/>
        <c:noMultiLvlLbl val="1"/>
      </c:catAx>
      <c:valAx>
        <c:axId val="133685862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5893518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Vaciado
</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DCD2-49F5-9A02-8151B3F90573}"/>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DCD2-49F5-9A02-8151B3F90573}"/>
            </c:ext>
          </c:extLst>
        </c:ser>
        <c:dLbls>
          <c:showLegendKey val="0"/>
          <c:showVal val="0"/>
          <c:showCatName val="0"/>
          <c:showSerName val="0"/>
          <c:showPercent val="0"/>
          <c:showBubbleSize val="0"/>
        </c:dLbls>
        <c:smooth val="0"/>
        <c:axId val="1328507493"/>
        <c:axId val="783252291"/>
      </c:lineChart>
      <c:catAx>
        <c:axId val="132850749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783252291"/>
        <c:crosses val="autoZero"/>
        <c:auto val="1"/>
        <c:lblAlgn val="ctr"/>
        <c:lblOffset val="100"/>
        <c:noMultiLvlLbl val="1"/>
      </c:catAx>
      <c:valAx>
        <c:axId val="7832522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32850749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Llenado
</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79D6-457E-83A4-189AB1AA04F5}"/>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79D6-457E-83A4-189AB1AA04F5}"/>
            </c:ext>
          </c:extLst>
        </c:ser>
        <c:dLbls>
          <c:showLegendKey val="0"/>
          <c:showVal val="0"/>
          <c:showCatName val="0"/>
          <c:showSerName val="0"/>
          <c:showPercent val="0"/>
          <c:showBubbleSize val="0"/>
        </c:dLbls>
        <c:smooth val="0"/>
        <c:axId val="1455083398"/>
        <c:axId val="45505739"/>
      </c:lineChart>
      <c:catAx>
        <c:axId val="145508339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45505739"/>
        <c:crosses val="autoZero"/>
        <c:auto val="1"/>
        <c:lblAlgn val="ctr"/>
        <c:lblOffset val="100"/>
        <c:noMultiLvlLbl val="1"/>
      </c:catAx>
      <c:valAx>
        <c:axId val="4550573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455083398"/>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18-11 18:00 hrs vaciado</a:t>
            </a:r>
          </a:p>
        </c:rich>
      </c:tx>
      <c:overlay val="0"/>
    </c:title>
    <c:autoTitleDeleted val="0"/>
    <c:plotArea>
      <c:layout/>
      <c:lineChart>
        <c:grouping val="standard"/>
        <c:varyColors val="1"/>
        <c:ser>
          <c:idx val="0"/>
          <c:order val="0"/>
          <c:tx>
            <c:v>Inv_final 19:00</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B9F6-4B91-B6BE-102CD43922A5}"/>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B9F6-4B91-B6BE-102CD43922A5}"/>
            </c:ext>
          </c:extLst>
        </c:ser>
        <c:dLbls>
          <c:showLegendKey val="0"/>
          <c:showVal val="0"/>
          <c:showCatName val="0"/>
          <c:showSerName val="0"/>
          <c:showPercent val="0"/>
          <c:showBubbleSize val="0"/>
        </c:dLbls>
        <c:smooth val="0"/>
        <c:axId val="1675036990"/>
        <c:axId val="1967708262"/>
      </c:lineChart>
      <c:catAx>
        <c:axId val="167503699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967708262"/>
        <c:crosses val="autoZero"/>
        <c:auto val="1"/>
        <c:lblAlgn val="ctr"/>
        <c:lblOffset val="100"/>
        <c:noMultiLvlLbl val="1"/>
      </c:catAx>
      <c:valAx>
        <c:axId val="196770826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675036990"/>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18-11 18:00 hrs Llenado</a:t>
            </a:r>
          </a:p>
        </c:rich>
      </c:tx>
      <c:overlay val="0"/>
    </c:title>
    <c:autoTitleDeleted val="0"/>
    <c:plotArea>
      <c:layout/>
      <c:lineChart>
        <c:grouping val="standard"/>
        <c:varyColors val="1"/>
        <c:ser>
          <c:idx val="0"/>
          <c:order val="0"/>
          <c:tx>
            <c:v>Inv_final 19:00</c:v>
          </c:tx>
          <c:spPr>
            <a:ln w="28575" cmpd="sng">
              <a:solidFill>
                <a:schemeClr val="accent1"/>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0-02A3-4029-9B20-F0951A4013FC}"/>
            </c:ext>
          </c:extLst>
        </c:ser>
        <c:ser>
          <c:idx val="1"/>
          <c:order val="1"/>
          <c:tx>
            <c:v>Inventario_Final</c:v>
          </c:tx>
          <c:spPr>
            <a:ln w="28575" cmpd="sng">
              <a:solidFill>
                <a:schemeClr val="accent2"/>
              </a:solidFill>
            </a:ln>
          </c:spPr>
          <c:marker>
            <c:symbol val="none"/>
          </c:marker>
          <c:val>
            <c:numRef>
              <c:f>#REF!</c:f>
              <c:numCache>
                <c:formatCode>General</c:formatCode>
                <c:ptCount val="1"/>
                <c:pt idx="0">
                  <c:v>1</c:v>
                </c:pt>
              </c:numCache>
            </c:numRef>
          </c:val>
          <c:smooth val="0"/>
          <c:extLst>
            <c:ext xmlns:c16="http://schemas.microsoft.com/office/drawing/2014/chart" uri="{C3380CC4-5D6E-409C-BE32-E72D297353CC}">
              <c16:uniqueId val="{00000001-02A3-4029-9B20-F0951A4013FC}"/>
            </c:ext>
          </c:extLst>
        </c:ser>
        <c:dLbls>
          <c:showLegendKey val="0"/>
          <c:showVal val="0"/>
          <c:showCatName val="0"/>
          <c:showSerName val="0"/>
          <c:showPercent val="0"/>
          <c:showBubbleSize val="0"/>
        </c:dLbls>
        <c:smooth val="0"/>
        <c:axId val="500038377"/>
        <c:axId val="2135459249"/>
      </c:lineChart>
      <c:catAx>
        <c:axId val="5000383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135459249"/>
        <c:crosses val="autoZero"/>
        <c:auto val="1"/>
        <c:lblAlgn val="ctr"/>
        <c:lblOffset val="100"/>
        <c:noMultiLvlLbl val="1"/>
      </c:catAx>
      <c:valAx>
        <c:axId val="213545924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50003837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total diario en la semana 1 del caso 1</a:t>
            </a:r>
          </a:p>
        </c:rich>
      </c:tx>
      <c:layout>
        <c:manualLayout>
          <c:xMode val="edge"/>
          <c:yMode val="edge"/>
          <c:x val="0.3415014222698603"/>
          <c:y val="3.6968576709796676E-2"/>
        </c:manualLayout>
      </c:layout>
      <c:overlay val="0"/>
    </c:title>
    <c:autoTitleDeleted val="0"/>
    <c:plotArea>
      <c:layout>
        <c:manualLayout>
          <c:xMode val="edge"/>
          <c:yMode val="edge"/>
          <c:x val="5.8331222995031393E-2"/>
          <c:y val="5.0724637681159424E-2"/>
          <c:w val="0.92020545861086733"/>
          <c:h val="0.82680173296267723"/>
        </c:manualLayout>
      </c:layout>
      <c:lineChart>
        <c:grouping val="standard"/>
        <c:varyColors val="1"/>
        <c:ser>
          <c:idx val="0"/>
          <c:order val="0"/>
          <c:tx>
            <c:v>Costo_total</c:v>
          </c:tx>
          <c:spPr>
            <a:ln w="28575" cmpd="sng">
              <a:solidFill>
                <a:schemeClr val="accent1"/>
              </a:solidFill>
            </a:ln>
          </c:spPr>
          <c:marker>
            <c:symbol val="none"/>
          </c:marker>
          <c:cat>
            <c:strRef>
              <c:f>'S1'!$E$2:$E$9</c:f>
              <c:strCache>
                <c:ptCount val="8"/>
                <c:pt idx="0">
                  <c:v>Viernes</c:v>
                </c:pt>
                <c:pt idx="1">
                  <c:v>Sabado</c:v>
                </c:pt>
                <c:pt idx="2">
                  <c:v>Domingo</c:v>
                </c:pt>
                <c:pt idx="3">
                  <c:v>Lunes</c:v>
                </c:pt>
                <c:pt idx="4">
                  <c:v>Martes</c:v>
                </c:pt>
                <c:pt idx="5">
                  <c:v>Miercoles</c:v>
                </c:pt>
                <c:pt idx="6">
                  <c:v>Jueves</c:v>
                </c:pt>
                <c:pt idx="7">
                  <c:v>Viernes</c:v>
                </c:pt>
              </c:strCache>
            </c:strRef>
          </c:cat>
          <c:val>
            <c:numRef>
              <c:f>'S1'!$B$2:$B$9</c:f>
              <c:numCache>
                <c:formatCode>General</c:formatCode>
                <c:ptCount val="8"/>
                <c:pt idx="0">
                  <c:v>35.06733753759832</c:v>
                </c:pt>
                <c:pt idx="1">
                  <c:v>41.185685404574869</c:v>
                </c:pt>
                <c:pt idx="2">
                  <c:v>17.091108486035289</c:v>
                </c:pt>
                <c:pt idx="3">
                  <c:v>18.606016946555069</c:v>
                </c:pt>
                <c:pt idx="4">
                  <c:v>30.621616918959841</c:v>
                </c:pt>
                <c:pt idx="5">
                  <c:v>19.161929070531858</c:v>
                </c:pt>
                <c:pt idx="6">
                  <c:v>3.9074702335643181</c:v>
                </c:pt>
                <c:pt idx="7">
                  <c:v>29.078924722739821</c:v>
                </c:pt>
              </c:numCache>
            </c:numRef>
          </c:val>
          <c:smooth val="0"/>
          <c:extLst>
            <c:ext xmlns:c16="http://schemas.microsoft.com/office/drawing/2014/chart" uri="{C3380CC4-5D6E-409C-BE32-E72D297353CC}">
              <c16:uniqueId val="{00000000-4FAC-4F4B-BA12-811ECD22AA31}"/>
            </c:ext>
          </c:extLst>
        </c:ser>
        <c:ser>
          <c:idx val="1"/>
          <c:order val="1"/>
          <c:tx>
            <c:v>Cantidad Total de Flujos</c:v>
          </c:tx>
          <c:spPr>
            <a:ln w="28575" cmpd="sng">
              <a:solidFill>
                <a:schemeClr val="accent2"/>
              </a:solidFill>
            </a:ln>
          </c:spPr>
          <c:marker>
            <c:symbol val="none"/>
          </c:marker>
          <c:cat>
            <c:strRef>
              <c:f>'S1'!$E$2:$E$9</c:f>
              <c:strCache>
                <c:ptCount val="8"/>
                <c:pt idx="0">
                  <c:v>Viernes</c:v>
                </c:pt>
                <c:pt idx="1">
                  <c:v>Sabado</c:v>
                </c:pt>
                <c:pt idx="2">
                  <c:v>Domingo</c:v>
                </c:pt>
                <c:pt idx="3">
                  <c:v>Lunes</c:v>
                </c:pt>
                <c:pt idx="4">
                  <c:v>Martes</c:v>
                </c:pt>
                <c:pt idx="5">
                  <c:v>Miercoles</c:v>
                </c:pt>
                <c:pt idx="6">
                  <c:v>Jueves</c:v>
                </c:pt>
                <c:pt idx="7">
                  <c:v>Viernes</c:v>
                </c:pt>
              </c:strCache>
            </c:strRef>
          </c:cat>
          <c:val>
            <c:numRef>
              <c:f>'S1'!$D$2:$D$9</c:f>
              <c:numCache>
                <c:formatCode>General</c:formatCode>
                <c:ptCount val="8"/>
                <c:pt idx="0">
                  <c:v>16</c:v>
                </c:pt>
                <c:pt idx="1">
                  <c:v>13</c:v>
                </c:pt>
                <c:pt idx="2">
                  <c:v>9</c:v>
                </c:pt>
                <c:pt idx="3">
                  <c:v>7</c:v>
                </c:pt>
                <c:pt idx="4">
                  <c:v>10</c:v>
                </c:pt>
                <c:pt idx="5">
                  <c:v>9</c:v>
                </c:pt>
                <c:pt idx="6">
                  <c:v>6</c:v>
                </c:pt>
                <c:pt idx="7">
                  <c:v>9</c:v>
                </c:pt>
              </c:numCache>
            </c:numRef>
          </c:val>
          <c:smooth val="0"/>
          <c:extLst>
            <c:ext xmlns:c16="http://schemas.microsoft.com/office/drawing/2014/chart" uri="{C3380CC4-5D6E-409C-BE32-E72D297353CC}">
              <c16:uniqueId val="{00000001-4FAC-4F4B-BA12-811ECD22AA31}"/>
            </c:ext>
          </c:extLst>
        </c:ser>
        <c:dLbls>
          <c:showLegendKey val="0"/>
          <c:showVal val="0"/>
          <c:showCatName val="0"/>
          <c:showSerName val="0"/>
          <c:showPercent val="0"/>
          <c:showBubbleSize val="0"/>
        </c:dLbls>
        <c:smooth val="0"/>
        <c:axId val="2104102187"/>
        <c:axId val="69522926"/>
      </c:lineChart>
      <c:catAx>
        <c:axId val="2104102187"/>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9522926"/>
        <c:crosses val="autoZero"/>
        <c:auto val="1"/>
        <c:lblAlgn val="ctr"/>
        <c:lblOffset val="100"/>
        <c:noMultiLvlLbl val="1"/>
      </c:catAx>
      <c:valAx>
        <c:axId val="69522926"/>
        <c:scaling>
          <c:orientation val="minMax"/>
        </c:scaling>
        <c:delete val="0"/>
        <c:axPos val="l"/>
        <c:title>
          <c:tx>
            <c:rich>
              <a:bodyPr/>
              <a:lstStyle/>
              <a:p>
                <a:pPr lvl="0">
                  <a:defRPr sz="1000" b="0" i="0">
                    <a:solidFill>
                      <a:srgbClr val="000000"/>
                    </a:solidFill>
                    <a:latin typeface="+mn-lt"/>
                  </a:defRPr>
                </a:pPr>
                <a:r>
                  <a:rPr lang="es-CL"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2104102187"/>
        <c:crosses val="autoZero"/>
        <c:crossBetween val="between"/>
      </c:valAx>
    </c:plotArea>
    <c:legend>
      <c:legendPos val="r"/>
      <c:layout>
        <c:manualLayout>
          <c:xMode val="edge"/>
          <c:yMode val="edge"/>
          <c:x val="0.84558026450882118"/>
          <c:y val="0.2294203404796212"/>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total diario en la semana 2 del caso 1</a:t>
            </a:r>
          </a:p>
        </c:rich>
      </c:tx>
      <c:overlay val="0"/>
    </c:title>
    <c:autoTitleDeleted val="0"/>
    <c:plotArea>
      <c:layout>
        <c:manualLayout>
          <c:xMode val="edge"/>
          <c:yMode val="edge"/>
          <c:x val="5.1140738089556978E-2"/>
          <c:y val="4.7259646078543716E-2"/>
          <c:w val="0.92483854290940903"/>
          <c:h val="0.8449080819159559"/>
        </c:manualLayout>
      </c:layout>
      <c:lineChart>
        <c:grouping val="standard"/>
        <c:varyColors val="1"/>
        <c:ser>
          <c:idx val="0"/>
          <c:order val="0"/>
          <c:tx>
            <c:v>Costo_total</c:v>
          </c:tx>
          <c:spPr>
            <a:ln w="28575" cmpd="sng">
              <a:solidFill>
                <a:schemeClr val="accent1"/>
              </a:solidFill>
            </a:ln>
          </c:spPr>
          <c:marker>
            <c:symbol val="none"/>
          </c:marker>
          <c:cat>
            <c:strRef>
              <c:f>'S2'!$E$9:$E$16</c:f>
              <c:strCache>
                <c:ptCount val="8"/>
                <c:pt idx="0">
                  <c:v>Viernes</c:v>
                </c:pt>
                <c:pt idx="1">
                  <c:v>Sabado</c:v>
                </c:pt>
                <c:pt idx="2">
                  <c:v>Domingo</c:v>
                </c:pt>
                <c:pt idx="3">
                  <c:v>Lunes</c:v>
                </c:pt>
                <c:pt idx="4">
                  <c:v>Martes</c:v>
                </c:pt>
                <c:pt idx="5">
                  <c:v>Miercoles</c:v>
                </c:pt>
                <c:pt idx="6">
                  <c:v>Jueves</c:v>
                </c:pt>
                <c:pt idx="7">
                  <c:v>Viernes</c:v>
                </c:pt>
              </c:strCache>
            </c:strRef>
          </c:cat>
          <c:val>
            <c:numRef>
              <c:f>'S2'!$B$9:$B$16</c:f>
              <c:numCache>
                <c:formatCode>General</c:formatCode>
                <c:ptCount val="8"/>
                <c:pt idx="0">
                  <c:v>29.078924722739821</c:v>
                </c:pt>
                <c:pt idx="1">
                  <c:v>16.929914164188389</c:v>
                </c:pt>
                <c:pt idx="2">
                  <c:v>9.1275319212878845</c:v>
                </c:pt>
                <c:pt idx="3">
                  <c:v>29.0533877718137</c:v>
                </c:pt>
                <c:pt idx="4">
                  <c:v>41.383622981336273</c:v>
                </c:pt>
                <c:pt idx="5">
                  <c:v>7.3136229194110687</c:v>
                </c:pt>
                <c:pt idx="6">
                  <c:v>4.7861030203714474</c:v>
                </c:pt>
                <c:pt idx="7">
                  <c:v>26.247759789546869</c:v>
                </c:pt>
              </c:numCache>
            </c:numRef>
          </c:val>
          <c:smooth val="0"/>
          <c:extLst>
            <c:ext xmlns:c16="http://schemas.microsoft.com/office/drawing/2014/chart" uri="{C3380CC4-5D6E-409C-BE32-E72D297353CC}">
              <c16:uniqueId val="{00000000-7455-4DE0-A13A-C60EF9D71405}"/>
            </c:ext>
          </c:extLst>
        </c:ser>
        <c:ser>
          <c:idx val="1"/>
          <c:order val="1"/>
          <c:tx>
            <c:v>Cantidad Total de Flujos</c:v>
          </c:tx>
          <c:spPr>
            <a:ln w="28575" cmpd="sng">
              <a:solidFill>
                <a:schemeClr val="accent2"/>
              </a:solidFill>
            </a:ln>
          </c:spPr>
          <c:marker>
            <c:symbol val="none"/>
          </c:marker>
          <c:cat>
            <c:strRef>
              <c:f>'S2'!$E$9:$E$16</c:f>
              <c:strCache>
                <c:ptCount val="8"/>
                <c:pt idx="0">
                  <c:v>Viernes</c:v>
                </c:pt>
                <c:pt idx="1">
                  <c:v>Sabado</c:v>
                </c:pt>
                <c:pt idx="2">
                  <c:v>Domingo</c:v>
                </c:pt>
                <c:pt idx="3">
                  <c:v>Lunes</c:v>
                </c:pt>
                <c:pt idx="4">
                  <c:v>Martes</c:v>
                </c:pt>
                <c:pt idx="5">
                  <c:v>Miercoles</c:v>
                </c:pt>
                <c:pt idx="6">
                  <c:v>Jueves</c:v>
                </c:pt>
                <c:pt idx="7">
                  <c:v>Viernes</c:v>
                </c:pt>
              </c:strCache>
            </c:strRef>
          </c:cat>
          <c:val>
            <c:numRef>
              <c:f>'S2'!$D$9:$D$16</c:f>
              <c:numCache>
                <c:formatCode>General</c:formatCode>
                <c:ptCount val="8"/>
                <c:pt idx="0">
                  <c:v>9</c:v>
                </c:pt>
                <c:pt idx="1">
                  <c:v>7</c:v>
                </c:pt>
                <c:pt idx="2">
                  <c:v>11</c:v>
                </c:pt>
                <c:pt idx="3">
                  <c:v>11</c:v>
                </c:pt>
                <c:pt idx="4">
                  <c:v>14</c:v>
                </c:pt>
                <c:pt idx="5">
                  <c:v>9</c:v>
                </c:pt>
                <c:pt idx="6">
                  <c:v>7</c:v>
                </c:pt>
                <c:pt idx="7">
                  <c:v>9</c:v>
                </c:pt>
              </c:numCache>
            </c:numRef>
          </c:val>
          <c:smooth val="0"/>
          <c:extLst>
            <c:ext xmlns:c16="http://schemas.microsoft.com/office/drawing/2014/chart" uri="{C3380CC4-5D6E-409C-BE32-E72D297353CC}">
              <c16:uniqueId val="{00000001-7455-4DE0-A13A-C60EF9D71405}"/>
            </c:ext>
          </c:extLst>
        </c:ser>
        <c:dLbls>
          <c:showLegendKey val="0"/>
          <c:showVal val="0"/>
          <c:showCatName val="0"/>
          <c:showSerName val="0"/>
          <c:showPercent val="0"/>
          <c:showBubbleSize val="0"/>
        </c:dLbls>
        <c:smooth val="0"/>
        <c:axId val="1611632767"/>
        <c:axId val="1609878061"/>
      </c:lineChart>
      <c:catAx>
        <c:axId val="1611632767"/>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Días de la semana</a:t>
                </a:r>
              </a:p>
            </c:rich>
          </c:tx>
          <c:layout>
            <c:manualLayout>
              <c:xMode val="edge"/>
              <c:yMode val="edge"/>
              <c:x val="0.46498041438002069"/>
              <c:y val="0.94731448589716305"/>
            </c:manualLayout>
          </c:layout>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09878061"/>
        <c:crosses val="autoZero"/>
        <c:auto val="1"/>
        <c:lblAlgn val="ctr"/>
        <c:lblOffset val="100"/>
        <c:noMultiLvlLbl val="1"/>
      </c:catAx>
      <c:valAx>
        <c:axId val="1609878061"/>
        <c:scaling>
          <c:orientation val="minMax"/>
        </c:scaling>
        <c:delete val="0"/>
        <c:axPos val="l"/>
        <c:title>
          <c:tx>
            <c:rich>
              <a:bodyPr/>
              <a:lstStyle/>
              <a:p>
                <a:pPr lvl="0">
                  <a:defRPr sz="1000" b="0" i="0">
                    <a:solidFill>
                      <a:srgbClr val="000000"/>
                    </a:solidFill>
                    <a:latin typeface="+mn-lt"/>
                  </a:defRPr>
                </a:pPr>
                <a:r>
                  <a:rPr lang="es-CL"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611632767"/>
        <c:crosses val="autoZero"/>
        <c:crossBetween val="between"/>
      </c:valAx>
    </c:plotArea>
    <c:legend>
      <c:legendPos val="r"/>
      <c:layout>
        <c:manualLayout>
          <c:xMode val="edge"/>
          <c:yMode val="edge"/>
          <c:x val="0.83096526286486916"/>
          <c:y val="0.28120963382761871"/>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total diario en la semana 3 del caso 1</a:t>
            </a:r>
          </a:p>
        </c:rich>
      </c:tx>
      <c:overlay val="0"/>
    </c:title>
    <c:autoTitleDeleted val="0"/>
    <c:plotArea>
      <c:layout>
        <c:manualLayout>
          <c:xMode val="edge"/>
          <c:yMode val="edge"/>
          <c:x val="6.8688242327917967E-2"/>
          <c:y val="5.0724637681159424E-2"/>
          <c:w val="0.90168057351040076"/>
          <c:h val="0.83214451134784639"/>
        </c:manualLayout>
      </c:layout>
      <c:lineChart>
        <c:grouping val="standard"/>
        <c:varyColors val="1"/>
        <c:ser>
          <c:idx val="0"/>
          <c:order val="0"/>
          <c:spPr>
            <a:ln w="28575" cmpd="sng">
              <a:solidFill>
                <a:schemeClr val="accent1"/>
              </a:solidFill>
            </a:ln>
          </c:spPr>
          <c:marker>
            <c:symbol val="none"/>
          </c:marker>
          <c:cat>
            <c:strRef>
              <c:f>'S3'!$E$16:$E$23</c:f>
              <c:strCache>
                <c:ptCount val="8"/>
                <c:pt idx="0">
                  <c:v>Viernes</c:v>
                </c:pt>
                <c:pt idx="1">
                  <c:v>Sabado</c:v>
                </c:pt>
                <c:pt idx="2">
                  <c:v>Domingo</c:v>
                </c:pt>
                <c:pt idx="3">
                  <c:v>Lunes</c:v>
                </c:pt>
                <c:pt idx="4">
                  <c:v>Martes</c:v>
                </c:pt>
                <c:pt idx="5">
                  <c:v>Miercoles</c:v>
                </c:pt>
                <c:pt idx="6">
                  <c:v>Jueves</c:v>
                </c:pt>
                <c:pt idx="7">
                  <c:v>Viernes</c:v>
                </c:pt>
              </c:strCache>
            </c:strRef>
          </c:cat>
          <c:val>
            <c:numRef>
              <c:f>'S3'!$B$2:$B$9</c:f>
            </c:numRef>
          </c:val>
          <c:smooth val="0"/>
          <c:extLst>
            <c:ext xmlns:c16="http://schemas.microsoft.com/office/drawing/2014/chart" uri="{C3380CC4-5D6E-409C-BE32-E72D297353CC}">
              <c16:uniqueId val="{00000000-1064-463E-AF62-B2A606734DF8}"/>
            </c:ext>
          </c:extLst>
        </c:ser>
        <c:ser>
          <c:idx val="1"/>
          <c:order val="1"/>
          <c:spPr>
            <a:ln w="28575" cmpd="sng">
              <a:solidFill>
                <a:schemeClr val="accent2"/>
              </a:solidFill>
            </a:ln>
          </c:spPr>
          <c:marker>
            <c:symbol val="none"/>
          </c:marker>
          <c:cat>
            <c:strRef>
              <c:f>'S3'!$E$16:$E$23</c:f>
              <c:strCache>
                <c:ptCount val="8"/>
                <c:pt idx="0">
                  <c:v>Viernes</c:v>
                </c:pt>
                <c:pt idx="1">
                  <c:v>Sabado</c:v>
                </c:pt>
                <c:pt idx="2">
                  <c:v>Domingo</c:v>
                </c:pt>
                <c:pt idx="3">
                  <c:v>Lunes</c:v>
                </c:pt>
                <c:pt idx="4">
                  <c:v>Martes</c:v>
                </c:pt>
                <c:pt idx="5">
                  <c:v>Miercoles</c:v>
                </c:pt>
                <c:pt idx="6">
                  <c:v>Jueves</c:v>
                </c:pt>
                <c:pt idx="7">
                  <c:v>Viernes</c:v>
                </c:pt>
              </c:strCache>
            </c:strRef>
          </c:cat>
          <c:val>
            <c:numRef>
              <c:f>'S3'!$D$2:$D$9</c:f>
            </c:numRef>
          </c:val>
          <c:smooth val="0"/>
          <c:extLst>
            <c:ext xmlns:c16="http://schemas.microsoft.com/office/drawing/2014/chart" uri="{C3380CC4-5D6E-409C-BE32-E72D297353CC}">
              <c16:uniqueId val="{00000001-1064-463E-AF62-B2A606734DF8}"/>
            </c:ext>
          </c:extLst>
        </c:ser>
        <c:dLbls>
          <c:showLegendKey val="0"/>
          <c:showVal val="0"/>
          <c:showCatName val="0"/>
          <c:showSerName val="0"/>
          <c:showPercent val="0"/>
          <c:showBubbleSize val="0"/>
        </c:dLbls>
        <c:marker val="1"/>
        <c:smooth val="0"/>
        <c:axId val="1848817251"/>
        <c:axId val="1583359884"/>
      </c:lineChart>
      <c:catAx>
        <c:axId val="1848817251"/>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83359884"/>
        <c:crosses val="autoZero"/>
        <c:auto val="1"/>
        <c:lblAlgn val="ctr"/>
        <c:lblOffset val="100"/>
        <c:noMultiLvlLbl val="1"/>
      </c:catAx>
      <c:valAx>
        <c:axId val="1583359884"/>
        <c:scaling>
          <c:orientation val="minMax"/>
        </c:scaling>
        <c:delete val="0"/>
        <c:axPos val="l"/>
        <c:title>
          <c:tx>
            <c:rich>
              <a:bodyPr/>
              <a:lstStyle/>
              <a:p>
                <a:pPr lvl="0">
                  <a:defRPr sz="1000" b="0" i="0">
                    <a:solidFill>
                      <a:srgbClr val="000000"/>
                    </a:solidFill>
                    <a:latin typeface="+mn-lt"/>
                  </a:defRPr>
                </a:pPr>
                <a:r>
                  <a:rPr lang="es-CL" sz="1000" b="0" i="0">
                    <a:solidFill>
                      <a:srgbClr val="000000"/>
                    </a:solidFill>
                    <a:latin typeface="+mn-lt"/>
                  </a:rPr>
                  <a:t>Costo total en km</a:t>
                </a:r>
              </a:p>
            </c:rich>
          </c:tx>
          <c:layout>
            <c:manualLayout>
              <c:xMode val="edge"/>
              <c:yMode val="edge"/>
              <c:x val="1.754612762956869E-2"/>
              <c:y val="0.36751502664600993"/>
            </c:manualLayout>
          </c:layout>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848817251"/>
        <c:crosses val="autoZero"/>
        <c:crossBetween val="between"/>
      </c:valAx>
    </c:plotArea>
    <c:legend>
      <c:legendPos val="r"/>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Costo total diario en la semana 4 del caso 1</a:t>
            </a:r>
          </a:p>
        </c:rich>
      </c:tx>
      <c:layout>
        <c:manualLayout>
          <c:xMode val="edge"/>
          <c:yMode val="edge"/>
          <c:x val="0.35727306128497271"/>
          <c:y val="3.4562211981566823E-2"/>
        </c:manualLayout>
      </c:layout>
      <c:overlay val="0"/>
    </c:title>
    <c:autoTitleDeleted val="0"/>
    <c:plotArea>
      <c:layout>
        <c:manualLayout>
          <c:xMode val="edge"/>
          <c:yMode val="edge"/>
          <c:x val="6.6581414918555015E-2"/>
          <c:y val="5.4285842474818852E-2"/>
          <c:w val="0.89154765482558951"/>
          <c:h val="0.81911327590461447"/>
        </c:manualLayout>
      </c:layout>
      <c:lineChart>
        <c:grouping val="standard"/>
        <c:varyColors val="1"/>
        <c:ser>
          <c:idx val="0"/>
          <c:order val="0"/>
          <c:spPr>
            <a:ln w="28575" cmpd="sng">
              <a:solidFill>
                <a:schemeClr val="accent1"/>
              </a:solidFill>
            </a:ln>
          </c:spPr>
          <c:marker>
            <c:symbol val="none"/>
          </c:marker>
          <c:cat>
            <c:strRef>
              <c:f>'S4'!$E$23:$E$32</c:f>
              <c:strCache>
                <c:ptCount val="10"/>
                <c:pt idx="0">
                  <c:v>Viernes</c:v>
                </c:pt>
                <c:pt idx="1">
                  <c:v>Sabado</c:v>
                </c:pt>
                <c:pt idx="2">
                  <c:v>Domingo</c:v>
                </c:pt>
                <c:pt idx="3">
                  <c:v>Lunes</c:v>
                </c:pt>
                <c:pt idx="4">
                  <c:v>Martes</c:v>
                </c:pt>
                <c:pt idx="5">
                  <c:v>Miercoles</c:v>
                </c:pt>
                <c:pt idx="6">
                  <c:v>Jueves</c:v>
                </c:pt>
                <c:pt idx="7">
                  <c:v>Viernes</c:v>
                </c:pt>
                <c:pt idx="8">
                  <c:v>Sabado</c:v>
                </c:pt>
                <c:pt idx="9">
                  <c:v>Domingo</c:v>
                </c:pt>
              </c:strCache>
            </c:strRef>
          </c:cat>
          <c:val>
            <c:numRef>
              <c:f>'S3'!$B$2:$B$9</c:f>
            </c:numRef>
          </c:val>
          <c:smooth val="0"/>
          <c:extLst>
            <c:ext xmlns:c16="http://schemas.microsoft.com/office/drawing/2014/chart" uri="{C3380CC4-5D6E-409C-BE32-E72D297353CC}">
              <c16:uniqueId val="{00000000-7113-4163-BF7E-3DE3A89A6D22}"/>
            </c:ext>
          </c:extLst>
        </c:ser>
        <c:ser>
          <c:idx val="1"/>
          <c:order val="1"/>
          <c:spPr>
            <a:ln w="28575" cmpd="sng">
              <a:solidFill>
                <a:schemeClr val="accent2"/>
              </a:solidFill>
            </a:ln>
          </c:spPr>
          <c:marker>
            <c:symbol val="none"/>
          </c:marker>
          <c:cat>
            <c:strRef>
              <c:f>'S4'!$E$23:$E$32</c:f>
              <c:strCache>
                <c:ptCount val="10"/>
                <c:pt idx="0">
                  <c:v>Viernes</c:v>
                </c:pt>
                <c:pt idx="1">
                  <c:v>Sabado</c:v>
                </c:pt>
                <c:pt idx="2">
                  <c:v>Domingo</c:v>
                </c:pt>
                <c:pt idx="3">
                  <c:v>Lunes</c:v>
                </c:pt>
                <c:pt idx="4">
                  <c:v>Martes</c:v>
                </c:pt>
                <c:pt idx="5">
                  <c:v>Miercoles</c:v>
                </c:pt>
                <c:pt idx="6">
                  <c:v>Jueves</c:v>
                </c:pt>
                <c:pt idx="7">
                  <c:v>Viernes</c:v>
                </c:pt>
                <c:pt idx="8">
                  <c:v>Sabado</c:v>
                </c:pt>
                <c:pt idx="9">
                  <c:v>Domingo</c:v>
                </c:pt>
              </c:strCache>
            </c:strRef>
          </c:cat>
          <c:val>
            <c:numRef>
              <c:f>'S3'!$D$2:$D$9</c:f>
            </c:numRef>
          </c:val>
          <c:smooth val="0"/>
          <c:extLst>
            <c:ext xmlns:c16="http://schemas.microsoft.com/office/drawing/2014/chart" uri="{C3380CC4-5D6E-409C-BE32-E72D297353CC}">
              <c16:uniqueId val="{00000001-7113-4163-BF7E-3DE3A89A6D22}"/>
            </c:ext>
          </c:extLst>
        </c:ser>
        <c:dLbls>
          <c:showLegendKey val="0"/>
          <c:showVal val="0"/>
          <c:showCatName val="0"/>
          <c:showSerName val="0"/>
          <c:showPercent val="0"/>
          <c:showBubbleSize val="0"/>
        </c:dLbls>
        <c:marker val="1"/>
        <c:smooth val="0"/>
        <c:axId val="610071854"/>
        <c:axId val="925065229"/>
      </c:lineChart>
      <c:catAx>
        <c:axId val="610071854"/>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925065229"/>
        <c:crosses val="autoZero"/>
        <c:auto val="1"/>
        <c:lblAlgn val="ctr"/>
        <c:lblOffset val="100"/>
        <c:noMultiLvlLbl val="1"/>
      </c:catAx>
      <c:valAx>
        <c:axId val="925065229"/>
        <c:scaling>
          <c:orientation val="minMax"/>
        </c:scaling>
        <c:delete val="0"/>
        <c:axPos val="l"/>
        <c:title>
          <c:tx>
            <c:rich>
              <a:bodyPr/>
              <a:lstStyle/>
              <a:p>
                <a:pPr lvl="0">
                  <a:defRPr sz="1000" b="0" i="0">
                    <a:solidFill>
                      <a:srgbClr val="000000"/>
                    </a:solidFill>
                    <a:latin typeface="+mn-lt"/>
                  </a:defRPr>
                </a:pPr>
                <a:r>
                  <a:rPr lang="es-CL"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610071854"/>
        <c:crosses val="autoZero"/>
        <c:crossBetween val="between"/>
      </c:valAx>
    </c:plotArea>
    <c:legend>
      <c:legendPos val="r"/>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	Costo total v/s Flujos día Lunes</a:t>
            </a:r>
          </a:p>
        </c:rich>
      </c:tx>
      <c:layout>
        <c:manualLayout>
          <c:xMode val="edge"/>
          <c:yMode val="edge"/>
          <c:x val="0.3487121212121212"/>
          <c:y val="1.953104727387197E-2"/>
        </c:manualLayout>
      </c:layout>
      <c:overlay val="0"/>
    </c:title>
    <c:autoTitleDeleted val="0"/>
    <c:plotArea>
      <c:layout>
        <c:manualLayout>
          <c:xMode val="edge"/>
          <c:yMode val="edge"/>
          <c:x val="4.2482701026008117E-2"/>
          <c:y val="8.3598778272651095E-2"/>
          <c:w val="0.92988904795991412"/>
          <c:h val="0.83998206474190718"/>
        </c:manualLayout>
      </c:layout>
      <c:lineChart>
        <c:grouping val="standard"/>
        <c:varyColors val="1"/>
        <c:ser>
          <c:idx val="0"/>
          <c:order val="0"/>
          <c:spPr>
            <a:ln w="28575" cmpd="sng">
              <a:solidFill>
                <a:schemeClr val="accent1"/>
              </a:solidFill>
            </a:ln>
          </c:spPr>
          <c:marker>
            <c:symbol val="none"/>
          </c:marker>
          <c:dLbls>
            <c:spPr>
              <a:noFill/>
              <a:ln>
                <a:noFill/>
              </a:ln>
              <a:effectLst/>
            </c:spPr>
            <c:txPr>
              <a:bodyPr/>
              <a:lstStyle/>
              <a:p>
                <a:pPr lvl="0">
                  <a:defRPr sz="900" b="0" i="0">
                    <a:latin typeface="+mn-lt"/>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todo!$E$2:$E$32</c:f>
              <c:strCache>
                <c:ptCount val="31"/>
                <c:pt idx="0">
                  <c:v>Viernes</c:v>
                </c:pt>
                <c:pt idx="1">
                  <c:v>Sabado</c:v>
                </c:pt>
                <c:pt idx="2">
                  <c:v>Domingo</c:v>
                </c:pt>
                <c:pt idx="3">
                  <c:v>Lunes</c:v>
                </c:pt>
                <c:pt idx="4">
                  <c:v>Martes</c:v>
                </c:pt>
                <c:pt idx="5">
                  <c:v>Miercoles</c:v>
                </c:pt>
                <c:pt idx="6">
                  <c:v>Jueves</c:v>
                </c:pt>
                <c:pt idx="7">
                  <c:v>Viernes</c:v>
                </c:pt>
                <c:pt idx="8">
                  <c:v>Sabado</c:v>
                </c:pt>
                <c:pt idx="9">
                  <c:v>Domingo</c:v>
                </c:pt>
                <c:pt idx="10">
                  <c:v>Lunes</c:v>
                </c:pt>
                <c:pt idx="11">
                  <c:v>Martes</c:v>
                </c:pt>
                <c:pt idx="12">
                  <c:v>Miercoles</c:v>
                </c:pt>
                <c:pt idx="13">
                  <c:v>Jueves</c:v>
                </c:pt>
                <c:pt idx="14">
                  <c:v>Viernes</c:v>
                </c:pt>
                <c:pt idx="15">
                  <c:v>Sabado</c:v>
                </c:pt>
                <c:pt idx="16">
                  <c:v>Domingo</c:v>
                </c:pt>
                <c:pt idx="17">
                  <c:v>Lunes</c:v>
                </c:pt>
                <c:pt idx="18">
                  <c:v>Martes</c:v>
                </c:pt>
                <c:pt idx="19">
                  <c:v>Miercoles</c:v>
                </c:pt>
                <c:pt idx="20">
                  <c:v>Jueves</c:v>
                </c:pt>
                <c:pt idx="21">
                  <c:v>Viernes</c:v>
                </c:pt>
                <c:pt idx="22">
                  <c:v>Sabado</c:v>
                </c:pt>
                <c:pt idx="23">
                  <c:v>Domingo</c:v>
                </c:pt>
                <c:pt idx="24">
                  <c:v>Lunes</c:v>
                </c:pt>
                <c:pt idx="25">
                  <c:v>Martes</c:v>
                </c:pt>
                <c:pt idx="26">
                  <c:v>Miercoles</c:v>
                </c:pt>
                <c:pt idx="27">
                  <c:v>Jueves</c:v>
                </c:pt>
                <c:pt idx="28">
                  <c:v>Viernes</c:v>
                </c:pt>
                <c:pt idx="29">
                  <c:v>Sabado</c:v>
                </c:pt>
                <c:pt idx="30">
                  <c:v>Domingo</c:v>
                </c:pt>
              </c:strCache>
            </c:strRef>
          </c:cat>
          <c:val>
            <c:numRef>
              <c:f>'S3'!$B$2:$B$9</c:f>
            </c:numRef>
          </c:val>
          <c:smooth val="0"/>
          <c:extLst>
            <c:ext xmlns:c16="http://schemas.microsoft.com/office/drawing/2014/chart" uri="{C3380CC4-5D6E-409C-BE32-E72D297353CC}">
              <c16:uniqueId val="{00000000-F1EF-40C5-B271-75316BBE089E}"/>
            </c:ext>
          </c:extLst>
        </c:ser>
        <c:ser>
          <c:idx val="1"/>
          <c:order val="1"/>
          <c:spPr>
            <a:ln w="28575" cmpd="sng">
              <a:solidFill>
                <a:schemeClr val="accent2"/>
              </a:solidFill>
            </a:ln>
          </c:spPr>
          <c:marker>
            <c:symbol val="none"/>
          </c:marker>
          <c:dLbls>
            <c:spPr>
              <a:noFill/>
              <a:ln>
                <a:noFill/>
              </a:ln>
              <a:effectLst/>
            </c:spPr>
            <c:txPr>
              <a:bodyPr/>
              <a:lstStyle/>
              <a:p>
                <a:pPr lvl="0">
                  <a:defRPr sz="900" b="0" i="0">
                    <a:latin typeface="+mn-lt"/>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todo!$E$2:$E$32</c:f>
              <c:strCache>
                <c:ptCount val="31"/>
                <c:pt idx="0">
                  <c:v>Viernes</c:v>
                </c:pt>
                <c:pt idx="1">
                  <c:v>Sabado</c:v>
                </c:pt>
                <c:pt idx="2">
                  <c:v>Domingo</c:v>
                </c:pt>
                <c:pt idx="3">
                  <c:v>Lunes</c:v>
                </c:pt>
                <c:pt idx="4">
                  <c:v>Martes</c:v>
                </c:pt>
                <c:pt idx="5">
                  <c:v>Miercoles</c:v>
                </c:pt>
                <c:pt idx="6">
                  <c:v>Jueves</c:v>
                </c:pt>
                <c:pt idx="7">
                  <c:v>Viernes</c:v>
                </c:pt>
                <c:pt idx="8">
                  <c:v>Sabado</c:v>
                </c:pt>
                <c:pt idx="9">
                  <c:v>Domingo</c:v>
                </c:pt>
                <c:pt idx="10">
                  <c:v>Lunes</c:v>
                </c:pt>
                <c:pt idx="11">
                  <c:v>Martes</c:v>
                </c:pt>
                <c:pt idx="12">
                  <c:v>Miercoles</c:v>
                </c:pt>
                <c:pt idx="13">
                  <c:v>Jueves</c:v>
                </c:pt>
                <c:pt idx="14">
                  <c:v>Viernes</c:v>
                </c:pt>
                <c:pt idx="15">
                  <c:v>Sabado</c:v>
                </c:pt>
                <c:pt idx="16">
                  <c:v>Domingo</c:v>
                </c:pt>
                <c:pt idx="17">
                  <c:v>Lunes</c:v>
                </c:pt>
                <c:pt idx="18">
                  <c:v>Martes</c:v>
                </c:pt>
                <c:pt idx="19">
                  <c:v>Miercoles</c:v>
                </c:pt>
                <c:pt idx="20">
                  <c:v>Jueves</c:v>
                </c:pt>
                <c:pt idx="21">
                  <c:v>Viernes</c:v>
                </c:pt>
                <c:pt idx="22">
                  <c:v>Sabado</c:v>
                </c:pt>
                <c:pt idx="23">
                  <c:v>Domingo</c:v>
                </c:pt>
                <c:pt idx="24">
                  <c:v>Lunes</c:v>
                </c:pt>
                <c:pt idx="25">
                  <c:v>Martes</c:v>
                </c:pt>
                <c:pt idx="26">
                  <c:v>Miercoles</c:v>
                </c:pt>
                <c:pt idx="27">
                  <c:v>Jueves</c:v>
                </c:pt>
                <c:pt idx="28">
                  <c:v>Viernes</c:v>
                </c:pt>
                <c:pt idx="29">
                  <c:v>Sabado</c:v>
                </c:pt>
                <c:pt idx="30">
                  <c:v>Domingo</c:v>
                </c:pt>
              </c:strCache>
            </c:strRef>
          </c:cat>
          <c:val>
            <c:numRef>
              <c:f>'S3'!$D$2:$D$9</c:f>
            </c:numRef>
          </c:val>
          <c:smooth val="0"/>
          <c:extLst>
            <c:ext xmlns:c16="http://schemas.microsoft.com/office/drawing/2014/chart" uri="{C3380CC4-5D6E-409C-BE32-E72D297353CC}">
              <c16:uniqueId val="{00000001-F1EF-40C5-B271-75316BBE089E}"/>
            </c:ext>
          </c:extLst>
        </c:ser>
        <c:dLbls>
          <c:showLegendKey val="0"/>
          <c:showVal val="0"/>
          <c:showCatName val="0"/>
          <c:showSerName val="0"/>
          <c:showPercent val="0"/>
          <c:showBubbleSize val="0"/>
        </c:dLbls>
        <c:marker val="1"/>
        <c:smooth val="0"/>
        <c:axId val="1008352697"/>
        <c:axId val="378100118"/>
      </c:lineChart>
      <c:catAx>
        <c:axId val="1008352697"/>
        <c:scaling>
          <c:orientation val="minMax"/>
        </c:scaling>
        <c:delete val="0"/>
        <c:axPos val="b"/>
        <c:title>
          <c:tx>
            <c:rich>
              <a:bodyPr/>
              <a:lstStyle/>
              <a:p>
                <a:pPr lvl="0">
                  <a:defRPr sz="1000" b="0" i="0">
                    <a:solidFill>
                      <a:srgbClr val="000000"/>
                    </a:solidFill>
                    <a:latin typeface="+mn-lt"/>
                  </a:defRPr>
                </a:pPr>
                <a:r>
                  <a:rPr lang="es-CL"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378100118"/>
        <c:crosses val="autoZero"/>
        <c:auto val="1"/>
        <c:lblAlgn val="ctr"/>
        <c:lblOffset val="100"/>
        <c:noMultiLvlLbl val="1"/>
      </c:catAx>
      <c:valAx>
        <c:axId val="378100118"/>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lang="es-CL" sz="1000" b="0" i="0">
                    <a:solidFill>
                      <a:srgbClr val="000000"/>
                    </a:solidFill>
                    <a:latin typeface="+mn-lt"/>
                  </a:rPr>
                  <a:t>Costo total(en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008352697"/>
        <c:crosses val="autoZero"/>
        <c:crossBetween val="between"/>
      </c:valAx>
    </c:plotArea>
    <c:legend>
      <c:legendPos val="r"/>
      <c:layout>
        <c:manualLayout>
          <c:xMode val="edge"/>
          <c:yMode val="edge"/>
          <c:x val="0.86254294917680741"/>
          <c:y val="0.37824956255468062"/>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0.xml"/><Relationship Id="rId13" Type="http://schemas.openxmlformats.org/officeDocument/2006/relationships/chart" Target="../charts/chart45.xml"/><Relationship Id="rId3" Type="http://schemas.openxmlformats.org/officeDocument/2006/relationships/chart" Target="../charts/chart35.xml"/><Relationship Id="rId7" Type="http://schemas.openxmlformats.org/officeDocument/2006/relationships/chart" Target="../charts/chart39.xml"/><Relationship Id="rId12" Type="http://schemas.openxmlformats.org/officeDocument/2006/relationships/chart" Target="../charts/chart44.xml"/><Relationship Id="rId2" Type="http://schemas.openxmlformats.org/officeDocument/2006/relationships/chart" Target="../charts/chart34.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5" Type="http://schemas.openxmlformats.org/officeDocument/2006/relationships/chart" Target="../charts/chart37.xml"/><Relationship Id="rId15" Type="http://schemas.openxmlformats.org/officeDocument/2006/relationships/chart" Target="../charts/chart47.xml"/><Relationship Id="rId10" Type="http://schemas.openxmlformats.org/officeDocument/2006/relationships/chart" Target="../charts/chart42.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2.xml"/></Relationships>
</file>

<file path=xl/drawings/drawing1.xml><?xml version="1.0" encoding="utf-8"?>
<xdr:wsDr xmlns:xdr="http://schemas.openxmlformats.org/drawingml/2006/spreadsheetDrawing" xmlns:a="http://schemas.openxmlformats.org/drawingml/2006/main">
  <xdr:oneCellAnchor>
    <xdr:from>
      <xdr:col>14</xdr:col>
      <xdr:colOff>291465</xdr:colOff>
      <xdr:row>48</xdr:row>
      <xdr:rowOff>43815</xdr:rowOff>
    </xdr:from>
    <xdr:ext cx="11049000" cy="1809750"/>
    <xdr:graphicFrame macro="">
      <xdr:nvGraphicFramePr>
        <xdr:cNvPr id="2" name="Chart 1">
          <a:extLst>
            <a:ext uri="{FF2B5EF4-FFF2-40B4-BE49-F238E27FC236}">
              <a16:creationId xmlns:a16="http://schemas.microsoft.com/office/drawing/2014/main" id="{E9E70768-7F48-4A40-8553-4BA0F1257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15</xdr:col>
      <xdr:colOff>367665</xdr:colOff>
      <xdr:row>57</xdr:row>
      <xdr:rowOff>30480</xdr:rowOff>
    </xdr:from>
    <xdr:ext cx="7715250" cy="2381250"/>
    <xdr:graphicFrame macro="">
      <xdr:nvGraphicFramePr>
        <xdr:cNvPr id="3" name="Chart 2">
          <a:extLst>
            <a:ext uri="{FF2B5EF4-FFF2-40B4-BE49-F238E27FC236}">
              <a16:creationId xmlns:a16="http://schemas.microsoft.com/office/drawing/2014/main" id="{4FAA92A0-A3A6-47BB-AEE5-8D9A3F2B9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15</xdr:col>
      <xdr:colOff>518160</xdr:colOff>
      <xdr:row>58</xdr:row>
      <xdr:rowOff>144780</xdr:rowOff>
    </xdr:from>
    <xdr:ext cx="7715250" cy="2381250"/>
    <xdr:graphicFrame macro="">
      <xdr:nvGraphicFramePr>
        <xdr:cNvPr id="4" name="Chart 3">
          <a:extLst>
            <a:ext uri="{FF2B5EF4-FFF2-40B4-BE49-F238E27FC236}">
              <a16:creationId xmlns:a16="http://schemas.microsoft.com/office/drawing/2014/main" id="{09B913F1-614D-4BD8-881E-475E408C9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27</xdr:col>
      <xdr:colOff>762000</xdr:colOff>
      <xdr:row>78</xdr:row>
      <xdr:rowOff>133350</xdr:rowOff>
    </xdr:from>
    <xdr:ext cx="4219575" cy="3114675"/>
    <xdr:graphicFrame macro="">
      <xdr:nvGraphicFramePr>
        <xdr:cNvPr id="5" name="Chart 4">
          <a:extLst>
            <a:ext uri="{FF2B5EF4-FFF2-40B4-BE49-F238E27FC236}">
              <a16:creationId xmlns:a16="http://schemas.microsoft.com/office/drawing/2014/main" id="{8B881BEF-7547-45B4-8FF8-5F77A00447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28</xdr:col>
      <xdr:colOff>1190625</xdr:colOff>
      <xdr:row>79</xdr:row>
      <xdr:rowOff>66675</xdr:rowOff>
    </xdr:from>
    <xdr:ext cx="4219575" cy="3114675"/>
    <xdr:graphicFrame macro="">
      <xdr:nvGraphicFramePr>
        <xdr:cNvPr id="6" name="Chart 5">
          <a:extLst>
            <a:ext uri="{FF2B5EF4-FFF2-40B4-BE49-F238E27FC236}">
              <a16:creationId xmlns:a16="http://schemas.microsoft.com/office/drawing/2014/main" id="{26869A95-A06F-4D4D-9C7E-08E5EB714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17</xdr:col>
      <xdr:colOff>636270</xdr:colOff>
      <xdr:row>48</xdr:row>
      <xdr:rowOff>127635</xdr:rowOff>
    </xdr:from>
    <xdr:ext cx="7181850" cy="3219450"/>
    <xdr:graphicFrame macro="">
      <xdr:nvGraphicFramePr>
        <xdr:cNvPr id="7" name="Chart 6">
          <a:extLst>
            <a:ext uri="{FF2B5EF4-FFF2-40B4-BE49-F238E27FC236}">
              <a16:creationId xmlns:a16="http://schemas.microsoft.com/office/drawing/2014/main" id="{76B04436-35B5-4A85-A92D-D84227958D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15</xdr:col>
      <xdr:colOff>1226820</xdr:colOff>
      <xdr:row>40</xdr:row>
      <xdr:rowOff>100965</xdr:rowOff>
    </xdr:from>
    <xdr:ext cx="9239250" cy="2857500"/>
    <xdr:graphicFrame macro="">
      <xdr:nvGraphicFramePr>
        <xdr:cNvPr id="8" name="Chart 7">
          <a:extLst>
            <a:ext uri="{FF2B5EF4-FFF2-40B4-BE49-F238E27FC236}">
              <a16:creationId xmlns:a16="http://schemas.microsoft.com/office/drawing/2014/main" id="{B4D7D7E0-30C5-4477-ABE9-7B24B309CC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39</xdr:col>
      <xdr:colOff>436245</xdr:colOff>
      <xdr:row>53</xdr:row>
      <xdr:rowOff>165735</xdr:rowOff>
    </xdr:from>
    <xdr:ext cx="5581650" cy="2352675"/>
    <xdr:graphicFrame macro="">
      <xdr:nvGraphicFramePr>
        <xdr:cNvPr id="9" name="Chart 8">
          <a:extLst>
            <a:ext uri="{FF2B5EF4-FFF2-40B4-BE49-F238E27FC236}">
              <a16:creationId xmlns:a16="http://schemas.microsoft.com/office/drawing/2014/main" id="{B3111A47-4AEE-4FCF-ACD8-84F523AE4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43</xdr:col>
      <xdr:colOff>175260</xdr:colOff>
      <xdr:row>56</xdr:row>
      <xdr:rowOff>64770</xdr:rowOff>
    </xdr:from>
    <xdr:ext cx="5629275" cy="2352675"/>
    <xdr:graphicFrame macro="">
      <xdr:nvGraphicFramePr>
        <xdr:cNvPr id="10" name="Chart 9">
          <a:extLst>
            <a:ext uri="{FF2B5EF4-FFF2-40B4-BE49-F238E27FC236}">
              <a16:creationId xmlns:a16="http://schemas.microsoft.com/office/drawing/2014/main" id="{114495BC-03FA-460B-8DCE-FE2126F710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65</xdr:col>
      <xdr:colOff>733425</xdr:colOff>
      <xdr:row>82</xdr:row>
      <xdr:rowOff>76200</xdr:rowOff>
    </xdr:from>
    <xdr:ext cx="5619750" cy="2352675"/>
    <xdr:graphicFrame macro="">
      <xdr:nvGraphicFramePr>
        <xdr:cNvPr id="11" name="Chart 10">
          <a:extLst>
            <a:ext uri="{FF2B5EF4-FFF2-40B4-BE49-F238E27FC236}">
              <a16:creationId xmlns:a16="http://schemas.microsoft.com/office/drawing/2014/main" id="{FC8CDE3B-0409-4567-82B9-849712A5C7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62</xdr:col>
      <xdr:colOff>409575</xdr:colOff>
      <xdr:row>78</xdr:row>
      <xdr:rowOff>142875</xdr:rowOff>
    </xdr:from>
    <xdr:ext cx="7439025" cy="2352675"/>
    <xdr:graphicFrame macro="">
      <xdr:nvGraphicFramePr>
        <xdr:cNvPr id="12" name="Chart 11">
          <a:extLst>
            <a:ext uri="{FF2B5EF4-FFF2-40B4-BE49-F238E27FC236}">
              <a16:creationId xmlns:a16="http://schemas.microsoft.com/office/drawing/2014/main" id="{0AB2ED62-6756-4567-B70D-4A81952DD4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70</xdr:col>
      <xdr:colOff>200025</xdr:colOff>
      <xdr:row>90</xdr:row>
      <xdr:rowOff>161925</xdr:rowOff>
    </xdr:from>
    <xdr:ext cx="4162425" cy="2714625"/>
    <xdr:graphicFrame macro="">
      <xdr:nvGraphicFramePr>
        <xdr:cNvPr id="13" name="Chart 12">
          <a:extLst>
            <a:ext uri="{FF2B5EF4-FFF2-40B4-BE49-F238E27FC236}">
              <a16:creationId xmlns:a16="http://schemas.microsoft.com/office/drawing/2014/main" id="{3E7B0448-860C-4861-AEDA-7BF8A32695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69</xdr:col>
      <xdr:colOff>354330</xdr:colOff>
      <xdr:row>92</xdr:row>
      <xdr:rowOff>55245</xdr:rowOff>
    </xdr:from>
    <xdr:ext cx="4229100" cy="2714625"/>
    <xdr:graphicFrame macro="">
      <xdr:nvGraphicFramePr>
        <xdr:cNvPr id="14" name="Chart 13">
          <a:extLst>
            <a:ext uri="{FF2B5EF4-FFF2-40B4-BE49-F238E27FC236}">
              <a16:creationId xmlns:a16="http://schemas.microsoft.com/office/drawing/2014/main" id="{21D1AAE7-3E6F-41B8-8673-ADF510E9C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3</xdr:col>
      <xdr:colOff>342900</xdr:colOff>
      <xdr:row>97</xdr:row>
      <xdr:rowOff>85725</xdr:rowOff>
    </xdr:from>
    <xdr:ext cx="7781925" cy="2352675"/>
    <xdr:graphicFrame macro="">
      <xdr:nvGraphicFramePr>
        <xdr:cNvPr id="15" name="Chart 14">
          <a:extLst>
            <a:ext uri="{FF2B5EF4-FFF2-40B4-BE49-F238E27FC236}">
              <a16:creationId xmlns:a16="http://schemas.microsoft.com/office/drawing/2014/main" id="{48E45B11-51E9-4FFC-9433-57978EFFE9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2</xdr:col>
      <xdr:colOff>1076325</xdr:colOff>
      <xdr:row>95</xdr:row>
      <xdr:rowOff>152400</xdr:rowOff>
    </xdr:from>
    <xdr:ext cx="4448175" cy="2714625"/>
    <xdr:graphicFrame macro="">
      <xdr:nvGraphicFramePr>
        <xdr:cNvPr id="16" name="Chart 15">
          <a:extLst>
            <a:ext uri="{FF2B5EF4-FFF2-40B4-BE49-F238E27FC236}">
              <a16:creationId xmlns:a16="http://schemas.microsoft.com/office/drawing/2014/main" id="{46FA6F6F-9190-4FCA-903B-035D066415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fLocksWithSheet="0"/>
  </xdr:oneCellAnchor>
  <xdr:oneCellAnchor>
    <xdr:from>
      <xdr:col>19</xdr:col>
      <xdr:colOff>695325</xdr:colOff>
      <xdr:row>163</xdr:row>
      <xdr:rowOff>9525</xdr:rowOff>
    </xdr:from>
    <xdr:ext cx="11696700" cy="981075"/>
    <xdr:sp macro="" textlink="">
      <xdr:nvSpPr>
        <xdr:cNvPr id="17" name="Shape 3">
          <a:extLst>
            <a:ext uri="{FF2B5EF4-FFF2-40B4-BE49-F238E27FC236}">
              <a16:creationId xmlns:a16="http://schemas.microsoft.com/office/drawing/2014/main" id="{92D1CC81-C210-4B88-AA74-94F5246FB1D3}"/>
            </a:ext>
          </a:extLst>
        </xdr:cNvPr>
        <xdr:cNvSpPr txBox="1"/>
      </xdr:nvSpPr>
      <xdr:spPr>
        <a:xfrm>
          <a:off x="31080075" y="29689425"/>
          <a:ext cx="11696700" cy="9810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jueves esta menos desequilibrado ya que el costo promedio de reequilibrar la red es más bajo que los demás días, que tienen un costo promedio alto, lo que sugiere que el sistema se tienden a desbalancear más estos días.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Debo hacer más movimientos para reequilibrar el sistema. más flujos.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El martes y viernes tiene más flujos</a:t>
          </a:r>
          <a:endParaRPr sz="1100"/>
        </a:p>
      </xdr:txBody>
    </xdr:sp>
    <xdr:clientData fLocksWithSheet="0"/>
  </xdr:oneCellAnchor>
  <xdr:oneCellAnchor>
    <xdr:from>
      <xdr:col>0</xdr:col>
      <xdr:colOff>428625</xdr:colOff>
      <xdr:row>0</xdr:row>
      <xdr:rowOff>161925</xdr:rowOff>
    </xdr:from>
    <xdr:ext cx="15039975" cy="514350"/>
    <xdr:sp macro="" textlink="">
      <xdr:nvSpPr>
        <xdr:cNvPr id="18" name="Shape 4">
          <a:extLst>
            <a:ext uri="{FF2B5EF4-FFF2-40B4-BE49-F238E27FC236}">
              <a16:creationId xmlns:a16="http://schemas.microsoft.com/office/drawing/2014/main" id="{B43A57B0-6887-46F0-9AFE-CFC5235A2011}"/>
            </a:ext>
          </a:extLst>
        </xdr:cNvPr>
        <xdr:cNvSpPr txBox="1"/>
      </xdr:nvSpPr>
      <xdr:spPr>
        <a:xfrm>
          <a:off x="428625" y="161925"/>
          <a:ext cx="15039975" cy="51435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Caso 1: Se calificaron las estaciones como más llenado o vaciado según la asimetría que presente. Al tener esto, seleccionamos 10 estaciones top de vaciado y 10 top de llenado elegidas solo de las comunas más problematicas según la empresa, la comuna de las Condes y Santiago. </a:t>
          </a:r>
          <a:endParaRPr sz="1100"/>
        </a:p>
      </xdr:txBody>
    </xdr:sp>
    <xdr:clientData fLocksWithSheet="0"/>
  </xdr:oneCellAnchor>
  <xdr:oneCellAnchor>
    <xdr:from>
      <xdr:col>39</xdr:col>
      <xdr:colOff>381000</xdr:colOff>
      <xdr:row>35</xdr:row>
      <xdr:rowOff>0</xdr:rowOff>
    </xdr:from>
    <xdr:ext cx="11991975" cy="1628775"/>
    <xdr:sp macro="" textlink="">
      <xdr:nvSpPr>
        <xdr:cNvPr id="19" name="Shape 5">
          <a:extLst>
            <a:ext uri="{FF2B5EF4-FFF2-40B4-BE49-F238E27FC236}">
              <a16:creationId xmlns:a16="http://schemas.microsoft.com/office/drawing/2014/main" id="{E19ADFF8-69AB-444A-A3AA-261C358BC2D1}"/>
            </a:ext>
          </a:extLst>
        </xdr:cNvPr>
        <xdr:cNvSpPr txBox="1"/>
      </xdr:nvSpPr>
      <xdr:spPr>
        <a:xfrm>
          <a:off x="54254400" y="6515100"/>
          <a:ext cx="11991975" cy="16287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De las de llenado vamos a sacar bicicletas, por esto no siempre será mayor el inv final del promedio de inv lunes, porque prioriza no dejar ninguna estación vacía. Dentro del rango de límites, si le saco un poco a cada una de las estaciones de llenado aseguro que todas las de vaciado tengan más bicicletas, pero las de llenado se les sacará una cantidad baja a cada una. </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-A las de vaciado siempre les va a costar más llenarse que a las de llenado vaciarse. Porque las de vaciado tienen que buscar quien les da porque siempre estan vacias, y las de llenado siempre tienen una cantidad requerida y si tienen un superavit y pueden dar.</a:t>
          </a:r>
          <a:endParaRPr sz="11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16</xdr:col>
      <xdr:colOff>323850</xdr:colOff>
      <xdr:row>87</xdr:row>
      <xdr:rowOff>9525</xdr:rowOff>
    </xdr:from>
    <xdr:ext cx="11029950" cy="2171700"/>
    <xdr:graphicFrame macro="">
      <xdr:nvGraphicFramePr>
        <xdr:cNvPr id="1936728241" name="Chart 16">
          <a:extLst>
            <a:ext uri="{FF2B5EF4-FFF2-40B4-BE49-F238E27FC236}">
              <a16:creationId xmlns:a16="http://schemas.microsoft.com/office/drawing/2014/main" id="{00000000-0008-0000-0200-0000B12070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95250</xdr:colOff>
      <xdr:row>78</xdr:row>
      <xdr:rowOff>123825</xdr:rowOff>
    </xdr:from>
    <xdr:ext cx="7791450" cy="2381250"/>
    <xdr:graphicFrame macro="">
      <xdr:nvGraphicFramePr>
        <xdr:cNvPr id="416736798" name="Chart 17">
          <a:extLst>
            <a:ext uri="{FF2B5EF4-FFF2-40B4-BE49-F238E27FC236}">
              <a16:creationId xmlns:a16="http://schemas.microsoft.com/office/drawing/2014/main" id="{00000000-0008-0000-0200-00001EE6D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9</xdr:col>
      <xdr:colOff>428625</xdr:colOff>
      <xdr:row>80</xdr:row>
      <xdr:rowOff>114300</xdr:rowOff>
    </xdr:from>
    <xdr:ext cx="7772400" cy="2381250"/>
    <xdr:graphicFrame macro="">
      <xdr:nvGraphicFramePr>
        <xdr:cNvPr id="1193869271" name="Chart 18">
          <a:extLst>
            <a:ext uri="{FF2B5EF4-FFF2-40B4-BE49-F238E27FC236}">
              <a16:creationId xmlns:a16="http://schemas.microsoft.com/office/drawing/2014/main" id="{00000000-0008-0000-0200-0000D7FF2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29</xdr:col>
      <xdr:colOff>723900</xdr:colOff>
      <xdr:row>73</xdr:row>
      <xdr:rowOff>38100</xdr:rowOff>
    </xdr:from>
    <xdr:ext cx="4248150" cy="3114675"/>
    <xdr:graphicFrame macro="">
      <xdr:nvGraphicFramePr>
        <xdr:cNvPr id="356702889" name="Chart 19">
          <a:extLst>
            <a:ext uri="{FF2B5EF4-FFF2-40B4-BE49-F238E27FC236}">
              <a16:creationId xmlns:a16="http://schemas.microsoft.com/office/drawing/2014/main" id="{00000000-0008-0000-0200-0000A9DA42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28</xdr:col>
      <xdr:colOff>685800</xdr:colOff>
      <xdr:row>73</xdr:row>
      <xdr:rowOff>161925</xdr:rowOff>
    </xdr:from>
    <xdr:ext cx="4210050" cy="3114675"/>
    <xdr:graphicFrame macro="">
      <xdr:nvGraphicFramePr>
        <xdr:cNvPr id="665985923" name="Chart 20">
          <a:extLst>
            <a:ext uri="{FF2B5EF4-FFF2-40B4-BE49-F238E27FC236}">
              <a16:creationId xmlns:a16="http://schemas.microsoft.com/office/drawing/2014/main" id="{00000000-0008-0000-0200-00008323B2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17</xdr:col>
      <xdr:colOff>1714500</xdr:colOff>
      <xdr:row>88</xdr:row>
      <xdr:rowOff>66675</xdr:rowOff>
    </xdr:from>
    <xdr:ext cx="7286625" cy="3219450"/>
    <xdr:graphicFrame macro="">
      <xdr:nvGraphicFramePr>
        <xdr:cNvPr id="1517123364" name="Chart 21">
          <a:extLst>
            <a:ext uri="{FF2B5EF4-FFF2-40B4-BE49-F238E27FC236}">
              <a16:creationId xmlns:a16="http://schemas.microsoft.com/office/drawing/2014/main" id="{00000000-0008-0000-0200-000024776D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17</xdr:col>
      <xdr:colOff>1238250</xdr:colOff>
      <xdr:row>84</xdr:row>
      <xdr:rowOff>104775</xdr:rowOff>
    </xdr:from>
    <xdr:ext cx="9315450" cy="3219450"/>
    <xdr:graphicFrame macro="">
      <xdr:nvGraphicFramePr>
        <xdr:cNvPr id="23271815" name="Chart 22">
          <a:extLst>
            <a:ext uri="{FF2B5EF4-FFF2-40B4-BE49-F238E27FC236}">
              <a16:creationId xmlns:a16="http://schemas.microsoft.com/office/drawing/2014/main" id="{00000000-0008-0000-0200-0000871963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32</xdr:col>
      <xdr:colOff>1524000</xdr:colOff>
      <xdr:row>73</xdr:row>
      <xdr:rowOff>28575</xdr:rowOff>
    </xdr:from>
    <xdr:ext cx="5791200" cy="2352675"/>
    <xdr:graphicFrame macro="">
      <xdr:nvGraphicFramePr>
        <xdr:cNvPr id="1148082434" name="Chart 23">
          <a:extLst>
            <a:ext uri="{FF2B5EF4-FFF2-40B4-BE49-F238E27FC236}">
              <a16:creationId xmlns:a16="http://schemas.microsoft.com/office/drawing/2014/main" id="{00000000-0008-0000-0200-000002596E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32</xdr:col>
      <xdr:colOff>1409700</xdr:colOff>
      <xdr:row>74</xdr:row>
      <xdr:rowOff>161925</xdr:rowOff>
    </xdr:from>
    <xdr:ext cx="5791200" cy="2352675"/>
    <xdr:graphicFrame macro="">
      <xdr:nvGraphicFramePr>
        <xdr:cNvPr id="1133540133" name="Chart 24">
          <a:extLst>
            <a:ext uri="{FF2B5EF4-FFF2-40B4-BE49-F238E27FC236}">
              <a16:creationId xmlns:a16="http://schemas.microsoft.com/office/drawing/2014/main" id="{00000000-0008-0000-0200-000025739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49</xdr:col>
      <xdr:colOff>419100</xdr:colOff>
      <xdr:row>81</xdr:row>
      <xdr:rowOff>171450</xdr:rowOff>
    </xdr:from>
    <xdr:ext cx="5638800" cy="2352675"/>
    <xdr:graphicFrame macro="">
      <xdr:nvGraphicFramePr>
        <xdr:cNvPr id="1474522803" name="Chart 25">
          <a:extLst>
            <a:ext uri="{FF2B5EF4-FFF2-40B4-BE49-F238E27FC236}">
              <a16:creationId xmlns:a16="http://schemas.microsoft.com/office/drawing/2014/main" id="{00000000-0008-0000-0200-0000B36EE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49</xdr:col>
      <xdr:colOff>390525</xdr:colOff>
      <xdr:row>83</xdr:row>
      <xdr:rowOff>533400</xdr:rowOff>
    </xdr:from>
    <xdr:ext cx="7381875" cy="2352675"/>
    <xdr:graphicFrame macro="">
      <xdr:nvGraphicFramePr>
        <xdr:cNvPr id="2143814899" name="Chart 26">
          <a:extLst>
            <a:ext uri="{FF2B5EF4-FFF2-40B4-BE49-F238E27FC236}">
              <a16:creationId xmlns:a16="http://schemas.microsoft.com/office/drawing/2014/main" id="{00000000-0008-0000-0200-0000F304C8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59</xdr:col>
      <xdr:colOff>323850</xdr:colOff>
      <xdr:row>59</xdr:row>
      <xdr:rowOff>142875</xdr:rowOff>
    </xdr:from>
    <xdr:ext cx="4295775" cy="2714625"/>
    <xdr:graphicFrame macro="">
      <xdr:nvGraphicFramePr>
        <xdr:cNvPr id="434396773" name="Chart 27">
          <a:extLst>
            <a:ext uri="{FF2B5EF4-FFF2-40B4-BE49-F238E27FC236}">
              <a16:creationId xmlns:a16="http://schemas.microsoft.com/office/drawing/2014/main" id="{00000000-0008-0000-0200-0000655EE4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59</xdr:col>
      <xdr:colOff>571500</xdr:colOff>
      <xdr:row>66</xdr:row>
      <xdr:rowOff>57150</xdr:rowOff>
    </xdr:from>
    <xdr:ext cx="4267200" cy="2714625"/>
    <xdr:graphicFrame macro="">
      <xdr:nvGraphicFramePr>
        <xdr:cNvPr id="1114580992" name="Chart 28">
          <a:extLst>
            <a:ext uri="{FF2B5EF4-FFF2-40B4-BE49-F238E27FC236}">
              <a16:creationId xmlns:a16="http://schemas.microsoft.com/office/drawing/2014/main" id="{00000000-0008-0000-0200-000000286F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0</xdr:col>
      <xdr:colOff>1695450</xdr:colOff>
      <xdr:row>103</xdr:row>
      <xdr:rowOff>9525</xdr:rowOff>
    </xdr:from>
    <xdr:ext cx="7781925" cy="2714625"/>
    <xdr:graphicFrame macro="">
      <xdr:nvGraphicFramePr>
        <xdr:cNvPr id="1631115314" name="Chart 29">
          <a:extLst>
            <a:ext uri="{FF2B5EF4-FFF2-40B4-BE49-F238E27FC236}">
              <a16:creationId xmlns:a16="http://schemas.microsoft.com/office/drawing/2014/main" id="{00000000-0008-0000-0200-000032D83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8</xdr:col>
      <xdr:colOff>104775</xdr:colOff>
      <xdr:row>100</xdr:row>
      <xdr:rowOff>0</xdr:rowOff>
    </xdr:from>
    <xdr:ext cx="4467225" cy="2714625"/>
    <xdr:graphicFrame macro="">
      <xdr:nvGraphicFramePr>
        <xdr:cNvPr id="1090353047" name="Chart 30">
          <a:extLst>
            <a:ext uri="{FF2B5EF4-FFF2-40B4-BE49-F238E27FC236}">
              <a16:creationId xmlns:a16="http://schemas.microsoft.com/office/drawing/2014/main" id="{00000000-0008-0000-0200-00009777FD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fLocksWithSheet="0"/>
  </xdr:oneCellAnchor>
  <xdr:oneCellAnchor>
    <xdr:from>
      <xdr:col>16</xdr:col>
      <xdr:colOff>695325</xdr:colOff>
      <xdr:row>179</xdr:row>
      <xdr:rowOff>9525</xdr:rowOff>
    </xdr:from>
    <xdr:ext cx="11696700" cy="981075"/>
    <xdr:sp macro="" textlink="">
      <xdr:nvSpPr>
        <xdr:cNvPr id="6" name="Shape 6">
          <a:extLst>
            <a:ext uri="{FF2B5EF4-FFF2-40B4-BE49-F238E27FC236}">
              <a16:creationId xmlns:a16="http://schemas.microsoft.com/office/drawing/2014/main" id="{00000000-0008-0000-0200-000006000000}"/>
            </a:ext>
          </a:extLst>
        </xdr:cNvPr>
        <xdr:cNvSpPr txBox="1"/>
      </xdr:nvSpPr>
      <xdr:spPr>
        <a:xfrm>
          <a:off x="0" y="3289463"/>
          <a:ext cx="10692000" cy="9810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jueves esta menos desequilibrado ya que el costo promedio de reequilibrar la red es más bajo que los demás días, que tienen un costo promedio alto, lo que sugiere que el sistema se tienden a desbalancear más estos días.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Debo hacer más movimientos para reequilibrar el sistema. más flujos.</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El martes y viernes tiene más flujos</a:t>
          </a:r>
          <a:endParaRPr sz="1100"/>
        </a:p>
      </xdr:txBody>
    </xdr:sp>
    <xdr:clientData fLocksWithSheet="0"/>
  </xdr:oneCellAnchor>
  <xdr:oneCellAnchor>
    <xdr:from>
      <xdr:col>0</xdr:col>
      <xdr:colOff>428625</xdr:colOff>
      <xdr:row>0</xdr:row>
      <xdr:rowOff>161925</xdr:rowOff>
    </xdr:from>
    <xdr:ext cx="15039975" cy="514350"/>
    <xdr:sp macro="" textlink="">
      <xdr:nvSpPr>
        <xdr:cNvPr id="7" name="Shape 7">
          <a:extLst>
            <a:ext uri="{FF2B5EF4-FFF2-40B4-BE49-F238E27FC236}">
              <a16:creationId xmlns:a16="http://schemas.microsoft.com/office/drawing/2014/main" id="{00000000-0008-0000-0200-000007000000}"/>
            </a:ext>
          </a:extLst>
        </xdr:cNvPr>
        <xdr:cNvSpPr txBox="1"/>
      </xdr:nvSpPr>
      <xdr:spPr>
        <a:xfrm>
          <a:off x="0" y="3527588"/>
          <a:ext cx="10692000" cy="5048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Caso 1: Se calificaron las estaciones como más llenado o vaciado según la asimetría que presente. Al tener esto, seleccionamos 10 estaciones top de vaciado y 10 top de llenado elegidas solo de las comunas más problematicas según la empresa, la comuna de las Condes y Santiago. </a:t>
          </a:r>
          <a:endParaRPr sz="1100"/>
        </a:p>
      </xdr:txBody>
    </xdr:sp>
    <xdr:clientData fLocksWithSheet="0"/>
  </xdr:oneCellAnchor>
  <xdr:oneCellAnchor>
    <xdr:from>
      <xdr:col>31</xdr:col>
      <xdr:colOff>381000</xdr:colOff>
      <xdr:row>44</xdr:row>
      <xdr:rowOff>133350</xdr:rowOff>
    </xdr:from>
    <xdr:ext cx="11991975" cy="1628775"/>
    <xdr:sp macro="" textlink="">
      <xdr:nvSpPr>
        <xdr:cNvPr id="8" name="Shape 8">
          <a:extLst>
            <a:ext uri="{FF2B5EF4-FFF2-40B4-BE49-F238E27FC236}">
              <a16:creationId xmlns:a16="http://schemas.microsoft.com/office/drawing/2014/main" id="{00000000-0008-0000-0200-000008000000}"/>
            </a:ext>
          </a:extLst>
        </xdr:cNvPr>
        <xdr:cNvSpPr txBox="1"/>
      </xdr:nvSpPr>
      <xdr:spPr>
        <a:xfrm>
          <a:off x="0" y="2965613"/>
          <a:ext cx="10692000" cy="16287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De las de llenado vamos a sacar bicicletas, por esto no siempre será mayor el inv final del promedio de inv lunes, porque prioriza no dejar ninguna estación vacía. Dentro del rango de límites, si le saco un poco a cada una de las estaciones de llenado aseguro que todas las de vaciado tengan más bicicletas, pero las de llenado se les sacará una cantidad baja a cada una. </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-A las de vaciado siempre les va a costar más llenarse que a las de llenado vaciarse. Porque las de vaciado tienen que buscar quien les da porque siempre estan vacias, y las de llenado siempre tienen una cantidad requerida y si tienen un superavit y pueden dar.</a:t>
          </a:r>
          <a:endParaRPr sz="11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9210675" cy="3971925"/>
    <xdr:graphicFrame macro="">
      <xdr:nvGraphicFramePr>
        <xdr:cNvPr id="1032969365" name="Chart 31">
          <a:extLst>
            <a:ext uri="{FF2B5EF4-FFF2-40B4-BE49-F238E27FC236}">
              <a16:creationId xmlns:a16="http://schemas.microsoft.com/office/drawing/2014/main" id="{00000000-0008-0000-0300-000095DC91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23</xdr:row>
      <xdr:rowOff>0</xdr:rowOff>
    </xdr:from>
    <xdr:ext cx="9048750" cy="4286250"/>
    <xdr:graphicFrame macro="">
      <xdr:nvGraphicFramePr>
        <xdr:cNvPr id="1761354333" name="Chart 32">
          <a:extLst>
            <a:ext uri="{FF2B5EF4-FFF2-40B4-BE49-F238E27FC236}">
              <a16:creationId xmlns:a16="http://schemas.microsoft.com/office/drawing/2014/main" id="{00000000-0008-0000-0300-00005D22FC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xdr:row>
      <xdr:rowOff>0</xdr:rowOff>
    </xdr:from>
    <xdr:ext cx="6305550" cy="3333750"/>
    <xdr:graphicFrame macro="">
      <xdr:nvGraphicFramePr>
        <xdr:cNvPr id="1497145723" name="Chart 33">
          <a:extLst>
            <a:ext uri="{FF2B5EF4-FFF2-40B4-BE49-F238E27FC236}">
              <a16:creationId xmlns:a16="http://schemas.microsoft.com/office/drawing/2014/main" id="{00000000-0008-0000-0500-00007BA13C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0</xdr:colOff>
      <xdr:row>1</xdr:row>
      <xdr:rowOff>0</xdr:rowOff>
    </xdr:from>
    <xdr:ext cx="5172075" cy="3390900"/>
    <xdr:graphicFrame macro="">
      <xdr:nvGraphicFramePr>
        <xdr:cNvPr id="1729727983" name="Chart 34">
          <a:extLst>
            <a:ext uri="{FF2B5EF4-FFF2-40B4-BE49-F238E27FC236}">
              <a16:creationId xmlns:a16="http://schemas.microsoft.com/office/drawing/2014/main" id="{00000000-0008-0000-0500-0000EF8D19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18</xdr:col>
      <xdr:colOff>0</xdr:colOff>
      <xdr:row>1</xdr:row>
      <xdr:rowOff>0</xdr:rowOff>
    </xdr:from>
    <xdr:ext cx="14316075" cy="2495550"/>
    <xdr:graphicFrame macro="">
      <xdr:nvGraphicFramePr>
        <xdr:cNvPr id="1111908376" name="Chart 35">
          <a:extLst>
            <a:ext uri="{FF2B5EF4-FFF2-40B4-BE49-F238E27FC236}">
              <a16:creationId xmlns:a16="http://schemas.microsoft.com/office/drawing/2014/main" id="{00000000-0008-0000-0500-000018604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742950</xdr:colOff>
      <xdr:row>21</xdr:row>
      <xdr:rowOff>0</xdr:rowOff>
    </xdr:from>
    <xdr:ext cx="4000500" cy="3476625"/>
    <xdr:graphicFrame macro="">
      <xdr:nvGraphicFramePr>
        <xdr:cNvPr id="1084400279" name="Chart 36">
          <a:extLst>
            <a:ext uri="{FF2B5EF4-FFF2-40B4-BE49-F238E27FC236}">
              <a16:creationId xmlns:a16="http://schemas.microsoft.com/office/drawing/2014/main" id="{00000000-0008-0000-0500-000097A2A2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723900</xdr:colOff>
      <xdr:row>21</xdr:row>
      <xdr:rowOff>0</xdr:rowOff>
    </xdr:from>
    <xdr:ext cx="4000500" cy="3476625"/>
    <xdr:graphicFrame macro="">
      <xdr:nvGraphicFramePr>
        <xdr:cNvPr id="1408431450" name="Chart 37">
          <a:extLst>
            <a:ext uri="{FF2B5EF4-FFF2-40B4-BE49-F238E27FC236}">
              <a16:creationId xmlns:a16="http://schemas.microsoft.com/office/drawing/2014/main" id="{00000000-0008-0000-0500-00005AF5F2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0</xdr:col>
      <xdr:colOff>238125</xdr:colOff>
      <xdr:row>42</xdr:row>
      <xdr:rowOff>9525</xdr:rowOff>
    </xdr:from>
    <xdr:ext cx="5562600" cy="3209925"/>
    <xdr:graphicFrame macro="">
      <xdr:nvGraphicFramePr>
        <xdr:cNvPr id="1731115397" name="Chart 38">
          <a:extLst>
            <a:ext uri="{FF2B5EF4-FFF2-40B4-BE49-F238E27FC236}">
              <a16:creationId xmlns:a16="http://schemas.microsoft.com/office/drawing/2014/main" id="{00000000-0008-0000-0500-000085B92E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9</xdr:col>
      <xdr:colOff>0</xdr:colOff>
      <xdr:row>42</xdr:row>
      <xdr:rowOff>0</xdr:rowOff>
    </xdr:from>
    <xdr:ext cx="5629275" cy="3209925"/>
    <xdr:graphicFrame macro="">
      <xdr:nvGraphicFramePr>
        <xdr:cNvPr id="358407970" name="Chart 39">
          <a:extLst>
            <a:ext uri="{FF2B5EF4-FFF2-40B4-BE49-F238E27FC236}">
              <a16:creationId xmlns:a16="http://schemas.microsoft.com/office/drawing/2014/main" id="{00000000-0008-0000-0500-000022DF5C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0</xdr:col>
      <xdr:colOff>723900</xdr:colOff>
      <xdr:row>60</xdr:row>
      <xdr:rowOff>152400</xdr:rowOff>
    </xdr:from>
    <xdr:ext cx="5610225" cy="2838450"/>
    <xdr:graphicFrame macro="">
      <xdr:nvGraphicFramePr>
        <xdr:cNvPr id="870370266" name="Chart 40">
          <a:extLst>
            <a:ext uri="{FF2B5EF4-FFF2-40B4-BE49-F238E27FC236}">
              <a16:creationId xmlns:a16="http://schemas.microsoft.com/office/drawing/2014/main" id="{00000000-0008-0000-0500-0000DACBE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9</xdr:col>
      <xdr:colOff>57150</xdr:colOff>
      <xdr:row>60</xdr:row>
      <xdr:rowOff>161925</xdr:rowOff>
    </xdr:from>
    <xdr:ext cx="5657850" cy="2752725"/>
    <xdr:graphicFrame macro="">
      <xdr:nvGraphicFramePr>
        <xdr:cNvPr id="78888871" name="Chart 41">
          <a:extLst>
            <a:ext uri="{FF2B5EF4-FFF2-40B4-BE49-F238E27FC236}">
              <a16:creationId xmlns:a16="http://schemas.microsoft.com/office/drawing/2014/main" id="{00000000-0008-0000-0500-0000A7BFB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0</xdr:col>
      <xdr:colOff>0</xdr:colOff>
      <xdr:row>78</xdr:row>
      <xdr:rowOff>0</xdr:rowOff>
    </xdr:from>
    <xdr:ext cx="4181475" cy="2714625"/>
    <xdr:graphicFrame macro="">
      <xdr:nvGraphicFramePr>
        <xdr:cNvPr id="485496182" name="Chart 42">
          <a:extLst>
            <a:ext uri="{FF2B5EF4-FFF2-40B4-BE49-F238E27FC236}">
              <a16:creationId xmlns:a16="http://schemas.microsoft.com/office/drawing/2014/main" id="{00000000-0008-0000-0500-00007615F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7</xdr:col>
      <xdr:colOff>0</xdr:colOff>
      <xdr:row>78</xdr:row>
      <xdr:rowOff>0</xdr:rowOff>
    </xdr:from>
    <xdr:ext cx="4181475" cy="2714625"/>
    <xdr:graphicFrame macro="">
      <xdr:nvGraphicFramePr>
        <xdr:cNvPr id="1886859749" name="Chart 43">
          <a:extLst>
            <a:ext uri="{FF2B5EF4-FFF2-40B4-BE49-F238E27FC236}">
              <a16:creationId xmlns:a16="http://schemas.microsoft.com/office/drawing/2014/main" id="{00000000-0008-0000-0500-0000E53177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0</xdr:col>
      <xdr:colOff>0</xdr:colOff>
      <xdr:row>95</xdr:row>
      <xdr:rowOff>0</xdr:rowOff>
    </xdr:from>
    <xdr:ext cx="4181475" cy="2714625"/>
    <xdr:graphicFrame macro="">
      <xdr:nvGraphicFramePr>
        <xdr:cNvPr id="1054084251" name="Chart 44">
          <a:extLst>
            <a:ext uri="{FF2B5EF4-FFF2-40B4-BE49-F238E27FC236}">
              <a16:creationId xmlns:a16="http://schemas.microsoft.com/office/drawing/2014/main" id="{00000000-0008-0000-0500-00009B0CD4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7</xdr:col>
      <xdr:colOff>0</xdr:colOff>
      <xdr:row>95</xdr:row>
      <xdr:rowOff>0</xdr:rowOff>
    </xdr:from>
    <xdr:ext cx="4181475" cy="2714625"/>
    <xdr:graphicFrame macro="">
      <xdr:nvGraphicFramePr>
        <xdr:cNvPr id="467556395" name="Chart 45">
          <a:extLst>
            <a:ext uri="{FF2B5EF4-FFF2-40B4-BE49-F238E27FC236}">
              <a16:creationId xmlns:a16="http://schemas.microsoft.com/office/drawing/2014/main" id="{00000000-0008-0000-0500-00002B58DE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0</xdr:col>
      <xdr:colOff>0</xdr:colOff>
      <xdr:row>112</xdr:row>
      <xdr:rowOff>0</xdr:rowOff>
    </xdr:from>
    <xdr:ext cx="4181475" cy="2714625"/>
    <xdr:graphicFrame macro="">
      <xdr:nvGraphicFramePr>
        <xdr:cNvPr id="1980965699" name="Chart 46">
          <a:extLst>
            <a:ext uri="{FF2B5EF4-FFF2-40B4-BE49-F238E27FC236}">
              <a16:creationId xmlns:a16="http://schemas.microsoft.com/office/drawing/2014/main" id="{00000000-0008-0000-0500-0000432313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6</xdr:col>
      <xdr:colOff>0</xdr:colOff>
      <xdr:row>112</xdr:row>
      <xdr:rowOff>9525</xdr:rowOff>
    </xdr:from>
    <xdr:ext cx="4181475" cy="2714625"/>
    <xdr:graphicFrame macro="">
      <xdr:nvGraphicFramePr>
        <xdr:cNvPr id="1845047393" name="Chart 47">
          <a:extLst>
            <a:ext uri="{FF2B5EF4-FFF2-40B4-BE49-F238E27FC236}">
              <a16:creationId xmlns:a16="http://schemas.microsoft.com/office/drawing/2014/main" id="{00000000-0008-0000-0500-00006130F9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1</xdr:col>
      <xdr:colOff>390525</xdr:colOff>
      <xdr:row>7</xdr:row>
      <xdr:rowOff>28575</xdr:rowOff>
    </xdr:from>
    <xdr:ext cx="9505950" cy="8239125"/>
    <xdr:graphicFrame macro="">
      <xdr:nvGraphicFramePr>
        <xdr:cNvPr id="1559326595" name="Chart 48">
          <a:extLst>
            <a:ext uri="{FF2B5EF4-FFF2-40B4-BE49-F238E27FC236}">
              <a16:creationId xmlns:a16="http://schemas.microsoft.com/office/drawing/2014/main" id="{00000000-0008-0000-0800-0000836FF1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1</xdr:col>
      <xdr:colOff>85725</xdr:colOff>
      <xdr:row>32</xdr:row>
      <xdr:rowOff>0</xdr:rowOff>
    </xdr:from>
    <xdr:ext cx="9448800" cy="3619500"/>
    <xdr:graphicFrame macro="">
      <xdr:nvGraphicFramePr>
        <xdr:cNvPr id="1923044777" name="Chart 49">
          <a:extLst>
            <a:ext uri="{FF2B5EF4-FFF2-40B4-BE49-F238E27FC236}">
              <a16:creationId xmlns:a16="http://schemas.microsoft.com/office/drawing/2014/main" id="{00000000-0008-0000-0900-0000A9559F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1</xdr:col>
      <xdr:colOff>219075</xdr:colOff>
      <xdr:row>22</xdr:row>
      <xdr:rowOff>85725</xdr:rowOff>
    </xdr:from>
    <xdr:ext cx="10029825" cy="5353050"/>
    <xdr:graphicFrame macro="">
      <xdr:nvGraphicFramePr>
        <xdr:cNvPr id="1488187787" name="Chart 50">
          <a:extLst>
            <a:ext uri="{FF2B5EF4-FFF2-40B4-BE49-F238E27FC236}">
              <a16:creationId xmlns:a16="http://schemas.microsoft.com/office/drawing/2014/main" id="{00000000-0008-0000-0A00-00008BF1B3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1</xdr:col>
      <xdr:colOff>85725</xdr:colOff>
      <xdr:row>34</xdr:row>
      <xdr:rowOff>0</xdr:rowOff>
    </xdr:from>
    <xdr:ext cx="9372600" cy="3524250"/>
    <xdr:graphicFrame macro="">
      <xdr:nvGraphicFramePr>
        <xdr:cNvPr id="645846405" name="Chart 51">
          <a:extLst>
            <a:ext uri="{FF2B5EF4-FFF2-40B4-BE49-F238E27FC236}">
              <a16:creationId xmlns:a16="http://schemas.microsoft.com/office/drawing/2014/main" id="{00000000-0008-0000-0B00-000085D57E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314325</xdr:colOff>
      <xdr:row>23</xdr:row>
      <xdr:rowOff>142875</xdr:rowOff>
    </xdr:from>
    <xdr:ext cx="2971800" cy="1095375"/>
    <xdr:sp macro="" textlink="">
      <xdr:nvSpPr>
        <xdr:cNvPr id="9" name="Shape 9">
          <a:extLst>
            <a:ext uri="{FF2B5EF4-FFF2-40B4-BE49-F238E27FC236}">
              <a16:creationId xmlns:a16="http://schemas.microsoft.com/office/drawing/2014/main" id="{00000000-0008-0000-0B00-000009000000}"/>
            </a:ext>
          </a:extLst>
        </xdr:cNvPr>
        <xdr:cNvSpPr txBox="1"/>
      </xdr:nvSpPr>
      <xdr:spPr>
        <a:xfrm>
          <a:off x="3864863" y="3237075"/>
          <a:ext cx="2962275" cy="108585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No hay una tendencia definida sobre el costo por días, si bien en las primeras dos semanas el jueves es el día con menor costo de rebalanceo, la semana 4 el día con menor costo es el Lunes, y la semana 3 el Martes</a:t>
          </a:r>
          <a:endParaRPr sz="1100"/>
        </a:p>
      </xdr:txBody>
    </xdr: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114300</xdr:colOff>
      <xdr:row>32</xdr:row>
      <xdr:rowOff>76200</xdr:rowOff>
    </xdr:from>
    <xdr:ext cx="11782425" cy="4724400"/>
    <xdr:graphicFrame macro="">
      <xdr:nvGraphicFramePr>
        <xdr:cNvPr id="731949010" name="Chart 52">
          <a:extLst>
            <a:ext uri="{FF2B5EF4-FFF2-40B4-BE49-F238E27FC236}">
              <a16:creationId xmlns:a16="http://schemas.microsoft.com/office/drawing/2014/main" id="{00000000-0008-0000-0C00-0000D2A7A0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14</xdr:col>
      <xdr:colOff>276225</xdr:colOff>
      <xdr:row>1</xdr:row>
      <xdr:rowOff>0</xdr:rowOff>
    </xdr:from>
    <xdr:ext cx="1809750" cy="7667625"/>
    <xdr:sp macro="" textlink="">
      <xdr:nvSpPr>
        <xdr:cNvPr id="10" name="Shape 10">
          <a:extLst>
            <a:ext uri="{FF2B5EF4-FFF2-40B4-BE49-F238E27FC236}">
              <a16:creationId xmlns:a16="http://schemas.microsoft.com/office/drawing/2014/main" id="{00000000-0008-0000-0C00-00000A000000}"/>
            </a:ext>
          </a:extLst>
        </xdr:cNvPr>
        <xdr:cNvSpPr txBox="1"/>
      </xdr:nvSpPr>
      <xdr:spPr>
        <a:xfrm>
          <a:off x="4441125" y="0"/>
          <a:ext cx="1809750" cy="75600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Si aumenta el flujo no necesariamente aumenta el costo, porque en los días lunes se puede ver que dos tienen 7 flujos pero uno tiene un costo de 7 y otro de 18. </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-Se puede ver que los sabado tiene distintos costos pero en promedio el costo total de rebalancear este día es 20.</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No es proporcional el CT con el flujo, porque depende de las distancias que tengan cada estaciones, ya que pueden haber 2 casos que tengan iguales flujos pero entre estaciones con distintas estaciones.</a:t>
          </a:r>
          <a:endParaRPr sz="1400"/>
        </a:p>
        <a:p>
          <a:pPr marL="0" lvl="0" indent="0" algn="l" rtl="0">
            <a:spcBef>
              <a:spcPts val="0"/>
            </a:spcBef>
            <a:spcAft>
              <a:spcPts val="0"/>
            </a:spcAft>
            <a:buNone/>
          </a:pPr>
          <a:endParaRPr sz="1100"/>
        </a:p>
        <a:p>
          <a:pPr marL="0" lvl="0" indent="0" algn="l" rtl="0">
            <a:spcBef>
              <a:spcPts val="0"/>
            </a:spcBef>
            <a:spcAft>
              <a:spcPts val="0"/>
            </a:spcAft>
            <a:buNone/>
          </a:pPr>
          <a:r>
            <a:rPr lang="en-US" sz="1100">
              <a:solidFill>
                <a:schemeClr val="dk1"/>
              </a:solidFill>
              <a:latin typeface="Calibri"/>
              <a:ea typeface="Calibri"/>
              <a:cs typeface="Calibri"/>
              <a:sym typeface="Calibri"/>
            </a:rPr>
            <a:t>El costo promedio de los días jueves es mas bajo, esto es porque se usa menos o porque ese dia tiende a rebalancearse solo?</a:t>
          </a:r>
          <a:endParaRPr sz="11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O1000"/>
  <sheetViews>
    <sheetView topLeftCell="C1" workbookViewId="0">
      <selection activeCell="E2" sqref="E2"/>
    </sheetView>
  </sheetViews>
  <sheetFormatPr baseColWidth="10" defaultColWidth="14.44140625" defaultRowHeight="15" customHeight="1" x14ac:dyDescent="0.3"/>
  <cols>
    <col min="1" max="1" width="25.33203125" customWidth="1"/>
    <col min="2" max="2" width="8.88671875" customWidth="1"/>
    <col min="3" max="3" width="28.44140625" customWidth="1"/>
    <col min="4" max="4" width="17.44140625" customWidth="1"/>
    <col min="5" max="5" width="23.88671875" customWidth="1"/>
    <col min="6" max="6" width="49" customWidth="1"/>
    <col min="7" max="7" width="255.6640625" customWidth="1"/>
    <col min="8" max="8" width="49" customWidth="1"/>
    <col min="9" max="26" width="8.88671875" customWidth="1"/>
  </cols>
  <sheetData>
    <row r="1" spans="1:15" ht="14.25" customHeight="1" x14ac:dyDescent="0.3">
      <c r="A1" s="1" t="s">
        <v>0</v>
      </c>
      <c r="B1" s="1" t="s">
        <v>1</v>
      </c>
      <c r="C1" s="1" t="s">
        <v>2</v>
      </c>
      <c r="D1" s="1" t="s">
        <v>3</v>
      </c>
      <c r="E1" s="1" t="s">
        <v>4</v>
      </c>
      <c r="F1" s="1" t="s">
        <v>5</v>
      </c>
      <c r="G1" s="1" t="s">
        <v>6</v>
      </c>
      <c r="H1" s="1" t="s">
        <v>7</v>
      </c>
      <c r="I1" s="1" t="s">
        <v>8</v>
      </c>
      <c r="J1" s="1" t="s">
        <v>9</v>
      </c>
      <c r="K1" s="1" t="s">
        <v>10</v>
      </c>
      <c r="L1" s="1" t="s">
        <v>11</v>
      </c>
      <c r="M1" s="2" t="s">
        <v>12</v>
      </c>
      <c r="N1" s="2" t="s">
        <v>13</v>
      </c>
      <c r="O1" s="2" t="s">
        <v>14</v>
      </c>
    </row>
    <row r="2" spans="1:15" ht="14.25" customHeight="1" x14ac:dyDescent="0.3">
      <c r="A2" s="3" t="s">
        <v>15</v>
      </c>
      <c r="B2" s="3">
        <v>37.393520248242233</v>
      </c>
      <c r="C2" s="3">
        <v>10</v>
      </c>
      <c r="D2" s="3">
        <v>11.813249588012701</v>
      </c>
      <c r="E2" s="3" t="s">
        <v>16</v>
      </c>
      <c r="F2" s="3" t="s">
        <v>17</v>
      </c>
      <c r="G2" s="3" t="s">
        <v>18</v>
      </c>
      <c r="H2" s="3" t="s">
        <v>19</v>
      </c>
      <c r="I2" s="3">
        <v>16</v>
      </c>
      <c r="J2" s="3" t="s">
        <v>20</v>
      </c>
      <c r="K2" s="3" t="s">
        <v>21</v>
      </c>
      <c r="L2" s="3" t="s">
        <v>22</v>
      </c>
      <c r="M2" s="3" t="s">
        <v>23</v>
      </c>
      <c r="N2" s="3">
        <f t="shared" ref="N2:N98" si="0">WEEKDAY(A2,2)</f>
        <v>5</v>
      </c>
      <c r="O2" s="3" t="str">
        <f t="shared" ref="O2:O98" si="1">IF(N2=1,"Lunes",IF(N2=2,"Martes",IF(N2=3,"Miercoles",IF(N2=4,"Jueves",IF(N2=5,"Viernes",IF(N2=6,"Sabado",IF(N2=7,"Domingo")))))))</f>
        <v>Viernes</v>
      </c>
    </row>
    <row r="3" spans="1:15" ht="14.25" customHeight="1" x14ac:dyDescent="0.3">
      <c r="A3" s="3" t="s">
        <v>15</v>
      </c>
      <c r="B3" s="3">
        <v>37.393520248242233</v>
      </c>
      <c r="C3" s="3">
        <v>30</v>
      </c>
      <c r="D3" s="3">
        <v>34.053503513336182</v>
      </c>
      <c r="E3" s="3" t="s">
        <v>16</v>
      </c>
      <c r="F3" s="3" t="s">
        <v>17</v>
      </c>
      <c r="G3" s="3" t="s">
        <v>18</v>
      </c>
      <c r="H3" s="3" t="s">
        <v>19</v>
      </c>
      <c r="I3" s="3">
        <v>16</v>
      </c>
      <c r="J3" s="3" t="s">
        <v>20</v>
      </c>
      <c r="K3" s="3" t="s">
        <v>21</v>
      </c>
      <c r="L3" s="3" t="s">
        <v>22</v>
      </c>
      <c r="M3" s="3" t="s">
        <v>23</v>
      </c>
      <c r="N3" s="3">
        <f t="shared" si="0"/>
        <v>5</v>
      </c>
      <c r="O3" s="3" t="str">
        <f t="shared" si="1"/>
        <v>Viernes</v>
      </c>
    </row>
    <row r="4" spans="1:15" ht="14.25" customHeight="1" x14ac:dyDescent="0.3">
      <c r="A4" s="3" t="s">
        <v>15</v>
      </c>
      <c r="B4" s="3">
        <v>35.06733753759832</v>
      </c>
      <c r="C4" s="3">
        <v>60</v>
      </c>
      <c r="D4" s="3">
        <v>60.560421466827393</v>
      </c>
      <c r="E4" s="3" t="s">
        <v>16</v>
      </c>
      <c r="F4" s="3" t="s">
        <v>17</v>
      </c>
      <c r="G4" s="3" t="s">
        <v>18</v>
      </c>
      <c r="H4" s="3" t="s">
        <v>24</v>
      </c>
      <c r="I4" s="3">
        <v>16</v>
      </c>
      <c r="J4" s="3" t="s">
        <v>25</v>
      </c>
      <c r="K4" s="3" t="s">
        <v>26</v>
      </c>
      <c r="L4" s="3" t="s">
        <v>22</v>
      </c>
      <c r="M4" s="3" t="s">
        <v>23</v>
      </c>
      <c r="N4" s="3">
        <f t="shared" si="0"/>
        <v>5</v>
      </c>
      <c r="O4" s="3" t="str">
        <f t="shared" si="1"/>
        <v>Viernes</v>
      </c>
    </row>
    <row r="5" spans="1:15" ht="14.25" customHeight="1" x14ac:dyDescent="0.3">
      <c r="A5" s="3" t="s">
        <v>15</v>
      </c>
      <c r="B5" s="3">
        <v>35.06733753759832</v>
      </c>
      <c r="C5" s="3">
        <v>120</v>
      </c>
      <c r="D5" s="3">
        <v>121.18643355369569</v>
      </c>
      <c r="E5" s="3" t="s">
        <v>16</v>
      </c>
      <c r="F5" s="3" t="s">
        <v>17</v>
      </c>
      <c r="G5" s="3" t="s">
        <v>18</v>
      </c>
      <c r="H5" s="3" t="s">
        <v>24</v>
      </c>
      <c r="I5" s="3">
        <v>16</v>
      </c>
      <c r="J5" s="3" t="s">
        <v>25</v>
      </c>
      <c r="K5" s="3" t="s">
        <v>26</v>
      </c>
      <c r="L5" s="3" t="s">
        <v>22</v>
      </c>
      <c r="M5" s="3" t="s">
        <v>23</v>
      </c>
      <c r="N5" s="3">
        <f t="shared" si="0"/>
        <v>5</v>
      </c>
      <c r="O5" s="3" t="str">
        <f t="shared" si="1"/>
        <v>Viernes</v>
      </c>
    </row>
    <row r="6" spans="1:15" ht="14.25" customHeight="1" x14ac:dyDescent="0.3">
      <c r="A6" s="3" t="s">
        <v>15</v>
      </c>
      <c r="B6" s="3">
        <v>35.06733753759832</v>
      </c>
      <c r="C6" s="3">
        <v>180</v>
      </c>
      <c r="D6" s="3">
        <v>181.08774900436401</v>
      </c>
      <c r="E6" s="3" t="s">
        <v>16</v>
      </c>
      <c r="F6" s="3" t="s">
        <v>17</v>
      </c>
      <c r="G6" s="3" t="s">
        <v>18</v>
      </c>
      <c r="H6" s="3" t="s">
        <v>24</v>
      </c>
      <c r="I6" s="3">
        <v>16</v>
      </c>
      <c r="J6" s="3" t="s">
        <v>25</v>
      </c>
      <c r="K6" s="3" t="s">
        <v>26</v>
      </c>
      <c r="L6" s="3" t="s">
        <v>22</v>
      </c>
      <c r="M6" s="3" t="s">
        <v>23</v>
      </c>
      <c r="N6" s="3">
        <f t="shared" si="0"/>
        <v>5</v>
      </c>
      <c r="O6" s="3" t="str">
        <f t="shared" si="1"/>
        <v>Viernes</v>
      </c>
    </row>
    <row r="7" spans="1:15" ht="14.25" customHeight="1" x14ac:dyDescent="0.3">
      <c r="A7" s="3" t="s">
        <v>15</v>
      </c>
      <c r="B7" s="3">
        <v>35.06733753759832</v>
      </c>
      <c r="C7" s="3">
        <v>240</v>
      </c>
      <c r="D7" s="3">
        <v>241.06423020362851</v>
      </c>
      <c r="E7" s="3" t="s">
        <v>16</v>
      </c>
      <c r="F7" s="3" t="s">
        <v>17</v>
      </c>
      <c r="G7" s="3" t="s">
        <v>18</v>
      </c>
      <c r="H7" s="3" t="s">
        <v>24</v>
      </c>
      <c r="I7" s="3">
        <v>16</v>
      </c>
      <c r="J7" s="3" t="s">
        <v>25</v>
      </c>
      <c r="K7" s="3" t="s">
        <v>26</v>
      </c>
      <c r="L7" s="3" t="s">
        <v>22</v>
      </c>
      <c r="M7" s="3" t="s">
        <v>23</v>
      </c>
      <c r="N7" s="3">
        <f t="shared" si="0"/>
        <v>5</v>
      </c>
      <c r="O7" s="3" t="str">
        <f t="shared" si="1"/>
        <v>Viernes</v>
      </c>
    </row>
    <row r="8" spans="1:15" ht="14.25" customHeight="1" x14ac:dyDescent="0.3">
      <c r="A8" s="3" t="s">
        <v>15</v>
      </c>
      <c r="B8" s="3">
        <v>35.06733753759832</v>
      </c>
      <c r="C8" s="3">
        <v>300</v>
      </c>
      <c r="D8" s="3">
        <v>304.39304971694952</v>
      </c>
      <c r="E8" s="3" t="s">
        <v>16</v>
      </c>
      <c r="F8" s="3" t="s">
        <v>17</v>
      </c>
      <c r="G8" s="3" t="s">
        <v>18</v>
      </c>
      <c r="H8" s="3" t="s">
        <v>24</v>
      </c>
      <c r="I8" s="3">
        <v>16</v>
      </c>
      <c r="J8" s="3" t="s">
        <v>25</v>
      </c>
      <c r="K8" s="3" t="s">
        <v>26</v>
      </c>
      <c r="L8" s="3" t="s">
        <v>22</v>
      </c>
      <c r="M8" s="3" t="s">
        <v>23</v>
      </c>
      <c r="N8" s="3">
        <f t="shared" si="0"/>
        <v>5</v>
      </c>
      <c r="O8" s="3" t="str">
        <f t="shared" si="1"/>
        <v>Viernes</v>
      </c>
    </row>
    <row r="9" spans="1:15" ht="14.25" customHeight="1" x14ac:dyDescent="0.3">
      <c r="A9" s="3" t="s">
        <v>15</v>
      </c>
      <c r="B9" s="3">
        <v>35.06733753759832</v>
      </c>
      <c r="C9" s="3">
        <v>500</v>
      </c>
      <c r="D9" s="3">
        <v>503.06314063072199</v>
      </c>
      <c r="E9" s="3" t="s">
        <v>16</v>
      </c>
      <c r="F9" s="3" t="s">
        <v>17</v>
      </c>
      <c r="G9" s="3" t="s">
        <v>18</v>
      </c>
      <c r="H9" s="3" t="s">
        <v>24</v>
      </c>
      <c r="I9" s="3">
        <v>16</v>
      </c>
      <c r="J9" s="3" t="s">
        <v>25</v>
      </c>
      <c r="K9" s="3" t="s">
        <v>26</v>
      </c>
      <c r="L9" s="3" t="s">
        <v>22</v>
      </c>
      <c r="M9" s="3" t="s">
        <v>23</v>
      </c>
      <c r="N9" s="3">
        <f t="shared" si="0"/>
        <v>5</v>
      </c>
      <c r="O9" s="3" t="str">
        <f t="shared" si="1"/>
        <v>Viernes</v>
      </c>
    </row>
    <row r="10" spans="1:15" ht="14.25" customHeight="1" x14ac:dyDescent="0.3">
      <c r="A10" s="3" t="s">
        <v>15</v>
      </c>
      <c r="B10" s="3">
        <v>34.567075417198268</v>
      </c>
      <c r="C10" s="3">
        <v>900</v>
      </c>
      <c r="D10" s="3">
        <v>902.06123900413513</v>
      </c>
      <c r="E10" s="3" t="s">
        <v>16</v>
      </c>
      <c r="F10" s="3" t="s">
        <v>17</v>
      </c>
      <c r="G10" s="3" t="s">
        <v>18</v>
      </c>
      <c r="H10" s="3" t="s">
        <v>27</v>
      </c>
      <c r="I10" s="3">
        <v>15</v>
      </c>
      <c r="J10" s="3" t="s">
        <v>28</v>
      </c>
      <c r="K10" s="3" t="s">
        <v>29</v>
      </c>
      <c r="L10" s="3" t="s">
        <v>22</v>
      </c>
      <c r="M10" s="3" t="s">
        <v>23</v>
      </c>
      <c r="N10" s="3">
        <f t="shared" si="0"/>
        <v>5</v>
      </c>
      <c r="O10" s="3" t="str">
        <f t="shared" si="1"/>
        <v>Viernes</v>
      </c>
    </row>
    <row r="11" spans="1:15" ht="14.25" customHeight="1" x14ac:dyDescent="0.3">
      <c r="A11" s="3" t="s">
        <v>15</v>
      </c>
      <c r="B11" s="3">
        <v>34.277388904360343</v>
      </c>
      <c r="C11" s="3">
        <v>1800</v>
      </c>
      <c r="D11" s="3">
        <v>1804.3690476417539</v>
      </c>
      <c r="E11" s="3" t="s">
        <v>16</v>
      </c>
      <c r="F11" s="3" t="s">
        <v>17</v>
      </c>
      <c r="G11" s="3" t="s">
        <v>18</v>
      </c>
      <c r="H11" s="3" t="s">
        <v>30</v>
      </c>
      <c r="I11" s="3">
        <v>14</v>
      </c>
      <c r="J11" s="3" t="s">
        <v>31</v>
      </c>
      <c r="K11" s="3" t="s">
        <v>32</v>
      </c>
      <c r="L11" s="3" t="s">
        <v>22</v>
      </c>
      <c r="M11" s="3" t="s">
        <v>23</v>
      </c>
      <c r="N11" s="3">
        <f t="shared" si="0"/>
        <v>5</v>
      </c>
      <c r="O11" s="3" t="str">
        <f t="shared" si="1"/>
        <v>Viernes</v>
      </c>
    </row>
    <row r="12" spans="1:15" ht="14.25" customHeight="1" x14ac:dyDescent="0.3">
      <c r="A12" s="3" t="s">
        <v>15</v>
      </c>
      <c r="B12" s="3">
        <v>34.27391964608443</v>
      </c>
      <c r="C12" s="3">
        <v>21600</v>
      </c>
      <c r="D12" s="3">
        <v>10113.022523879999</v>
      </c>
      <c r="E12" s="3" t="s">
        <v>16</v>
      </c>
      <c r="F12" s="3" t="s">
        <v>17</v>
      </c>
      <c r="G12" s="3" t="s">
        <v>18</v>
      </c>
      <c r="H12" s="3" t="s">
        <v>33</v>
      </c>
      <c r="I12" s="3">
        <v>14</v>
      </c>
      <c r="J12" s="3" t="s">
        <v>34</v>
      </c>
      <c r="K12" s="3" t="s">
        <v>35</v>
      </c>
      <c r="L12" s="3" t="s">
        <v>22</v>
      </c>
      <c r="M12" s="3" t="s">
        <v>23</v>
      </c>
      <c r="N12" s="3">
        <f t="shared" si="0"/>
        <v>5</v>
      </c>
      <c r="O12" s="3" t="str">
        <f t="shared" si="1"/>
        <v>Viernes</v>
      </c>
    </row>
    <row r="13" spans="1:15" ht="14.25" customHeight="1" x14ac:dyDescent="0.3">
      <c r="A13" s="3" t="s">
        <v>36</v>
      </c>
      <c r="B13" s="3">
        <v>41.185685404574869</v>
      </c>
      <c r="C13" s="3">
        <v>10</v>
      </c>
      <c r="D13" s="3">
        <v>10.54841113090515</v>
      </c>
      <c r="E13" s="3" t="s">
        <v>16</v>
      </c>
      <c r="F13" s="3" t="s">
        <v>37</v>
      </c>
      <c r="G13" s="3" t="s">
        <v>18</v>
      </c>
      <c r="H13" s="3" t="s">
        <v>38</v>
      </c>
      <c r="I13" s="3">
        <v>13</v>
      </c>
      <c r="J13" s="3" t="s">
        <v>39</v>
      </c>
      <c r="K13" s="3" t="s">
        <v>40</v>
      </c>
      <c r="L13" s="3" t="s">
        <v>22</v>
      </c>
      <c r="M13" s="3" t="s">
        <v>23</v>
      </c>
      <c r="N13" s="3">
        <f t="shared" si="0"/>
        <v>6</v>
      </c>
      <c r="O13" s="3" t="str">
        <f t="shared" si="1"/>
        <v>Sabado</v>
      </c>
    </row>
    <row r="14" spans="1:15" ht="14.25" customHeight="1" x14ac:dyDescent="0.3">
      <c r="A14" s="3" t="s">
        <v>36</v>
      </c>
      <c r="B14" s="3">
        <v>41.185685404574869</v>
      </c>
      <c r="C14" s="3">
        <v>30</v>
      </c>
      <c r="D14" s="3">
        <v>30.795634269714359</v>
      </c>
      <c r="E14" s="3" t="s">
        <v>16</v>
      </c>
      <c r="F14" s="3" t="s">
        <v>37</v>
      </c>
      <c r="G14" s="3" t="s">
        <v>18</v>
      </c>
      <c r="H14" s="3" t="s">
        <v>38</v>
      </c>
      <c r="I14" s="3">
        <v>13</v>
      </c>
      <c r="J14" s="3" t="s">
        <v>39</v>
      </c>
      <c r="K14" s="3" t="s">
        <v>40</v>
      </c>
      <c r="L14" s="3" t="s">
        <v>22</v>
      </c>
      <c r="M14" s="3" t="s">
        <v>23</v>
      </c>
      <c r="N14" s="3">
        <f t="shared" si="0"/>
        <v>6</v>
      </c>
      <c r="O14" s="3" t="str">
        <f t="shared" si="1"/>
        <v>Sabado</v>
      </c>
    </row>
    <row r="15" spans="1:15" ht="14.25" customHeight="1" x14ac:dyDescent="0.3">
      <c r="A15" s="3" t="s">
        <v>36</v>
      </c>
      <c r="B15" s="3">
        <v>41.185685404574869</v>
      </c>
      <c r="C15" s="3">
        <v>60</v>
      </c>
      <c r="D15" s="3">
        <v>60.749247550964363</v>
      </c>
      <c r="E15" s="3" t="s">
        <v>16</v>
      </c>
      <c r="F15" s="3" t="s">
        <v>37</v>
      </c>
      <c r="G15" s="3" t="s">
        <v>18</v>
      </c>
      <c r="H15" s="3" t="s">
        <v>38</v>
      </c>
      <c r="I15" s="3">
        <v>13</v>
      </c>
      <c r="J15" s="3" t="s">
        <v>39</v>
      </c>
      <c r="K15" s="3" t="s">
        <v>40</v>
      </c>
      <c r="L15" s="3" t="s">
        <v>22</v>
      </c>
      <c r="M15" s="3" t="s">
        <v>23</v>
      </c>
      <c r="N15" s="3">
        <f t="shared" si="0"/>
        <v>6</v>
      </c>
      <c r="O15" s="3" t="str">
        <f t="shared" si="1"/>
        <v>Sabado</v>
      </c>
    </row>
    <row r="16" spans="1:15" ht="14.25" customHeight="1" x14ac:dyDescent="0.3">
      <c r="A16" s="3" t="s">
        <v>36</v>
      </c>
      <c r="B16" s="3">
        <v>41.185685404574869</v>
      </c>
      <c r="C16" s="3">
        <v>120</v>
      </c>
      <c r="D16" s="3">
        <v>121.21923136711121</v>
      </c>
      <c r="E16" s="3" t="s">
        <v>16</v>
      </c>
      <c r="F16" s="3" t="s">
        <v>37</v>
      </c>
      <c r="G16" s="3" t="s">
        <v>18</v>
      </c>
      <c r="H16" s="3" t="s">
        <v>38</v>
      </c>
      <c r="I16" s="3">
        <v>13</v>
      </c>
      <c r="J16" s="3" t="s">
        <v>39</v>
      </c>
      <c r="K16" s="3" t="s">
        <v>40</v>
      </c>
      <c r="L16" s="3" t="s">
        <v>22</v>
      </c>
      <c r="M16" s="3" t="s">
        <v>23</v>
      </c>
      <c r="N16" s="3">
        <f t="shared" si="0"/>
        <v>6</v>
      </c>
      <c r="O16" s="3" t="str">
        <f t="shared" si="1"/>
        <v>Sabado</v>
      </c>
    </row>
    <row r="17" spans="1:15" ht="14.25" customHeight="1" x14ac:dyDescent="0.3">
      <c r="A17" s="3" t="s">
        <v>36</v>
      </c>
      <c r="B17" s="3">
        <v>41.185685404574869</v>
      </c>
      <c r="C17" s="3">
        <v>180</v>
      </c>
      <c r="D17" s="3">
        <v>181.42915678024289</v>
      </c>
      <c r="E17" s="3" t="s">
        <v>16</v>
      </c>
      <c r="F17" s="3" t="s">
        <v>37</v>
      </c>
      <c r="G17" s="3" t="s">
        <v>18</v>
      </c>
      <c r="H17" s="3" t="s">
        <v>38</v>
      </c>
      <c r="I17" s="3">
        <v>13</v>
      </c>
      <c r="J17" s="3" t="s">
        <v>39</v>
      </c>
      <c r="K17" s="3" t="s">
        <v>40</v>
      </c>
      <c r="L17" s="3" t="s">
        <v>22</v>
      </c>
      <c r="M17" s="3" t="s">
        <v>23</v>
      </c>
      <c r="N17" s="3">
        <f t="shared" si="0"/>
        <v>6</v>
      </c>
      <c r="O17" s="3" t="str">
        <f t="shared" si="1"/>
        <v>Sabado</v>
      </c>
    </row>
    <row r="18" spans="1:15" ht="14.25" customHeight="1" x14ac:dyDescent="0.3">
      <c r="A18" s="3" t="s">
        <v>36</v>
      </c>
      <c r="B18" s="3">
        <v>41.185685404574869</v>
      </c>
      <c r="C18" s="3">
        <v>240</v>
      </c>
      <c r="D18" s="3">
        <v>241.1556513309479</v>
      </c>
      <c r="E18" s="3" t="s">
        <v>16</v>
      </c>
      <c r="F18" s="3" t="s">
        <v>37</v>
      </c>
      <c r="G18" s="3" t="s">
        <v>18</v>
      </c>
      <c r="H18" s="3" t="s">
        <v>38</v>
      </c>
      <c r="I18" s="3">
        <v>13</v>
      </c>
      <c r="J18" s="3" t="s">
        <v>39</v>
      </c>
      <c r="K18" s="3" t="s">
        <v>40</v>
      </c>
      <c r="L18" s="3" t="s">
        <v>22</v>
      </c>
      <c r="M18" s="3" t="s">
        <v>23</v>
      </c>
      <c r="N18" s="3">
        <f t="shared" si="0"/>
        <v>6</v>
      </c>
      <c r="O18" s="3" t="str">
        <f t="shared" si="1"/>
        <v>Sabado</v>
      </c>
    </row>
    <row r="19" spans="1:15" ht="14.25" customHeight="1" x14ac:dyDescent="0.3">
      <c r="A19" s="3" t="s">
        <v>36</v>
      </c>
      <c r="B19" s="3">
        <v>41.185685404574869</v>
      </c>
      <c r="C19" s="3">
        <v>300</v>
      </c>
      <c r="D19" s="3">
        <v>300.55850028991699</v>
      </c>
      <c r="E19" s="3" t="s">
        <v>16</v>
      </c>
      <c r="F19" s="3" t="s">
        <v>37</v>
      </c>
      <c r="G19" s="3" t="s">
        <v>18</v>
      </c>
      <c r="H19" s="3" t="s">
        <v>38</v>
      </c>
      <c r="I19" s="3">
        <v>13</v>
      </c>
      <c r="J19" s="3" t="s">
        <v>39</v>
      </c>
      <c r="K19" s="3" t="s">
        <v>40</v>
      </c>
      <c r="L19" s="3" t="s">
        <v>22</v>
      </c>
      <c r="M19" s="3" t="s">
        <v>23</v>
      </c>
      <c r="N19" s="3">
        <f t="shared" si="0"/>
        <v>6</v>
      </c>
      <c r="O19" s="3" t="str">
        <f t="shared" si="1"/>
        <v>Sabado</v>
      </c>
    </row>
    <row r="20" spans="1:15" ht="14.25" customHeight="1" x14ac:dyDescent="0.3">
      <c r="A20" s="3" t="s">
        <v>36</v>
      </c>
      <c r="B20" s="3">
        <v>41.185685404574869</v>
      </c>
      <c r="C20" s="3">
        <v>900</v>
      </c>
      <c r="D20" s="3">
        <v>904.01546907424927</v>
      </c>
      <c r="E20" s="3" t="s">
        <v>16</v>
      </c>
      <c r="F20" s="3" t="s">
        <v>37</v>
      </c>
      <c r="G20" s="3" t="s">
        <v>18</v>
      </c>
      <c r="H20" s="3" t="s">
        <v>38</v>
      </c>
      <c r="I20" s="3">
        <v>13</v>
      </c>
      <c r="J20" s="3" t="s">
        <v>39</v>
      </c>
      <c r="K20" s="3" t="s">
        <v>40</v>
      </c>
      <c r="L20" s="3" t="s">
        <v>22</v>
      </c>
      <c r="M20" s="3" t="s">
        <v>23</v>
      </c>
      <c r="N20" s="3">
        <f t="shared" si="0"/>
        <v>6</v>
      </c>
      <c r="O20" s="3" t="str">
        <f t="shared" si="1"/>
        <v>Sabado</v>
      </c>
    </row>
    <row r="21" spans="1:15" ht="14.25" customHeight="1" x14ac:dyDescent="0.3">
      <c r="A21" s="3" t="s">
        <v>36</v>
      </c>
      <c r="B21" s="3">
        <v>41.136646978674939</v>
      </c>
      <c r="C21" s="3">
        <v>1800</v>
      </c>
      <c r="D21" s="3">
        <v>1803.1170585155489</v>
      </c>
      <c r="E21" s="3" t="s">
        <v>16</v>
      </c>
      <c r="F21" s="3" t="s">
        <v>37</v>
      </c>
      <c r="G21" s="3" t="s">
        <v>18</v>
      </c>
      <c r="H21" s="3" t="s">
        <v>41</v>
      </c>
      <c r="I21" s="3">
        <v>18</v>
      </c>
      <c r="J21" s="3" t="s">
        <v>42</v>
      </c>
      <c r="K21" s="3" t="s">
        <v>43</v>
      </c>
      <c r="L21" s="3" t="s">
        <v>22</v>
      </c>
      <c r="M21" s="3" t="s">
        <v>23</v>
      </c>
      <c r="N21" s="3">
        <f t="shared" si="0"/>
        <v>6</v>
      </c>
      <c r="O21" s="3" t="str">
        <f t="shared" si="1"/>
        <v>Sabado</v>
      </c>
    </row>
    <row r="22" spans="1:15" ht="14.25" customHeight="1" x14ac:dyDescent="0.3">
      <c r="A22" s="3" t="s">
        <v>44</v>
      </c>
      <c r="B22" s="3">
        <v>17.091108486035289</v>
      </c>
      <c r="C22" s="3">
        <v>10</v>
      </c>
      <c r="D22" s="3">
        <v>10.528214454650881</v>
      </c>
      <c r="E22" s="3" t="s">
        <v>16</v>
      </c>
      <c r="F22" s="3" t="s">
        <v>45</v>
      </c>
      <c r="G22" s="3" t="s">
        <v>18</v>
      </c>
      <c r="H22" s="3" t="s">
        <v>46</v>
      </c>
      <c r="I22" s="3">
        <v>9</v>
      </c>
      <c r="J22" s="3" t="s">
        <v>47</v>
      </c>
      <c r="K22" s="3" t="s">
        <v>48</v>
      </c>
      <c r="L22" s="3" t="s">
        <v>22</v>
      </c>
      <c r="M22" s="3" t="s">
        <v>23</v>
      </c>
      <c r="N22" s="3">
        <f t="shared" si="0"/>
        <v>7</v>
      </c>
      <c r="O22" s="3" t="str">
        <f t="shared" si="1"/>
        <v>Domingo</v>
      </c>
    </row>
    <row r="23" spans="1:15" ht="14.25" customHeight="1" x14ac:dyDescent="0.3">
      <c r="A23" s="3" t="s">
        <v>44</v>
      </c>
      <c r="B23" s="3">
        <v>17.091108486035289</v>
      </c>
      <c r="C23" s="3">
        <v>30</v>
      </c>
      <c r="D23" s="3">
        <v>30.809269666671749</v>
      </c>
      <c r="E23" s="3" t="s">
        <v>16</v>
      </c>
      <c r="F23" s="3" t="s">
        <v>45</v>
      </c>
      <c r="G23" s="3" t="s">
        <v>18</v>
      </c>
      <c r="H23" s="3" t="s">
        <v>46</v>
      </c>
      <c r="I23" s="3">
        <v>9</v>
      </c>
      <c r="J23" s="3" t="s">
        <v>47</v>
      </c>
      <c r="K23" s="3" t="s">
        <v>48</v>
      </c>
      <c r="L23" s="3" t="s">
        <v>22</v>
      </c>
      <c r="M23" s="3" t="s">
        <v>23</v>
      </c>
      <c r="N23" s="3">
        <f t="shared" si="0"/>
        <v>7</v>
      </c>
      <c r="O23" s="3" t="str">
        <f t="shared" si="1"/>
        <v>Domingo</v>
      </c>
    </row>
    <row r="24" spans="1:15" ht="14.25" customHeight="1" x14ac:dyDescent="0.3">
      <c r="A24" s="3" t="s">
        <v>44</v>
      </c>
      <c r="B24" s="3">
        <v>17.091108486035289</v>
      </c>
      <c r="C24" s="3">
        <v>60</v>
      </c>
      <c r="D24" s="3">
        <v>62.216590166091919</v>
      </c>
      <c r="E24" s="3" t="s">
        <v>16</v>
      </c>
      <c r="F24" s="3" t="s">
        <v>45</v>
      </c>
      <c r="G24" s="3" t="s">
        <v>18</v>
      </c>
      <c r="H24" s="3" t="s">
        <v>46</v>
      </c>
      <c r="I24" s="3">
        <v>9</v>
      </c>
      <c r="J24" s="3" t="s">
        <v>47</v>
      </c>
      <c r="K24" s="3" t="s">
        <v>48</v>
      </c>
      <c r="L24" s="3" t="s">
        <v>22</v>
      </c>
      <c r="M24" s="3" t="s">
        <v>23</v>
      </c>
      <c r="N24" s="3">
        <f t="shared" si="0"/>
        <v>7</v>
      </c>
      <c r="O24" s="3" t="str">
        <f t="shared" si="1"/>
        <v>Domingo</v>
      </c>
    </row>
    <row r="25" spans="1:15" ht="14.25" customHeight="1" x14ac:dyDescent="0.3">
      <c r="A25" s="3" t="s">
        <v>44</v>
      </c>
      <c r="B25" s="3">
        <v>17.091108486035289</v>
      </c>
      <c r="C25" s="3">
        <v>120</v>
      </c>
      <c r="D25" s="3">
        <v>120.73691344261169</v>
      </c>
      <c r="E25" s="3" t="s">
        <v>16</v>
      </c>
      <c r="F25" s="3" t="s">
        <v>45</v>
      </c>
      <c r="G25" s="3" t="s">
        <v>18</v>
      </c>
      <c r="H25" s="3" t="s">
        <v>46</v>
      </c>
      <c r="I25" s="3">
        <v>9</v>
      </c>
      <c r="J25" s="3" t="s">
        <v>47</v>
      </c>
      <c r="K25" s="3" t="s">
        <v>48</v>
      </c>
      <c r="L25" s="3" t="s">
        <v>22</v>
      </c>
      <c r="M25" s="3" t="s">
        <v>23</v>
      </c>
      <c r="N25" s="3">
        <f t="shared" si="0"/>
        <v>7</v>
      </c>
      <c r="O25" s="3" t="str">
        <f t="shared" si="1"/>
        <v>Domingo</v>
      </c>
    </row>
    <row r="26" spans="1:15" ht="14.25" customHeight="1" x14ac:dyDescent="0.3">
      <c r="A26" s="3" t="s">
        <v>44</v>
      </c>
      <c r="B26" s="3">
        <v>16.8892704640947</v>
      </c>
      <c r="C26" s="3">
        <v>180</v>
      </c>
      <c r="D26" s="3">
        <v>113.1828000545502</v>
      </c>
      <c r="E26" s="3" t="s">
        <v>16</v>
      </c>
      <c r="F26" s="3" t="s">
        <v>45</v>
      </c>
      <c r="G26" s="3" t="s">
        <v>18</v>
      </c>
      <c r="H26" s="3" t="s">
        <v>49</v>
      </c>
      <c r="I26" s="3">
        <v>9</v>
      </c>
      <c r="J26" s="3" t="s">
        <v>50</v>
      </c>
      <c r="K26" s="3" t="s">
        <v>51</v>
      </c>
      <c r="L26" s="3" t="s">
        <v>22</v>
      </c>
      <c r="M26" s="3" t="s">
        <v>23</v>
      </c>
      <c r="N26" s="3">
        <f t="shared" si="0"/>
        <v>7</v>
      </c>
      <c r="O26" s="3" t="str">
        <f t="shared" si="1"/>
        <v>Domingo</v>
      </c>
    </row>
    <row r="27" spans="1:15" ht="14.25" customHeight="1" x14ac:dyDescent="0.3">
      <c r="A27" s="3" t="s">
        <v>44</v>
      </c>
      <c r="B27" s="3">
        <v>16.8892704640947</v>
      </c>
      <c r="C27" s="3">
        <v>240</v>
      </c>
      <c r="D27" s="3">
        <v>112.9153289794922</v>
      </c>
      <c r="E27" s="3" t="s">
        <v>16</v>
      </c>
      <c r="F27" s="3" t="s">
        <v>45</v>
      </c>
      <c r="G27" s="3" t="s">
        <v>18</v>
      </c>
      <c r="H27" s="3" t="s">
        <v>49</v>
      </c>
      <c r="I27" s="3">
        <v>9</v>
      </c>
      <c r="J27" s="3" t="s">
        <v>50</v>
      </c>
      <c r="K27" s="3" t="s">
        <v>51</v>
      </c>
      <c r="L27" s="3" t="s">
        <v>22</v>
      </c>
      <c r="M27" s="3" t="s">
        <v>23</v>
      </c>
      <c r="N27" s="3">
        <f t="shared" si="0"/>
        <v>7</v>
      </c>
      <c r="O27" s="3" t="str">
        <f t="shared" si="1"/>
        <v>Domingo</v>
      </c>
    </row>
    <row r="28" spans="1:15" ht="14.25" customHeight="1" x14ac:dyDescent="0.3">
      <c r="A28" s="3" t="s">
        <v>44</v>
      </c>
      <c r="B28" s="3">
        <v>16.8892704640947</v>
      </c>
      <c r="C28" s="3">
        <v>300</v>
      </c>
      <c r="D28" s="3">
        <v>135.87864780426031</v>
      </c>
      <c r="E28" s="3" t="s">
        <v>16</v>
      </c>
      <c r="F28" s="3" t="s">
        <v>45</v>
      </c>
      <c r="G28" s="3" t="s">
        <v>18</v>
      </c>
      <c r="H28" s="3" t="s">
        <v>49</v>
      </c>
      <c r="I28" s="3">
        <v>9</v>
      </c>
      <c r="J28" s="3" t="s">
        <v>50</v>
      </c>
      <c r="K28" s="3" t="s">
        <v>51</v>
      </c>
      <c r="L28" s="3" t="s">
        <v>22</v>
      </c>
      <c r="M28" s="3" t="s">
        <v>23</v>
      </c>
      <c r="N28" s="3">
        <f t="shared" si="0"/>
        <v>7</v>
      </c>
      <c r="O28" s="3" t="str">
        <f t="shared" si="1"/>
        <v>Domingo</v>
      </c>
    </row>
    <row r="29" spans="1:15" ht="14.25" customHeight="1" x14ac:dyDescent="0.3">
      <c r="A29" s="3" t="s">
        <v>44</v>
      </c>
      <c r="B29" s="3">
        <v>16.8892704640947</v>
      </c>
      <c r="C29" s="3">
        <v>900</v>
      </c>
      <c r="D29" s="3">
        <v>125.3627569675446</v>
      </c>
      <c r="E29" s="3" t="s">
        <v>16</v>
      </c>
      <c r="F29" s="3" t="s">
        <v>45</v>
      </c>
      <c r="G29" s="3" t="s">
        <v>18</v>
      </c>
      <c r="H29" s="3" t="s">
        <v>49</v>
      </c>
      <c r="I29" s="3">
        <v>9</v>
      </c>
      <c r="J29" s="3" t="s">
        <v>50</v>
      </c>
      <c r="K29" s="3" t="s">
        <v>51</v>
      </c>
      <c r="L29" s="3" t="s">
        <v>22</v>
      </c>
      <c r="M29" s="3" t="s">
        <v>23</v>
      </c>
      <c r="N29" s="3">
        <f t="shared" si="0"/>
        <v>7</v>
      </c>
      <c r="O29" s="3" t="str">
        <f t="shared" si="1"/>
        <v>Domingo</v>
      </c>
    </row>
    <row r="30" spans="1:15" ht="14.25" customHeight="1" x14ac:dyDescent="0.3">
      <c r="A30" s="3" t="s">
        <v>44</v>
      </c>
      <c r="B30" s="3">
        <v>16.8892704640947</v>
      </c>
      <c r="C30" s="3">
        <v>1800</v>
      </c>
      <c r="D30" s="3">
        <v>207.73736381530759</v>
      </c>
      <c r="E30" s="3" t="s">
        <v>16</v>
      </c>
      <c r="F30" s="3" t="s">
        <v>45</v>
      </c>
      <c r="G30" s="3" t="s">
        <v>18</v>
      </c>
      <c r="H30" s="3" t="s">
        <v>49</v>
      </c>
      <c r="I30" s="3">
        <v>9</v>
      </c>
      <c r="J30" s="3" t="s">
        <v>50</v>
      </c>
      <c r="K30" s="3" t="s">
        <v>51</v>
      </c>
      <c r="L30" s="3" t="s">
        <v>22</v>
      </c>
      <c r="M30" s="3" t="s">
        <v>23</v>
      </c>
      <c r="N30" s="3">
        <f t="shared" si="0"/>
        <v>7</v>
      </c>
      <c r="O30" s="3" t="str">
        <f t="shared" si="1"/>
        <v>Domingo</v>
      </c>
    </row>
    <row r="31" spans="1:15" ht="14.25" customHeight="1" x14ac:dyDescent="0.3">
      <c r="A31" s="3" t="s">
        <v>52</v>
      </c>
      <c r="B31" s="3">
        <v>18.835143055986581</v>
      </c>
      <c r="C31" s="3">
        <v>10</v>
      </c>
      <c r="D31" s="3">
        <v>10.361763954162599</v>
      </c>
      <c r="E31" s="3" t="s">
        <v>16</v>
      </c>
      <c r="F31" s="3" t="s">
        <v>53</v>
      </c>
      <c r="G31" s="3" t="s">
        <v>18</v>
      </c>
      <c r="H31" s="3" t="s">
        <v>54</v>
      </c>
      <c r="I31" s="3">
        <v>8</v>
      </c>
      <c r="J31" s="3" t="s">
        <v>55</v>
      </c>
      <c r="K31" s="3" t="s">
        <v>56</v>
      </c>
      <c r="L31" s="3" t="s">
        <v>22</v>
      </c>
      <c r="M31" s="3" t="s">
        <v>23</v>
      </c>
      <c r="N31" s="3">
        <f t="shared" si="0"/>
        <v>1</v>
      </c>
      <c r="O31" s="3" t="str">
        <f t="shared" si="1"/>
        <v>Lunes</v>
      </c>
    </row>
    <row r="32" spans="1:15" ht="14.25" customHeight="1" x14ac:dyDescent="0.3">
      <c r="A32" s="3" t="s">
        <v>52</v>
      </c>
      <c r="B32" s="3">
        <v>18.835143055986581</v>
      </c>
      <c r="C32" s="3">
        <v>30</v>
      </c>
      <c r="D32" s="3">
        <v>30.365239143371578</v>
      </c>
      <c r="E32" s="3" t="s">
        <v>16</v>
      </c>
      <c r="F32" s="3" t="s">
        <v>53</v>
      </c>
      <c r="G32" s="3" t="s">
        <v>18</v>
      </c>
      <c r="H32" s="3" t="s">
        <v>54</v>
      </c>
      <c r="I32" s="3">
        <v>8</v>
      </c>
      <c r="J32" s="3" t="s">
        <v>55</v>
      </c>
      <c r="K32" s="3" t="s">
        <v>56</v>
      </c>
      <c r="L32" s="3" t="s">
        <v>22</v>
      </c>
      <c r="M32" s="3" t="s">
        <v>23</v>
      </c>
      <c r="N32" s="3">
        <f t="shared" si="0"/>
        <v>1</v>
      </c>
      <c r="O32" s="3" t="str">
        <f t="shared" si="1"/>
        <v>Lunes</v>
      </c>
    </row>
    <row r="33" spans="1:15" ht="14.25" customHeight="1" x14ac:dyDescent="0.3">
      <c r="A33" s="3" t="s">
        <v>52</v>
      </c>
      <c r="B33" s="3">
        <v>18.653524227377961</v>
      </c>
      <c r="C33" s="3">
        <v>60</v>
      </c>
      <c r="D33" s="3">
        <v>60.356427431106567</v>
      </c>
      <c r="E33" s="3" t="s">
        <v>16</v>
      </c>
      <c r="F33" s="3" t="s">
        <v>53</v>
      </c>
      <c r="G33" s="3" t="s">
        <v>18</v>
      </c>
      <c r="H33" s="3" t="s">
        <v>57</v>
      </c>
      <c r="I33" s="3">
        <v>7</v>
      </c>
      <c r="J33" s="3" t="s">
        <v>58</v>
      </c>
      <c r="K33" s="3" t="s">
        <v>59</v>
      </c>
      <c r="L33" s="3" t="s">
        <v>22</v>
      </c>
      <c r="M33" s="3" t="s">
        <v>23</v>
      </c>
      <c r="N33" s="3">
        <f t="shared" si="0"/>
        <v>1</v>
      </c>
      <c r="O33" s="3" t="str">
        <f t="shared" si="1"/>
        <v>Lunes</v>
      </c>
    </row>
    <row r="34" spans="1:15" ht="14.25" customHeight="1" x14ac:dyDescent="0.3">
      <c r="A34" s="3" t="s">
        <v>52</v>
      </c>
      <c r="B34" s="3">
        <v>18.606016946555069</v>
      </c>
      <c r="C34" s="3">
        <v>120</v>
      </c>
      <c r="D34" s="3">
        <v>120.4748485088348</v>
      </c>
      <c r="E34" s="3" t="s">
        <v>16</v>
      </c>
      <c r="F34" s="3" t="s">
        <v>53</v>
      </c>
      <c r="G34" s="3" t="s">
        <v>18</v>
      </c>
      <c r="H34" s="3" t="s">
        <v>60</v>
      </c>
      <c r="I34" s="3">
        <v>7</v>
      </c>
      <c r="J34" s="3" t="s">
        <v>61</v>
      </c>
      <c r="K34" s="3" t="s">
        <v>62</v>
      </c>
      <c r="L34" s="3" t="s">
        <v>22</v>
      </c>
      <c r="M34" s="3" t="s">
        <v>23</v>
      </c>
      <c r="N34" s="3">
        <f t="shared" si="0"/>
        <v>1</v>
      </c>
      <c r="O34" s="3" t="str">
        <f t="shared" si="1"/>
        <v>Lunes</v>
      </c>
    </row>
    <row r="35" spans="1:15" ht="14.25" customHeight="1" x14ac:dyDescent="0.3">
      <c r="A35" s="3" t="s">
        <v>52</v>
      </c>
      <c r="B35" s="3">
        <v>18.606016946555069</v>
      </c>
      <c r="C35" s="3">
        <v>180</v>
      </c>
      <c r="D35" s="3">
        <v>180.4437971115112</v>
      </c>
      <c r="E35" s="3" t="s">
        <v>16</v>
      </c>
      <c r="F35" s="3" t="s">
        <v>53</v>
      </c>
      <c r="G35" s="3" t="s">
        <v>18</v>
      </c>
      <c r="H35" s="3" t="s">
        <v>60</v>
      </c>
      <c r="I35" s="3">
        <v>7</v>
      </c>
      <c r="J35" s="3" t="s">
        <v>61</v>
      </c>
      <c r="K35" s="3" t="s">
        <v>62</v>
      </c>
      <c r="L35" s="3" t="s">
        <v>22</v>
      </c>
      <c r="M35" s="3" t="s">
        <v>23</v>
      </c>
      <c r="N35" s="3">
        <f t="shared" si="0"/>
        <v>1</v>
      </c>
      <c r="O35" s="3" t="str">
        <f t="shared" si="1"/>
        <v>Lunes</v>
      </c>
    </row>
    <row r="36" spans="1:15" ht="14.25" customHeight="1" x14ac:dyDescent="0.3">
      <c r="A36" s="3" t="s">
        <v>52</v>
      </c>
      <c r="B36" s="3">
        <v>18.606016946555069</v>
      </c>
      <c r="C36" s="3">
        <v>240</v>
      </c>
      <c r="D36" s="3">
        <v>240.5965619087219</v>
      </c>
      <c r="E36" s="3" t="s">
        <v>16</v>
      </c>
      <c r="F36" s="3" t="s">
        <v>53</v>
      </c>
      <c r="G36" s="3" t="s">
        <v>18</v>
      </c>
      <c r="H36" s="3" t="s">
        <v>60</v>
      </c>
      <c r="I36" s="3">
        <v>7</v>
      </c>
      <c r="J36" s="3" t="s">
        <v>61</v>
      </c>
      <c r="K36" s="3" t="s">
        <v>62</v>
      </c>
      <c r="L36" s="3" t="s">
        <v>22</v>
      </c>
      <c r="M36" s="3" t="s">
        <v>23</v>
      </c>
      <c r="N36" s="3">
        <f t="shared" si="0"/>
        <v>1</v>
      </c>
      <c r="O36" s="3" t="str">
        <f t="shared" si="1"/>
        <v>Lunes</v>
      </c>
    </row>
    <row r="37" spans="1:15" ht="14.25" customHeight="1" x14ac:dyDescent="0.3">
      <c r="A37" s="3" t="s">
        <v>52</v>
      </c>
      <c r="B37" s="3">
        <v>18.606016946555069</v>
      </c>
      <c r="C37" s="3">
        <v>300</v>
      </c>
      <c r="D37" s="3">
        <v>300.85259747505188</v>
      </c>
      <c r="E37" s="3" t="s">
        <v>16</v>
      </c>
      <c r="F37" s="3" t="s">
        <v>53</v>
      </c>
      <c r="G37" s="3" t="s">
        <v>18</v>
      </c>
      <c r="H37" s="3" t="s">
        <v>60</v>
      </c>
      <c r="I37" s="3">
        <v>7</v>
      </c>
      <c r="J37" s="3" t="s">
        <v>61</v>
      </c>
      <c r="K37" s="3" t="s">
        <v>62</v>
      </c>
      <c r="L37" s="3" t="s">
        <v>22</v>
      </c>
      <c r="M37" s="3" t="s">
        <v>23</v>
      </c>
      <c r="N37" s="3">
        <f t="shared" si="0"/>
        <v>1</v>
      </c>
      <c r="O37" s="3" t="str">
        <f t="shared" si="1"/>
        <v>Lunes</v>
      </c>
    </row>
    <row r="38" spans="1:15" ht="14.25" customHeight="1" x14ac:dyDescent="0.3">
      <c r="A38" s="3" t="s">
        <v>52</v>
      </c>
      <c r="B38" s="3">
        <v>18.606016946555069</v>
      </c>
      <c r="C38" s="3">
        <v>900</v>
      </c>
      <c r="D38" s="3">
        <v>901.8626549243927</v>
      </c>
      <c r="E38" s="3" t="s">
        <v>16</v>
      </c>
      <c r="F38" s="3" t="s">
        <v>53</v>
      </c>
      <c r="G38" s="3" t="s">
        <v>18</v>
      </c>
      <c r="H38" s="3" t="s">
        <v>60</v>
      </c>
      <c r="I38" s="3">
        <v>7</v>
      </c>
      <c r="J38" s="3" t="s">
        <v>61</v>
      </c>
      <c r="K38" s="3" t="s">
        <v>62</v>
      </c>
      <c r="L38" s="3" t="s">
        <v>22</v>
      </c>
      <c r="M38" s="3" t="s">
        <v>23</v>
      </c>
      <c r="N38" s="3">
        <f t="shared" si="0"/>
        <v>1</v>
      </c>
      <c r="O38" s="3" t="str">
        <f t="shared" si="1"/>
        <v>Lunes</v>
      </c>
    </row>
    <row r="39" spans="1:15" ht="14.25" customHeight="1" x14ac:dyDescent="0.3">
      <c r="A39" s="3" t="s">
        <v>52</v>
      </c>
      <c r="B39" s="3">
        <v>18.606016946555069</v>
      </c>
      <c r="C39" s="3">
        <v>1800</v>
      </c>
      <c r="D39" s="3">
        <v>1802.37005853653</v>
      </c>
      <c r="E39" s="3" t="s">
        <v>16</v>
      </c>
      <c r="F39" s="3" t="s">
        <v>53</v>
      </c>
      <c r="G39" s="3" t="s">
        <v>18</v>
      </c>
      <c r="H39" s="3" t="s">
        <v>60</v>
      </c>
      <c r="I39" s="3">
        <v>7</v>
      </c>
      <c r="J39" s="3" t="s">
        <v>61</v>
      </c>
      <c r="K39" s="3" t="s">
        <v>62</v>
      </c>
      <c r="L39" s="3" t="s">
        <v>22</v>
      </c>
      <c r="M39" s="3" t="s">
        <v>23</v>
      </c>
      <c r="N39" s="3">
        <f t="shared" si="0"/>
        <v>1</v>
      </c>
      <c r="O39" s="3" t="str">
        <f t="shared" si="1"/>
        <v>Lunes</v>
      </c>
    </row>
    <row r="40" spans="1:15" ht="14.25" customHeight="1" x14ac:dyDescent="0.3">
      <c r="A40" s="3" t="s">
        <v>63</v>
      </c>
      <c r="B40" s="3">
        <v>32.260729768218582</v>
      </c>
      <c r="C40" s="3">
        <v>10</v>
      </c>
      <c r="D40" s="3">
        <v>10.296695709228519</v>
      </c>
      <c r="E40" s="3" t="s">
        <v>16</v>
      </c>
      <c r="F40" s="3" t="s">
        <v>64</v>
      </c>
      <c r="G40" s="3" t="s">
        <v>18</v>
      </c>
      <c r="H40" s="3" t="s">
        <v>65</v>
      </c>
      <c r="I40" s="3">
        <v>12</v>
      </c>
      <c r="J40" s="3" t="s">
        <v>66</v>
      </c>
      <c r="K40" s="3" t="s">
        <v>67</v>
      </c>
      <c r="L40" s="3" t="s">
        <v>22</v>
      </c>
      <c r="M40" s="3" t="s">
        <v>23</v>
      </c>
      <c r="N40" s="3">
        <f t="shared" si="0"/>
        <v>2</v>
      </c>
      <c r="O40" s="3" t="str">
        <f t="shared" si="1"/>
        <v>Martes</v>
      </c>
    </row>
    <row r="41" spans="1:15" ht="14.25" customHeight="1" x14ac:dyDescent="0.3">
      <c r="A41" s="3" t="s">
        <v>63</v>
      </c>
      <c r="B41" s="3">
        <v>30.621616918959841</v>
      </c>
      <c r="C41" s="3">
        <v>30</v>
      </c>
      <c r="D41" s="3">
        <v>30.292243957519531</v>
      </c>
      <c r="E41" s="3" t="s">
        <v>16</v>
      </c>
      <c r="F41" s="3" t="s">
        <v>64</v>
      </c>
      <c r="G41" s="3" t="s">
        <v>18</v>
      </c>
      <c r="H41" s="3" t="s">
        <v>68</v>
      </c>
      <c r="I41" s="3">
        <v>10</v>
      </c>
      <c r="J41" s="3" t="s">
        <v>69</v>
      </c>
      <c r="K41" s="3" t="s">
        <v>70</v>
      </c>
      <c r="L41" s="3" t="s">
        <v>22</v>
      </c>
      <c r="M41" s="3" t="s">
        <v>23</v>
      </c>
      <c r="N41" s="3">
        <f t="shared" si="0"/>
        <v>2</v>
      </c>
      <c r="O41" s="3" t="str">
        <f t="shared" si="1"/>
        <v>Martes</v>
      </c>
    </row>
    <row r="42" spans="1:15" ht="14.25" customHeight="1" x14ac:dyDescent="0.3">
      <c r="A42" s="3" t="s">
        <v>63</v>
      </c>
      <c r="B42" s="3">
        <v>30.621616918959841</v>
      </c>
      <c r="C42" s="3">
        <v>60</v>
      </c>
      <c r="D42" s="3">
        <v>60.472334861755371</v>
      </c>
      <c r="E42" s="3" t="s">
        <v>16</v>
      </c>
      <c r="F42" s="3" t="s">
        <v>64</v>
      </c>
      <c r="G42" s="3" t="s">
        <v>18</v>
      </c>
      <c r="H42" s="3" t="s">
        <v>68</v>
      </c>
      <c r="I42" s="3">
        <v>10</v>
      </c>
      <c r="J42" s="3" t="s">
        <v>69</v>
      </c>
      <c r="K42" s="3" t="s">
        <v>70</v>
      </c>
      <c r="L42" s="3" t="s">
        <v>22</v>
      </c>
      <c r="M42" s="3" t="s">
        <v>23</v>
      </c>
      <c r="N42" s="3">
        <f t="shared" si="0"/>
        <v>2</v>
      </c>
      <c r="O42" s="3" t="str">
        <f t="shared" si="1"/>
        <v>Martes</v>
      </c>
    </row>
    <row r="43" spans="1:15" ht="14.25" customHeight="1" x14ac:dyDescent="0.3">
      <c r="A43" s="3" t="s">
        <v>63</v>
      </c>
      <c r="B43" s="3">
        <v>30.621616918959841</v>
      </c>
      <c r="C43" s="3">
        <v>120</v>
      </c>
      <c r="D43" s="3">
        <v>120.5549938678741</v>
      </c>
      <c r="E43" s="3" t="s">
        <v>16</v>
      </c>
      <c r="F43" s="3" t="s">
        <v>64</v>
      </c>
      <c r="G43" s="3" t="s">
        <v>18</v>
      </c>
      <c r="H43" s="3" t="s">
        <v>68</v>
      </c>
      <c r="I43" s="3">
        <v>10</v>
      </c>
      <c r="J43" s="3" t="s">
        <v>69</v>
      </c>
      <c r="K43" s="3" t="s">
        <v>70</v>
      </c>
      <c r="L43" s="3" t="s">
        <v>22</v>
      </c>
      <c r="M43" s="3" t="s">
        <v>23</v>
      </c>
      <c r="N43" s="3">
        <f t="shared" si="0"/>
        <v>2</v>
      </c>
      <c r="O43" s="3" t="str">
        <f t="shared" si="1"/>
        <v>Martes</v>
      </c>
    </row>
    <row r="44" spans="1:15" ht="14.25" customHeight="1" x14ac:dyDescent="0.3">
      <c r="A44" s="3" t="s">
        <v>63</v>
      </c>
      <c r="B44" s="3">
        <v>30.495701512265121</v>
      </c>
      <c r="C44" s="3">
        <v>180</v>
      </c>
      <c r="D44" s="3">
        <v>180.62404179573059</v>
      </c>
      <c r="E44" s="3" t="s">
        <v>16</v>
      </c>
      <c r="F44" s="3" t="s">
        <v>64</v>
      </c>
      <c r="G44" s="3" t="s">
        <v>18</v>
      </c>
      <c r="H44" s="3" t="s">
        <v>71</v>
      </c>
      <c r="I44" s="3">
        <v>10</v>
      </c>
      <c r="J44" s="3" t="s">
        <v>72</v>
      </c>
      <c r="K44" s="3" t="s">
        <v>73</v>
      </c>
      <c r="L44" s="3" t="s">
        <v>22</v>
      </c>
      <c r="M44" s="3" t="s">
        <v>23</v>
      </c>
      <c r="N44" s="3">
        <f t="shared" si="0"/>
        <v>2</v>
      </c>
      <c r="O44" s="3" t="str">
        <f t="shared" si="1"/>
        <v>Martes</v>
      </c>
    </row>
    <row r="45" spans="1:15" ht="14.25" customHeight="1" x14ac:dyDescent="0.3">
      <c r="A45" s="3" t="s">
        <v>63</v>
      </c>
      <c r="B45" s="3">
        <v>30.495701512265121</v>
      </c>
      <c r="C45" s="3">
        <v>240</v>
      </c>
      <c r="D45" s="3">
        <v>241.4811460971832</v>
      </c>
      <c r="E45" s="3" t="s">
        <v>16</v>
      </c>
      <c r="F45" s="3" t="s">
        <v>64</v>
      </c>
      <c r="G45" s="3" t="s">
        <v>18</v>
      </c>
      <c r="H45" s="3" t="s">
        <v>71</v>
      </c>
      <c r="I45" s="3">
        <v>10</v>
      </c>
      <c r="J45" s="3" t="s">
        <v>72</v>
      </c>
      <c r="K45" s="3" t="s">
        <v>73</v>
      </c>
      <c r="L45" s="3" t="s">
        <v>22</v>
      </c>
      <c r="M45" s="3" t="s">
        <v>23</v>
      </c>
      <c r="N45" s="3">
        <f t="shared" si="0"/>
        <v>2</v>
      </c>
      <c r="O45" s="3" t="str">
        <f t="shared" si="1"/>
        <v>Martes</v>
      </c>
    </row>
    <row r="46" spans="1:15" ht="14.25" customHeight="1" x14ac:dyDescent="0.3">
      <c r="A46" s="3" t="s">
        <v>63</v>
      </c>
      <c r="B46" s="3">
        <v>30.495701512265121</v>
      </c>
      <c r="C46" s="3">
        <v>300</v>
      </c>
      <c r="D46" s="3">
        <v>301.23464775085449</v>
      </c>
      <c r="E46" s="3" t="s">
        <v>16</v>
      </c>
      <c r="F46" s="3" t="s">
        <v>64</v>
      </c>
      <c r="G46" s="3" t="s">
        <v>18</v>
      </c>
      <c r="H46" s="3" t="s">
        <v>71</v>
      </c>
      <c r="I46" s="3">
        <v>10</v>
      </c>
      <c r="J46" s="3" t="s">
        <v>72</v>
      </c>
      <c r="K46" s="3" t="s">
        <v>73</v>
      </c>
      <c r="L46" s="3" t="s">
        <v>22</v>
      </c>
      <c r="M46" s="3" t="s">
        <v>23</v>
      </c>
      <c r="N46" s="3">
        <f t="shared" si="0"/>
        <v>2</v>
      </c>
      <c r="O46" s="3" t="str">
        <f t="shared" si="1"/>
        <v>Martes</v>
      </c>
    </row>
    <row r="47" spans="1:15" ht="14.25" customHeight="1" x14ac:dyDescent="0.3">
      <c r="A47" s="3" t="s">
        <v>63</v>
      </c>
      <c r="B47" s="3">
        <v>29.396178654639861</v>
      </c>
      <c r="C47" s="3">
        <v>900</v>
      </c>
      <c r="D47" s="3">
        <v>901.75105547904968</v>
      </c>
      <c r="E47" s="3" t="s">
        <v>16</v>
      </c>
      <c r="F47" s="3" t="s">
        <v>64</v>
      </c>
      <c r="G47" s="3" t="s">
        <v>18</v>
      </c>
      <c r="H47" s="3" t="s">
        <v>74</v>
      </c>
      <c r="I47" s="3">
        <v>14</v>
      </c>
      <c r="J47" s="3" t="s">
        <v>75</v>
      </c>
      <c r="K47" s="3" t="s">
        <v>76</v>
      </c>
      <c r="L47" s="3" t="s">
        <v>22</v>
      </c>
      <c r="M47" s="3" t="s">
        <v>23</v>
      </c>
      <c r="N47" s="3">
        <f t="shared" si="0"/>
        <v>2</v>
      </c>
      <c r="O47" s="3" t="str">
        <f t="shared" si="1"/>
        <v>Martes</v>
      </c>
    </row>
    <row r="48" spans="1:15" ht="14.25" customHeight="1" x14ac:dyDescent="0.3">
      <c r="A48" s="3" t="s">
        <v>63</v>
      </c>
      <c r="B48" s="3">
        <v>29.396178654639861</v>
      </c>
      <c r="C48" s="3">
        <v>1800</v>
      </c>
      <c r="D48" s="3">
        <v>1801.7080857753749</v>
      </c>
      <c r="E48" s="3" t="s">
        <v>16</v>
      </c>
      <c r="F48" s="3" t="s">
        <v>64</v>
      </c>
      <c r="G48" s="3" t="s">
        <v>18</v>
      </c>
      <c r="H48" s="3" t="s">
        <v>74</v>
      </c>
      <c r="I48" s="3">
        <v>14</v>
      </c>
      <c r="J48" s="3" t="s">
        <v>75</v>
      </c>
      <c r="K48" s="3" t="s">
        <v>76</v>
      </c>
      <c r="L48" s="3" t="s">
        <v>22</v>
      </c>
      <c r="M48" s="3" t="s">
        <v>23</v>
      </c>
      <c r="N48" s="3">
        <f t="shared" si="0"/>
        <v>2</v>
      </c>
      <c r="O48" s="3" t="str">
        <f t="shared" si="1"/>
        <v>Martes</v>
      </c>
    </row>
    <row r="49" spans="1:15" ht="14.25" customHeight="1" x14ac:dyDescent="0.3">
      <c r="A49" s="3" t="s">
        <v>77</v>
      </c>
      <c r="B49" s="3">
        <v>19.191097373884961</v>
      </c>
      <c r="C49" s="3">
        <v>10</v>
      </c>
      <c r="D49" s="3">
        <v>10.34876155853271</v>
      </c>
      <c r="E49" s="3" t="s">
        <v>16</v>
      </c>
      <c r="F49" s="3" t="s">
        <v>78</v>
      </c>
      <c r="G49" s="3" t="s">
        <v>18</v>
      </c>
      <c r="H49" s="3" t="s">
        <v>79</v>
      </c>
      <c r="I49" s="3">
        <v>10</v>
      </c>
      <c r="J49" s="3" t="s">
        <v>80</v>
      </c>
      <c r="K49" s="3" t="s">
        <v>81</v>
      </c>
      <c r="L49" s="3" t="s">
        <v>22</v>
      </c>
      <c r="M49" s="3" t="s">
        <v>23</v>
      </c>
      <c r="N49" s="3">
        <f t="shared" si="0"/>
        <v>3</v>
      </c>
      <c r="O49" s="3" t="str">
        <f t="shared" si="1"/>
        <v>Miercoles</v>
      </c>
    </row>
    <row r="50" spans="1:15" ht="14.25" customHeight="1" x14ac:dyDescent="0.3">
      <c r="A50" s="3" t="s">
        <v>77</v>
      </c>
      <c r="B50" s="3">
        <v>19.191097373884961</v>
      </c>
      <c r="C50" s="3">
        <v>30</v>
      </c>
      <c r="D50" s="3">
        <v>30.43424391746521</v>
      </c>
      <c r="E50" s="3" t="s">
        <v>16</v>
      </c>
      <c r="F50" s="3" t="s">
        <v>78</v>
      </c>
      <c r="G50" s="3" t="s">
        <v>18</v>
      </c>
      <c r="H50" s="3" t="s">
        <v>79</v>
      </c>
      <c r="I50" s="3">
        <v>10</v>
      </c>
      <c r="J50" s="3" t="s">
        <v>80</v>
      </c>
      <c r="K50" s="3" t="s">
        <v>81</v>
      </c>
      <c r="L50" s="3" t="s">
        <v>22</v>
      </c>
      <c r="M50" s="3" t="s">
        <v>23</v>
      </c>
      <c r="N50" s="3">
        <f t="shared" si="0"/>
        <v>3</v>
      </c>
      <c r="O50" s="3" t="str">
        <f t="shared" si="1"/>
        <v>Miercoles</v>
      </c>
    </row>
    <row r="51" spans="1:15" ht="14.25" customHeight="1" x14ac:dyDescent="0.3">
      <c r="A51" s="3" t="s">
        <v>77</v>
      </c>
      <c r="B51" s="3">
        <v>19.161929070531858</v>
      </c>
      <c r="C51" s="3">
        <v>60</v>
      </c>
      <c r="D51" s="3">
        <v>60.41431188583374</v>
      </c>
      <c r="E51" s="3" t="s">
        <v>16</v>
      </c>
      <c r="F51" s="3" t="s">
        <v>78</v>
      </c>
      <c r="G51" s="3" t="s">
        <v>18</v>
      </c>
      <c r="H51" s="3" t="s">
        <v>82</v>
      </c>
      <c r="I51" s="3">
        <v>9</v>
      </c>
      <c r="J51" s="3" t="s">
        <v>83</v>
      </c>
      <c r="K51" s="3" t="s">
        <v>84</v>
      </c>
      <c r="L51" s="3" t="s">
        <v>22</v>
      </c>
      <c r="M51" s="3" t="s">
        <v>23</v>
      </c>
      <c r="N51" s="3">
        <f t="shared" si="0"/>
        <v>3</v>
      </c>
      <c r="O51" s="3" t="str">
        <f t="shared" si="1"/>
        <v>Miercoles</v>
      </c>
    </row>
    <row r="52" spans="1:15" ht="14.25" customHeight="1" x14ac:dyDescent="0.3">
      <c r="A52" s="3" t="s">
        <v>77</v>
      </c>
      <c r="B52" s="3">
        <v>19.161929070531858</v>
      </c>
      <c r="C52" s="3">
        <v>120</v>
      </c>
      <c r="D52" s="3">
        <v>82.888747692108154</v>
      </c>
      <c r="E52" s="3" t="s">
        <v>16</v>
      </c>
      <c r="F52" s="3" t="s">
        <v>78</v>
      </c>
      <c r="G52" s="3" t="s">
        <v>18</v>
      </c>
      <c r="H52" s="3" t="s">
        <v>82</v>
      </c>
      <c r="I52" s="3">
        <v>9</v>
      </c>
      <c r="J52" s="3" t="s">
        <v>83</v>
      </c>
      <c r="K52" s="3" t="s">
        <v>84</v>
      </c>
      <c r="L52" s="3" t="s">
        <v>22</v>
      </c>
      <c r="M52" s="3" t="s">
        <v>23</v>
      </c>
      <c r="N52" s="3">
        <f t="shared" si="0"/>
        <v>3</v>
      </c>
      <c r="O52" s="3" t="str">
        <f t="shared" si="1"/>
        <v>Miercoles</v>
      </c>
    </row>
    <row r="53" spans="1:15" ht="14.25" customHeight="1" x14ac:dyDescent="0.3">
      <c r="A53" s="3" t="s">
        <v>77</v>
      </c>
      <c r="B53" s="3">
        <v>19.161929070531858</v>
      </c>
      <c r="C53" s="3">
        <v>180</v>
      </c>
      <c r="D53" s="3">
        <v>93.148241519927979</v>
      </c>
      <c r="E53" s="3" t="s">
        <v>16</v>
      </c>
      <c r="F53" s="3" t="s">
        <v>78</v>
      </c>
      <c r="G53" s="3" t="s">
        <v>18</v>
      </c>
      <c r="H53" s="3" t="s">
        <v>82</v>
      </c>
      <c r="I53" s="3">
        <v>9</v>
      </c>
      <c r="J53" s="3" t="s">
        <v>83</v>
      </c>
      <c r="K53" s="3" t="s">
        <v>84</v>
      </c>
      <c r="L53" s="3" t="s">
        <v>22</v>
      </c>
      <c r="M53" s="3" t="s">
        <v>23</v>
      </c>
      <c r="N53" s="3">
        <f t="shared" si="0"/>
        <v>3</v>
      </c>
      <c r="O53" s="3" t="str">
        <f t="shared" si="1"/>
        <v>Miercoles</v>
      </c>
    </row>
    <row r="54" spans="1:15" ht="14.25" customHeight="1" x14ac:dyDescent="0.3">
      <c r="A54" s="3" t="s">
        <v>77</v>
      </c>
      <c r="B54" s="3">
        <v>19.161929070531858</v>
      </c>
      <c r="C54" s="3">
        <v>240</v>
      </c>
      <c r="D54" s="3">
        <v>110.89618492126461</v>
      </c>
      <c r="E54" s="3" t="s">
        <v>16</v>
      </c>
      <c r="F54" s="3" t="s">
        <v>78</v>
      </c>
      <c r="G54" s="3" t="s">
        <v>18</v>
      </c>
      <c r="H54" s="3" t="s">
        <v>82</v>
      </c>
      <c r="I54" s="3">
        <v>9</v>
      </c>
      <c r="J54" s="3" t="s">
        <v>83</v>
      </c>
      <c r="K54" s="3" t="s">
        <v>84</v>
      </c>
      <c r="L54" s="3" t="s">
        <v>22</v>
      </c>
      <c r="M54" s="3" t="s">
        <v>23</v>
      </c>
      <c r="N54" s="3">
        <f t="shared" si="0"/>
        <v>3</v>
      </c>
      <c r="O54" s="3" t="str">
        <f t="shared" si="1"/>
        <v>Miercoles</v>
      </c>
    </row>
    <row r="55" spans="1:15" ht="14.25" customHeight="1" x14ac:dyDescent="0.3">
      <c r="A55" s="3" t="s">
        <v>77</v>
      </c>
      <c r="B55" s="3">
        <v>19.161929070531858</v>
      </c>
      <c r="C55" s="3">
        <v>300</v>
      </c>
      <c r="D55" s="3">
        <v>115.01650762557981</v>
      </c>
      <c r="E55" s="3" t="s">
        <v>16</v>
      </c>
      <c r="F55" s="3" t="s">
        <v>78</v>
      </c>
      <c r="G55" s="3" t="s">
        <v>18</v>
      </c>
      <c r="H55" s="3" t="s">
        <v>82</v>
      </c>
      <c r="I55" s="3">
        <v>9</v>
      </c>
      <c r="J55" s="3" t="s">
        <v>83</v>
      </c>
      <c r="K55" s="3" t="s">
        <v>84</v>
      </c>
      <c r="L55" s="3" t="s">
        <v>22</v>
      </c>
      <c r="M55" s="3" t="s">
        <v>23</v>
      </c>
      <c r="N55" s="3">
        <f t="shared" si="0"/>
        <v>3</v>
      </c>
      <c r="O55" s="3" t="str">
        <f t="shared" si="1"/>
        <v>Miercoles</v>
      </c>
    </row>
    <row r="56" spans="1:15" ht="14.25" customHeight="1" x14ac:dyDescent="0.3">
      <c r="A56" s="3" t="s">
        <v>77</v>
      </c>
      <c r="B56" s="3">
        <v>19.161929070531858</v>
      </c>
      <c r="C56" s="3">
        <v>1800</v>
      </c>
      <c r="D56" s="3">
        <v>78.198948383331299</v>
      </c>
      <c r="E56" s="3" t="s">
        <v>16</v>
      </c>
      <c r="F56" s="3" t="s">
        <v>78</v>
      </c>
      <c r="G56" s="3" t="s">
        <v>18</v>
      </c>
      <c r="H56" s="3" t="s">
        <v>82</v>
      </c>
      <c r="I56" s="3">
        <v>9</v>
      </c>
      <c r="J56" s="3" t="s">
        <v>83</v>
      </c>
      <c r="K56" s="3" t="s">
        <v>84</v>
      </c>
      <c r="L56" s="3" t="s">
        <v>22</v>
      </c>
      <c r="M56" s="3" t="s">
        <v>23</v>
      </c>
      <c r="N56" s="3">
        <f t="shared" si="0"/>
        <v>3</v>
      </c>
      <c r="O56" s="3" t="str">
        <f t="shared" si="1"/>
        <v>Miercoles</v>
      </c>
    </row>
    <row r="57" spans="1:15" ht="14.25" customHeight="1" x14ac:dyDescent="0.3">
      <c r="A57" s="3" t="s">
        <v>85</v>
      </c>
      <c r="B57" s="3">
        <v>3.9074702335643181</v>
      </c>
      <c r="C57" s="3">
        <v>10</v>
      </c>
      <c r="D57" s="3">
        <v>0.66204810142517101</v>
      </c>
      <c r="E57" s="3" t="s">
        <v>16</v>
      </c>
      <c r="F57" s="3" t="s">
        <v>86</v>
      </c>
      <c r="G57" s="3" t="s">
        <v>18</v>
      </c>
      <c r="H57" s="3" t="s">
        <v>87</v>
      </c>
      <c r="I57" s="3">
        <v>6</v>
      </c>
      <c r="J57" s="3" t="s">
        <v>88</v>
      </c>
      <c r="K57" s="3" t="s">
        <v>89</v>
      </c>
      <c r="L57" s="3" t="s">
        <v>22</v>
      </c>
      <c r="M57" s="3" t="s">
        <v>23</v>
      </c>
      <c r="N57" s="3">
        <f t="shared" si="0"/>
        <v>4</v>
      </c>
      <c r="O57" s="3" t="str">
        <f t="shared" si="1"/>
        <v>Jueves</v>
      </c>
    </row>
    <row r="58" spans="1:15" ht="14.25" customHeight="1" x14ac:dyDescent="0.3">
      <c r="A58" s="3" t="s">
        <v>85</v>
      </c>
      <c r="B58" s="3">
        <v>3.9074702335643181</v>
      </c>
      <c r="C58" s="3">
        <v>30</v>
      </c>
      <c r="D58" s="3">
        <v>0.56203961372375488</v>
      </c>
      <c r="E58" s="3" t="s">
        <v>16</v>
      </c>
      <c r="F58" s="3" t="s">
        <v>86</v>
      </c>
      <c r="G58" s="3" t="s">
        <v>18</v>
      </c>
      <c r="H58" s="3" t="s">
        <v>87</v>
      </c>
      <c r="I58" s="3">
        <v>6</v>
      </c>
      <c r="J58" s="3" t="s">
        <v>88</v>
      </c>
      <c r="K58" s="3" t="s">
        <v>89</v>
      </c>
      <c r="L58" s="3" t="s">
        <v>22</v>
      </c>
      <c r="M58" s="3" t="s">
        <v>23</v>
      </c>
      <c r="N58" s="3">
        <f t="shared" si="0"/>
        <v>4</v>
      </c>
      <c r="O58" s="3" t="str">
        <f t="shared" si="1"/>
        <v>Jueves</v>
      </c>
    </row>
    <row r="59" spans="1:15" ht="14.25" customHeight="1" x14ac:dyDescent="0.3">
      <c r="A59" s="3" t="s">
        <v>85</v>
      </c>
      <c r="B59" s="3">
        <v>3.9074702335643181</v>
      </c>
      <c r="C59" s="3">
        <v>60</v>
      </c>
      <c r="D59" s="3">
        <v>0.54904484748840332</v>
      </c>
      <c r="E59" s="3" t="s">
        <v>16</v>
      </c>
      <c r="F59" s="3" t="s">
        <v>86</v>
      </c>
      <c r="G59" s="3" t="s">
        <v>18</v>
      </c>
      <c r="H59" s="3" t="s">
        <v>87</v>
      </c>
      <c r="I59" s="3">
        <v>6</v>
      </c>
      <c r="J59" s="3" t="s">
        <v>88</v>
      </c>
      <c r="K59" s="3" t="s">
        <v>89</v>
      </c>
      <c r="L59" s="3" t="s">
        <v>22</v>
      </c>
      <c r="M59" s="3" t="s">
        <v>23</v>
      </c>
      <c r="N59" s="3">
        <f t="shared" si="0"/>
        <v>4</v>
      </c>
      <c r="O59" s="3" t="str">
        <f t="shared" si="1"/>
        <v>Jueves</v>
      </c>
    </row>
    <row r="60" spans="1:15" ht="14.25" customHeight="1" x14ac:dyDescent="0.3">
      <c r="A60" s="3" t="s">
        <v>85</v>
      </c>
      <c r="B60" s="3">
        <v>3.9074702335643181</v>
      </c>
      <c r="C60" s="3">
        <v>120</v>
      </c>
      <c r="D60" s="3">
        <v>0.49803948402404791</v>
      </c>
      <c r="E60" s="3" t="s">
        <v>16</v>
      </c>
      <c r="F60" s="3" t="s">
        <v>86</v>
      </c>
      <c r="G60" s="3" t="s">
        <v>18</v>
      </c>
      <c r="H60" s="3" t="s">
        <v>87</v>
      </c>
      <c r="I60" s="3">
        <v>6</v>
      </c>
      <c r="J60" s="3" t="s">
        <v>88</v>
      </c>
      <c r="K60" s="3" t="s">
        <v>89</v>
      </c>
      <c r="L60" s="3" t="s">
        <v>22</v>
      </c>
      <c r="M60" s="3" t="s">
        <v>23</v>
      </c>
      <c r="N60" s="3">
        <f t="shared" si="0"/>
        <v>4</v>
      </c>
      <c r="O60" s="3" t="str">
        <f t="shared" si="1"/>
        <v>Jueves</v>
      </c>
    </row>
    <row r="61" spans="1:15" ht="14.25" customHeight="1" x14ac:dyDescent="0.3">
      <c r="A61" s="3" t="s">
        <v>85</v>
      </c>
      <c r="B61" s="3">
        <v>3.9074702335643181</v>
      </c>
      <c r="C61" s="3">
        <v>180</v>
      </c>
      <c r="D61" s="3">
        <v>0.69304823875427246</v>
      </c>
      <c r="E61" s="3" t="s">
        <v>16</v>
      </c>
      <c r="F61" s="3" t="s">
        <v>86</v>
      </c>
      <c r="G61" s="3" t="s">
        <v>18</v>
      </c>
      <c r="H61" s="3" t="s">
        <v>87</v>
      </c>
      <c r="I61" s="3">
        <v>6</v>
      </c>
      <c r="J61" s="3" t="s">
        <v>88</v>
      </c>
      <c r="K61" s="3" t="s">
        <v>89</v>
      </c>
      <c r="L61" s="3" t="s">
        <v>22</v>
      </c>
      <c r="M61" s="3" t="s">
        <v>23</v>
      </c>
      <c r="N61" s="3">
        <f t="shared" si="0"/>
        <v>4</v>
      </c>
      <c r="O61" s="3" t="str">
        <f t="shared" si="1"/>
        <v>Jueves</v>
      </c>
    </row>
    <row r="62" spans="1:15" ht="14.25" customHeight="1" x14ac:dyDescent="0.3">
      <c r="A62" s="3" t="s">
        <v>85</v>
      </c>
      <c r="B62" s="3">
        <v>3.9074702335643181</v>
      </c>
      <c r="C62" s="3">
        <v>240</v>
      </c>
      <c r="D62" s="3">
        <v>0.4490358829498291</v>
      </c>
      <c r="E62" s="3" t="s">
        <v>16</v>
      </c>
      <c r="F62" s="3" t="s">
        <v>86</v>
      </c>
      <c r="G62" s="3" t="s">
        <v>18</v>
      </c>
      <c r="H62" s="3" t="s">
        <v>87</v>
      </c>
      <c r="I62" s="3">
        <v>6</v>
      </c>
      <c r="J62" s="3" t="s">
        <v>88</v>
      </c>
      <c r="K62" s="3" t="s">
        <v>89</v>
      </c>
      <c r="L62" s="3" t="s">
        <v>22</v>
      </c>
      <c r="M62" s="3" t="s">
        <v>23</v>
      </c>
      <c r="N62" s="3">
        <f t="shared" si="0"/>
        <v>4</v>
      </c>
      <c r="O62" s="3" t="str">
        <f t="shared" si="1"/>
        <v>Jueves</v>
      </c>
    </row>
    <row r="63" spans="1:15" ht="14.25" customHeight="1" x14ac:dyDescent="0.3">
      <c r="A63" s="3" t="s">
        <v>85</v>
      </c>
      <c r="B63" s="3">
        <v>3.9074702335643181</v>
      </c>
      <c r="C63" s="3">
        <v>300</v>
      </c>
      <c r="D63" s="3">
        <v>0.48403429985046392</v>
      </c>
      <c r="E63" s="3" t="s">
        <v>16</v>
      </c>
      <c r="F63" s="3" t="s">
        <v>86</v>
      </c>
      <c r="G63" s="3" t="s">
        <v>18</v>
      </c>
      <c r="H63" s="3" t="s">
        <v>87</v>
      </c>
      <c r="I63" s="3">
        <v>6</v>
      </c>
      <c r="J63" s="3" t="s">
        <v>88</v>
      </c>
      <c r="K63" s="3" t="s">
        <v>89</v>
      </c>
      <c r="L63" s="3" t="s">
        <v>22</v>
      </c>
      <c r="M63" s="3" t="s">
        <v>23</v>
      </c>
      <c r="N63" s="3">
        <f t="shared" si="0"/>
        <v>4</v>
      </c>
      <c r="O63" s="3" t="str">
        <f t="shared" si="1"/>
        <v>Jueves</v>
      </c>
    </row>
    <row r="64" spans="1:15" ht="14.25" customHeight="1" x14ac:dyDescent="0.3">
      <c r="A64" s="3" t="s">
        <v>85</v>
      </c>
      <c r="B64" s="3">
        <v>3.9074702335643181</v>
      </c>
      <c r="C64" s="3">
        <v>500</v>
      </c>
      <c r="D64" s="3">
        <v>0.57803916931152344</v>
      </c>
      <c r="E64" s="3" t="s">
        <v>16</v>
      </c>
      <c r="F64" s="3" t="s">
        <v>86</v>
      </c>
      <c r="G64" s="3" t="s">
        <v>18</v>
      </c>
      <c r="H64" s="3" t="s">
        <v>87</v>
      </c>
      <c r="I64" s="3">
        <v>6</v>
      </c>
      <c r="J64" s="3" t="s">
        <v>88</v>
      </c>
      <c r="K64" s="3" t="s">
        <v>89</v>
      </c>
      <c r="L64" s="3" t="s">
        <v>22</v>
      </c>
      <c r="M64" s="3" t="s">
        <v>23</v>
      </c>
      <c r="N64" s="3">
        <f t="shared" si="0"/>
        <v>4</v>
      </c>
      <c r="O64" s="3" t="str">
        <f t="shared" si="1"/>
        <v>Jueves</v>
      </c>
    </row>
    <row r="65" spans="1:15" ht="14.25" customHeight="1" x14ac:dyDescent="0.3">
      <c r="A65" s="3" t="s">
        <v>85</v>
      </c>
      <c r="B65" s="3">
        <v>3.9074702335643181</v>
      </c>
      <c r="C65" s="3">
        <v>900</v>
      </c>
      <c r="D65" s="3">
        <v>0.56429219245910645</v>
      </c>
      <c r="E65" s="3" t="s">
        <v>16</v>
      </c>
      <c r="F65" s="3" t="s">
        <v>86</v>
      </c>
      <c r="G65" s="3" t="s">
        <v>18</v>
      </c>
      <c r="H65" s="3" t="s">
        <v>87</v>
      </c>
      <c r="I65" s="3">
        <v>6</v>
      </c>
      <c r="J65" s="3" t="s">
        <v>88</v>
      </c>
      <c r="K65" s="3" t="s">
        <v>89</v>
      </c>
      <c r="L65" s="3" t="s">
        <v>22</v>
      </c>
      <c r="M65" s="3" t="s">
        <v>23</v>
      </c>
      <c r="N65" s="3">
        <f t="shared" si="0"/>
        <v>4</v>
      </c>
      <c r="O65" s="3" t="str">
        <f t="shared" si="1"/>
        <v>Jueves</v>
      </c>
    </row>
    <row r="66" spans="1:15" ht="14.25" customHeight="1" x14ac:dyDescent="0.3">
      <c r="A66" s="3" t="s">
        <v>85</v>
      </c>
      <c r="B66" s="3">
        <v>3.9074702335643181</v>
      </c>
      <c r="C66" s="3">
        <v>1800</v>
      </c>
      <c r="D66" s="3">
        <v>0.67186498641967773</v>
      </c>
      <c r="E66" s="3" t="s">
        <v>16</v>
      </c>
      <c r="F66" s="3" t="s">
        <v>86</v>
      </c>
      <c r="G66" s="3" t="s">
        <v>18</v>
      </c>
      <c r="H66" s="3" t="s">
        <v>87</v>
      </c>
      <c r="I66" s="3">
        <v>6</v>
      </c>
      <c r="J66" s="3" t="s">
        <v>88</v>
      </c>
      <c r="K66" s="3" t="s">
        <v>89</v>
      </c>
      <c r="L66" s="3" t="s">
        <v>22</v>
      </c>
      <c r="M66" s="3" t="s">
        <v>23</v>
      </c>
      <c r="N66" s="3">
        <f t="shared" si="0"/>
        <v>4</v>
      </c>
      <c r="O66" s="3" t="str">
        <f t="shared" si="1"/>
        <v>Jueves</v>
      </c>
    </row>
    <row r="67" spans="1:15" ht="14.25" customHeight="1" x14ac:dyDescent="0.3">
      <c r="A67" s="3" t="s">
        <v>90</v>
      </c>
      <c r="B67" s="3">
        <v>31.58575564379953</v>
      </c>
      <c r="C67" s="3">
        <v>10</v>
      </c>
      <c r="D67" s="3">
        <v>10.58922910690308</v>
      </c>
      <c r="E67" s="3" t="s">
        <v>16</v>
      </c>
      <c r="F67" s="3" t="s">
        <v>91</v>
      </c>
      <c r="G67" s="3" t="s">
        <v>18</v>
      </c>
      <c r="H67" s="3" t="s">
        <v>92</v>
      </c>
      <c r="I67" s="3">
        <v>10</v>
      </c>
      <c r="J67" s="3" t="s">
        <v>93</v>
      </c>
      <c r="K67" s="3" t="s">
        <v>94</v>
      </c>
      <c r="L67" s="3" t="s">
        <v>22</v>
      </c>
      <c r="M67" s="3" t="s">
        <v>23</v>
      </c>
      <c r="N67" s="3">
        <f t="shared" si="0"/>
        <v>5</v>
      </c>
      <c r="O67" s="3" t="str">
        <f t="shared" si="1"/>
        <v>Viernes</v>
      </c>
    </row>
    <row r="68" spans="1:15" ht="14.25" customHeight="1" x14ac:dyDescent="0.3">
      <c r="A68" s="3" t="s">
        <v>90</v>
      </c>
      <c r="B68" s="3">
        <v>29.2403532584587</v>
      </c>
      <c r="C68" s="3">
        <v>30</v>
      </c>
      <c r="D68" s="3">
        <v>30.547088861465451</v>
      </c>
      <c r="E68" s="3" t="s">
        <v>16</v>
      </c>
      <c r="F68" s="3" t="s">
        <v>91</v>
      </c>
      <c r="G68" s="3" t="s">
        <v>18</v>
      </c>
      <c r="H68" s="3" t="s">
        <v>95</v>
      </c>
      <c r="I68" s="3">
        <v>9</v>
      </c>
      <c r="J68" s="3" t="s">
        <v>96</v>
      </c>
      <c r="K68" s="3" t="s">
        <v>97</v>
      </c>
      <c r="L68" s="3" t="s">
        <v>22</v>
      </c>
      <c r="M68" s="3" t="s">
        <v>23</v>
      </c>
      <c r="N68" s="3">
        <f t="shared" si="0"/>
        <v>5</v>
      </c>
      <c r="O68" s="3" t="str">
        <f t="shared" si="1"/>
        <v>Viernes</v>
      </c>
    </row>
    <row r="69" spans="1:15" ht="14.25" customHeight="1" x14ac:dyDescent="0.3">
      <c r="A69" s="3" t="s">
        <v>90</v>
      </c>
      <c r="B69" s="3">
        <v>29.184800721488479</v>
      </c>
      <c r="C69" s="3">
        <v>60</v>
      </c>
      <c r="D69" s="3">
        <v>61.024132966995239</v>
      </c>
      <c r="E69" s="3" t="s">
        <v>16</v>
      </c>
      <c r="F69" s="3" t="s">
        <v>91</v>
      </c>
      <c r="G69" s="3" t="s">
        <v>18</v>
      </c>
      <c r="H69" s="3" t="s">
        <v>98</v>
      </c>
      <c r="I69" s="3">
        <v>10</v>
      </c>
      <c r="J69" s="3" t="s">
        <v>99</v>
      </c>
      <c r="K69" s="3" t="s">
        <v>100</v>
      </c>
      <c r="L69" s="3" t="s">
        <v>22</v>
      </c>
      <c r="M69" s="3" t="s">
        <v>23</v>
      </c>
      <c r="N69" s="3">
        <f t="shared" si="0"/>
        <v>5</v>
      </c>
      <c r="O69" s="3" t="str">
        <f t="shared" si="1"/>
        <v>Viernes</v>
      </c>
    </row>
    <row r="70" spans="1:15" ht="14.25" customHeight="1" x14ac:dyDescent="0.3">
      <c r="A70" s="3" t="s">
        <v>90</v>
      </c>
      <c r="B70" s="3">
        <v>29.078924722739821</v>
      </c>
      <c r="C70" s="3">
        <v>120</v>
      </c>
      <c r="D70" s="3">
        <v>120.6836864948273</v>
      </c>
      <c r="E70" s="3" t="s">
        <v>16</v>
      </c>
      <c r="F70" s="3" t="s">
        <v>91</v>
      </c>
      <c r="G70" s="3" t="s">
        <v>18</v>
      </c>
      <c r="H70" s="3" t="s">
        <v>101</v>
      </c>
      <c r="I70" s="3">
        <v>9</v>
      </c>
      <c r="J70" s="3" t="s">
        <v>102</v>
      </c>
      <c r="K70" s="3" t="s">
        <v>103</v>
      </c>
      <c r="L70" s="3" t="s">
        <v>22</v>
      </c>
      <c r="M70" s="3" t="s">
        <v>23</v>
      </c>
      <c r="N70" s="3">
        <f t="shared" si="0"/>
        <v>5</v>
      </c>
      <c r="O70" s="3" t="str">
        <f t="shared" si="1"/>
        <v>Viernes</v>
      </c>
    </row>
    <row r="71" spans="1:15" ht="14.25" customHeight="1" x14ac:dyDescent="0.3">
      <c r="A71" s="3" t="s">
        <v>90</v>
      </c>
      <c r="B71" s="3">
        <v>29.078359890472669</v>
      </c>
      <c r="C71" s="3">
        <v>180</v>
      </c>
      <c r="D71" s="3">
        <v>180.52700161933899</v>
      </c>
      <c r="E71" s="3" t="s">
        <v>16</v>
      </c>
      <c r="F71" s="3" t="s">
        <v>91</v>
      </c>
      <c r="G71" s="3" t="s">
        <v>18</v>
      </c>
      <c r="H71" s="3" t="s">
        <v>104</v>
      </c>
      <c r="I71" s="3">
        <v>10</v>
      </c>
      <c r="J71" s="3" t="s">
        <v>105</v>
      </c>
      <c r="K71" s="3" t="s">
        <v>106</v>
      </c>
      <c r="L71" s="3" t="s">
        <v>22</v>
      </c>
      <c r="M71" s="3" t="s">
        <v>23</v>
      </c>
      <c r="N71" s="3">
        <f t="shared" si="0"/>
        <v>5</v>
      </c>
      <c r="O71" s="3" t="str">
        <f t="shared" si="1"/>
        <v>Viernes</v>
      </c>
    </row>
    <row r="72" spans="1:15" ht="14.25" customHeight="1" x14ac:dyDescent="0.3">
      <c r="A72" s="3" t="s">
        <v>90</v>
      </c>
      <c r="B72" s="3">
        <v>28.978342879565169</v>
      </c>
      <c r="C72" s="3">
        <v>240</v>
      </c>
      <c r="D72" s="3">
        <v>240.79692697525019</v>
      </c>
      <c r="E72" s="3" t="s">
        <v>16</v>
      </c>
      <c r="F72" s="3" t="s">
        <v>91</v>
      </c>
      <c r="G72" s="3" t="s">
        <v>18</v>
      </c>
      <c r="H72" s="3" t="s">
        <v>107</v>
      </c>
      <c r="I72" s="3">
        <v>10</v>
      </c>
      <c r="J72" s="3" t="s">
        <v>108</v>
      </c>
      <c r="K72" s="3" t="s">
        <v>109</v>
      </c>
      <c r="L72" s="3" t="s">
        <v>22</v>
      </c>
      <c r="M72" s="3" t="s">
        <v>23</v>
      </c>
      <c r="N72" s="3">
        <f t="shared" si="0"/>
        <v>5</v>
      </c>
      <c r="O72" s="3" t="str">
        <f t="shared" si="1"/>
        <v>Viernes</v>
      </c>
    </row>
    <row r="73" spans="1:15" ht="14.25" customHeight="1" x14ac:dyDescent="0.3">
      <c r="A73" s="3" t="s">
        <v>90</v>
      </c>
      <c r="B73" s="3">
        <v>28.460192307371809</v>
      </c>
      <c r="C73" s="3">
        <v>300</v>
      </c>
      <c r="D73" s="3">
        <v>300.83396887779242</v>
      </c>
      <c r="E73" s="3" t="s">
        <v>16</v>
      </c>
      <c r="F73" s="3" t="s">
        <v>91</v>
      </c>
      <c r="G73" s="3" t="s">
        <v>18</v>
      </c>
      <c r="H73" s="3" t="s">
        <v>110</v>
      </c>
      <c r="I73" s="3">
        <v>11</v>
      </c>
      <c r="J73" s="3" t="s">
        <v>111</v>
      </c>
      <c r="K73" s="3" t="s">
        <v>112</v>
      </c>
      <c r="L73" s="3" t="s">
        <v>22</v>
      </c>
      <c r="M73" s="3" t="s">
        <v>23</v>
      </c>
      <c r="N73" s="3">
        <f t="shared" si="0"/>
        <v>5</v>
      </c>
      <c r="O73" s="3" t="str">
        <f t="shared" si="1"/>
        <v>Viernes</v>
      </c>
    </row>
    <row r="74" spans="1:15" ht="14.25" customHeight="1" x14ac:dyDescent="0.3">
      <c r="A74" s="3" t="s">
        <v>90</v>
      </c>
      <c r="B74" s="3">
        <v>28.460192307371809</v>
      </c>
      <c r="C74" s="3">
        <v>900</v>
      </c>
      <c r="D74" s="3">
        <v>900.93794441223145</v>
      </c>
      <c r="E74" s="3" t="s">
        <v>16</v>
      </c>
      <c r="F74" s="3" t="s">
        <v>91</v>
      </c>
      <c r="G74" s="3" t="s">
        <v>18</v>
      </c>
      <c r="H74" s="3" t="s">
        <v>110</v>
      </c>
      <c r="I74" s="3">
        <v>11</v>
      </c>
      <c r="J74" s="3" t="s">
        <v>111</v>
      </c>
      <c r="K74" s="3" t="s">
        <v>112</v>
      </c>
      <c r="L74" s="3" t="s">
        <v>22</v>
      </c>
      <c r="M74" s="3" t="s">
        <v>23</v>
      </c>
      <c r="N74" s="3">
        <f t="shared" si="0"/>
        <v>5</v>
      </c>
      <c r="O74" s="3" t="str">
        <f t="shared" si="1"/>
        <v>Viernes</v>
      </c>
    </row>
    <row r="75" spans="1:15" ht="14.25" customHeight="1" x14ac:dyDescent="0.3">
      <c r="A75" s="3" t="s">
        <v>90</v>
      </c>
      <c r="B75" s="3">
        <v>28.460192307371809</v>
      </c>
      <c r="C75" s="3">
        <v>1800</v>
      </c>
      <c r="D75" s="3">
        <v>1802.0543699264531</v>
      </c>
      <c r="E75" s="3" t="s">
        <v>16</v>
      </c>
      <c r="F75" s="3" t="s">
        <v>91</v>
      </c>
      <c r="G75" s="3" t="s">
        <v>18</v>
      </c>
      <c r="H75" s="3" t="s">
        <v>110</v>
      </c>
      <c r="I75" s="3">
        <v>11</v>
      </c>
      <c r="J75" s="3" t="s">
        <v>111</v>
      </c>
      <c r="K75" s="3" t="s">
        <v>112</v>
      </c>
      <c r="L75" s="3" t="s">
        <v>22</v>
      </c>
      <c r="M75" s="3" t="s">
        <v>23</v>
      </c>
      <c r="N75" s="3">
        <f t="shared" si="0"/>
        <v>5</v>
      </c>
      <c r="O75" s="3" t="str">
        <f t="shared" si="1"/>
        <v>Viernes</v>
      </c>
    </row>
    <row r="76" spans="1:15" ht="14.25" customHeight="1" x14ac:dyDescent="0.3">
      <c r="A76" s="3" t="s">
        <v>113</v>
      </c>
      <c r="B76" s="3">
        <v>16.929914164188389</v>
      </c>
      <c r="C76" s="3">
        <v>120</v>
      </c>
      <c r="D76" s="3">
        <v>121.01804971694951</v>
      </c>
      <c r="E76" s="3" t="s">
        <v>16</v>
      </c>
      <c r="F76" s="3" t="s">
        <v>114</v>
      </c>
      <c r="G76" s="3" t="s">
        <v>18</v>
      </c>
      <c r="H76" s="3" t="s">
        <v>115</v>
      </c>
      <c r="I76" s="3">
        <v>7</v>
      </c>
      <c r="J76" s="3" t="s">
        <v>116</v>
      </c>
      <c r="K76" s="3" t="s">
        <v>117</v>
      </c>
      <c r="L76" s="3" t="s">
        <v>22</v>
      </c>
      <c r="M76" s="3" t="s">
        <v>23</v>
      </c>
      <c r="N76" s="3">
        <f t="shared" si="0"/>
        <v>6</v>
      </c>
      <c r="O76" s="3" t="str">
        <f t="shared" si="1"/>
        <v>Sabado</v>
      </c>
    </row>
    <row r="77" spans="1:15" ht="14.25" customHeight="1" x14ac:dyDescent="0.3">
      <c r="A77" s="3" t="s">
        <v>118</v>
      </c>
      <c r="B77" s="3">
        <v>9.1275319212878845</v>
      </c>
      <c r="C77" s="3">
        <v>120</v>
      </c>
      <c r="D77" s="3">
        <v>7.3374905586242676</v>
      </c>
      <c r="E77" s="3" t="s">
        <v>16</v>
      </c>
      <c r="F77" s="3" t="s">
        <v>119</v>
      </c>
      <c r="G77" s="3" t="s">
        <v>18</v>
      </c>
      <c r="H77" s="3" t="s">
        <v>120</v>
      </c>
      <c r="I77" s="3">
        <v>11</v>
      </c>
      <c r="J77" s="3" t="s">
        <v>121</v>
      </c>
      <c r="K77" s="3" t="s">
        <v>122</v>
      </c>
      <c r="L77" s="3" t="s">
        <v>22</v>
      </c>
      <c r="M77" s="3" t="s">
        <v>23</v>
      </c>
      <c r="N77" s="3">
        <f t="shared" si="0"/>
        <v>7</v>
      </c>
      <c r="O77" s="3" t="str">
        <f t="shared" si="1"/>
        <v>Domingo</v>
      </c>
    </row>
    <row r="78" spans="1:15" ht="14.25" customHeight="1" x14ac:dyDescent="0.3">
      <c r="A78" s="3" t="s">
        <v>123</v>
      </c>
      <c r="B78" s="3">
        <v>29.0533877718137</v>
      </c>
      <c r="C78" s="3">
        <v>120</v>
      </c>
      <c r="D78" s="3">
        <v>120.8186893463135</v>
      </c>
      <c r="E78" s="3" t="s">
        <v>16</v>
      </c>
      <c r="F78" s="3" t="s">
        <v>124</v>
      </c>
      <c r="G78" s="3" t="s">
        <v>18</v>
      </c>
      <c r="H78" s="3" t="s">
        <v>125</v>
      </c>
      <c r="I78" s="3">
        <v>11</v>
      </c>
      <c r="J78" s="3" t="s">
        <v>126</v>
      </c>
      <c r="K78" s="3" t="s">
        <v>127</v>
      </c>
      <c r="L78" s="3" t="s">
        <v>22</v>
      </c>
      <c r="M78" s="3" t="s">
        <v>23</v>
      </c>
      <c r="N78" s="3">
        <f t="shared" si="0"/>
        <v>1</v>
      </c>
      <c r="O78" s="3" t="str">
        <f t="shared" si="1"/>
        <v>Lunes</v>
      </c>
    </row>
    <row r="79" spans="1:15" ht="14.25" customHeight="1" x14ac:dyDescent="0.3">
      <c r="A79" s="3" t="s">
        <v>128</v>
      </c>
      <c r="B79" s="3">
        <v>41.383622981336273</v>
      </c>
      <c r="C79" s="3">
        <v>120</v>
      </c>
      <c r="D79" s="3">
        <v>120.8738553524017</v>
      </c>
      <c r="E79" s="3" t="s">
        <v>16</v>
      </c>
      <c r="F79" s="3" t="s">
        <v>129</v>
      </c>
      <c r="G79" s="3" t="s">
        <v>18</v>
      </c>
      <c r="H79" s="3" t="s">
        <v>130</v>
      </c>
      <c r="I79" s="3">
        <v>14</v>
      </c>
      <c r="J79" s="3" t="s">
        <v>131</v>
      </c>
      <c r="K79" s="3" t="s">
        <v>132</v>
      </c>
      <c r="L79" s="3" t="s">
        <v>22</v>
      </c>
      <c r="M79" s="3" t="s">
        <v>23</v>
      </c>
      <c r="N79" s="3">
        <f t="shared" si="0"/>
        <v>2</v>
      </c>
      <c r="O79" s="3" t="str">
        <f t="shared" si="1"/>
        <v>Martes</v>
      </c>
    </row>
    <row r="80" spans="1:15" ht="14.25" customHeight="1" x14ac:dyDescent="0.3">
      <c r="A80" s="3" t="s">
        <v>133</v>
      </c>
      <c r="B80" s="3">
        <v>7.3136229194110687</v>
      </c>
      <c r="C80" s="3">
        <v>120</v>
      </c>
      <c r="D80" s="3">
        <v>1.1508374214172361</v>
      </c>
      <c r="E80" s="3" t="s">
        <v>16</v>
      </c>
      <c r="F80" s="3" t="s">
        <v>134</v>
      </c>
      <c r="G80" s="3" t="s">
        <v>18</v>
      </c>
      <c r="H80" s="3" t="s">
        <v>135</v>
      </c>
      <c r="I80" s="3">
        <v>9</v>
      </c>
      <c r="J80" s="3" t="s">
        <v>136</v>
      </c>
      <c r="K80" s="3" t="s">
        <v>137</v>
      </c>
      <c r="L80" s="3" t="s">
        <v>22</v>
      </c>
      <c r="M80" s="3" t="s">
        <v>23</v>
      </c>
      <c r="N80" s="3">
        <f t="shared" si="0"/>
        <v>3</v>
      </c>
      <c r="O80" s="3" t="str">
        <f t="shared" si="1"/>
        <v>Miercoles</v>
      </c>
    </row>
    <row r="81" spans="1:15" ht="14.25" customHeight="1" x14ac:dyDescent="0.3">
      <c r="A81" s="3" t="s">
        <v>138</v>
      </c>
      <c r="B81" s="3">
        <v>4.7861030203714474</v>
      </c>
      <c r="C81" s="3">
        <v>120</v>
      </c>
      <c r="D81" s="3">
        <v>0.91129016876220703</v>
      </c>
      <c r="E81" s="3" t="s">
        <v>16</v>
      </c>
      <c r="F81" s="3" t="s">
        <v>139</v>
      </c>
      <c r="G81" s="3" t="s">
        <v>18</v>
      </c>
      <c r="H81" s="3" t="s">
        <v>140</v>
      </c>
      <c r="I81" s="3">
        <v>7</v>
      </c>
      <c r="J81" s="3" t="s">
        <v>141</v>
      </c>
      <c r="K81" s="3" t="s">
        <v>142</v>
      </c>
      <c r="L81" s="3" t="s">
        <v>22</v>
      </c>
      <c r="M81" s="3" t="s">
        <v>23</v>
      </c>
      <c r="N81" s="3">
        <f t="shared" si="0"/>
        <v>4</v>
      </c>
      <c r="O81" s="3" t="str">
        <f t="shared" si="1"/>
        <v>Jueves</v>
      </c>
    </row>
    <row r="82" spans="1:15" ht="14.25" customHeight="1" x14ac:dyDescent="0.3">
      <c r="A82" s="3" t="s">
        <v>143</v>
      </c>
      <c r="B82" s="3">
        <v>26.247759789546869</v>
      </c>
      <c r="C82" s="3">
        <v>120</v>
      </c>
      <c r="D82" s="3">
        <v>120.74555325508121</v>
      </c>
      <c r="E82" s="3" t="s">
        <v>16</v>
      </c>
      <c r="F82" s="3" t="s">
        <v>144</v>
      </c>
      <c r="G82" s="3" t="s">
        <v>18</v>
      </c>
      <c r="H82" s="3" t="s">
        <v>145</v>
      </c>
      <c r="I82" s="3">
        <v>9</v>
      </c>
      <c r="J82" s="3" t="s">
        <v>146</v>
      </c>
      <c r="K82" s="3" t="s">
        <v>147</v>
      </c>
      <c r="L82" s="3" t="s">
        <v>22</v>
      </c>
      <c r="M82" s="3" t="s">
        <v>23</v>
      </c>
      <c r="N82" s="3">
        <f t="shared" si="0"/>
        <v>5</v>
      </c>
      <c r="O82" s="3" t="str">
        <f t="shared" si="1"/>
        <v>Viernes</v>
      </c>
    </row>
    <row r="83" spans="1:15" ht="14.25" customHeight="1" x14ac:dyDescent="0.3">
      <c r="A83" s="3" t="s">
        <v>148</v>
      </c>
      <c r="B83" s="3">
        <v>12.70025272173115</v>
      </c>
      <c r="C83" s="3">
        <v>120</v>
      </c>
      <c r="D83" s="3">
        <v>42.291320085525513</v>
      </c>
      <c r="E83" s="3" t="s">
        <v>16</v>
      </c>
      <c r="F83" s="3" t="s">
        <v>149</v>
      </c>
      <c r="G83" s="3" t="s">
        <v>18</v>
      </c>
      <c r="H83" s="3" t="s">
        <v>150</v>
      </c>
      <c r="I83" s="3">
        <v>10</v>
      </c>
      <c r="J83" s="3" t="s">
        <v>151</v>
      </c>
      <c r="K83" s="3" t="s">
        <v>152</v>
      </c>
      <c r="L83" s="3" t="s">
        <v>22</v>
      </c>
      <c r="M83" s="3" t="s">
        <v>23</v>
      </c>
      <c r="N83" s="3">
        <f t="shared" si="0"/>
        <v>6</v>
      </c>
      <c r="O83" s="3" t="str">
        <f t="shared" si="1"/>
        <v>Sabado</v>
      </c>
    </row>
    <row r="84" spans="1:15" ht="14.25" customHeight="1" x14ac:dyDescent="0.3">
      <c r="A84" s="3" t="s">
        <v>153</v>
      </c>
      <c r="B84" s="3">
        <v>45.19073420130632</v>
      </c>
      <c r="C84" s="3">
        <v>120</v>
      </c>
      <c r="D84" s="3">
        <v>120.6394188404083</v>
      </c>
      <c r="E84" s="3" t="s">
        <v>16</v>
      </c>
      <c r="F84" s="3" t="s">
        <v>154</v>
      </c>
      <c r="G84" s="3" t="s">
        <v>18</v>
      </c>
      <c r="H84" s="3" t="s">
        <v>155</v>
      </c>
      <c r="I84" s="3">
        <v>15</v>
      </c>
      <c r="J84" s="3" t="s">
        <v>156</v>
      </c>
      <c r="K84" s="3" t="s">
        <v>157</v>
      </c>
      <c r="L84" s="3" t="s">
        <v>22</v>
      </c>
      <c r="M84" s="3" t="s">
        <v>23</v>
      </c>
      <c r="N84" s="3">
        <f t="shared" si="0"/>
        <v>7</v>
      </c>
      <c r="O84" s="3" t="str">
        <f t="shared" si="1"/>
        <v>Domingo</v>
      </c>
    </row>
    <row r="85" spans="1:15" ht="14.25" customHeight="1" x14ac:dyDescent="0.3">
      <c r="A85" s="3" t="s">
        <v>158</v>
      </c>
      <c r="B85" s="3">
        <v>37.585350031634668</v>
      </c>
      <c r="C85" s="3">
        <v>120</v>
      </c>
      <c r="D85" s="3">
        <v>122.46992158889771</v>
      </c>
      <c r="E85" s="3" t="s">
        <v>16</v>
      </c>
      <c r="F85" s="3" t="s">
        <v>159</v>
      </c>
      <c r="G85" s="3" t="s">
        <v>18</v>
      </c>
      <c r="H85" s="3" t="s">
        <v>160</v>
      </c>
      <c r="I85" s="3">
        <v>12</v>
      </c>
      <c r="J85" s="3" t="s">
        <v>161</v>
      </c>
      <c r="K85" s="3" t="s">
        <v>162</v>
      </c>
      <c r="L85" s="3" t="s">
        <v>22</v>
      </c>
      <c r="M85" s="3" t="s">
        <v>23</v>
      </c>
      <c r="N85" s="3">
        <f t="shared" si="0"/>
        <v>1</v>
      </c>
      <c r="O85" s="3" t="str">
        <f t="shared" si="1"/>
        <v>Lunes</v>
      </c>
    </row>
    <row r="86" spans="1:15" ht="14.25" customHeight="1" x14ac:dyDescent="0.3">
      <c r="A86" s="3" t="s">
        <v>163</v>
      </c>
      <c r="B86" s="3">
        <v>9.8937668284417111</v>
      </c>
      <c r="C86" s="3">
        <v>120</v>
      </c>
      <c r="D86" s="3">
        <v>12.007301568984991</v>
      </c>
      <c r="E86" s="3" t="s">
        <v>16</v>
      </c>
      <c r="F86" s="3" t="s">
        <v>164</v>
      </c>
      <c r="G86" s="3" t="s">
        <v>18</v>
      </c>
      <c r="H86" s="3" t="s">
        <v>165</v>
      </c>
      <c r="I86" s="3">
        <v>9</v>
      </c>
      <c r="J86" s="3" t="s">
        <v>166</v>
      </c>
      <c r="K86" s="3" t="s">
        <v>167</v>
      </c>
      <c r="L86" s="3" t="s">
        <v>22</v>
      </c>
      <c r="M86" s="3" t="s">
        <v>23</v>
      </c>
      <c r="N86" s="3">
        <f t="shared" si="0"/>
        <v>2</v>
      </c>
      <c r="O86" s="3" t="str">
        <f t="shared" si="1"/>
        <v>Martes</v>
      </c>
    </row>
    <row r="87" spans="1:15" ht="14.25" customHeight="1" x14ac:dyDescent="0.3">
      <c r="A87" s="3" t="s">
        <v>168</v>
      </c>
      <c r="B87" s="3">
        <v>24.22714578922092</v>
      </c>
      <c r="C87" s="3">
        <v>120</v>
      </c>
      <c r="D87" s="3">
        <v>122.5843803882599</v>
      </c>
      <c r="E87" s="3" t="s">
        <v>16</v>
      </c>
      <c r="F87" s="3" t="s">
        <v>169</v>
      </c>
      <c r="G87" s="3" t="s">
        <v>18</v>
      </c>
      <c r="H87" s="3" t="s">
        <v>170</v>
      </c>
      <c r="I87" s="3">
        <v>9</v>
      </c>
      <c r="J87" s="3" t="s">
        <v>171</v>
      </c>
      <c r="K87" s="3" t="s">
        <v>172</v>
      </c>
      <c r="L87" s="3" t="s">
        <v>22</v>
      </c>
      <c r="M87" s="3" t="s">
        <v>23</v>
      </c>
      <c r="N87" s="3">
        <f t="shared" si="0"/>
        <v>3</v>
      </c>
      <c r="O87" s="3" t="str">
        <f t="shared" si="1"/>
        <v>Miercoles</v>
      </c>
    </row>
    <row r="88" spans="1:15" ht="14.25" customHeight="1" x14ac:dyDescent="0.3">
      <c r="A88" s="3" t="s">
        <v>173</v>
      </c>
      <c r="B88" s="3">
        <v>12.924285667603231</v>
      </c>
      <c r="C88" s="3">
        <v>120</v>
      </c>
      <c r="D88" s="3">
        <v>120.8363568782806</v>
      </c>
      <c r="E88" s="3" t="s">
        <v>16</v>
      </c>
      <c r="F88" s="3" t="s">
        <v>174</v>
      </c>
      <c r="G88" s="3" t="s">
        <v>18</v>
      </c>
      <c r="H88" s="3" t="s">
        <v>175</v>
      </c>
      <c r="I88" s="3">
        <v>9</v>
      </c>
      <c r="J88" s="3" t="s">
        <v>176</v>
      </c>
      <c r="K88" s="3" t="s">
        <v>177</v>
      </c>
      <c r="L88" s="3" t="s">
        <v>22</v>
      </c>
      <c r="M88" s="3" t="s">
        <v>23</v>
      </c>
      <c r="N88" s="3">
        <f t="shared" si="0"/>
        <v>4</v>
      </c>
      <c r="O88" s="3" t="str">
        <f t="shared" si="1"/>
        <v>Jueves</v>
      </c>
    </row>
    <row r="89" spans="1:15" ht="14.25" customHeight="1" x14ac:dyDescent="0.3">
      <c r="A89" s="3" t="s">
        <v>178</v>
      </c>
      <c r="B89" s="3">
        <v>14.5398070630867</v>
      </c>
      <c r="C89" s="3">
        <v>120</v>
      </c>
      <c r="D89" s="3">
        <v>15.18326687812805</v>
      </c>
      <c r="E89" s="3" t="s">
        <v>16</v>
      </c>
      <c r="F89" s="3" t="s">
        <v>179</v>
      </c>
      <c r="G89" s="3" t="s">
        <v>18</v>
      </c>
      <c r="H89" s="3" t="s">
        <v>180</v>
      </c>
      <c r="I89" s="3">
        <v>10</v>
      </c>
      <c r="J89" s="3" t="s">
        <v>181</v>
      </c>
      <c r="K89" s="3" t="s">
        <v>182</v>
      </c>
      <c r="L89" s="3" t="s">
        <v>22</v>
      </c>
      <c r="M89" s="3" t="s">
        <v>23</v>
      </c>
      <c r="N89" s="3">
        <f t="shared" si="0"/>
        <v>5</v>
      </c>
      <c r="O89" s="3" t="str">
        <f t="shared" si="1"/>
        <v>Viernes</v>
      </c>
    </row>
    <row r="90" spans="1:15" ht="14.25" customHeight="1" x14ac:dyDescent="0.3">
      <c r="A90" s="3" t="s">
        <v>183</v>
      </c>
      <c r="B90" s="3">
        <v>14.67748783253921</v>
      </c>
      <c r="C90" s="3">
        <v>120</v>
      </c>
      <c r="D90" s="3">
        <v>120.9376277923584</v>
      </c>
      <c r="E90" s="3" t="s">
        <v>16</v>
      </c>
      <c r="F90" s="3" t="s">
        <v>184</v>
      </c>
      <c r="G90" s="3" t="s">
        <v>18</v>
      </c>
      <c r="H90" s="3" t="s">
        <v>185</v>
      </c>
      <c r="I90" s="3">
        <v>11</v>
      </c>
      <c r="J90" s="3" t="s">
        <v>186</v>
      </c>
      <c r="K90" s="3" t="s">
        <v>187</v>
      </c>
      <c r="L90" s="3" t="s">
        <v>22</v>
      </c>
      <c r="M90" s="3" t="s">
        <v>23</v>
      </c>
      <c r="N90" s="3">
        <f t="shared" si="0"/>
        <v>6</v>
      </c>
      <c r="O90" s="3" t="str">
        <f t="shared" si="1"/>
        <v>Sabado</v>
      </c>
    </row>
    <row r="91" spans="1:15" ht="14.25" customHeight="1" x14ac:dyDescent="0.3">
      <c r="A91" s="3" t="s">
        <v>188</v>
      </c>
      <c r="B91" s="3">
        <v>20.175882756635499</v>
      </c>
      <c r="C91" s="3">
        <v>120</v>
      </c>
      <c r="D91" s="3">
        <v>120.9096403121948</v>
      </c>
      <c r="E91" s="3" t="s">
        <v>16</v>
      </c>
      <c r="F91" s="3" t="s">
        <v>189</v>
      </c>
      <c r="G91" s="3" t="s">
        <v>18</v>
      </c>
      <c r="H91" s="3" t="s">
        <v>190</v>
      </c>
      <c r="I91" s="3">
        <v>12</v>
      </c>
      <c r="J91" s="3" t="s">
        <v>191</v>
      </c>
      <c r="K91" s="3" t="s">
        <v>192</v>
      </c>
      <c r="L91" s="3" t="s">
        <v>22</v>
      </c>
      <c r="M91" s="3" t="s">
        <v>23</v>
      </c>
      <c r="N91" s="3">
        <f t="shared" si="0"/>
        <v>7</v>
      </c>
      <c r="O91" s="3" t="str">
        <f t="shared" si="1"/>
        <v>Domingo</v>
      </c>
    </row>
    <row r="92" spans="1:15" ht="14.25" customHeight="1" x14ac:dyDescent="0.3">
      <c r="A92" s="3" t="s">
        <v>193</v>
      </c>
      <c r="B92" s="3">
        <v>7.2754170439936923</v>
      </c>
      <c r="C92" s="3">
        <v>120</v>
      </c>
      <c r="D92" s="3">
        <v>2.6861329078674321</v>
      </c>
      <c r="E92" s="3" t="s">
        <v>16</v>
      </c>
      <c r="F92" s="3" t="s">
        <v>194</v>
      </c>
      <c r="G92" s="3" t="s">
        <v>18</v>
      </c>
      <c r="H92" s="3" t="s">
        <v>195</v>
      </c>
      <c r="I92" s="3">
        <v>7</v>
      </c>
      <c r="J92" s="3" t="s">
        <v>196</v>
      </c>
      <c r="K92" s="3" t="s">
        <v>197</v>
      </c>
      <c r="L92" s="3" t="s">
        <v>22</v>
      </c>
      <c r="M92" s="3" t="s">
        <v>23</v>
      </c>
      <c r="N92" s="3">
        <f t="shared" si="0"/>
        <v>1</v>
      </c>
      <c r="O92" s="3" t="str">
        <f t="shared" si="1"/>
        <v>Lunes</v>
      </c>
    </row>
    <row r="93" spans="1:15" ht="14.25" customHeight="1" x14ac:dyDescent="0.3">
      <c r="A93" s="3" t="s">
        <v>198</v>
      </c>
      <c r="B93" s="3">
        <v>17.091108486035289</v>
      </c>
      <c r="C93" s="3">
        <v>120</v>
      </c>
      <c r="D93" s="3">
        <v>120.6915485858917</v>
      </c>
      <c r="E93" s="3" t="s">
        <v>16</v>
      </c>
      <c r="F93" s="3" t="s">
        <v>45</v>
      </c>
      <c r="G93" s="3" t="s">
        <v>18</v>
      </c>
      <c r="H93" s="3" t="s">
        <v>46</v>
      </c>
      <c r="I93" s="3">
        <v>9</v>
      </c>
      <c r="J93" s="3" t="s">
        <v>47</v>
      </c>
      <c r="K93" s="3" t="s">
        <v>48</v>
      </c>
      <c r="L93" s="3" t="s">
        <v>22</v>
      </c>
      <c r="M93" s="3" t="s">
        <v>23</v>
      </c>
      <c r="N93" s="3">
        <f t="shared" si="0"/>
        <v>2</v>
      </c>
      <c r="O93" s="3" t="str">
        <f t="shared" si="1"/>
        <v>Martes</v>
      </c>
    </row>
    <row r="94" spans="1:15" ht="14.25" customHeight="1" x14ac:dyDescent="0.3">
      <c r="A94" s="3" t="s">
        <v>199</v>
      </c>
      <c r="B94" s="3">
        <v>43.576547187556017</v>
      </c>
      <c r="C94" s="3">
        <v>120</v>
      </c>
      <c r="D94" s="3">
        <v>120.8612895011902</v>
      </c>
      <c r="E94" s="3" t="s">
        <v>16</v>
      </c>
      <c r="F94" s="3" t="s">
        <v>200</v>
      </c>
      <c r="G94" s="3" t="s">
        <v>18</v>
      </c>
      <c r="H94" s="3" t="s">
        <v>201</v>
      </c>
      <c r="I94" s="3">
        <v>11</v>
      </c>
      <c r="J94" s="3" t="s">
        <v>202</v>
      </c>
      <c r="K94" s="3" t="s">
        <v>203</v>
      </c>
      <c r="L94" s="3" t="s">
        <v>22</v>
      </c>
      <c r="M94" s="3" t="s">
        <v>23</v>
      </c>
      <c r="N94" s="3">
        <f t="shared" si="0"/>
        <v>3</v>
      </c>
      <c r="O94" s="3" t="str">
        <f t="shared" si="1"/>
        <v>Miercoles</v>
      </c>
    </row>
    <row r="95" spans="1:15" ht="14.25" customHeight="1" x14ac:dyDescent="0.3">
      <c r="A95" s="3" t="s">
        <v>204</v>
      </c>
      <c r="B95" s="3">
        <v>19.789513066722321</v>
      </c>
      <c r="C95" s="3">
        <v>120</v>
      </c>
      <c r="D95" s="3">
        <v>122.0349881649017</v>
      </c>
      <c r="E95" s="3" t="s">
        <v>16</v>
      </c>
      <c r="F95" s="3" t="s">
        <v>205</v>
      </c>
      <c r="G95" s="3" t="s">
        <v>18</v>
      </c>
      <c r="H95" s="3" t="s">
        <v>206</v>
      </c>
      <c r="I95" s="3">
        <v>10</v>
      </c>
      <c r="J95" s="3" t="s">
        <v>207</v>
      </c>
      <c r="K95" s="3" t="s">
        <v>208</v>
      </c>
      <c r="L95" s="3" t="s">
        <v>22</v>
      </c>
      <c r="M95" s="3" t="s">
        <v>23</v>
      </c>
      <c r="N95" s="3">
        <f t="shared" si="0"/>
        <v>4</v>
      </c>
      <c r="O95" s="3" t="str">
        <f t="shared" si="1"/>
        <v>Jueves</v>
      </c>
    </row>
    <row r="96" spans="1:15" ht="14.25" customHeight="1" x14ac:dyDescent="0.3">
      <c r="A96" s="3" t="s">
        <v>209</v>
      </c>
      <c r="B96" s="3">
        <v>19.062484846712842</v>
      </c>
      <c r="C96" s="3">
        <v>120</v>
      </c>
      <c r="D96" s="3">
        <v>120.6383490562439</v>
      </c>
      <c r="E96" s="3" t="s">
        <v>16</v>
      </c>
      <c r="F96" s="3" t="s">
        <v>210</v>
      </c>
      <c r="G96" s="3" t="s">
        <v>18</v>
      </c>
      <c r="H96" s="3" t="s">
        <v>211</v>
      </c>
      <c r="I96" s="3">
        <v>9</v>
      </c>
      <c r="J96" s="3" t="s">
        <v>212</v>
      </c>
      <c r="K96" s="3" t="s">
        <v>213</v>
      </c>
      <c r="L96" s="3" t="s">
        <v>22</v>
      </c>
      <c r="M96" s="3" t="s">
        <v>23</v>
      </c>
      <c r="N96" s="3">
        <f t="shared" si="0"/>
        <v>5</v>
      </c>
      <c r="O96" s="3" t="str">
        <f t="shared" si="1"/>
        <v>Viernes</v>
      </c>
    </row>
    <row r="97" spans="1:15" ht="14.25" customHeight="1" x14ac:dyDescent="0.3">
      <c r="A97" s="3" t="s">
        <v>214</v>
      </c>
      <c r="B97" s="3">
        <v>18.089095743773431</v>
      </c>
      <c r="C97" s="3">
        <v>120</v>
      </c>
      <c r="D97" s="3">
        <v>64.794244050979614</v>
      </c>
      <c r="E97" s="3" t="s">
        <v>16</v>
      </c>
      <c r="F97" s="3" t="s">
        <v>215</v>
      </c>
      <c r="G97" s="3" t="s">
        <v>18</v>
      </c>
      <c r="H97" s="3" t="s">
        <v>216</v>
      </c>
      <c r="I97" s="3">
        <v>7</v>
      </c>
      <c r="J97" s="3" t="s">
        <v>217</v>
      </c>
      <c r="K97" s="3" t="s">
        <v>218</v>
      </c>
      <c r="L97" s="3" t="s">
        <v>22</v>
      </c>
      <c r="M97" s="3" t="s">
        <v>23</v>
      </c>
      <c r="N97" s="3">
        <f t="shared" si="0"/>
        <v>6</v>
      </c>
      <c r="O97" s="3" t="str">
        <f t="shared" si="1"/>
        <v>Sabado</v>
      </c>
    </row>
    <row r="98" spans="1:15" ht="14.25" customHeight="1" x14ac:dyDescent="0.3">
      <c r="A98" s="3" t="s">
        <v>219</v>
      </c>
      <c r="B98" s="3">
        <v>12.464933293167769</v>
      </c>
      <c r="C98" s="3">
        <v>120</v>
      </c>
      <c r="D98" s="3">
        <v>26.736761093139648</v>
      </c>
      <c r="E98" s="3" t="s">
        <v>16</v>
      </c>
      <c r="F98" s="3" t="s">
        <v>220</v>
      </c>
      <c r="G98" s="3" t="s">
        <v>18</v>
      </c>
      <c r="H98" s="3" t="s">
        <v>221</v>
      </c>
      <c r="I98" s="3">
        <v>10</v>
      </c>
      <c r="J98" s="3" t="s">
        <v>222</v>
      </c>
      <c r="K98" s="3" t="s">
        <v>223</v>
      </c>
      <c r="L98" s="3" t="s">
        <v>22</v>
      </c>
      <c r="M98" s="3" t="s">
        <v>23</v>
      </c>
      <c r="N98" s="3">
        <f t="shared" si="0"/>
        <v>7</v>
      </c>
      <c r="O98" s="3" t="str">
        <f t="shared" si="1"/>
        <v>Domingo</v>
      </c>
    </row>
    <row r="99" spans="1:15" ht="14.25" customHeight="1" x14ac:dyDescent="0.3"/>
    <row r="100" spans="1:15" ht="14.25" customHeight="1" x14ac:dyDescent="0.3"/>
    <row r="101" spans="1:15" ht="14.25" customHeight="1" x14ac:dyDescent="0.3"/>
    <row r="102" spans="1:15" ht="14.25" customHeight="1" x14ac:dyDescent="0.3"/>
    <row r="103" spans="1:15" ht="14.25" customHeight="1" x14ac:dyDescent="0.3"/>
    <row r="104" spans="1:15" ht="14.25" customHeight="1" x14ac:dyDescent="0.3"/>
    <row r="105" spans="1:15" ht="14.25" customHeight="1" x14ac:dyDescent="0.3"/>
    <row r="106" spans="1:15" ht="14.25" customHeight="1" x14ac:dyDescent="0.3"/>
    <row r="107" spans="1:15" ht="14.25" customHeight="1" x14ac:dyDescent="0.3"/>
    <row r="108" spans="1:15" ht="14.25" customHeight="1" x14ac:dyDescent="0.3"/>
    <row r="109" spans="1:15" ht="14.25" customHeight="1" x14ac:dyDescent="0.3"/>
    <row r="110" spans="1:15" ht="14.25" customHeight="1" x14ac:dyDescent="0.3"/>
    <row r="111" spans="1:15" ht="14.25" customHeight="1" x14ac:dyDescent="0.3"/>
    <row r="112" spans="1:15"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O98" xr:uid="{00000000-0009-0000-0000-000000000000}"/>
  <pageMargins left="0.75" right="0.75" top="1" bottom="1"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F1591-6E24-44F9-9223-59B5B3CDA098}">
  <sheetPr codeName="Hoja14"/>
  <dimension ref="A1:CX984"/>
  <sheetViews>
    <sheetView tabSelected="1" topLeftCell="BN1" workbookViewId="0">
      <selection activeCell="BO5" sqref="BO5"/>
    </sheetView>
  </sheetViews>
  <sheetFormatPr baseColWidth="10" defaultColWidth="14.44140625" defaultRowHeight="15" customHeight="1" x14ac:dyDescent="0.3"/>
  <cols>
    <col min="1" max="1" width="42" customWidth="1"/>
    <col min="2" max="2" width="35.33203125" customWidth="1"/>
    <col min="3" max="4" width="25.33203125" customWidth="1"/>
    <col min="5" max="5" width="21.6640625" customWidth="1"/>
    <col min="6" max="6" width="14.109375" customWidth="1"/>
    <col min="7" max="7" width="10.6640625" customWidth="1"/>
    <col min="8" max="8" width="15.6640625" customWidth="1"/>
    <col min="9" max="9" width="20.33203125" customWidth="1"/>
    <col min="10" max="10" width="31.44140625" customWidth="1"/>
    <col min="11" max="14" width="38.5546875" customWidth="1"/>
    <col min="15" max="18" width="21.88671875" customWidth="1"/>
    <col min="19" max="19" width="14.109375" customWidth="1"/>
    <col min="20" max="20" width="10.6640625" customWidth="1"/>
    <col min="21" max="21" width="31.44140625" customWidth="1"/>
    <col min="22" max="22" width="18.109375" customWidth="1"/>
    <col min="23" max="23" width="20.109375" customWidth="1"/>
    <col min="24" max="24" width="30.5546875" bestFit="1" customWidth="1"/>
    <col min="25" max="25" width="31.5546875" customWidth="1"/>
    <col min="26" max="26" width="26.21875" customWidth="1"/>
    <col min="27" max="27" width="21" customWidth="1"/>
    <col min="28" max="31" width="20.109375" customWidth="1"/>
    <col min="32" max="32" width="14.109375" customWidth="1"/>
    <col min="33" max="33" width="10.6640625" customWidth="1"/>
    <col min="34" max="34" width="18.6640625" customWidth="1"/>
    <col min="35" max="35" width="22.88671875" customWidth="1"/>
    <col min="36" max="36" width="10.6640625" customWidth="1"/>
    <col min="37" max="37" width="40.44140625" customWidth="1"/>
    <col min="38" max="38" width="35.109375" customWidth="1"/>
    <col min="39" max="39" width="10.6640625" customWidth="1"/>
    <col min="40" max="40" width="28.88671875" customWidth="1"/>
    <col min="41" max="41" width="30.6640625" customWidth="1"/>
    <col min="42" max="42" width="30.6640625" hidden="1" customWidth="1"/>
    <col min="43" max="44" width="30.6640625" customWidth="1"/>
    <col min="45" max="45" width="14.109375" customWidth="1"/>
    <col min="46" max="47" width="10.6640625" customWidth="1"/>
    <col min="48" max="48" width="15.5546875" customWidth="1"/>
    <col min="49" max="49" width="10.6640625" customWidth="1"/>
    <col min="50" max="52" width="36.88671875" customWidth="1"/>
    <col min="53" max="53" width="10.6640625" customWidth="1"/>
    <col min="54" max="54" width="20.109375" customWidth="1"/>
    <col min="55" max="56" width="23.33203125" customWidth="1"/>
    <col min="57" max="57" width="20.109375" customWidth="1"/>
    <col min="58" max="58" width="14.109375" customWidth="1"/>
    <col min="59" max="59" width="18.88671875" customWidth="1"/>
    <col min="60" max="60" width="10.6640625" customWidth="1"/>
    <col min="61" max="61" width="17.6640625" customWidth="1"/>
    <col min="62" max="62" width="12.88671875" customWidth="1"/>
    <col min="63" max="63" width="44.44140625" customWidth="1"/>
    <col min="64" max="64" width="43.44140625" customWidth="1"/>
    <col min="65" max="65" width="10.6640625" customWidth="1"/>
    <col min="66" max="66" width="20.109375" customWidth="1"/>
    <col min="67" max="68" width="23.109375" customWidth="1"/>
    <col min="69" max="69" width="20.109375" customWidth="1"/>
    <col min="70" max="70" width="14.109375" customWidth="1"/>
    <col min="71" max="72" width="10.6640625" customWidth="1"/>
    <col min="73" max="73" width="18" customWidth="1"/>
    <col min="74" max="74" width="10.6640625" customWidth="1"/>
    <col min="75" max="75" width="48.44140625" customWidth="1"/>
    <col min="76" max="76" width="33.44140625" customWidth="1"/>
    <col min="77" max="77" width="35.109375" customWidth="1"/>
    <col min="78" max="81" width="20.109375" customWidth="1"/>
    <col min="82" max="82" width="14.109375" customWidth="1"/>
    <col min="83" max="84" width="10.6640625" customWidth="1"/>
    <col min="85" max="85" width="17.33203125" customWidth="1"/>
    <col min="86" max="86" width="10.6640625" customWidth="1"/>
    <col min="87" max="87" width="41.109375" customWidth="1"/>
    <col min="88" max="89" width="10.6640625" customWidth="1"/>
    <col min="90" max="93" width="20.109375" customWidth="1"/>
    <col min="94" max="94" width="14.109375" customWidth="1"/>
    <col min="95" max="96" width="10.6640625" customWidth="1"/>
    <col min="97" max="97" width="16.5546875" customWidth="1"/>
    <col min="98" max="98" width="10.6640625" customWidth="1"/>
    <col min="99" max="101" width="46.44140625" customWidth="1"/>
    <col min="102" max="102" width="28.5546875" customWidth="1"/>
  </cols>
  <sheetData>
    <row r="1" spans="1:102" ht="14.25" customHeight="1" x14ac:dyDescent="0.3"/>
    <row r="2" spans="1:102" ht="14.25" customHeight="1" x14ac:dyDescent="0.3"/>
    <row r="3" spans="1:102" ht="14.25" customHeight="1" x14ac:dyDescent="0.3"/>
    <row r="4" spans="1:102" ht="14.25" customHeight="1" x14ac:dyDescent="0.3"/>
    <row r="5" spans="1:102" ht="14.25" customHeight="1" x14ac:dyDescent="0.3"/>
    <row r="6" spans="1:102" ht="14.25" customHeight="1" x14ac:dyDescent="0.3">
      <c r="A6" s="4" t="s">
        <v>224</v>
      </c>
      <c r="C6" s="5"/>
      <c r="K6" s="5"/>
      <c r="L6" s="5"/>
      <c r="M6" s="5"/>
      <c r="N6" s="6" t="s">
        <v>225</v>
      </c>
      <c r="X6" s="5"/>
      <c r="Y6" s="5"/>
      <c r="Z6" s="5"/>
      <c r="AA6" s="4" t="s">
        <v>226</v>
      </c>
      <c r="AN6" s="4" t="s">
        <v>227</v>
      </c>
      <c r="BA6" s="6" t="s">
        <v>228</v>
      </c>
      <c r="BM6" s="4" t="s">
        <v>229</v>
      </c>
      <c r="BY6" s="4" t="s">
        <v>230</v>
      </c>
      <c r="CK6" s="4" t="s">
        <v>231</v>
      </c>
    </row>
    <row r="7" spans="1:102" ht="14.25" customHeight="1" x14ac:dyDescent="0.3">
      <c r="A7" s="4" t="s">
        <v>232</v>
      </c>
      <c r="B7" s="4" t="s">
        <v>5</v>
      </c>
      <c r="C7" s="4" t="s">
        <v>233</v>
      </c>
      <c r="D7" s="7" t="s">
        <v>234</v>
      </c>
      <c r="E7" s="7" t="s">
        <v>235</v>
      </c>
      <c r="F7" s="4" t="s">
        <v>236</v>
      </c>
      <c r="G7" s="4" t="s">
        <v>237</v>
      </c>
      <c r="H7" s="24" t="s">
        <v>398</v>
      </c>
      <c r="I7" s="4" t="s">
        <v>12</v>
      </c>
      <c r="J7" s="14" t="s">
        <v>238</v>
      </c>
      <c r="K7" s="31" t="s">
        <v>239</v>
      </c>
      <c r="L7" s="26" t="s">
        <v>359</v>
      </c>
      <c r="M7" s="42"/>
      <c r="N7" s="26" t="s">
        <v>232</v>
      </c>
      <c r="O7" s="26" t="s">
        <v>5</v>
      </c>
      <c r="P7" s="26" t="s">
        <v>240</v>
      </c>
      <c r="Q7" s="28" t="s">
        <v>234</v>
      </c>
      <c r="R7" s="28" t="s">
        <v>235</v>
      </c>
      <c r="S7" s="26" t="s">
        <v>236</v>
      </c>
      <c r="T7" s="26" t="s">
        <v>237</v>
      </c>
      <c r="U7" s="24" t="s">
        <v>398</v>
      </c>
      <c r="V7" s="26" t="s">
        <v>12</v>
      </c>
      <c r="W7" s="26" t="s">
        <v>238</v>
      </c>
      <c r="X7" s="26" t="s">
        <v>239</v>
      </c>
      <c r="Y7" s="26" t="s">
        <v>359</v>
      </c>
      <c r="Z7" s="42"/>
      <c r="AA7" s="19" t="s">
        <v>232</v>
      </c>
      <c r="AB7" s="4" t="s">
        <v>5</v>
      </c>
      <c r="AC7" s="4" t="s">
        <v>241</v>
      </c>
      <c r="AD7" s="7" t="s">
        <v>234</v>
      </c>
      <c r="AE7" s="7" t="s">
        <v>235</v>
      </c>
      <c r="AF7" s="4" t="s">
        <v>236</v>
      </c>
      <c r="AG7" s="4" t="s">
        <v>237</v>
      </c>
      <c r="AH7" s="24" t="s">
        <v>398</v>
      </c>
      <c r="AI7" s="4" t="s">
        <v>12</v>
      </c>
      <c r="AJ7" s="4" t="s">
        <v>238</v>
      </c>
      <c r="AK7" s="14" t="s">
        <v>239</v>
      </c>
      <c r="AL7" s="24" t="s">
        <v>359</v>
      </c>
      <c r="AM7" s="42"/>
      <c r="AN7" s="19" t="s">
        <v>232</v>
      </c>
      <c r="AO7" s="4" t="s">
        <v>5</v>
      </c>
      <c r="AP7" s="8" t="s">
        <v>242</v>
      </c>
      <c r="AQ7" s="7" t="s">
        <v>234</v>
      </c>
      <c r="AR7" s="7" t="s">
        <v>235</v>
      </c>
      <c r="AS7" s="4" t="s">
        <v>236</v>
      </c>
      <c r="AT7" s="4" t="s">
        <v>237</v>
      </c>
      <c r="AU7" s="4" t="s">
        <v>12</v>
      </c>
      <c r="AV7" s="6" t="s">
        <v>238</v>
      </c>
      <c r="AW7" s="36" t="s">
        <v>239</v>
      </c>
      <c r="AX7" s="5" t="s">
        <v>359</v>
      </c>
      <c r="AY7" s="5"/>
      <c r="AZ7" s="5"/>
      <c r="BA7" s="19" t="s">
        <v>232</v>
      </c>
      <c r="BB7" s="4" t="s">
        <v>5</v>
      </c>
      <c r="BC7" s="4" t="s">
        <v>243</v>
      </c>
      <c r="BD7" s="7" t="s">
        <v>234</v>
      </c>
      <c r="BE7" s="7" t="s">
        <v>235</v>
      </c>
      <c r="BF7" s="4" t="s">
        <v>236</v>
      </c>
      <c r="BG7" s="4" t="s">
        <v>237</v>
      </c>
      <c r="BH7" s="4" t="s">
        <v>12</v>
      </c>
      <c r="BI7" s="6" t="s">
        <v>238</v>
      </c>
      <c r="BJ7" s="36" t="s">
        <v>239</v>
      </c>
      <c r="BK7" s="42" t="s">
        <v>359</v>
      </c>
      <c r="BL7" s="42"/>
      <c r="BM7" s="19" t="s">
        <v>232</v>
      </c>
      <c r="BN7" s="4" t="s">
        <v>5</v>
      </c>
      <c r="BO7" s="4" t="s">
        <v>245</v>
      </c>
      <c r="BP7" s="7" t="s">
        <v>234</v>
      </c>
      <c r="BQ7" s="7" t="s">
        <v>235</v>
      </c>
      <c r="BR7" s="4" t="s">
        <v>236</v>
      </c>
      <c r="BS7" s="4" t="s">
        <v>237</v>
      </c>
      <c r="BT7" s="4" t="s">
        <v>12</v>
      </c>
      <c r="BU7" s="6" t="s">
        <v>238</v>
      </c>
      <c r="BV7" s="36" t="s">
        <v>239</v>
      </c>
      <c r="BW7" s="42" t="s">
        <v>359</v>
      </c>
      <c r="BX7" s="42"/>
      <c r="BY7" s="19" t="s">
        <v>232</v>
      </c>
      <c r="BZ7" s="4" t="s">
        <v>5</v>
      </c>
      <c r="CA7" s="4" t="s">
        <v>246</v>
      </c>
      <c r="CB7" s="7" t="s">
        <v>234</v>
      </c>
      <c r="CC7" s="7" t="s">
        <v>235</v>
      </c>
      <c r="CD7" s="4" t="s">
        <v>236</v>
      </c>
      <c r="CE7" s="4" t="s">
        <v>237</v>
      </c>
      <c r="CF7" s="4" t="s">
        <v>12</v>
      </c>
      <c r="CG7" s="6" t="s">
        <v>238</v>
      </c>
      <c r="CH7" s="36" t="s">
        <v>239</v>
      </c>
      <c r="CI7" s="42" t="s">
        <v>359</v>
      </c>
      <c r="CJ7" s="42"/>
      <c r="CK7" s="19" t="s">
        <v>232</v>
      </c>
      <c r="CL7" s="4" t="s">
        <v>5</v>
      </c>
      <c r="CM7" s="4" t="s">
        <v>233</v>
      </c>
      <c r="CN7" s="7" t="s">
        <v>234</v>
      </c>
      <c r="CO7" s="7" t="s">
        <v>235</v>
      </c>
      <c r="CP7" s="4" t="s">
        <v>236</v>
      </c>
      <c r="CQ7" s="4" t="s">
        <v>237</v>
      </c>
      <c r="CR7" s="4" t="s">
        <v>12</v>
      </c>
      <c r="CS7" s="6" t="s">
        <v>238</v>
      </c>
      <c r="CT7" s="36" t="s">
        <v>239</v>
      </c>
      <c r="CU7" s="42" t="s">
        <v>359</v>
      </c>
      <c r="CV7" s="42"/>
      <c r="CW7" s="42"/>
    </row>
    <row r="8" spans="1:102" ht="14.25" customHeight="1" x14ac:dyDescent="0.3">
      <c r="A8" s="4" t="s">
        <v>253</v>
      </c>
      <c r="B8" s="4">
        <v>4</v>
      </c>
      <c r="C8" s="8">
        <v>4.666666666666667</v>
      </c>
      <c r="D8" s="4">
        <v>4</v>
      </c>
      <c r="E8" s="4">
        <v>5</v>
      </c>
      <c r="F8" s="4">
        <v>7</v>
      </c>
      <c r="G8" s="4">
        <v>1.1425292918330761</v>
      </c>
      <c r="H8" s="24" t="s">
        <v>388</v>
      </c>
      <c r="I8" s="4">
        <v>15</v>
      </c>
      <c r="J8" s="8">
        <f t="shared" ref="J8:J17" si="0">IF(D8&lt;=B8,1,0)</f>
        <v>1</v>
      </c>
      <c r="K8" s="45">
        <f t="shared" ref="K8:K27" si="1">D8-B8</f>
        <v>0</v>
      </c>
      <c r="L8" s="26" t="str">
        <f t="shared" ref="L8:L27" si="2">IF(G8&gt;0,
    IF(OR(B8&lt;=TRUNC(I8/2,0),B8=0),
        IF(F8=TRUNC(I8/2,0),
            "-1, Déficit y dejo la capacidad media",
            IF(AND(F8&gt;TRUNC(I8/2,0), F8&gt;B8),
                "1, Déficit y eliminé déficit",
                IF(AND(F8&lt;TRUNC(I8/2,0), F8&lt;B8),
                    "0, Déficit y no elimine déficit",
                    "-2, Déficit y resultado fue bueno")
            )
        ),
        IF(AND(F8&gt;TRUNC(I8/2,0), F8&gt;B8),
            "1, no había déficit, pero resultado fue mejor",
            IF(AND(F8&lt;TRUNC(I8/2,0),F8&lt;B8),
                "0, no había déficit y la dejo con déficit",
                IF(F8=TRUNC(I8/2,0),
                    "-1, no había déficit y dejo la capacidad media",
                    "-2,no había déficit y resultado fue bueno")
            )
        )
    ),
    IF(G8&lt;0,
        IF(B8&gt;TRUNC(I8/2,0),
            IF(F8=TRUNC(I8/2,0),
                "-1, Superávit y deje la capacidad media",
                IF(AND(F8&gt;TRUNC(I8/2,0), F8&gt;=B8),
                    "0, Superávit y no eliminé superávit",
                    IF(AND(F8&lt;TRUNC(I8/2,0),F8&lt;B8),
                        "1, Superávit y eliminé superávit",
                        "-2, Superávit y resultado fue bueno"
                    )
                )
            ),
            IF(AND(B8&lt;=TRUNC(I8/2,0),B8&gt;=0),
                IF(F8=TRUNC(I8/2,0),
                    "-1, no había superávit y deje la capacidad media",
                    IF(AND(F8&gt;TRUNC(I8/2,0), F8&gt;=B8),
                        "0, no había superávit, y la deje con superávit",
                        IF(AND(F8&lt;TRUNC(I8/2,0),F8&lt;B8),
                            "1, no había superávit, pero el resultado fue mejor",
                            "-2, no había superávit y resultado fue bueno"
                        )
                    )
                )
            )
        )
    )
)</f>
        <v>-1, Déficit y dejo la capacidad media</v>
      </c>
      <c r="M8" s="42"/>
      <c r="N8" s="26" t="s">
        <v>253</v>
      </c>
      <c r="O8" s="26">
        <v>5</v>
      </c>
      <c r="P8" s="23">
        <v>5.5555555555555554</v>
      </c>
      <c r="Q8" s="26">
        <v>5</v>
      </c>
      <c r="R8" s="26">
        <v>5</v>
      </c>
      <c r="S8" s="26">
        <v>7</v>
      </c>
      <c r="T8" s="26">
        <v>1.1425292918330761</v>
      </c>
      <c r="U8" s="24" t="s">
        <v>388</v>
      </c>
      <c r="V8" s="26">
        <v>15</v>
      </c>
      <c r="W8" s="34">
        <f t="shared" ref="W8:W17" si="3">IF(Q8&lt;=O8,1,0)</f>
        <v>1</v>
      </c>
      <c r="X8" s="34">
        <f t="shared" ref="X8:X27" si="4">Q8-O8</f>
        <v>0</v>
      </c>
      <c r="Y8" s="26" t="str">
        <f t="shared" ref="Y8:Y27" si="5">IF(T8&gt;0,
    IF(OR(O8&lt;=TRUNC(V8/2,0),O8=0),
        IF(S8=TRUNC(V8/2,0),
            "-1, Déficit y dejo la capacidad media",
            IF(AND(S8&gt;TRUNC(V8/2,0), S8&gt;O8),
                "1, Déficit y eliminé déficit",
                IF(AND(S8&lt;TRUNC(V8/2,0), S8&lt;O8),
                    "0, Déficit y no elimine déficit",
                    "-2, Déficit y resultado fue bueno")
            )
        ),
        IF(AND(S8&gt;TRUNC(V8/2,0), S8&gt;O8),
            "1, no había déficit, pero resultado fue mejor",
            IF(AND(S8&lt;TRUNC(V8/2,0),S8&lt;O8),
                "0, no había déficit y la dejo con déficit",
                IF(S8=TRUNC(V8/2,0),
                    "-1, no había déficit y dejo la capacidad media",
                    "-2,no había déficit y resultado fue bueno")
            )
        )
    ),
    IF(T8&lt;0,
        IF(O8&gt;TRUNC(V8/2,0),
            IF(S8=TRUNC(V8/2,0),
                "-1, Superávit y deje la capacidad media",
                IF(AND(S8&gt;TRUNC(V8/2,0), S8&gt;=O8),
                    "0, Superávit y no eliminé superávit",
                    IF(AND(S8&lt;TRUNC(V8/2,0),S8&lt;O8),
                        "1, Superávit y eliminé superávit",
                        "-2, Superávit y resultado fue bueno"
                    )
                )
            ),
            IF(AND(O8&lt;=TRUNC(V8/2,0),O8&gt;=0),
                IF(S8=TRUNC(V8/2,0),
                    "-1, no había superávit y deje la capacidad media",
                    IF(AND(S8&gt;TRUNC(V8/2,0), S8&gt;=O8),
                        "0, no había superávit, y la deje con superávit",
                        IF(AND(S8&lt;TRUNC(V8/2,0),S8&lt;O8),
                            "1, no había superávit, pero el resultado fue mejor",
                            "-2, no había superávit y resultado fue bueno"
                        )
                    )
                )
            )
        )
    )
)</f>
        <v>-1, Déficit y dejo la capacidad media</v>
      </c>
      <c r="Z8" s="42"/>
      <c r="AA8" s="4" t="s">
        <v>253</v>
      </c>
      <c r="AB8" s="4">
        <v>7</v>
      </c>
      <c r="AC8" s="8">
        <v>4</v>
      </c>
      <c r="AD8" s="4">
        <v>5</v>
      </c>
      <c r="AE8" s="4">
        <v>5</v>
      </c>
      <c r="AF8" s="4">
        <v>7</v>
      </c>
      <c r="AG8" s="4">
        <v>1.1425292918330761</v>
      </c>
      <c r="AH8" s="24" t="s">
        <v>388</v>
      </c>
      <c r="AI8" s="4">
        <v>15</v>
      </c>
      <c r="AJ8" s="32">
        <f t="shared" ref="AJ8:AJ17" si="6">IF(AD8&lt;=AB8,1,0)</f>
        <v>1</v>
      </c>
      <c r="AK8" s="33">
        <f t="shared" ref="AK8:AK27" si="7">AD8-AB8</f>
        <v>-2</v>
      </c>
      <c r="AL8" s="24" t="str">
        <f t="shared" ref="AL8:AL27" si="8">IF(AG8&gt;0,
    IF(OR(AB8&lt;=TRUNC(AI8/2,0),AB8=0),
        IF(AF8=TRUNC(AI8/2,0),
            "-1, Déficit y dejo la capacidad media",
            IF(AND(AF8&gt;TRUNC(AI8/2,0), AF8&gt;AB8),
                "1, Déficit y eliminé déficit",
                IF(AND(AF8&lt;TRUNC(AI8/2,0), AF8&lt;AB8),
                    "0, Déficit y no elimine déficit",
                    "-2, Déficit y resultado fue bueno")
            )
        ),
        IF(AND(AF8&gt;TRUNC(AI8/2,0), AF8&gt;AB8),
            "1, no había déficit, pero resultado fue mejor",
            IF(AND(AF8&lt;TRUNC(AI8/2,0),AF8&lt;AB8),
                "0, no había déficit y la dejo con déficit",
                IF(AF8=TRUNC(AI8/2,0),
                    "-1, no había déficit y dejo la capacidad media",
                    "-2,no había déficit y resultado fue bueno")
            )
        )
    ),
    IF(AG8&lt;0,
        IF(AB8&gt;TRUNC(AI8/2,0),
            IF(AF8=TRUNC(AI8/2,0),
                "-1, Superávit y deje la capacidad media",
                IF(AND(AF8&gt;TRUNC(AI8/2,0), AF8&gt;=AB8),
                    "0, Superávit y no eliminé superávit",
                    IF(AND(AF8&lt;TRUNC(AI8/2,0),AF8&lt;AB8),
                        "1, Superávit y eliminé superávit",
                        "-2, Superávit y resultado fue bueno"
                    )
                )
            ),
            IF(AND(AB8&lt;=TRUNC(AI8/2,0),AB8&gt;=0),
                IF(AF8=TRUNC(AI8/2,0),
                    "-1, no había superávit y deje la capacidad media",
                    IF(AND(AF8&gt;TRUNC(AI8/2,0), AF8&gt;=AB8),
                        "0, no había superávit, y la deje con superávit",
                        IF(AND(AF8&lt;TRUNC(AI8/2,0),AF8&lt;AB8),
                            "1, no había superávit, pero el resultado fue mejor",
                            "-2, no había superávit y resultado fue bueno"
                        )
                    )
                )
            )
        )
    )
)</f>
        <v>-1, Déficit y dejo la capacidad media</v>
      </c>
      <c r="AM8" s="42"/>
      <c r="AN8" s="4" t="s">
        <v>253</v>
      </c>
      <c r="AO8" s="4">
        <v>6</v>
      </c>
      <c r="AP8" s="8">
        <v>6.1111111111111107</v>
      </c>
      <c r="AQ8" s="4">
        <v>3</v>
      </c>
      <c r="AR8" s="4">
        <v>3</v>
      </c>
      <c r="AS8" s="4">
        <v>7</v>
      </c>
      <c r="AT8" s="4">
        <v>1.1425292918330761</v>
      </c>
      <c r="AU8" s="14">
        <v>15</v>
      </c>
      <c r="AV8" s="23">
        <f t="shared" ref="AV8:AV17" si="9">IF(AQ8&lt;=AO8,1,0)</f>
        <v>1</v>
      </c>
      <c r="AW8" s="24">
        <f t="shared" ref="AW8:AW27" si="10">AQ8-AO8</f>
        <v>-3</v>
      </c>
      <c r="AX8" t="str">
        <f>IF(AT8&gt;0,
    IF(OR(AO8&lt;=TRUNC(AU8/2,0),AO8=0),
        IF(AS8=TRUNC(AU8/2,0),
            "-1, Déficit y dejo la capacidad media",
            IF(AND(AS8&gt;TRUNC(AU8/2,0), AS8&gt;AO8),
                "1, Déficit y eliminé déficit",
                IF(AND(AS8&lt;TRUNC(AU8/2,0), AS8&lt;AO8),
                    "0, Déficit y no elimine déficit",
                    "-2, Déficit y resultado fue bueno")
            )
        ),
        IF(AND(AS8&gt;TRUNC(AU8/2,0), AS8&gt;AO8),
            "1, no había déficit, pero resultado fue mejor",
            IF(AND(AS8&lt;TRUNC(AU8/2,0),AS8&lt;AO8),
                "0, no había déficit y la dejo con déficit",
                IF(AS8=TRUNC(AU8/2,0),
                    "-1, no había déficit y dejo la capacidad media",
                    "-2,no había déficit y resultado fue bueno")
            )
        )
    ),
    IF(AT8&lt;0,
        IF(AO8&gt;TRUNC(AU8/2,0),
            IF(AS8=TRUNC(AU8/2,0),
                "-1, Superávit y deje la capacidad media",
                IF(AND(AS8&gt;TRUNC(AU8/2,0), AS8&gt;=AO8),
                    "0, Superávit y no eliminé superávit",
                    IF(AND(AS8&lt;TRUNC(AU8/2,0),AS8&lt;AO8),
                        "1, Superávit y eliminé superávit",
                        "-2, Superávit y resultado fue bueno"
                    )
                )
            ),
            IF(AND(AO8&lt;=TRUNC(AU8/2,0),AO8&gt;=0),
                IF(AS8=TRUNC(AU8/2,0),
                    "-1, no había superávit y deje la capacidad media",
                    IF(AND(AS8&gt;TRUNC(AU8/2,0), AS8&gt;=AO8),
                        "0, no había superávit, y la deje con superávit",
                        IF(AND(AS8&lt;TRUNC(AU8/2,0),AS8&lt;AO8),
                            "1, no había superávit, pero el resultado fue mejor",
                            "-2, no había superávit y resultado fue bueno"
                        )
                    )
                )
            )
        )
    )
)</f>
        <v>-1, Déficit y dejo la capacidad media</v>
      </c>
      <c r="BA8" s="4" t="s">
        <v>253</v>
      </c>
      <c r="BB8" s="4">
        <v>2</v>
      </c>
      <c r="BC8" s="8">
        <v>4.2222222222222223</v>
      </c>
      <c r="BD8" s="4">
        <v>1</v>
      </c>
      <c r="BE8" s="4">
        <v>1</v>
      </c>
      <c r="BF8" s="4">
        <v>7</v>
      </c>
      <c r="BG8" s="4">
        <v>1.1425292918330761</v>
      </c>
      <c r="BH8" s="14">
        <v>15</v>
      </c>
      <c r="BI8" s="24">
        <f t="shared" ref="BI8:BI17" si="11">IF(BD8&lt;=BB8,1,0)</f>
        <v>1</v>
      </c>
      <c r="BJ8" s="24">
        <f t="shared" ref="BJ8:BJ27" si="12">BD8-BB8</f>
        <v>-1</v>
      </c>
      <c r="BK8" t="str">
        <f>IF(BG8&gt;0,
    IF(OR(BB8&lt;=TRUNC(BH8/2,0),BB8=0),
        IF(BF8=TRUNC(BH8/2,0),
            "-1, Déficit y dejo la capacidad media",
            IF(AND(BF8&gt;TRUNC(BH8/2,0), BF8&gt;BB8),
                "1, Déficit y eliminé déficit",
                IF(AND(BF8&lt;TRUNC(BH8/2,0), BF8&lt;BB8),
                    "0, Déficit y no elimine déficit",
                    "-2, Déficit y resultado fue bueno")
            )
        ),
        IF(AND(BF8&gt;TRUNC(BH8/2,0), BF8&gt;BB8),
            "1, no había déficit, pero resultado fue mejor",
            IF(AND(BF8&lt;TRUNC(BH8/2,0),BF8&lt;BB8),
                "0, no había déficit y la dejo con déficit",
                IF(BF8=TRUNC(BH8/2,0),
                    "-1, no había déficit y dejo la capacidad media",
                    "-2,no había déficit y resultado fue bueno")
            )
        )
    ),
    IF(BG8&lt;0,
        IF(BB8&gt;TRUNC(BH8/2,0),
            IF(BF8=TRUNC(BH8/2,0),
                "-1, Superávit y deje la capacidad media",
                IF(AND(BF8&gt;TRUNC(BH8/2,0), BF8&gt;=BB8),
                    "0, Superávit y no eliminé superávit",
                    IF(AND(BF8&lt;TRUNC(BH8/2,0),BF8&lt;BB8),
                        "1, Superávit y eliminé superávit",
                        "-2, Superávit y resultado fue bueno"
                    )
                )
            ),
            IF(AND(BB8&lt;=TRUNC(BH8/2,0),BB8&gt;=0),
                IF(BF8=TRUNC(BH8/2,0),
                    "-1, no había superávit y deje la capacidad media",
                    IF(AND(BF8&gt;TRUNC(BH8/2,0), BF8&gt;=BB8),
                        "0, no había superávit, y la deje con superávit",
                        IF(AND(BF8&lt;TRUNC(BH8/2,0),BF8&lt;BB8),
                            "1, no había superávit, pero el resultado fue mejor",
                            "-2, no había superávit y resultado fue bueno"
                        )
                    )
                )
            )
        )
    )
)</f>
        <v>-1, Déficit y dejo la capacidad media</v>
      </c>
      <c r="BM8" s="4" t="s">
        <v>253</v>
      </c>
      <c r="BN8" s="4">
        <v>10</v>
      </c>
      <c r="BO8" s="8">
        <v>4.666666666666667</v>
      </c>
      <c r="BP8" s="4">
        <v>10</v>
      </c>
      <c r="BQ8" s="4">
        <v>10</v>
      </c>
      <c r="BR8" s="4">
        <v>7</v>
      </c>
      <c r="BS8" s="4">
        <v>1.1425292918330761</v>
      </c>
      <c r="BT8" s="14">
        <v>15</v>
      </c>
      <c r="BU8" s="24">
        <f t="shared" ref="BU8:BU17" si="13">IF(BP8&lt;=BN8,1,0)</f>
        <v>1</v>
      </c>
      <c r="BV8" s="24">
        <f t="shared" ref="BV8:BV27" si="14">BP8-BN8</f>
        <v>0</v>
      </c>
      <c r="BW8" t="str">
        <f>IF(BS8&gt;0,
    IF(OR(BN8&lt;=TRUNC(BT8/2,0),BN8=0),
        IF(BR8=TRUNC(BT8/2,0),
            "-1, Déficit y dejo la capacidad media",
            IF(AND(BR8&gt;TRUNC(BT8/2,0), BR8&gt;BN8),
                "1, Déficit y eliminé déficit",
                IF(AND(BR8&lt;TRUNC(BT8/2,0), BR8&lt;BN8),
                    "0, Déficit y no elimine déficit",
                    "-2, Déficit y resultado fue bueno")
            )
        ),
        IF(AND(BR8&gt;TRUNC(BT8/2,0), BR8&gt;BN8),
            "1, no había déficit, pero resultado fue mejor",
            IF(AND(BR8&lt;TRUNC(BT8/2,0),BR8&lt;BN8),
                "0, no había déficit y la dejo con déficit",
                IF(BR8=TRUNC(BT8/2,0),
                    "-1, no había déficit y dejo la capacidad media",
                    "-2,no había déficit y resultado fue bueno")
            )
        )
    ),
    IF(BS8&lt;0,
        IF(BN8&gt;TRUNC(BT8/2,0),
            IF(BR8=TRUNC(BT8/2,0),
                "-1, Superávit y deje la capacidad media",
                IF(AND(BR8&gt;TRUNC(BT8/2,0), BR8&gt;=BN8),
                    "0, Superávit y no eliminé superávit",
                    IF(AND(BR8&lt;TRUNC(BT8/2,0),BR8&lt;BN8),
                        "1, Superávit y eliminé superávit",
                        "-2, Superávit y resultado fue bueno"
                    )
                )
            ),
            IF(AND(BN8&lt;=TRUNC(BT8/2,0),BN8&gt;=0),
                IF(BR8=TRUNC(BT8/2,0),
                    "-1, no había superávit y deje la capacidad media",
                    IF(AND(BR8&gt;TRUNC(BT8/2,0), BR8&gt;=BN8),
                        "0, no había superávit, y la deje con superávit",
                        IF(AND(BR8&lt;TRUNC(BT8/2,0),BR8&lt;BN8),
                            "1, no había superávit, pero el resultado fue mejor",
                            "-2, no había superávit y resultado fue bueno"
                        )
                    )
                )
            )
        )
    )
)</f>
        <v>-1, no había déficit y dejo la capacidad media</v>
      </c>
      <c r="BY8" s="4" t="s">
        <v>253</v>
      </c>
      <c r="BZ8" s="4">
        <v>8</v>
      </c>
      <c r="CA8" s="8">
        <v>6.1111111111111107</v>
      </c>
      <c r="CB8" s="4">
        <v>6</v>
      </c>
      <c r="CC8" s="4">
        <v>5</v>
      </c>
      <c r="CD8" s="4">
        <v>8</v>
      </c>
      <c r="CE8" s="4">
        <v>1.1425292918330761</v>
      </c>
      <c r="CF8" s="14">
        <v>15</v>
      </c>
      <c r="CG8" s="24">
        <f t="shared" ref="CG8:CG17" si="15">IF(CB8&lt;=BZ8,1,0)</f>
        <v>1</v>
      </c>
      <c r="CH8" s="24">
        <f t="shared" ref="CH8:CH27" si="16">CB8-BZ8</f>
        <v>-2</v>
      </c>
      <c r="CI8" t="str">
        <f>IF(CE8&gt;0,
    IF(OR(BZ8&lt;=TRUNC(CF8/2,0),BZ8=0),
        IF(CD8=TRUNC(CF8/2,0),
            "-1, Déficit y dejo la capacidad media",
            IF(AND(CD8&gt;TRUNC(CF8/2,0), CD8&gt;BZ8),
                "1, Déficit y eliminé déficit",
                IF(AND(CD8&lt;TRUNC(CF8/2,0), CD8&lt;BZ8),
                    "0, Déficit y no elimine déficit",
                    "-2, Déficit y resultado fue bueno")
            )
        ),
        IF(AND(CD8&gt;TRUNC(CF8/2,0), CD8&gt;BZ8),
            "1, no había déficit, pero resultado fue mejor",
            IF(AND(CD8&lt;TRUNC(CF8/2,0),CD8&lt;BZ8),
                "0, no había déficit y la dejo con déficit",
                IF(CD8=TRUNC(CF8/2,0),
                    "-1, no había déficit y dejo la capacidad media",
                    "-2,no había déficit y resultado fue bueno")
            )
        )
    ),
    IF(CE8&lt;0,
        IF(BZ8&gt;TRUNC(CF8/2,0),
            IF(CD8=TRUNC(CF8/2,0),
                "-1, Superávit y deje la capacidad media",
                IF(AND(CD8&gt;TRUNC(CF8/2,0), CD8&gt;=BZ8),
                    "0, Superávit y no eliminé superávit",
                    IF(AND(CD8&lt;TRUNC(CF8/2,0),CD8&lt;BZ8),
                        "1, Superávit y eliminé superávit",
                        "-2, Superávit y resultado fue bueno"
                    )
                )
            ),
            IF(AND(BZ8&lt;=TRUNC(CF8/2,0),BZ8&gt;=0),
                IF(CD8=TRUNC(CF8/2,0),
                    "-1, no había superávit y deje la capacidad media",
                    IF(AND(CD8&gt;TRUNC(CF8/2,0), CD8&gt;=BZ8),
                        "0, no había superávit, y la deje con superávit",
                        IF(AND(CD8&lt;TRUNC(CF8/2,0),CD8&lt;BZ8),
                            "1, no había superávit, pero el resultado fue mejor",
                            "-2, no había superávit y resultado fue bueno"
                        )
                    )
                )
            )
        )
    )
)</f>
        <v>-2,no había déficit y resultado fue bueno</v>
      </c>
      <c r="CK8" s="4" t="s">
        <v>253</v>
      </c>
      <c r="CL8" s="4">
        <v>7</v>
      </c>
      <c r="CM8" s="8">
        <v>4.666666666666667</v>
      </c>
      <c r="CN8" s="4">
        <v>5</v>
      </c>
      <c r="CO8" s="4">
        <v>5</v>
      </c>
      <c r="CP8" s="4">
        <v>7</v>
      </c>
      <c r="CQ8" s="4">
        <v>1.1425292918330761</v>
      </c>
      <c r="CR8" s="14">
        <v>15</v>
      </c>
      <c r="CS8" s="24">
        <f t="shared" ref="CS8:CS17" si="17">IF(CN8&lt;=CL8,1,0)</f>
        <v>1</v>
      </c>
      <c r="CT8" s="24">
        <f t="shared" ref="CT8:CT27" si="18">CN8-CL8</f>
        <v>-2</v>
      </c>
      <c r="CU8" t="str">
        <f>IF(CQ8&gt;0,
    IF(OR(CL8&lt;=TRUNC(CR8/2,0),CL8=0),
        IF(CP8=TRUNC(CR8/2,0),
            "-1, Déficit y dejo la capacidad media",
            IF(AND(CP8&gt;TRUNC(CR8/2,0), CP8&gt;CL8),
                "1, Déficit y eliminé déficit",
                IF(AND(CP8&lt;TRUNC(CR8/2,0), CP8&lt;CL8),
                    "0, Déficit y no elimine déficit",
                    "-2, Déficit y resultado fue bueno")
            )
        ),
        IF(AND(CP8&gt;TRUNC(CR8/2,0), CP8&gt;CL8),
            "1, no había déficit, pero resultado fue mejor",
            IF(AND(CP8&lt;TRUNC(CR8/2,0),CP8&lt;CL8),
                "0, no había déficit y la dejo con déficit",
                IF(CP8=TRUNC(CR8/2,0),
                    "-1, no había déficit y dejo la capacidad media",
                    "-2,no había déficit y resultado fue bueno")
            )
        )
    ),
    IF(CQ8&lt;0,
        IF(CL8&gt;TRUNC(CR8/2,0),
            IF(CP8=TRUNC(CR8/2,0),
                "-1, Superávit y deje la capacidad media",
                IF(AND(CP8&gt;TRUNC(CR8/2,0), CP8&gt;=CL8),
                    "0, Superávit y no eliminé superávit",
                    IF(AND(CP8&lt;TRUNC(CR8/2,0),CP8&lt;CL8),
                        "1, Superávit y eliminé superávit",
                        "-2, Superávit y resultado fue bueno"
                    )
                )
            ),
            IF(AND(CL8&lt;=TRUNC(CR8/2,0),CL8&gt;=0),
                IF(CP8=TRUNC(CR8/2,0),
                    "-1, no había superávit y deje la capacidad media",
                    IF(AND(CP8&gt;TRUNC(CR8/2,0), CP8&gt;=CL8),
                        "0, no había superávit, y la deje con superávit",
                        IF(AND(CP8&lt;TRUNC(CR8/2,0),CP8&lt;CL8),
                            "1, no había superávit, pero el resultado fue mejor",
                            "-2, no había superávit y resultado fue bueno"
                        )
                    )
                )
            )
        )
    )
)</f>
        <v>-1, Déficit y dejo la capacidad media</v>
      </c>
    </row>
    <row r="9" spans="1:102" ht="14.25" customHeight="1" x14ac:dyDescent="0.3">
      <c r="A9" s="4" t="s">
        <v>254</v>
      </c>
      <c r="B9" s="4">
        <v>8</v>
      </c>
      <c r="C9" s="8">
        <v>6.1111111111111107</v>
      </c>
      <c r="D9" s="4">
        <v>4</v>
      </c>
      <c r="E9" s="4">
        <v>3</v>
      </c>
      <c r="F9" s="4">
        <v>8</v>
      </c>
      <c r="G9" s="4">
        <v>0.80154659127182082</v>
      </c>
      <c r="H9" s="24" t="s">
        <v>386</v>
      </c>
      <c r="I9" s="4">
        <v>19</v>
      </c>
      <c r="J9" s="8">
        <f t="shared" si="0"/>
        <v>1</v>
      </c>
      <c r="K9" s="33">
        <f t="shared" si="1"/>
        <v>-4</v>
      </c>
      <c r="L9" s="26" t="str">
        <f t="shared" si="2"/>
        <v>-2, Déficit y resultado fue bueno</v>
      </c>
      <c r="M9" s="42"/>
      <c r="N9" s="26" t="s">
        <v>254</v>
      </c>
      <c r="O9" s="26">
        <v>5</v>
      </c>
      <c r="P9" s="23">
        <v>5.8888888888888893</v>
      </c>
      <c r="Q9" s="26">
        <v>5</v>
      </c>
      <c r="R9" s="26">
        <v>4</v>
      </c>
      <c r="S9" s="26">
        <v>8</v>
      </c>
      <c r="T9" s="26">
        <v>0.80154659127182082</v>
      </c>
      <c r="U9" s="24" t="s">
        <v>386</v>
      </c>
      <c r="V9" s="26">
        <v>19</v>
      </c>
      <c r="W9" s="34">
        <f t="shared" si="3"/>
        <v>1</v>
      </c>
      <c r="X9" s="34">
        <f t="shared" si="4"/>
        <v>0</v>
      </c>
      <c r="Y9" s="26" t="str">
        <f t="shared" si="5"/>
        <v>-2, Déficit y resultado fue bueno</v>
      </c>
      <c r="Z9" s="42"/>
      <c r="AA9" s="4" t="s">
        <v>254</v>
      </c>
      <c r="AB9" s="4">
        <v>15</v>
      </c>
      <c r="AC9" s="8">
        <v>7.333333333333333</v>
      </c>
      <c r="AD9" s="4">
        <v>17</v>
      </c>
      <c r="AE9" s="4">
        <v>18</v>
      </c>
      <c r="AF9" s="4">
        <v>12</v>
      </c>
      <c r="AG9" s="4">
        <v>0.80154659127182082</v>
      </c>
      <c r="AH9" s="24" t="s">
        <v>386</v>
      </c>
      <c r="AI9" s="4">
        <v>19</v>
      </c>
      <c r="AJ9" s="32">
        <f t="shared" si="6"/>
        <v>0</v>
      </c>
      <c r="AK9" s="33">
        <f t="shared" si="7"/>
        <v>2</v>
      </c>
      <c r="AL9" s="24" t="str">
        <f t="shared" si="8"/>
        <v>-2,no había déficit y resultado fue bueno</v>
      </c>
      <c r="AM9" s="42"/>
      <c r="AN9" s="4" t="s">
        <v>254</v>
      </c>
      <c r="AO9" s="4">
        <v>2</v>
      </c>
      <c r="AP9" s="8">
        <v>3.5555555555555554</v>
      </c>
      <c r="AQ9" s="4">
        <v>0</v>
      </c>
      <c r="AR9" s="4">
        <v>1</v>
      </c>
      <c r="AS9" s="4">
        <v>8</v>
      </c>
      <c r="AT9" s="4">
        <v>0.80154659127182082</v>
      </c>
      <c r="AU9" s="14">
        <v>19</v>
      </c>
      <c r="AV9" s="23">
        <f t="shared" si="9"/>
        <v>1</v>
      </c>
      <c r="AW9" s="24">
        <f t="shared" si="10"/>
        <v>-2</v>
      </c>
      <c r="AX9" t="str">
        <f t="shared" ref="AX9:AX27" si="19">IF(AT9&gt;0,
    IF(OR(AO9&lt;=TRUNC(AU9/2,0),AO9=0),
        IF(AS9=TRUNC(AU9/2,0),
            "-1, Déficit y dejo la capacidad media",
            IF(AND(AS9&gt;TRUNC(AU9/2,0), AS9&gt;AO9),
                "1, Déficit y eliminé déficit",
                IF(AND(AS9&lt;TRUNC(AU9/2,0), AS9&lt;AO9),
                    "0, Déficit y no elimine déficit",
                    "-2, Déficit y resultado fue bueno")
            )
        ),
        IF(AND(AS9&gt;TRUNC(AU9/2,0), AS9&gt;AO9),
            "1, no había déficit, pero resultado fue mejor",
            IF(AND(AS9&lt;TRUNC(AU9/2,0),AS9&lt;AO9),
                "0, no había déficit y la dejo con déficit",
                IF(AS9=TRUNC(AU9/2,0),
                    "-1, no había déficit y dejo la capacidad media",
                    "-2,no había déficit y resultado fue bueno")
            )
        )
    ),
    IF(AT9&lt;0,
        IF(AO9&gt;TRUNC(AU9/2,0),
            IF(AS9=TRUNC(AU9/2,0),
                "-1, Superávit y deje la capacidad media",
                IF(AND(AS9&gt;TRUNC(AU9/2,0), AS9&gt;=AO9),
                    "0, Superávit y no eliminé superávit",
                    IF(AND(AS9&lt;TRUNC(AU9/2,0),AS9&lt;AO9),
                        "1, Superávit y eliminé superávit",
                        "-2, Superávit y resultado fue bueno"
                    )
                )
            ),
            IF(AND(AO9&lt;=TRUNC(AU9/2,0),AO9&gt;=0),
                IF(AS9=TRUNC(AU9/2,0),
                    "-1, no había superávit y deje la capacidad media",
                    IF(AND(AS9&gt;TRUNC(AU9/2,0), AS9&gt;=AO9),
                        "0, no había superávit, y la deje con superávit",
                        IF(AND(AS9&lt;TRUNC(AU9/2,0),AS9&lt;AO9),
                            "1, no había superávit, pero el resultado fue mejor",
                            "-2, no había superávit y resultado fue bueno"
                        )
                    )
                )
            )
        )
    )
)</f>
        <v>-2, Déficit y resultado fue bueno</v>
      </c>
      <c r="BA9" s="4" t="s">
        <v>254</v>
      </c>
      <c r="BB9" s="4">
        <v>6</v>
      </c>
      <c r="BC9" s="8">
        <v>3.3333333333333335</v>
      </c>
      <c r="BD9" s="4">
        <v>2</v>
      </c>
      <c r="BE9" s="4">
        <v>1</v>
      </c>
      <c r="BF9" s="4">
        <v>8</v>
      </c>
      <c r="BG9" s="4">
        <v>0.80154659127182082</v>
      </c>
      <c r="BH9" s="14">
        <v>19</v>
      </c>
      <c r="BI9" s="24">
        <f t="shared" si="11"/>
        <v>1</v>
      </c>
      <c r="BJ9" s="24">
        <f t="shared" si="12"/>
        <v>-4</v>
      </c>
      <c r="BK9" t="str">
        <f t="shared" ref="BK9:BK27" si="20">IF(BG9&gt;0,
    IF(OR(BB9&lt;=TRUNC(BH9/2,0),BB9=0),
        IF(BF9=TRUNC(BH9/2,0),
            "-1, Déficit y dejo la capacidad media",
            IF(AND(BF9&gt;TRUNC(BH9/2,0), BF9&gt;BB9),
                "1, Déficit y eliminé déficit",
                IF(AND(BF9&lt;TRUNC(BH9/2,0), BF9&lt;BB9),
                    "0, Déficit y no elimine déficit",
                    "-2, Déficit y resultado fue bueno")
            )
        ),
        IF(AND(BF9&gt;TRUNC(BH9/2,0), BF9&gt;BB9),
            "1, no había déficit, pero resultado fue mejor",
            IF(AND(BF9&lt;TRUNC(BH9/2,0),BF9&lt;BB9),
                "0, no había déficit y la dejo con déficit",
                IF(BF9=TRUNC(BH9/2,0),
                    "-1, no había déficit y dejo la capacidad media",
                    "-2,no había déficit y resultado fue bueno")
            )
        )
    ),
    IF(BG9&lt;0,
        IF(BB9&gt;TRUNC(BH9/2,0),
            IF(BF9=TRUNC(BH9/2,0),
                "-1, Superávit y deje la capacidad media",
                IF(AND(BF9&gt;TRUNC(BH9/2,0), BF9&gt;=BB9),
                    "0, Superávit y no eliminé superávit",
                    IF(AND(BF9&lt;TRUNC(BH9/2,0),BF9&lt;BB9),
                        "1, Superávit y eliminé superávit",
                        "-2, Superávit y resultado fue bueno"
                    )
                )
            ),
            IF(AND(BB9&lt;=TRUNC(BH9/2,0),BB9&gt;=0),
                IF(BF9=TRUNC(BH9/2,0),
                    "-1, no había superávit y deje la capacidad media",
                    IF(AND(BF9&gt;TRUNC(BH9/2,0), BF9&gt;=BB9),
                        "0, no había superávit, y la deje con superávit",
                        IF(AND(BF9&lt;TRUNC(BH9/2,0),BF9&lt;BB9),
                            "1, no había superávit, pero el resultado fue mejor",
                            "-2, no había superávit y resultado fue bueno"
                        )
                    )
                )
            )
        )
    )
)</f>
        <v>-2, Déficit y resultado fue bueno</v>
      </c>
      <c r="BM9" s="4" t="s">
        <v>254</v>
      </c>
      <c r="BN9" s="4">
        <v>3</v>
      </c>
      <c r="BO9" s="8">
        <v>5.2222222222222223</v>
      </c>
      <c r="BP9" s="4">
        <v>0</v>
      </c>
      <c r="BQ9" s="4">
        <v>0</v>
      </c>
      <c r="BR9" s="4">
        <v>12</v>
      </c>
      <c r="BS9" s="4">
        <v>0.80154659127182082</v>
      </c>
      <c r="BT9" s="14">
        <v>19</v>
      </c>
      <c r="BU9" s="24">
        <f t="shared" si="13"/>
        <v>1</v>
      </c>
      <c r="BV9" s="24">
        <f t="shared" si="14"/>
        <v>-3</v>
      </c>
      <c r="BW9" t="str">
        <f t="shared" ref="BW9:BW27" si="21">IF(BS9&gt;0,
    IF(OR(BN9&lt;=TRUNC(BT9/2,0),BN9=0),
        IF(BR9=TRUNC(BT9/2,0),
            "-1, Déficit y dejo la capacidad media",
            IF(AND(BR9&gt;TRUNC(BT9/2,0), BR9&gt;BN9),
                "1, Déficit y eliminé déficit",
                IF(AND(BR9&lt;TRUNC(BT9/2,0), BR9&lt;BN9),
                    "0, Déficit y no elimine déficit",
                    "-2, Déficit y resultado fue bueno")
            )
        ),
        IF(AND(BR9&gt;TRUNC(BT9/2,0), BR9&gt;BN9),
            "1, no había déficit, pero resultado fue mejor",
            IF(AND(BR9&lt;TRUNC(BT9/2,0),BR9&lt;BN9),
                "0, no había déficit y la dejo con déficit",
                IF(BR9=TRUNC(BT9/2,0),
                    "-1, no había déficit y dejo la capacidad media",
                    "-2,no había déficit y resultado fue bueno")
            )
        )
    ),
    IF(BS9&lt;0,
        IF(BN9&gt;TRUNC(BT9/2,0),
            IF(BR9=TRUNC(BT9/2,0),
                "-1, Superávit y deje la capacidad media",
                IF(AND(BR9&gt;TRUNC(BT9/2,0), BR9&gt;=BN9),
                    "0, Superávit y no eliminé superávit",
                    IF(AND(BR9&lt;TRUNC(BT9/2,0),BR9&lt;BN9),
                        "1, Superávit y eliminé superávit",
                        "-2, Superávit y resultado fue bueno"
                    )
                )
            ),
            IF(AND(BN9&lt;=TRUNC(BT9/2,0),BN9&gt;=0),
                IF(BR9=TRUNC(BT9/2,0),
                    "-1, no había superávit y deje la capacidad media",
                    IF(AND(BR9&gt;TRUNC(BT9/2,0), BR9&gt;=BN9),
                        "0, no había superávit, y la deje con superávit",
                        IF(AND(BR9&lt;TRUNC(BT9/2,0),BR9&lt;BN9),
                            "1, no había superávit, pero el resultado fue mejor",
                            "-2, no había superávit y resultado fue bueno"
                        )
                    )
                )
            )
        )
    )
)</f>
        <v>1, Déficit y eliminé déficit</v>
      </c>
      <c r="BY9" s="4" t="s">
        <v>254</v>
      </c>
      <c r="BZ9" s="4">
        <v>5</v>
      </c>
      <c r="CA9" s="8">
        <v>6.5555555555555554</v>
      </c>
      <c r="CB9" s="4">
        <v>2</v>
      </c>
      <c r="CC9" s="4">
        <v>0</v>
      </c>
      <c r="CD9" s="4">
        <v>8</v>
      </c>
      <c r="CE9" s="4">
        <v>0.80154659127182082</v>
      </c>
      <c r="CF9" s="14">
        <v>19</v>
      </c>
      <c r="CG9" s="24">
        <f t="shared" si="15"/>
        <v>1</v>
      </c>
      <c r="CH9" s="24">
        <f t="shared" si="16"/>
        <v>-3</v>
      </c>
      <c r="CI9" t="str">
        <f t="shared" ref="CI9:CI27" si="22">IF(CE9&gt;0,
    IF(OR(BZ9&lt;=TRUNC(CF9/2,0),BZ9=0),
        IF(CD9=TRUNC(CF9/2,0),
            "-1, Déficit y dejo la capacidad media",
            IF(AND(CD9&gt;TRUNC(CF9/2,0), CD9&gt;BZ9),
                "1, Déficit y eliminé déficit",
                IF(AND(CD9&lt;TRUNC(CF9/2,0), CD9&lt;BZ9),
                    "0, Déficit y no elimine déficit",
                    "-2, Déficit y resultado fue bueno")
            )
        ),
        IF(AND(CD9&gt;TRUNC(CF9/2,0), CD9&gt;BZ9),
            "1, no había déficit, pero resultado fue mejor",
            IF(AND(CD9&lt;TRUNC(CF9/2,0),CD9&lt;BZ9),
                "0, no había déficit y la dejo con déficit",
                IF(CD9=TRUNC(CF9/2,0),
                    "-1, no había déficit y dejo la capacidad media",
                    "-2,no había déficit y resultado fue bueno")
            )
        )
    ),
    IF(CE9&lt;0,
        IF(BZ9&gt;TRUNC(CF9/2,0),
            IF(CD9=TRUNC(CF9/2,0),
                "-1, Superávit y deje la capacidad media",
                IF(AND(CD9&gt;TRUNC(CF9/2,0), CD9&gt;=BZ9),
                    "0, Superávit y no eliminé superávit",
                    IF(AND(CD9&lt;TRUNC(CF9/2,0),CD9&lt;BZ9),
                        "1, Superávit y eliminé superávit",
                        "-2, Superávit y resultado fue bueno"
                    )
                )
            ),
            IF(AND(BZ9&lt;=TRUNC(CF9/2,0),BZ9&gt;=0),
                IF(CD9=TRUNC(CF9/2,0),
                    "-1, no había superávit y deje la capacidad media",
                    IF(AND(CD9&gt;TRUNC(CF9/2,0), CD9&gt;=BZ9),
                        "0, no había superávit, y la deje con superávit",
                        IF(AND(CD9&lt;TRUNC(CF9/2,0),CD9&lt;BZ9),
                            "1, no había superávit, pero el resultado fue mejor",
                            "-2, no había superávit y resultado fue bueno"
                        )
                    )
                )
            )
        )
    )
)</f>
        <v>-2, Déficit y resultado fue bueno</v>
      </c>
      <c r="CK9" s="4" t="s">
        <v>254</v>
      </c>
      <c r="CL9" s="4">
        <v>4</v>
      </c>
      <c r="CM9" s="8">
        <v>6.1111111111111107</v>
      </c>
      <c r="CN9" s="4">
        <v>3</v>
      </c>
      <c r="CO9" s="4">
        <v>2</v>
      </c>
      <c r="CP9" s="4">
        <v>12</v>
      </c>
      <c r="CQ9" s="4">
        <v>0.80154659127182082</v>
      </c>
      <c r="CR9" s="14">
        <v>19</v>
      </c>
      <c r="CS9" s="24">
        <f t="shared" si="17"/>
        <v>1</v>
      </c>
      <c r="CT9" s="24">
        <f t="shared" si="18"/>
        <v>-1</v>
      </c>
      <c r="CU9" t="str">
        <f t="shared" ref="CU9:CU27" si="23">IF(CQ9&gt;0,
    IF(OR(CL9&lt;=TRUNC(CR9/2,0),CL9=0),
        IF(CP9=TRUNC(CR9/2,0),
            "-1, Déficit y dejo la capacidad media",
            IF(AND(CP9&gt;TRUNC(CR9/2,0), CP9&gt;CL9),
                "1, Déficit y eliminé déficit",
                IF(AND(CP9&lt;TRUNC(CR9/2,0), CP9&lt;CL9),
                    "0, Déficit y no elimine déficit",
                    "-2, Déficit y resultado fue bueno")
            )
        ),
        IF(AND(CP9&gt;TRUNC(CR9/2,0), CP9&gt;CL9),
            "1, no había déficit, pero resultado fue mejor",
            IF(AND(CP9&lt;TRUNC(CR9/2,0),CP9&lt;CL9),
                "0, no había déficit y la dejo con déficit",
                IF(CP9=TRUNC(CR9/2,0),
                    "-1, no había déficit y dejo la capacidad media",
                    "-2,no había déficit y resultado fue bueno")
            )
        )
    ),
    IF(CQ9&lt;0,
        IF(CL9&gt;TRUNC(CR9/2,0),
            IF(CP9=TRUNC(CR9/2,0),
                "-1, Superávit y deje la capacidad media",
                IF(AND(CP9&gt;TRUNC(CR9/2,0), CP9&gt;=CL9),
                    "0, Superávit y no eliminé superávit",
                    IF(AND(CP9&lt;TRUNC(CR9/2,0),CP9&lt;CL9),
                        "1, Superávit y eliminé superávit",
                        "-2, Superávit y resultado fue bueno"
                    )
                )
            ),
            IF(AND(CL9&lt;=TRUNC(CR9/2,0),CL9&gt;=0),
                IF(CP9=TRUNC(CR9/2,0),
                    "-1, no había superávit y deje la capacidad media",
                    IF(AND(CP9&gt;TRUNC(CR9/2,0), CP9&gt;=CL9),
                        "0, no había superávit, y la deje con superávit",
                        IF(AND(CP9&lt;TRUNC(CR9/2,0),CP9&lt;CL9),
                            "1, no había superávit, pero el resultado fue mejor",
                            "-2, no había superávit y resultado fue bueno"
                        )
                    )
                )
            )
        )
    )
)</f>
        <v>1, Déficit y eliminé déficit</v>
      </c>
      <c r="CX9" s="4" t="s">
        <v>247</v>
      </c>
    </row>
    <row r="10" spans="1:102" ht="14.25" customHeight="1" x14ac:dyDescent="0.3">
      <c r="A10" s="4" t="s">
        <v>255</v>
      </c>
      <c r="B10" s="4">
        <v>1</v>
      </c>
      <c r="C10" s="8">
        <v>2.1111111111111112</v>
      </c>
      <c r="D10" s="4">
        <v>2</v>
      </c>
      <c r="E10" s="4">
        <v>0</v>
      </c>
      <c r="F10" s="4">
        <v>6</v>
      </c>
      <c r="G10" s="4">
        <v>0.75176560751023358</v>
      </c>
      <c r="H10" s="24" t="s">
        <v>384</v>
      </c>
      <c r="I10" s="4">
        <v>15</v>
      </c>
      <c r="J10" s="8">
        <f t="shared" si="0"/>
        <v>0</v>
      </c>
      <c r="K10" s="33">
        <f t="shared" si="1"/>
        <v>1</v>
      </c>
      <c r="L10" s="26" t="str">
        <f t="shared" si="2"/>
        <v>-2, Déficit y resultado fue bueno</v>
      </c>
      <c r="M10" s="42"/>
      <c r="N10" s="26" t="s">
        <v>255</v>
      </c>
      <c r="O10" s="26">
        <v>1</v>
      </c>
      <c r="P10" s="23">
        <v>2.4444444444444446</v>
      </c>
      <c r="Q10" s="26">
        <v>1</v>
      </c>
      <c r="R10" s="26">
        <v>1</v>
      </c>
      <c r="S10" s="26">
        <v>6</v>
      </c>
      <c r="T10" s="26">
        <v>0.75176560751023358</v>
      </c>
      <c r="U10" s="24" t="s">
        <v>384</v>
      </c>
      <c r="V10" s="26">
        <v>15</v>
      </c>
      <c r="W10" s="34">
        <f t="shared" si="3"/>
        <v>1</v>
      </c>
      <c r="X10" s="34">
        <f t="shared" si="4"/>
        <v>0</v>
      </c>
      <c r="Y10" s="26" t="str">
        <f t="shared" si="5"/>
        <v>-2, Déficit y resultado fue bueno</v>
      </c>
      <c r="Z10" s="42"/>
      <c r="AA10" s="4" t="s">
        <v>255</v>
      </c>
      <c r="AB10" s="4">
        <v>4</v>
      </c>
      <c r="AC10" s="8">
        <v>4.4444444444444446</v>
      </c>
      <c r="AD10" s="4">
        <v>6</v>
      </c>
      <c r="AE10" s="4">
        <v>6</v>
      </c>
      <c r="AF10" s="4">
        <v>6</v>
      </c>
      <c r="AG10" s="4">
        <v>0.75176560751023358</v>
      </c>
      <c r="AH10" s="24" t="s">
        <v>384</v>
      </c>
      <c r="AI10" s="4">
        <v>15</v>
      </c>
      <c r="AJ10" s="32">
        <f t="shared" si="6"/>
        <v>0</v>
      </c>
      <c r="AK10" s="33">
        <f t="shared" si="7"/>
        <v>2</v>
      </c>
      <c r="AL10" s="24" t="str">
        <f t="shared" si="8"/>
        <v>-2, Déficit y resultado fue bueno</v>
      </c>
      <c r="AM10" s="42"/>
      <c r="AN10" s="4" t="s">
        <v>255</v>
      </c>
      <c r="AO10" s="4">
        <v>8</v>
      </c>
      <c r="AP10" s="8">
        <v>3.2222222222222223</v>
      </c>
      <c r="AQ10" s="4">
        <v>8</v>
      </c>
      <c r="AR10" s="4">
        <v>6</v>
      </c>
      <c r="AS10" s="4">
        <v>8</v>
      </c>
      <c r="AT10" s="4">
        <v>0.75176560751023358</v>
      </c>
      <c r="AU10" s="14">
        <v>15</v>
      </c>
      <c r="AV10" s="23">
        <f t="shared" si="9"/>
        <v>1</v>
      </c>
      <c r="AW10" s="24">
        <f t="shared" si="10"/>
        <v>0</v>
      </c>
      <c r="AX10" t="str">
        <f t="shared" si="19"/>
        <v>-2,no había déficit y resultado fue bueno</v>
      </c>
      <c r="BA10" s="4" t="s">
        <v>255</v>
      </c>
      <c r="BB10" s="4">
        <v>2</v>
      </c>
      <c r="BC10" s="8">
        <v>2.8888888888888888</v>
      </c>
      <c r="BD10" s="4">
        <v>4</v>
      </c>
      <c r="BE10" s="4">
        <v>4</v>
      </c>
      <c r="BF10" s="4">
        <v>6</v>
      </c>
      <c r="BG10" s="4">
        <v>0.75176560751023358</v>
      </c>
      <c r="BH10" s="14">
        <v>15</v>
      </c>
      <c r="BI10" s="24">
        <f t="shared" si="11"/>
        <v>0</v>
      </c>
      <c r="BJ10" s="24">
        <f t="shared" si="12"/>
        <v>2</v>
      </c>
      <c r="BK10" t="str">
        <f t="shared" si="20"/>
        <v>-2, Déficit y resultado fue bueno</v>
      </c>
      <c r="BM10" s="4" t="s">
        <v>255</v>
      </c>
      <c r="BN10" s="4">
        <v>8</v>
      </c>
      <c r="BO10" s="8">
        <v>2.6666666666666665</v>
      </c>
      <c r="BP10" s="4">
        <v>3</v>
      </c>
      <c r="BQ10" s="4">
        <v>3</v>
      </c>
      <c r="BR10" s="4">
        <v>6</v>
      </c>
      <c r="BS10" s="4">
        <v>0.75176560751023358</v>
      </c>
      <c r="BT10" s="14">
        <v>15</v>
      </c>
      <c r="BU10" s="24">
        <f t="shared" si="13"/>
        <v>1</v>
      </c>
      <c r="BV10" s="24">
        <f t="shared" si="14"/>
        <v>-5</v>
      </c>
      <c r="BW10" t="str">
        <f t="shared" si="21"/>
        <v>0, no había déficit y la dejo con déficit</v>
      </c>
      <c r="BY10" s="4" t="s">
        <v>255</v>
      </c>
      <c r="BZ10" s="4">
        <v>8</v>
      </c>
      <c r="CA10" s="8">
        <v>4.333333333333333</v>
      </c>
      <c r="CB10" s="4">
        <v>8</v>
      </c>
      <c r="CC10" s="4">
        <v>4</v>
      </c>
      <c r="CD10" s="4">
        <v>8</v>
      </c>
      <c r="CE10" s="4">
        <v>0.75176560751023358</v>
      </c>
      <c r="CF10" s="14">
        <v>15</v>
      </c>
      <c r="CG10" s="24">
        <f t="shared" si="15"/>
        <v>1</v>
      </c>
      <c r="CH10" s="24">
        <f t="shared" si="16"/>
        <v>0</v>
      </c>
      <c r="CI10" t="str">
        <f t="shared" si="22"/>
        <v>-2,no había déficit y resultado fue bueno</v>
      </c>
      <c r="CK10" s="4" t="s">
        <v>255</v>
      </c>
      <c r="CL10" s="4">
        <v>2</v>
      </c>
      <c r="CM10" s="8">
        <v>2.1111111111111112</v>
      </c>
      <c r="CN10" s="4">
        <v>1</v>
      </c>
      <c r="CO10" s="4">
        <v>0</v>
      </c>
      <c r="CP10" s="4">
        <v>6</v>
      </c>
      <c r="CQ10" s="4">
        <v>0.75176560751023358</v>
      </c>
      <c r="CR10" s="14">
        <v>15</v>
      </c>
      <c r="CS10" s="24">
        <f t="shared" si="17"/>
        <v>1</v>
      </c>
      <c r="CT10" s="24">
        <f t="shared" si="18"/>
        <v>-1</v>
      </c>
      <c r="CU10" t="str">
        <f t="shared" si="23"/>
        <v>-2, Déficit y resultado fue bueno</v>
      </c>
      <c r="CX10" s="4" t="s">
        <v>248</v>
      </c>
    </row>
    <row r="11" spans="1:102" ht="14.25" customHeight="1" x14ac:dyDescent="0.3">
      <c r="A11" s="4" t="s">
        <v>256</v>
      </c>
      <c r="B11" s="4">
        <v>4</v>
      </c>
      <c r="C11" s="8">
        <v>4.666666666666667</v>
      </c>
      <c r="D11" s="4">
        <v>1</v>
      </c>
      <c r="E11" s="4">
        <v>2</v>
      </c>
      <c r="F11" s="4">
        <v>11</v>
      </c>
      <c r="G11" s="4">
        <v>0.70267762112263932</v>
      </c>
      <c r="H11" s="24" t="s">
        <v>389</v>
      </c>
      <c r="I11" s="4">
        <v>17</v>
      </c>
      <c r="J11" s="8">
        <f t="shared" si="0"/>
        <v>1</v>
      </c>
      <c r="K11" s="33">
        <f t="shared" si="1"/>
        <v>-3</v>
      </c>
      <c r="L11" s="26" t="str">
        <f t="shared" si="2"/>
        <v>1, Déficit y eliminé déficit</v>
      </c>
      <c r="M11" s="42"/>
      <c r="N11" s="26" t="s">
        <v>256</v>
      </c>
      <c r="O11" s="26">
        <v>3</v>
      </c>
      <c r="P11" s="23">
        <v>5.1111111111111107</v>
      </c>
      <c r="Q11" s="26">
        <v>3</v>
      </c>
      <c r="R11" s="26">
        <v>3</v>
      </c>
      <c r="S11" s="26">
        <v>7</v>
      </c>
      <c r="T11" s="26">
        <v>0.70267762112263932</v>
      </c>
      <c r="U11" s="24" t="s">
        <v>389</v>
      </c>
      <c r="V11" s="26">
        <v>17</v>
      </c>
      <c r="W11" s="34">
        <f t="shared" si="3"/>
        <v>1</v>
      </c>
      <c r="X11" s="34">
        <f t="shared" si="4"/>
        <v>0</v>
      </c>
      <c r="Y11" s="26" t="str">
        <f t="shared" si="5"/>
        <v>-2, Déficit y resultado fue bueno</v>
      </c>
      <c r="Z11" s="42"/>
      <c r="AA11" s="4" t="s">
        <v>256</v>
      </c>
      <c r="AB11" s="4">
        <v>1</v>
      </c>
      <c r="AC11" s="8">
        <v>3.5555555555555554</v>
      </c>
      <c r="AD11" s="4">
        <v>1</v>
      </c>
      <c r="AE11" s="4">
        <v>1</v>
      </c>
      <c r="AF11" s="4">
        <v>8</v>
      </c>
      <c r="AG11" s="4">
        <v>0.70267762112263932</v>
      </c>
      <c r="AH11" s="24" t="s">
        <v>389</v>
      </c>
      <c r="AI11" s="4">
        <v>17</v>
      </c>
      <c r="AJ11" s="32">
        <f t="shared" si="6"/>
        <v>1</v>
      </c>
      <c r="AK11" s="33">
        <f t="shared" si="7"/>
        <v>0</v>
      </c>
      <c r="AL11" s="24" t="str">
        <f t="shared" si="8"/>
        <v>-1, Déficit y dejo la capacidad media</v>
      </c>
      <c r="AM11" s="42"/>
      <c r="AN11" s="4" t="s">
        <v>256</v>
      </c>
      <c r="AO11" s="4">
        <v>8</v>
      </c>
      <c r="AP11" s="8">
        <v>4.7777777777777777</v>
      </c>
      <c r="AQ11" s="4">
        <v>10</v>
      </c>
      <c r="AR11" s="4">
        <v>9</v>
      </c>
      <c r="AS11" s="4">
        <v>7</v>
      </c>
      <c r="AT11" s="4">
        <v>0.70267762112263932</v>
      </c>
      <c r="AU11" s="14">
        <v>17</v>
      </c>
      <c r="AV11" s="23">
        <f t="shared" si="9"/>
        <v>0</v>
      </c>
      <c r="AW11" s="24">
        <f t="shared" si="10"/>
        <v>2</v>
      </c>
      <c r="AX11" t="str">
        <f t="shared" si="19"/>
        <v>0, Déficit y no elimine déficit</v>
      </c>
      <c r="BA11" s="4" t="s">
        <v>256</v>
      </c>
      <c r="BB11" s="4">
        <v>4</v>
      </c>
      <c r="BC11" s="8">
        <v>5.8888888888888893</v>
      </c>
      <c r="BD11" s="4">
        <v>3</v>
      </c>
      <c r="BE11" s="4">
        <v>4</v>
      </c>
      <c r="BF11" s="4">
        <v>7</v>
      </c>
      <c r="BG11" s="4">
        <v>0.70267762112263932</v>
      </c>
      <c r="BH11" s="14">
        <v>17</v>
      </c>
      <c r="BI11" s="24">
        <f t="shared" si="11"/>
        <v>1</v>
      </c>
      <c r="BJ11" s="24">
        <f t="shared" si="12"/>
        <v>-1</v>
      </c>
      <c r="BK11" t="str">
        <f t="shared" si="20"/>
        <v>-2, Déficit y resultado fue bueno</v>
      </c>
      <c r="BM11" s="4" t="s">
        <v>256</v>
      </c>
      <c r="BN11" s="4">
        <v>3</v>
      </c>
      <c r="BO11" s="8">
        <v>5</v>
      </c>
      <c r="BP11" s="4">
        <v>1</v>
      </c>
      <c r="BQ11" s="4">
        <v>0</v>
      </c>
      <c r="BR11" s="4">
        <v>11</v>
      </c>
      <c r="BS11" s="4">
        <v>0.70267762112263932</v>
      </c>
      <c r="BT11" s="14">
        <v>17</v>
      </c>
      <c r="BU11" s="24">
        <f t="shared" si="13"/>
        <v>1</v>
      </c>
      <c r="BV11" s="24">
        <f t="shared" si="14"/>
        <v>-2</v>
      </c>
      <c r="BW11" t="str">
        <f t="shared" si="21"/>
        <v>1, Déficit y eliminé déficit</v>
      </c>
      <c r="BY11" s="4" t="s">
        <v>256</v>
      </c>
      <c r="BZ11" s="4">
        <v>4</v>
      </c>
      <c r="CA11" s="8">
        <v>6.7777777777777777</v>
      </c>
      <c r="CB11" s="4">
        <v>9</v>
      </c>
      <c r="CC11" s="4">
        <v>8</v>
      </c>
      <c r="CD11" s="4">
        <v>7</v>
      </c>
      <c r="CE11" s="4">
        <v>0.70267762112263932</v>
      </c>
      <c r="CF11" s="14">
        <v>17</v>
      </c>
      <c r="CG11" s="24">
        <f t="shared" si="15"/>
        <v>0</v>
      </c>
      <c r="CH11" s="24">
        <f t="shared" si="16"/>
        <v>5</v>
      </c>
      <c r="CI11" t="str">
        <f t="shared" si="22"/>
        <v>-2, Déficit y resultado fue bueno</v>
      </c>
      <c r="CK11" s="4" t="s">
        <v>256</v>
      </c>
      <c r="CL11" s="4">
        <v>4</v>
      </c>
      <c r="CM11" s="8">
        <v>4.666666666666667</v>
      </c>
      <c r="CN11" s="4">
        <v>2</v>
      </c>
      <c r="CO11" s="4">
        <v>2</v>
      </c>
      <c r="CP11" s="4">
        <v>7</v>
      </c>
      <c r="CQ11" s="4">
        <v>0.70267762112263932</v>
      </c>
      <c r="CR11" s="14">
        <v>17</v>
      </c>
      <c r="CS11" s="24">
        <f t="shared" si="17"/>
        <v>1</v>
      </c>
      <c r="CT11" s="24">
        <f t="shared" si="18"/>
        <v>-2</v>
      </c>
      <c r="CU11" t="str">
        <f t="shared" si="23"/>
        <v>-2, Déficit y resultado fue bueno</v>
      </c>
      <c r="CX11" s="4" t="s">
        <v>249</v>
      </c>
    </row>
    <row r="12" spans="1:102" ht="14.25" customHeight="1" x14ac:dyDescent="0.3">
      <c r="A12" s="4" t="s">
        <v>252</v>
      </c>
      <c r="B12" s="4">
        <v>1</v>
      </c>
      <c r="C12" s="8">
        <v>5.5555555555555554</v>
      </c>
      <c r="D12" s="4">
        <v>0</v>
      </c>
      <c r="E12" s="4">
        <v>0</v>
      </c>
      <c r="F12" s="4">
        <v>6</v>
      </c>
      <c r="G12" s="4">
        <v>0.70256358269933272</v>
      </c>
      <c r="H12" s="24" t="s">
        <v>384</v>
      </c>
      <c r="I12" s="4">
        <v>15</v>
      </c>
      <c r="J12" s="8">
        <f t="shared" si="0"/>
        <v>1</v>
      </c>
      <c r="K12" s="33">
        <f t="shared" si="1"/>
        <v>-1</v>
      </c>
      <c r="L12" s="26" t="str">
        <f t="shared" si="2"/>
        <v>-2, Déficit y resultado fue bueno</v>
      </c>
      <c r="M12" s="42"/>
      <c r="N12" s="26" t="s">
        <v>252</v>
      </c>
      <c r="O12" s="26">
        <v>3</v>
      </c>
      <c r="P12" s="23">
        <v>6.666666666666667</v>
      </c>
      <c r="Q12" s="26">
        <v>3</v>
      </c>
      <c r="R12" s="26">
        <v>2</v>
      </c>
      <c r="S12" s="26">
        <v>6</v>
      </c>
      <c r="T12" s="26">
        <v>0.70256358269933272</v>
      </c>
      <c r="U12" s="24" t="s">
        <v>384</v>
      </c>
      <c r="V12" s="26">
        <v>15</v>
      </c>
      <c r="W12" s="34">
        <f t="shared" si="3"/>
        <v>1</v>
      </c>
      <c r="X12" s="34">
        <f t="shared" si="4"/>
        <v>0</v>
      </c>
      <c r="Y12" s="26" t="str">
        <f t="shared" si="5"/>
        <v>-2, Déficit y resultado fue bueno</v>
      </c>
      <c r="Z12" s="42"/>
      <c r="AA12" s="4" t="s">
        <v>252</v>
      </c>
      <c r="AB12" s="4">
        <v>3</v>
      </c>
      <c r="AC12" s="8">
        <v>6.5555555555555554</v>
      </c>
      <c r="AD12" s="4">
        <v>4</v>
      </c>
      <c r="AE12" s="4">
        <v>4</v>
      </c>
      <c r="AF12" s="4">
        <v>8</v>
      </c>
      <c r="AG12" s="4">
        <v>0.70256358269933272</v>
      </c>
      <c r="AH12" s="24" t="s">
        <v>384</v>
      </c>
      <c r="AI12" s="4">
        <v>15</v>
      </c>
      <c r="AJ12" s="32">
        <f t="shared" si="6"/>
        <v>0</v>
      </c>
      <c r="AK12" s="33">
        <f t="shared" si="7"/>
        <v>1</v>
      </c>
      <c r="AL12" s="24" t="str">
        <f t="shared" si="8"/>
        <v>1, Déficit y eliminé déficit</v>
      </c>
      <c r="AM12" s="42"/>
      <c r="AN12" s="4" t="s">
        <v>252</v>
      </c>
      <c r="AO12" s="4">
        <v>5</v>
      </c>
      <c r="AP12" s="8">
        <v>6.7777777777777777</v>
      </c>
      <c r="AQ12" s="4">
        <v>0</v>
      </c>
      <c r="AR12" s="4">
        <v>0</v>
      </c>
      <c r="AS12" s="4">
        <v>6</v>
      </c>
      <c r="AT12" s="4">
        <v>0.70256358269933272</v>
      </c>
      <c r="AU12" s="14">
        <v>15</v>
      </c>
      <c r="AV12" s="23">
        <f t="shared" si="9"/>
        <v>1</v>
      </c>
      <c r="AW12" s="24">
        <f t="shared" si="10"/>
        <v>-5</v>
      </c>
      <c r="AX12" t="str">
        <f t="shared" si="19"/>
        <v>-2, Déficit y resultado fue bueno</v>
      </c>
      <c r="BA12" s="4" t="s">
        <v>252</v>
      </c>
      <c r="BB12" s="4">
        <v>0</v>
      </c>
      <c r="BC12" s="8">
        <v>4.2222222222222223</v>
      </c>
      <c r="BD12" s="4">
        <v>4</v>
      </c>
      <c r="BE12" s="4">
        <v>1</v>
      </c>
      <c r="BF12" s="4">
        <v>6</v>
      </c>
      <c r="BG12" s="4">
        <v>0.70256358269933272</v>
      </c>
      <c r="BH12" s="14">
        <v>15</v>
      </c>
      <c r="BI12" s="24">
        <f t="shared" si="11"/>
        <v>0</v>
      </c>
      <c r="BJ12" s="24">
        <f t="shared" si="12"/>
        <v>4</v>
      </c>
      <c r="BK12" t="str">
        <f t="shared" si="20"/>
        <v>-2, Déficit y resultado fue bueno</v>
      </c>
      <c r="BM12" s="4" t="s">
        <v>252</v>
      </c>
      <c r="BN12" s="4">
        <v>9</v>
      </c>
      <c r="BO12" s="8">
        <v>6.2222222222222223</v>
      </c>
      <c r="BP12" s="4">
        <v>8</v>
      </c>
      <c r="BQ12" s="4">
        <v>5</v>
      </c>
      <c r="BR12" s="4">
        <v>6</v>
      </c>
      <c r="BS12" s="4">
        <v>0.70256358269933272</v>
      </c>
      <c r="BT12" s="14">
        <v>15</v>
      </c>
      <c r="BU12" s="24">
        <f t="shared" si="13"/>
        <v>1</v>
      </c>
      <c r="BV12" s="24">
        <f t="shared" si="14"/>
        <v>-1</v>
      </c>
      <c r="BW12" t="str">
        <f t="shared" si="21"/>
        <v>0, no había déficit y la dejo con déficit</v>
      </c>
      <c r="BY12" s="4" t="s">
        <v>252</v>
      </c>
      <c r="BZ12" s="4">
        <v>5</v>
      </c>
      <c r="CA12" s="8">
        <v>8.1111111111111107</v>
      </c>
      <c r="CB12" s="4">
        <v>4</v>
      </c>
      <c r="CC12" s="4">
        <v>5</v>
      </c>
      <c r="CD12" s="4">
        <v>6</v>
      </c>
      <c r="CE12" s="4">
        <v>0.70256358269933272</v>
      </c>
      <c r="CF12" s="14">
        <v>15</v>
      </c>
      <c r="CG12" s="24">
        <f t="shared" si="15"/>
        <v>1</v>
      </c>
      <c r="CH12" s="24">
        <f t="shared" si="16"/>
        <v>-1</v>
      </c>
      <c r="CI12" t="str">
        <f t="shared" si="22"/>
        <v>-2, Déficit y resultado fue bueno</v>
      </c>
      <c r="CK12" s="4" t="s">
        <v>252</v>
      </c>
      <c r="CL12" s="4">
        <v>3</v>
      </c>
      <c r="CM12" s="8">
        <v>5.5555555555555554</v>
      </c>
      <c r="CN12" s="4">
        <v>3</v>
      </c>
      <c r="CO12" s="4">
        <v>4</v>
      </c>
      <c r="CP12" s="4">
        <v>8</v>
      </c>
      <c r="CQ12" s="4">
        <v>0.70256358269933272</v>
      </c>
      <c r="CR12" s="14">
        <v>15</v>
      </c>
      <c r="CS12" s="24">
        <f t="shared" si="17"/>
        <v>1</v>
      </c>
      <c r="CT12" s="24">
        <f t="shared" si="18"/>
        <v>0</v>
      </c>
      <c r="CU12" t="str">
        <f t="shared" si="23"/>
        <v>1, Déficit y eliminé déficit</v>
      </c>
      <c r="CX12" s="4" t="s">
        <v>250</v>
      </c>
    </row>
    <row r="13" spans="1:102" ht="14.25" customHeight="1" x14ac:dyDescent="0.3">
      <c r="A13" s="4" t="s">
        <v>250</v>
      </c>
      <c r="B13" s="4">
        <v>7</v>
      </c>
      <c r="C13" s="8">
        <v>5.1111111111111107</v>
      </c>
      <c r="D13" s="4">
        <v>7</v>
      </c>
      <c r="E13" s="4">
        <v>7</v>
      </c>
      <c r="F13" s="4">
        <v>6</v>
      </c>
      <c r="G13" s="4">
        <v>0.67691586229508371</v>
      </c>
      <c r="H13" s="24" t="s">
        <v>387</v>
      </c>
      <c r="I13" s="4">
        <v>15</v>
      </c>
      <c r="J13" s="8">
        <f t="shared" si="0"/>
        <v>1</v>
      </c>
      <c r="K13" s="33">
        <f t="shared" si="1"/>
        <v>0</v>
      </c>
      <c r="L13" s="26" t="str">
        <f t="shared" si="2"/>
        <v>0, Déficit y no elimine déficit</v>
      </c>
      <c r="M13" s="42"/>
      <c r="N13" s="26" t="s">
        <v>250</v>
      </c>
      <c r="O13" s="26">
        <v>6</v>
      </c>
      <c r="P13" s="23">
        <v>5.333333333333333</v>
      </c>
      <c r="Q13" s="26">
        <v>4</v>
      </c>
      <c r="R13" s="26">
        <v>4</v>
      </c>
      <c r="S13" s="26">
        <v>6</v>
      </c>
      <c r="T13" s="26">
        <v>0.67691586229508371</v>
      </c>
      <c r="U13" s="24" t="s">
        <v>387</v>
      </c>
      <c r="V13" s="26">
        <v>15</v>
      </c>
      <c r="W13" s="34">
        <f t="shared" si="3"/>
        <v>1</v>
      </c>
      <c r="X13" s="34">
        <f t="shared" si="4"/>
        <v>-2</v>
      </c>
      <c r="Y13" s="26" t="str">
        <f t="shared" si="5"/>
        <v>-2, Déficit y resultado fue bueno</v>
      </c>
      <c r="Z13" s="42"/>
      <c r="AA13" s="4" t="s">
        <v>250</v>
      </c>
      <c r="AB13" s="4">
        <v>4</v>
      </c>
      <c r="AC13" s="8">
        <v>5.4444444444444446</v>
      </c>
      <c r="AD13" s="4">
        <v>4</v>
      </c>
      <c r="AE13" s="4">
        <v>4</v>
      </c>
      <c r="AF13" s="4">
        <v>6</v>
      </c>
      <c r="AG13" s="4">
        <v>0.67691586229508371</v>
      </c>
      <c r="AH13" s="24" t="s">
        <v>387</v>
      </c>
      <c r="AI13" s="4">
        <v>15</v>
      </c>
      <c r="AJ13" s="32">
        <f t="shared" si="6"/>
        <v>1</v>
      </c>
      <c r="AK13" s="33">
        <f t="shared" si="7"/>
        <v>0</v>
      </c>
      <c r="AL13" s="24" t="str">
        <f t="shared" si="8"/>
        <v>-2, Déficit y resultado fue bueno</v>
      </c>
      <c r="AM13" s="42"/>
      <c r="AN13" s="4" t="s">
        <v>250</v>
      </c>
      <c r="AO13" s="4">
        <v>2</v>
      </c>
      <c r="AP13" s="8">
        <v>3.8888888888888888</v>
      </c>
      <c r="AQ13" s="4">
        <v>3</v>
      </c>
      <c r="AR13" s="4">
        <v>1</v>
      </c>
      <c r="AS13" s="4">
        <v>6</v>
      </c>
      <c r="AT13" s="4">
        <v>0.67691586229508371</v>
      </c>
      <c r="AU13" s="14">
        <v>15</v>
      </c>
      <c r="AV13" s="23">
        <f t="shared" si="9"/>
        <v>0</v>
      </c>
      <c r="AW13" s="24">
        <f t="shared" si="10"/>
        <v>1</v>
      </c>
      <c r="AX13" t="str">
        <f t="shared" si="19"/>
        <v>-2, Déficit y resultado fue bueno</v>
      </c>
      <c r="BA13" s="4" t="s">
        <v>250</v>
      </c>
      <c r="BB13" s="4">
        <v>2</v>
      </c>
      <c r="BC13" s="8">
        <v>6.8888888888888893</v>
      </c>
      <c r="BD13" s="4">
        <v>1</v>
      </c>
      <c r="BE13" s="4">
        <v>0</v>
      </c>
      <c r="BF13" s="4">
        <v>6</v>
      </c>
      <c r="BG13" s="4">
        <v>0.67691586229508371</v>
      </c>
      <c r="BH13" s="14">
        <v>15</v>
      </c>
      <c r="BI13" s="24">
        <f t="shared" si="11"/>
        <v>1</v>
      </c>
      <c r="BJ13" s="24">
        <f t="shared" si="12"/>
        <v>-1</v>
      </c>
      <c r="BK13" t="str">
        <f t="shared" si="20"/>
        <v>-2, Déficit y resultado fue bueno</v>
      </c>
      <c r="BM13" s="4" t="s">
        <v>250</v>
      </c>
      <c r="BN13" s="4">
        <v>2</v>
      </c>
      <c r="BO13" s="8">
        <v>1.5555555555555556</v>
      </c>
      <c r="BP13" s="4">
        <v>0</v>
      </c>
      <c r="BQ13" s="4">
        <v>0</v>
      </c>
      <c r="BR13" s="4">
        <v>6</v>
      </c>
      <c r="BS13" s="4">
        <v>0.67691586229508371</v>
      </c>
      <c r="BT13" s="14">
        <v>15</v>
      </c>
      <c r="BU13" s="24">
        <f t="shared" si="13"/>
        <v>1</v>
      </c>
      <c r="BV13" s="24">
        <f t="shared" si="14"/>
        <v>-2</v>
      </c>
      <c r="BW13" t="str">
        <f t="shared" si="21"/>
        <v>-2, Déficit y resultado fue bueno</v>
      </c>
      <c r="BY13" s="4" t="s">
        <v>250</v>
      </c>
      <c r="BZ13" s="4">
        <v>7</v>
      </c>
      <c r="CA13" s="8">
        <v>3.1111111111111112</v>
      </c>
      <c r="CB13" s="4">
        <v>4</v>
      </c>
      <c r="CC13" s="4">
        <v>3</v>
      </c>
      <c r="CD13" s="4">
        <v>7</v>
      </c>
      <c r="CE13" s="4">
        <v>0.67691586229508371</v>
      </c>
      <c r="CF13" s="14">
        <v>15</v>
      </c>
      <c r="CG13" s="24">
        <f t="shared" si="15"/>
        <v>1</v>
      </c>
      <c r="CH13" s="24">
        <f t="shared" si="16"/>
        <v>-3</v>
      </c>
      <c r="CI13" t="str">
        <f t="shared" si="22"/>
        <v>-1, Déficit y dejo la capacidad media</v>
      </c>
      <c r="CK13" s="4" t="s">
        <v>250</v>
      </c>
      <c r="CL13" s="4">
        <v>5</v>
      </c>
      <c r="CM13" s="8">
        <v>5.1111111111111107</v>
      </c>
      <c r="CN13" s="4">
        <v>3</v>
      </c>
      <c r="CO13" s="4">
        <v>2</v>
      </c>
      <c r="CP13" s="4">
        <v>6</v>
      </c>
      <c r="CQ13" s="4">
        <v>0.67691586229508371</v>
      </c>
      <c r="CR13" s="14">
        <v>15</v>
      </c>
      <c r="CS13" s="24">
        <f t="shared" si="17"/>
        <v>1</v>
      </c>
      <c r="CT13" s="24">
        <f t="shared" si="18"/>
        <v>-2</v>
      </c>
      <c r="CU13" t="str">
        <f t="shared" si="23"/>
        <v>-2, Déficit y resultado fue bueno</v>
      </c>
      <c r="CX13" s="4" t="s">
        <v>251</v>
      </c>
    </row>
    <row r="14" spans="1:102" ht="14.25" customHeight="1" x14ac:dyDescent="0.3">
      <c r="A14" s="4" t="s">
        <v>251</v>
      </c>
      <c r="B14" s="4">
        <v>3</v>
      </c>
      <c r="C14" s="8">
        <v>3.3333333333333335</v>
      </c>
      <c r="D14" s="4">
        <v>0</v>
      </c>
      <c r="E14" s="4">
        <v>0</v>
      </c>
      <c r="F14" s="4">
        <v>6</v>
      </c>
      <c r="G14" s="4">
        <v>0.655473679459604</v>
      </c>
      <c r="H14" s="24" t="s">
        <v>384</v>
      </c>
      <c r="I14" s="4">
        <v>15</v>
      </c>
      <c r="J14" s="8">
        <f t="shared" si="0"/>
        <v>1</v>
      </c>
      <c r="K14" s="33">
        <f t="shared" si="1"/>
        <v>-3</v>
      </c>
      <c r="L14" s="26" t="str">
        <f t="shared" si="2"/>
        <v>-2, Déficit y resultado fue bueno</v>
      </c>
      <c r="M14" s="42"/>
      <c r="N14" s="26" t="s">
        <v>251</v>
      </c>
      <c r="O14" s="26">
        <v>3</v>
      </c>
      <c r="P14" s="23">
        <v>4.2222222222222223</v>
      </c>
      <c r="Q14" s="26">
        <v>4</v>
      </c>
      <c r="R14" s="26">
        <v>4</v>
      </c>
      <c r="S14" s="26">
        <v>6</v>
      </c>
      <c r="T14" s="26">
        <v>0.655473679459604</v>
      </c>
      <c r="U14" s="24" t="s">
        <v>384</v>
      </c>
      <c r="V14" s="26">
        <v>15</v>
      </c>
      <c r="W14" s="34">
        <f t="shared" si="3"/>
        <v>0</v>
      </c>
      <c r="X14" s="34">
        <f t="shared" si="4"/>
        <v>1</v>
      </c>
      <c r="Y14" s="26" t="str">
        <f t="shared" si="5"/>
        <v>-2, Déficit y resultado fue bueno</v>
      </c>
      <c r="Z14" s="42"/>
      <c r="AA14" s="4" t="s">
        <v>251</v>
      </c>
      <c r="AB14" s="4">
        <v>2</v>
      </c>
      <c r="AC14" s="8">
        <v>4.666666666666667</v>
      </c>
      <c r="AD14" s="4">
        <v>2</v>
      </c>
      <c r="AE14" s="4">
        <v>2</v>
      </c>
      <c r="AF14" s="4">
        <v>6</v>
      </c>
      <c r="AG14" s="4">
        <v>0.655473679459604</v>
      </c>
      <c r="AH14" s="24" t="s">
        <v>384</v>
      </c>
      <c r="AI14" s="4">
        <v>15</v>
      </c>
      <c r="AJ14" s="32">
        <f t="shared" si="6"/>
        <v>1</v>
      </c>
      <c r="AK14" s="33">
        <f t="shared" si="7"/>
        <v>0</v>
      </c>
      <c r="AL14" s="24" t="str">
        <f t="shared" si="8"/>
        <v>-2, Déficit y resultado fue bueno</v>
      </c>
      <c r="AM14" s="42"/>
      <c r="AN14" s="4" t="s">
        <v>251</v>
      </c>
      <c r="AO14" s="4">
        <v>10</v>
      </c>
      <c r="AP14" s="8">
        <v>10</v>
      </c>
      <c r="AQ14" s="4">
        <v>8</v>
      </c>
      <c r="AR14" s="4">
        <v>8</v>
      </c>
      <c r="AS14" s="4">
        <v>6</v>
      </c>
      <c r="AT14" s="4">
        <v>0.655473679459604</v>
      </c>
      <c r="AU14" s="14">
        <v>15</v>
      </c>
      <c r="AV14" s="23">
        <f t="shared" si="9"/>
        <v>1</v>
      </c>
      <c r="AW14" s="24">
        <f t="shared" si="10"/>
        <v>-2</v>
      </c>
      <c r="AX14" t="str">
        <f t="shared" si="19"/>
        <v>0, no había déficit y la dejo con déficit</v>
      </c>
      <c r="BA14" s="4" t="s">
        <v>251</v>
      </c>
      <c r="BB14" s="4">
        <v>7</v>
      </c>
      <c r="BC14" s="8">
        <v>6.2222222222222223</v>
      </c>
      <c r="BD14" s="4">
        <v>2</v>
      </c>
      <c r="BE14" s="4">
        <v>2</v>
      </c>
      <c r="BF14" s="4">
        <v>7</v>
      </c>
      <c r="BG14" s="4">
        <v>0.655473679459604</v>
      </c>
      <c r="BH14" s="14">
        <v>15</v>
      </c>
      <c r="BI14" s="24">
        <f t="shared" si="11"/>
        <v>1</v>
      </c>
      <c r="BJ14" s="24">
        <f t="shared" si="12"/>
        <v>-5</v>
      </c>
      <c r="BK14" t="str">
        <f t="shared" si="20"/>
        <v>-1, Déficit y dejo la capacidad media</v>
      </c>
      <c r="BM14" s="4" t="s">
        <v>251</v>
      </c>
      <c r="BN14" s="4">
        <v>1</v>
      </c>
      <c r="BO14" s="8">
        <v>8.3333333333333339</v>
      </c>
      <c r="BP14" s="4">
        <v>0</v>
      </c>
      <c r="BQ14" s="4">
        <v>1</v>
      </c>
      <c r="BR14" s="4">
        <v>6</v>
      </c>
      <c r="BS14" s="4">
        <v>0.655473679459604</v>
      </c>
      <c r="BT14" s="14">
        <v>15</v>
      </c>
      <c r="BU14" s="24">
        <f t="shared" si="13"/>
        <v>1</v>
      </c>
      <c r="BV14" s="24">
        <f t="shared" si="14"/>
        <v>-1</v>
      </c>
      <c r="BW14" t="str">
        <f t="shared" si="21"/>
        <v>-2, Déficit y resultado fue bueno</v>
      </c>
      <c r="BY14" s="4" t="s">
        <v>251</v>
      </c>
      <c r="BZ14" s="4">
        <v>12</v>
      </c>
      <c r="CA14" s="8">
        <v>9.2222222222222214</v>
      </c>
      <c r="CB14" s="4">
        <v>10</v>
      </c>
      <c r="CC14" s="4">
        <v>7</v>
      </c>
      <c r="CD14" s="4">
        <v>8</v>
      </c>
      <c r="CE14" s="4">
        <v>0.655473679459604</v>
      </c>
      <c r="CF14" s="14">
        <v>15</v>
      </c>
      <c r="CG14" s="24">
        <f t="shared" si="15"/>
        <v>1</v>
      </c>
      <c r="CH14" s="24">
        <f t="shared" si="16"/>
        <v>-2</v>
      </c>
      <c r="CI14" t="str">
        <f t="shared" si="22"/>
        <v>-2,no había déficit y resultado fue bueno</v>
      </c>
      <c r="CK14" s="4" t="s">
        <v>251</v>
      </c>
      <c r="CL14" s="4">
        <v>1</v>
      </c>
      <c r="CM14" s="8">
        <v>3.3333333333333335</v>
      </c>
      <c r="CN14" s="4">
        <v>9</v>
      </c>
      <c r="CO14" s="4">
        <v>9</v>
      </c>
      <c r="CP14" s="4">
        <v>10</v>
      </c>
      <c r="CQ14" s="4">
        <v>0.655473679459604</v>
      </c>
      <c r="CR14" s="14">
        <v>15</v>
      </c>
      <c r="CS14" s="24">
        <f t="shared" si="17"/>
        <v>0</v>
      </c>
      <c r="CT14" s="24">
        <f t="shared" si="18"/>
        <v>8</v>
      </c>
      <c r="CU14" t="str">
        <f t="shared" si="23"/>
        <v>1, Déficit y eliminé déficit</v>
      </c>
      <c r="CX14" s="4" t="s">
        <v>252</v>
      </c>
    </row>
    <row r="15" spans="1:102" ht="14.25" customHeight="1" x14ac:dyDescent="0.3">
      <c r="A15" s="4" t="s">
        <v>248</v>
      </c>
      <c r="B15" s="4">
        <v>0</v>
      </c>
      <c r="C15" s="8">
        <v>2.5555555555555554</v>
      </c>
      <c r="D15" s="4">
        <v>1</v>
      </c>
      <c r="E15" s="4">
        <v>0</v>
      </c>
      <c r="F15" s="4">
        <v>5</v>
      </c>
      <c r="G15" s="4">
        <v>0.62268266964537045</v>
      </c>
      <c r="H15" s="24" t="s">
        <v>385</v>
      </c>
      <c r="I15" s="4">
        <v>15</v>
      </c>
      <c r="J15" s="8">
        <f t="shared" si="0"/>
        <v>0</v>
      </c>
      <c r="K15" s="33">
        <f t="shared" si="1"/>
        <v>1</v>
      </c>
      <c r="L15" s="26" t="str">
        <f t="shared" si="2"/>
        <v>-2, Déficit y resultado fue bueno</v>
      </c>
      <c r="M15" s="42"/>
      <c r="N15" s="26" t="s">
        <v>248</v>
      </c>
      <c r="O15" s="26">
        <v>3</v>
      </c>
      <c r="P15" s="23">
        <v>4.4444444444444446</v>
      </c>
      <c r="Q15" s="26">
        <v>2</v>
      </c>
      <c r="R15" s="26">
        <v>3</v>
      </c>
      <c r="S15" s="26">
        <v>5</v>
      </c>
      <c r="T15" s="26">
        <v>0.62268266964537045</v>
      </c>
      <c r="U15" s="24" t="s">
        <v>385</v>
      </c>
      <c r="V15" s="26">
        <v>15</v>
      </c>
      <c r="W15" s="34">
        <f t="shared" si="3"/>
        <v>1</v>
      </c>
      <c r="X15" s="34">
        <f t="shared" si="4"/>
        <v>-1</v>
      </c>
      <c r="Y15" s="26" t="str">
        <f t="shared" si="5"/>
        <v>-2, Déficit y resultado fue bueno</v>
      </c>
      <c r="Z15" s="42"/>
      <c r="AA15" s="4" t="s">
        <v>248</v>
      </c>
      <c r="AB15" s="4">
        <v>2</v>
      </c>
      <c r="AC15" s="8">
        <v>5.2222222222222223</v>
      </c>
      <c r="AD15" s="4">
        <v>2</v>
      </c>
      <c r="AE15" s="4">
        <v>2</v>
      </c>
      <c r="AF15" s="4">
        <v>5</v>
      </c>
      <c r="AG15" s="4">
        <v>0.62268266964537045</v>
      </c>
      <c r="AH15" s="24" t="s">
        <v>385</v>
      </c>
      <c r="AI15" s="4">
        <v>15</v>
      </c>
      <c r="AJ15" s="32">
        <f t="shared" si="6"/>
        <v>1</v>
      </c>
      <c r="AK15" s="33">
        <f t="shared" si="7"/>
        <v>0</v>
      </c>
      <c r="AL15" s="24" t="str">
        <f t="shared" si="8"/>
        <v>-2, Déficit y resultado fue bueno</v>
      </c>
      <c r="AM15" s="42"/>
      <c r="AN15" s="4" t="s">
        <v>248</v>
      </c>
      <c r="AO15" s="4">
        <v>9</v>
      </c>
      <c r="AP15" s="8">
        <v>3.6666666666666665</v>
      </c>
      <c r="AQ15" s="4">
        <v>8</v>
      </c>
      <c r="AR15" s="4">
        <v>3</v>
      </c>
      <c r="AS15" s="4">
        <v>5</v>
      </c>
      <c r="AT15" s="4">
        <v>0.62268266964537045</v>
      </c>
      <c r="AU15" s="14">
        <v>15</v>
      </c>
      <c r="AV15" s="23">
        <f t="shared" si="9"/>
        <v>1</v>
      </c>
      <c r="AW15" s="24">
        <f t="shared" si="10"/>
        <v>-1</v>
      </c>
      <c r="AX15" t="str">
        <f t="shared" si="19"/>
        <v>0, no había déficit y la dejo con déficit</v>
      </c>
      <c r="BA15" s="4" t="s">
        <v>248</v>
      </c>
      <c r="BB15" s="4">
        <v>1</v>
      </c>
      <c r="BC15" s="8">
        <v>6.4444444444444446</v>
      </c>
      <c r="BD15" s="4">
        <v>7</v>
      </c>
      <c r="BE15" s="4">
        <v>10</v>
      </c>
      <c r="BF15" s="4">
        <v>5</v>
      </c>
      <c r="BG15" s="4">
        <v>0.62268266964537045</v>
      </c>
      <c r="BH15" s="14">
        <v>15</v>
      </c>
      <c r="BI15" s="24">
        <f t="shared" si="11"/>
        <v>0</v>
      </c>
      <c r="BJ15" s="24">
        <f t="shared" si="12"/>
        <v>6</v>
      </c>
      <c r="BK15" t="str">
        <f t="shared" si="20"/>
        <v>-2, Déficit y resultado fue bueno</v>
      </c>
      <c r="BM15" s="4" t="s">
        <v>248</v>
      </c>
      <c r="BN15" s="4">
        <v>3</v>
      </c>
      <c r="BO15" s="8">
        <v>3.4444444444444446</v>
      </c>
      <c r="BP15" s="4">
        <v>6</v>
      </c>
      <c r="BQ15" s="4">
        <v>7</v>
      </c>
      <c r="BR15" s="4">
        <v>5</v>
      </c>
      <c r="BS15" s="4">
        <v>0.62268266964537045</v>
      </c>
      <c r="BT15" s="14">
        <v>15</v>
      </c>
      <c r="BU15" s="24">
        <f t="shared" si="13"/>
        <v>0</v>
      </c>
      <c r="BV15" s="24">
        <f t="shared" si="14"/>
        <v>3</v>
      </c>
      <c r="BW15" t="str">
        <f t="shared" si="21"/>
        <v>-2, Déficit y resultado fue bueno</v>
      </c>
      <c r="BY15" s="4" t="s">
        <v>248</v>
      </c>
      <c r="BZ15" s="4">
        <v>14</v>
      </c>
      <c r="CA15" s="8">
        <v>4.4444444444444446</v>
      </c>
      <c r="CB15" s="4">
        <v>14</v>
      </c>
      <c r="CC15" s="4">
        <v>15</v>
      </c>
      <c r="CD15" s="4">
        <v>10</v>
      </c>
      <c r="CE15" s="4">
        <v>0.62268266964537045</v>
      </c>
      <c r="CF15" s="14">
        <v>15</v>
      </c>
      <c r="CG15" s="24">
        <f t="shared" si="15"/>
        <v>1</v>
      </c>
      <c r="CH15" s="24">
        <f t="shared" si="16"/>
        <v>0</v>
      </c>
      <c r="CI15" t="str">
        <f t="shared" si="22"/>
        <v>-2,no había déficit y resultado fue bueno</v>
      </c>
      <c r="CK15" s="4" t="s">
        <v>248</v>
      </c>
      <c r="CL15" s="4">
        <v>3</v>
      </c>
      <c r="CM15" s="8">
        <v>2.5555555555555554</v>
      </c>
      <c r="CN15" s="4">
        <v>4</v>
      </c>
      <c r="CO15" s="4">
        <v>5</v>
      </c>
      <c r="CP15" s="4">
        <v>5</v>
      </c>
      <c r="CQ15" s="4">
        <v>0.62268266964537045</v>
      </c>
      <c r="CR15" s="14">
        <v>15</v>
      </c>
      <c r="CS15" s="24">
        <f t="shared" si="17"/>
        <v>0</v>
      </c>
      <c r="CT15" s="24">
        <f t="shared" si="18"/>
        <v>1</v>
      </c>
      <c r="CU15" t="str">
        <f t="shared" si="23"/>
        <v>-2, Déficit y resultado fue bueno</v>
      </c>
      <c r="CX15" s="4" t="s">
        <v>253</v>
      </c>
    </row>
    <row r="16" spans="1:102" ht="14.25" customHeight="1" x14ac:dyDescent="0.3">
      <c r="A16" s="4" t="s">
        <v>247</v>
      </c>
      <c r="B16" s="4">
        <v>0</v>
      </c>
      <c r="C16" s="8">
        <v>5.4444444444444446</v>
      </c>
      <c r="D16" s="4">
        <v>0</v>
      </c>
      <c r="E16" s="4">
        <v>0</v>
      </c>
      <c r="F16" s="4">
        <v>6</v>
      </c>
      <c r="G16" s="4">
        <v>0.53747605471157822</v>
      </c>
      <c r="H16" s="24" t="s">
        <v>384</v>
      </c>
      <c r="I16" s="4">
        <v>15</v>
      </c>
      <c r="J16" s="8">
        <f t="shared" si="0"/>
        <v>1</v>
      </c>
      <c r="K16" s="33">
        <f t="shared" si="1"/>
        <v>0</v>
      </c>
      <c r="L16" s="26" t="str">
        <f t="shared" si="2"/>
        <v>-2, Déficit y resultado fue bueno</v>
      </c>
      <c r="M16" s="42"/>
      <c r="N16" s="26" t="s">
        <v>247</v>
      </c>
      <c r="O16" s="26">
        <v>5</v>
      </c>
      <c r="P16" s="23">
        <v>3.4444444444444446</v>
      </c>
      <c r="Q16" s="26">
        <v>4</v>
      </c>
      <c r="R16" s="26">
        <v>6</v>
      </c>
      <c r="S16" s="26">
        <v>6</v>
      </c>
      <c r="T16" s="26">
        <v>0.53747605471157822</v>
      </c>
      <c r="U16" s="24" t="s">
        <v>384</v>
      </c>
      <c r="V16" s="26">
        <v>15</v>
      </c>
      <c r="W16" s="34">
        <f t="shared" si="3"/>
        <v>1</v>
      </c>
      <c r="X16" s="34">
        <f t="shared" si="4"/>
        <v>-1</v>
      </c>
      <c r="Y16" s="26" t="str">
        <f t="shared" si="5"/>
        <v>-2, Déficit y resultado fue bueno</v>
      </c>
      <c r="Z16" s="42"/>
      <c r="AA16" s="4" t="s">
        <v>247</v>
      </c>
      <c r="AB16" s="4">
        <v>4</v>
      </c>
      <c r="AC16" s="8">
        <v>5.5555555555555554</v>
      </c>
      <c r="AD16" s="4">
        <v>3</v>
      </c>
      <c r="AE16" s="4">
        <v>3</v>
      </c>
      <c r="AF16" s="4">
        <v>6</v>
      </c>
      <c r="AG16" s="4">
        <v>0.53747605471157822</v>
      </c>
      <c r="AH16" s="24" t="s">
        <v>384</v>
      </c>
      <c r="AI16" s="4">
        <v>15</v>
      </c>
      <c r="AJ16" s="32">
        <f t="shared" si="6"/>
        <v>1</v>
      </c>
      <c r="AK16" s="33">
        <f t="shared" si="7"/>
        <v>-1</v>
      </c>
      <c r="AL16" s="24" t="str">
        <f t="shared" si="8"/>
        <v>-2, Déficit y resultado fue bueno</v>
      </c>
      <c r="AM16" s="42"/>
      <c r="AN16" s="4" t="s">
        <v>247</v>
      </c>
      <c r="AO16" s="4">
        <v>0</v>
      </c>
      <c r="AP16" s="8">
        <v>4.5555555555555554</v>
      </c>
      <c r="AQ16" s="4">
        <v>0</v>
      </c>
      <c r="AR16" s="4">
        <v>0</v>
      </c>
      <c r="AS16" s="4">
        <v>6</v>
      </c>
      <c r="AT16" s="4">
        <v>0.53747605471157822</v>
      </c>
      <c r="AU16" s="14">
        <v>15</v>
      </c>
      <c r="AV16" s="23">
        <f t="shared" si="9"/>
        <v>1</v>
      </c>
      <c r="AW16" s="24">
        <f t="shared" si="10"/>
        <v>0</v>
      </c>
      <c r="AX16" t="str">
        <f t="shared" si="19"/>
        <v>-2, Déficit y resultado fue bueno</v>
      </c>
      <c r="BA16" s="4" t="s">
        <v>247</v>
      </c>
      <c r="BB16" s="4">
        <v>8</v>
      </c>
      <c r="BC16" s="8">
        <v>5.333333333333333</v>
      </c>
      <c r="BD16" s="4">
        <v>0</v>
      </c>
      <c r="BE16" s="4">
        <v>1</v>
      </c>
      <c r="BF16" s="4">
        <v>6</v>
      </c>
      <c r="BG16" s="4">
        <v>0.53747605471157822</v>
      </c>
      <c r="BH16" s="14">
        <v>15</v>
      </c>
      <c r="BI16" s="24">
        <f t="shared" si="11"/>
        <v>1</v>
      </c>
      <c r="BJ16" s="24">
        <f t="shared" si="12"/>
        <v>-8</v>
      </c>
      <c r="BK16" t="str">
        <f t="shared" si="20"/>
        <v>0, no había déficit y la dejo con déficit</v>
      </c>
      <c r="BM16" s="4" t="s">
        <v>247</v>
      </c>
      <c r="BN16" s="4">
        <v>2</v>
      </c>
      <c r="BO16" s="8">
        <v>5.333333333333333</v>
      </c>
      <c r="BP16" s="4">
        <v>0</v>
      </c>
      <c r="BQ16" s="4">
        <v>0</v>
      </c>
      <c r="BR16" s="4">
        <v>6</v>
      </c>
      <c r="BS16" s="4">
        <v>0.53747605471157822</v>
      </c>
      <c r="BT16" s="14">
        <v>15</v>
      </c>
      <c r="BU16" s="24">
        <f t="shared" si="13"/>
        <v>1</v>
      </c>
      <c r="BV16" s="24">
        <f t="shared" si="14"/>
        <v>-2</v>
      </c>
      <c r="BW16" t="str">
        <f t="shared" si="21"/>
        <v>-2, Déficit y resultado fue bueno</v>
      </c>
      <c r="BY16" s="4" t="s">
        <v>247</v>
      </c>
      <c r="BZ16" s="4">
        <v>5</v>
      </c>
      <c r="CA16" s="8">
        <v>6.4444444444444446</v>
      </c>
      <c r="CB16" s="4">
        <v>0</v>
      </c>
      <c r="CC16" s="4">
        <v>0</v>
      </c>
      <c r="CD16" s="4">
        <v>6</v>
      </c>
      <c r="CE16" s="4">
        <v>0.53747605471157822</v>
      </c>
      <c r="CF16" s="14">
        <v>15</v>
      </c>
      <c r="CG16" s="24">
        <f t="shared" si="15"/>
        <v>1</v>
      </c>
      <c r="CH16" s="24">
        <f t="shared" si="16"/>
        <v>-5</v>
      </c>
      <c r="CI16" t="str">
        <f t="shared" si="22"/>
        <v>-2, Déficit y resultado fue bueno</v>
      </c>
      <c r="CK16" s="4" t="s">
        <v>247</v>
      </c>
      <c r="CL16" s="4">
        <v>8</v>
      </c>
      <c r="CM16" s="8">
        <v>5.4444444444444446</v>
      </c>
      <c r="CN16" s="4">
        <v>8</v>
      </c>
      <c r="CO16" s="4">
        <v>7</v>
      </c>
      <c r="CP16" s="4">
        <v>6</v>
      </c>
      <c r="CQ16" s="4">
        <v>0.53747605471157822</v>
      </c>
      <c r="CR16" s="14">
        <v>15</v>
      </c>
      <c r="CS16" s="24">
        <f t="shared" si="17"/>
        <v>1</v>
      </c>
      <c r="CT16" s="24">
        <f t="shared" si="18"/>
        <v>0</v>
      </c>
      <c r="CU16" t="str">
        <f t="shared" si="23"/>
        <v>0, no había déficit y la dejo con déficit</v>
      </c>
      <c r="CX16" s="4" t="s">
        <v>254</v>
      </c>
    </row>
    <row r="17" spans="1:102" ht="14.25" customHeight="1" x14ac:dyDescent="0.3">
      <c r="A17" s="4" t="s">
        <v>249</v>
      </c>
      <c r="B17" s="4">
        <v>9</v>
      </c>
      <c r="C17" s="8">
        <v>7.5555555555555554</v>
      </c>
      <c r="D17" s="4">
        <v>5</v>
      </c>
      <c r="E17" s="4">
        <v>6</v>
      </c>
      <c r="F17" s="4">
        <v>8</v>
      </c>
      <c r="G17" s="4">
        <v>0.52426836588405112</v>
      </c>
      <c r="H17" s="24" t="s">
        <v>386</v>
      </c>
      <c r="I17" s="4">
        <v>19</v>
      </c>
      <c r="J17" s="8">
        <f t="shared" si="0"/>
        <v>1</v>
      </c>
      <c r="K17" s="33">
        <f t="shared" si="1"/>
        <v>-4</v>
      </c>
      <c r="L17" s="26" t="str">
        <f t="shared" si="2"/>
        <v>0, Déficit y no elimine déficit</v>
      </c>
      <c r="M17" s="42"/>
      <c r="N17" s="26" t="s">
        <v>249</v>
      </c>
      <c r="O17" s="26">
        <v>1</v>
      </c>
      <c r="P17" s="23">
        <v>5.5555555555555554</v>
      </c>
      <c r="Q17" s="26">
        <v>1</v>
      </c>
      <c r="R17" s="26">
        <v>1</v>
      </c>
      <c r="S17" s="26">
        <v>8</v>
      </c>
      <c r="T17" s="26">
        <v>0.52426836588405112</v>
      </c>
      <c r="U17" s="24" t="s">
        <v>386</v>
      </c>
      <c r="V17" s="26">
        <v>19</v>
      </c>
      <c r="W17" s="34">
        <f t="shared" si="3"/>
        <v>1</v>
      </c>
      <c r="X17" s="34">
        <f t="shared" si="4"/>
        <v>0</v>
      </c>
      <c r="Y17" s="26" t="str">
        <f t="shared" si="5"/>
        <v>-2, Déficit y resultado fue bueno</v>
      </c>
      <c r="Z17" s="42"/>
      <c r="AA17" s="4" t="s">
        <v>249</v>
      </c>
      <c r="AB17" s="4">
        <v>3</v>
      </c>
      <c r="AC17" s="8">
        <v>5.4444444444444446</v>
      </c>
      <c r="AD17" s="4">
        <v>3</v>
      </c>
      <c r="AE17" s="4">
        <v>3</v>
      </c>
      <c r="AF17" s="4">
        <v>8</v>
      </c>
      <c r="AG17" s="4">
        <v>0.52426836588405112</v>
      </c>
      <c r="AH17" s="24" t="s">
        <v>386</v>
      </c>
      <c r="AI17" s="4">
        <v>19</v>
      </c>
      <c r="AJ17" s="32">
        <f t="shared" si="6"/>
        <v>1</v>
      </c>
      <c r="AK17" s="33">
        <f t="shared" si="7"/>
        <v>0</v>
      </c>
      <c r="AL17" s="24" t="str">
        <f t="shared" si="8"/>
        <v>-2, Déficit y resultado fue bueno</v>
      </c>
      <c r="AM17" s="42"/>
      <c r="AN17" s="4" t="s">
        <v>249</v>
      </c>
      <c r="AO17" s="4">
        <v>5</v>
      </c>
      <c r="AP17" s="8">
        <v>5.333333333333333</v>
      </c>
      <c r="AQ17" s="4">
        <v>4</v>
      </c>
      <c r="AR17" s="4">
        <v>3</v>
      </c>
      <c r="AS17" s="4">
        <v>9</v>
      </c>
      <c r="AT17" s="4">
        <v>0.52426836588405112</v>
      </c>
      <c r="AU17" s="14">
        <v>19</v>
      </c>
      <c r="AV17" s="23">
        <f t="shared" si="9"/>
        <v>1</v>
      </c>
      <c r="AW17" s="24">
        <f t="shared" si="10"/>
        <v>-1</v>
      </c>
      <c r="AX17" t="str">
        <f t="shared" si="19"/>
        <v>-1, Déficit y dejo la capacidad media</v>
      </c>
      <c r="BA17" s="4" t="s">
        <v>249</v>
      </c>
      <c r="BB17" s="4">
        <v>11</v>
      </c>
      <c r="BC17" s="8">
        <v>8.1111111111111107</v>
      </c>
      <c r="BD17" s="4">
        <v>10</v>
      </c>
      <c r="BE17" s="4">
        <v>11</v>
      </c>
      <c r="BF17" s="4">
        <v>11</v>
      </c>
      <c r="BG17" s="4">
        <v>0.52426836588405112</v>
      </c>
      <c r="BH17" s="14">
        <v>19</v>
      </c>
      <c r="BI17" s="24">
        <f t="shared" si="11"/>
        <v>1</v>
      </c>
      <c r="BJ17" s="24">
        <f t="shared" si="12"/>
        <v>-1</v>
      </c>
      <c r="BK17" t="str">
        <f t="shared" si="20"/>
        <v>-2,no había déficit y resultado fue bueno</v>
      </c>
      <c r="BM17" s="4" t="s">
        <v>249</v>
      </c>
      <c r="BN17" s="4">
        <v>9</v>
      </c>
      <c r="BO17" s="8">
        <v>7</v>
      </c>
      <c r="BP17" s="4">
        <v>8</v>
      </c>
      <c r="BQ17" s="4">
        <v>8</v>
      </c>
      <c r="BR17" s="4">
        <v>8</v>
      </c>
      <c r="BS17" s="4">
        <v>0.52426836588405112</v>
      </c>
      <c r="BT17" s="14">
        <v>19</v>
      </c>
      <c r="BU17" s="24">
        <f t="shared" si="13"/>
        <v>1</v>
      </c>
      <c r="BV17" s="24">
        <f t="shared" si="14"/>
        <v>-1</v>
      </c>
      <c r="BW17" t="str">
        <f t="shared" si="21"/>
        <v>0, Déficit y no elimine déficit</v>
      </c>
      <c r="BY17" s="4" t="s">
        <v>249</v>
      </c>
      <c r="BZ17" s="4">
        <v>10</v>
      </c>
      <c r="CA17" s="8">
        <v>5.5555555555555554</v>
      </c>
      <c r="CB17" s="4">
        <v>9</v>
      </c>
      <c r="CC17" s="4">
        <v>9</v>
      </c>
      <c r="CD17" s="4">
        <v>10</v>
      </c>
      <c r="CE17" s="4">
        <v>0.52426836588405112</v>
      </c>
      <c r="CF17" s="14">
        <v>19</v>
      </c>
      <c r="CG17" s="24">
        <f t="shared" si="15"/>
        <v>1</v>
      </c>
      <c r="CH17" s="24">
        <f t="shared" si="16"/>
        <v>-1</v>
      </c>
      <c r="CI17" t="str">
        <f t="shared" si="22"/>
        <v>-2,no había déficit y resultado fue bueno</v>
      </c>
      <c r="CK17" s="4" t="s">
        <v>249</v>
      </c>
      <c r="CL17" s="4">
        <v>5</v>
      </c>
      <c r="CM17" s="8">
        <v>7.5555555555555554</v>
      </c>
      <c r="CN17" s="4">
        <v>8</v>
      </c>
      <c r="CO17" s="4">
        <v>8</v>
      </c>
      <c r="CP17" s="4">
        <v>8</v>
      </c>
      <c r="CQ17" s="4">
        <v>0.52426836588405112</v>
      </c>
      <c r="CR17" s="14">
        <v>19</v>
      </c>
      <c r="CS17" s="24">
        <f t="shared" si="17"/>
        <v>0</v>
      </c>
      <c r="CT17" s="24">
        <f t="shared" si="18"/>
        <v>3</v>
      </c>
      <c r="CU17" t="str">
        <f t="shared" si="23"/>
        <v>-2, Déficit y resultado fue bueno</v>
      </c>
      <c r="CX17" s="4" t="s">
        <v>255</v>
      </c>
    </row>
    <row r="18" spans="1:102" ht="14.25" customHeight="1" x14ac:dyDescent="0.3">
      <c r="A18" s="4" t="s">
        <v>257</v>
      </c>
      <c r="B18" s="4">
        <v>7</v>
      </c>
      <c r="C18" s="8">
        <v>10.555555555555555</v>
      </c>
      <c r="D18" s="4">
        <v>6</v>
      </c>
      <c r="E18" s="4">
        <v>7</v>
      </c>
      <c r="F18" s="4">
        <v>10</v>
      </c>
      <c r="G18" s="4">
        <v>-0.85169148296274</v>
      </c>
      <c r="H18" s="24" t="s">
        <v>390</v>
      </c>
      <c r="I18" s="4">
        <v>17</v>
      </c>
      <c r="J18" s="8">
        <f t="shared" ref="J18:J27" si="24">IF(D18&gt;=B18,1,0)</f>
        <v>0</v>
      </c>
      <c r="K18" s="33">
        <f t="shared" si="1"/>
        <v>-1</v>
      </c>
      <c r="L18" s="26" t="str">
        <f t="shared" si="2"/>
        <v>0, no había superávit, y la deje con superávit</v>
      </c>
      <c r="M18" s="42"/>
      <c r="N18" s="26" t="s">
        <v>257</v>
      </c>
      <c r="O18" s="26">
        <v>15</v>
      </c>
      <c r="P18" s="23">
        <v>11.333333333333334</v>
      </c>
      <c r="Q18" s="26">
        <v>15</v>
      </c>
      <c r="R18" s="26">
        <v>16</v>
      </c>
      <c r="S18" s="26">
        <v>13</v>
      </c>
      <c r="T18" s="26">
        <v>-0.85169148296274</v>
      </c>
      <c r="U18" s="24" t="s">
        <v>390</v>
      </c>
      <c r="V18" s="26">
        <v>17</v>
      </c>
      <c r="W18" s="34">
        <f t="shared" ref="W18:W27" si="25">IF(Q18&gt;=O18,1,0)</f>
        <v>1</v>
      </c>
      <c r="X18" s="34">
        <f t="shared" si="4"/>
        <v>0</v>
      </c>
      <c r="Y18" s="26" t="str">
        <f t="shared" si="5"/>
        <v>-2, Superávit y resultado fue bueno</v>
      </c>
      <c r="Z18" s="42"/>
      <c r="AA18" s="4" t="s">
        <v>257</v>
      </c>
      <c r="AB18" s="4">
        <v>14</v>
      </c>
      <c r="AC18" s="8">
        <v>11</v>
      </c>
      <c r="AD18" s="4">
        <v>15</v>
      </c>
      <c r="AE18" s="4">
        <v>15</v>
      </c>
      <c r="AF18" s="4">
        <v>13</v>
      </c>
      <c r="AG18" s="4">
        <v>-0.85169148296274</v>
      </c>
      <c r="AH18" s="24" t="s">
        <v>390</v>
      </c>
      <c r="AI18" s="4">
        <v>17</v>
      </c>
      <c r="AJ18" s="32">
        <f t="shared" ref="AJ18:AJ27" si="26">IF(AD18&gt;=AB18,1,0)</f>
        <v>1</v>
      </c>
      <c r="AK18" s="33">
        <f t="shared" si="7"/>
        <v>1</v>
      </c>
      <c r="AL18" s="24" t="str">
        <f t="shared" si="8"/>
        <v>-2, Superávit y resultado fue bueno</v>
      </c>
      <c r="AM18" s="42"/>
      <c r="AN18" s="4" t="s">
        <v>257</v>
      </c>
      <c r="AO18" s="4">
        <v>12</v>
      </c>
      <c r="AP18" s="8">
        <v>11.222222222222221</v>
      </c>
      <c r="AQ18" s="4">
        <v>10</v>
      </c>
      <c r="AR18" s="4">
        <v>8</v>
      </c>
      <c r="AS18" s="4">
        <v>12</v>
      </c>
      <c r="AT18" s="4">
        <v>-0.85169148296274</v>
      </c>
      <c r="AU18" s="14">
        <v>17</v>
      </c>
      <c r="AV18" s="23">
        <f t="shared" ref="AV18:AV27" si="27">IF(AQ18&gt;=AO18,1,0)</f>
        <v>0</v>
      </c>
      <c r="AW18" s="24">
        <f t="shared" si="10"/>
        <v>-2</v>
      </c>
      <c r="AX18" t="str">
        <f t="shared" si="19"/>
        <v>0, Superávit y no eliminé superávit</v>
      </c>
      <c r="BA18" s="4" t="s">
        <v>257</v>
      </c>
      <c r="BB18" s="4">
        <v>10</v>
      </c>
      <c r="BC18" s="8">
        <v>10.333333333333334</v>
      </c>
      <c r="BD18" s="4">
        <v>10</v>
      </c>
      <c r="BE18" s="4">
        <v>10</v>
      </c>
      <c r="BF18" s="4">
        <v>10</v>
      </c>
      <c r="BG18" s="4">
        <v>-0.85169148296274</v>
      </c>
      <c r="BH18" s="14">
        <v>17</v>
      </c>
      <c r="BI18" s="24">
        <f t="shared" ref="BI18:BI27" si="28">IF(BD18&gt;=BB18,1,0)</f>
        <v>1</v>
      </c>
      <c r="BJ18" s="24">
        <f t="shared" si="12"/>
        <v>0</v>
      </c>
      <c r="BK18" t="str">
        <f t="shared" si="20"/>
        <v>0, Superávit y no eliminé superávit</v>
      </c>
      <c r="BM18" s="4" t="s">
        <v>257</v>
      </c>
      <c r="BN18" s="4">
        <v>11</v>
      </c>
      <c r="BO18" s="8">
        <v>13.555555555555555</v>
      </c>
      <c r="BP18" s="4">
        <v>12</v>
      </c>
      <c r="BQ18" s="4">
        <v>11</v>
      </c>
      <c r="BR18" s="4">
        <v>11</v>
      </c>
      <c r="BS18" s="4">
        <v>-0.85169148296274</v>
      </c>
      <c r="BT18" s="14">
        <v>17</v>
      </c>
      <c r="BU18" s="24">
        <f t="shared" ref="BU18:BU27" si="29">IF(BP18&gt;=BN18,1,0)</f>
        <v>1</v>
      </c>
      <c r="BV18" s="24">
        <f t="shared" si="14"/>
        <v>1</v>
      </c>
      <c r="BW18" t="str">
        <f t="shared" si="21"/>
        <v>0, Superávit y no eliminé superávit</v>
      </c>
      <c r="BY18" s="4" t="s">
        <v>257</v>
      </c>
      <c r="BZ18" s="4">
        <v>15</v>
      </c>
      <c r="CA18" s="8">
        <v>9.8888888888888893</v>
      </c>
      <c r="CB18" s="4">
        <v>9</v>
      </c>
      <c r="CC18" s="4">
        <v>7</v>
      </c>
      <c r="CD18" s="4">
        <v>9</v>
      </c>
      <c r="CE18" s="4">
        <v>-0.85169148296274</v>
      </c>
      <c r="CF18" s="14">
        <v>17</v>
      </c>
      <c r="CG18" s="24">
        <f t="shared" ref="CG18:CG27" si="30">IF(CB18&gt;=BZ18,1,0)</f>
        <v>0</v>
      </c>
      <c r="CH18" s="24">
        <f t="shared" si="16"/>
        <v>-6</v>
      </c>
      <c r="CI18" t="str">
        <f t="shared" si="22"/>
        <v>-2, Superávit y resultado fue bueno</v>
      </c>
      <c r="CK18" s="4" t="s">
        <v>257</v>
      </c>
      <c r="CL18" s="4">
        <v>6</v>
      </c>
      <c r="CM18" s="8">
        <v>10.555555555555555</v>
      </c>
      <c r="CN18" s="4">
        <v>6</v>
      </c>
      <c r="CO18" s="4">
        <v>5</v>
      </c>
      <c r="CP18" s="4">
        <v>6</v>
      </c>
      <c r="CQ18" s="4">
        <v>-0.85169148296274</v>
      </c>
      <c r="CR18" s="14">
        <v>17</v>
      </c>
      <c r="CS18" s="24">
        <f t="shared" ref="CS18:CS27" si="31">IF(CN18&gt;=CL18,1,0)</f>
        <v>1</v>
      </c>
      <c r="CT18" s="24">
        <f t="shared" si="18"/>
        <v>0</v>
      </c>
      <c r="CU18" t="str">
        <f t="shared" si="23"/>
        <v>-2, no había superávit y resultado fue bueno</v>
      </c>
      <c r="CX18" s="4" t="s">
        <v>256</v>
      </c>
    </row>
    <row r="19" spans="1:102" ht="14.25" customHeight="1" x14ac:dyDescent="0.3">
      <c r="A19" s="4" t="s">
        <v>266</v>
      </c>
      <c r="B19" s="4">
        <v>14</v>
      </c>
      <c r="C19" s="4">
        <v>11</v>
      </c>
      <c r="D19" s="4">
        <v>13</v>
      </c>
      <c r="E19" s="4">
        <v>14</v>
      </c>
      <c r="F19" s="4">
        <v>13</v>
      </c>
      <c r="G19" s="4">
        <v>-0.88310324035056598</v>
      </c>
      <c r="H19" s="24" t="s">
        <v>396</v>
      </c>
      <c r="I19" s="4">
        <v>15</v>
      </c>
      <c r="J19" s="8">
        <f t="shared" si="24"/>
        <v>0</v>
      </c>
      <c r="K19" s="33">
        <f t="shared" si="1"/>
        <v>-1</v>
      </c>
      <c r="L19" s="26" t="str">
        <f t="shared" si="2"/>
        <v>-2, Superávit y resultado fue bueno</v>
      </c>
      <c r="M19" s="42"/>
      <c r="N19" s="26" t="s">
        <v>266</v>
      </c>
      <c r="O19" s="26">
        <v>15</v>
      </c>
      <c r="P19" s="23">
        <v>11</v>
      </c>
      <c r="Q19" s="26">
        <v>15</v>
      </c>
      <c r="R19" s="26">
        <v>15</v>
      </c>
      <c r="S19" s="26">
        <v>13</v>
      </c>
      <c r="T19" s="26">
        <v>-0.88310324035056598</v>
      </c>
      <c r="U19" s="24" t="s">
        <v>396</v>
      </c>
      <c r="V19" s="26">
        <v>15</v>
      </c>
      <c r="W19" s="34">
        <f t="shared" si="25"/>
        <v>1</v>
      </c>
      <c r="X19" s="34">
        <f t="shared" si="4"/>
        <v>0</v>
      </c>
      <c r="Y19" s="26" t="str">
        <f t="shared" si="5"/>
        <v>-2, Superávit y resultado fue bueno</v>
      </c>
      <c r="Z19" s="42"/>
      <c r="AA19" s="4" t="s">
        <v>266</v>
      </c>
      <c r="AB19" s="4">
        <v>10</v>
      </c>
      <c r="AC19" s="8">
        <v>11.444444444444445</v>
      </c>
      <c r="AD19" s="4">
        <v>11</v>
      </c>
      <c r="AE19" s="4">
        <v>11</v>
      </c>
      <c r="AF19" s="4">
        <v>12</v>
      </c>
      <c r="AG19" s="4">
        <v>-0.88310324035056598</v>
      </c>
      <c r="AH19" s="24" t="s">
        <v>396</v>
      </c>
      <c r="AI19" s="4">
        <v>15</v>
      </c>
      <c r="AJ19" s="32">
        <f t="shared" si="26"/>
        <v>1</v>
      </c>
      <c r="AK19" s="33">
        <f t="shared" si="7"/>
        <v>1</v>
      </c>
      <c r="AL19" s="24" t="str">
        <f t="shared" si="8"/>
        <v>0, Superávit y no eliminé superávit</v>
      </c>
      <c r="AM19" s="42"/>
      <c r="AN19" s="4" t="s">
        <v>266</v>
      </c>
      <c r="AO19" s="4">
        <v>6</v>
      </c>
      <c r="AP19" s="8">
        <v>11.333333333333334</v>
      </c>
      <c r="AQ19" s="4">
        <v>6</v>
      </c>
      <c r="AR19" s="4">
        <v>6</v>
      </c>
      <c r="AS19" s="4">
        <v>6</v>
      </c>
      <c r="AT19" s="4">
        <v>-0.88310324035056598</v>
      </c>
      <c r="AU19" s="14">
        <v>15</v>
      </c>
      <c r="AV19" s="23">
        <f t="shared" si="27"/>
        <v>1</v>
      </c>
      <c r="AW19" s="24">
        <f t="shared" si="10"/>
        <v>0</v>
      </c>
      <c r="AX19" t="str">
        <f t="shared" si="19"/>
        <v>-2, no había superávit y resultado fue bueno</v>
      </c>
      <c r="BA19" s="4" t="s">
        <v>266</v>
      </c>
      <c r="BB19" s="4">
        <v>14</v>
      </c>
      <c r="BC19" s="8">
        <v>9.2222222222222214</v>
      </c>
      <c r="BD19" s="4">
        <v>13</v>
      </c>
      <c r="BE19" s="4">
        <v>12</v>
      </c>
      <c r="BF19" s="4">
        <v>5</v>
      </c>
      <c r="BG19" s="4">
        <v>-0.88310324035056598</v>
      </c>
      <c r="BH19" s="14">
        <v>15</v>
      </c>
      <c r="BI19" s="24">
        <f t="shared" si="28"/>
        <v>0</v>
      </c>
      <c r="BJ19" s="24">
        <f t="shared" si="12"/>
        <v>-1</v>
      </c>
      <c r="BK19" t="str">
        <f t="shared" si="20"/>
        <v>1, Superávit y eliminé superávit</v>
      </c>
      <c r="BM19" s="4" t="s">
        <v>266</v>
      </c>
      <c r="BN19" s="4">
        <v>6</v>
      </c>
      <c r="BO19" s="8">
        <v>8.5555555555555554</v>
      </c>
      <c r="BP19" s="4">
        <v>5</v>
      </c>
      <c r="BQ19" s="4">
        <v>6</v>
      </c>
      <c r="BR19" s="4">
        <v>6</v>
      </c>
      <c r="BS19" s="4">
        <v>-0.88310324035056598</v>
      </c>
      <c r="BT19" s="14">
        <v>15</v>
      </c>
      <c r="BU19" s="24">
        <f t="shared" si="29"/>
        <v>0</v>
      </c>
      <c r="BV19" s="24">
        <f t="shared" si="14"/>
        <v>-1</v>
      </c>
      <c r="BW19" t="str">
        <f t="shared" si="21"/>
        <v>-2, no había superávit y resultado fue bueno</v>
      </c>
      <c r="BY19" s="4" t="s">
        <v>266</v>
      </c>
      <c r="BZ19" s="4">
        <v>13</v>
      </c>
      <c r="CA19" s="8">
        <v>11.777777777777779</v>
      </c>
      <c r="CB19" s="4">
        <v>5</v>
      </c>
      <c r="CC19" s="4">
        <v>5</v>
      </c>
      <c r="CD19" s="4">
        <v>13</v>
      </c>
      <c r="CE19" s="4">
        <v>-0.88310324035056598</v>
      </c>
      <c r="CF19" s="14">
        <v>15</v>
      </c>
      <c r="CG19" s="24">
        <f t="shared" si="30"/>
        <v>0</v>
      </c>
      <c r="CH19" s="24">
        <f t="shared" si="16"/>
        <v>-8</v>
      </c>
      <c r="CI19" t="str">
        <f t="shared" si="22"/>
        <v>0, Superávit y no eliminé superávit</v>
      </c>
      <c r="CK19" s="4" t="s">
        <v>266</v>
      </c>
      <c r="CL19" s="4">
        <v>9</v>
      </c>
      <c r="CM19" s="8">
        <v>10.777777777777779</v>
      </c>
      <c r="CN19" s="4">
        <v>11</v>
      </c>
      <c r="CO19" s="4">
        <v>11</v>
      </c>
      <c r="CP19" s="4">
        <v>9</v>
      </c>
      <c r="CQ19" s="4">
        <v>-0.88310324035056598</v>
      </c>
      <c r="CR19" s="14">
        <v>15</v>
      </c>
      <c r="CS19" s="24">
        <f t="shared" si="31"/>
        <v>1</v>
      </c>
      <c r="CT19" s="24">
        <f t="shared" si="18"/>
        <v>2</v>
      </c>
      <c r="CU19" t="str">
        <f t="shared" si="23"/>
        <v>0, Superávit y no eliminé superávit</v>
      </c>
      <c r="CX19" s="4" t="s">
        <v>257</v>
      </c>
    </row>
    <row r="20" spans="1:102" ht="14.25" customHeight="1" x14ac:dyDescent="0.3">
      <c r="A20" s="4" t="s">
        <v>263</v>
      </c>
      <c r="B20" s="4">
        <v>13</v>
      </c>
      <c r="C20" s="8">
        <v>9.6666666666666661</v>
      </c>
      <c r="D20" s="4">
        <v>11</v>
      </c>
      <c r="E20" s="4">
        <v>12</v>
      </c>
      <c r="F20" s="4">
        <v>6</v>
      </c>
      <c r="G20" s="4">
        <v>-0.90834372881365233</v>
      </c>
      <c r="H20" s="24" t="s">
        <v>395</v>
      </c>
      <c r="I20" s="4">
        <v>15</v>
      </c>
      <c r="J20" s="8">
        <f t="shared" si="24"/>
        <v>0</v>
      </c>
      <c r="K20" s="33">
        <f t="shared" si="1"/>
        <v>-2</v>
      </c>
      <c r="L20" s="26" t="str">
        <f t="shared" si="2"/>
        <v>1, Superávit y eliminé superávit</v>
      </c>
      <c r="M20" s="42"/>
      <c r="N20" s="26" t="s">
        <v>263</v>
      </c>
      <c r="O20" s="26">
        <v>15</v>
      </c>
      <c r="P20" s="23">
        <v>11.333333333333334</v>
      </c>
      <c r="Q20" s="26">
        <v>15</v>
      </c>
      <c r="R20" s="26">
        <v>15</v>
      </c>
      <c r="S20" s="26">
        <v>8</v>
      </c>
      <c r="T20" s="26">
        <v>-0.90834372881365233</v>
      </c>
      <c r="U20" s="24" t="s">
        <v>395</v>
      </c>
      <c r="V20" s="26">
        <v>15</v>
      </c>
      <c r="W20" s="34">
        <f t="shared" si="25"/>
        <v>1</v>
      </c>
      <c r="X20" s="34">
        <f t="shared" si="4"/>
        <v>0</v>
      </c>
      <c r="Y20" s="26" t="str">
        <f t="shared" si="5"/>
        <v>-2, Superávit y resultado fue bueno</v>
      </c>
      <c r="Z20" s="42"/>
      <c r="AA20" s="4" t="s">
        <v>263</v>
      </c>
      <c r="AB20" s="4">
        <v>11</v>
      </c>
      <c r="AC20" s="8">
        <v>12</v>
      </c>
      <c r="AD20" s="4">
        <v>11</v>
      </c>
      <c r="AE20" s="4">
        <v>11</v>
      </c>
      <c r="AF20" s="4">
        <v>3</v>
      </c>
      <c r="AG20" s="4">
        <v>-0.90834372881365233</v>
      </c>
      <c r="AH20" s="24" t="s">
        <v>395</v>
      </c>
      <c r="AI20" s="4">
        <v>15</v>
      </c>
      <c r="AJ20" s="32">
        <f t="shared" si="26"/>
        <v>1</v>
      </c>
      <c r="AK20" s="33">
        <f t="shared" si="7"/>
        <v>0</v>
      </c>
      <c r="AL20" s="24" t="str">
        <f t="shared" si="8"/>
        <v>1, Superávit y eliminé superávit</v>
      </c>
      <c r="AM20" s="42"/>
      <c r="AN20" s="4" t="s">
        <v>263</v>
      </c>
      <c r="AO20" s="4">
        <v>10</v>
      </c>
      <c r="AP20" s="8">
        <v>9.2222222222222214</v>
      </c>
      <c r="AQ20" s="4">
        <v>8</v>
      </c>
      <c r="AR20" s="4">
        <v>11</v>
      </c>
      <c r="AS20" s="4">
        <v>3</v>
      </c>
      <c r="AT20" s="4">
        <v>-0.90834372881365233</v>
      </c>
      <c r="AU20" s="14">
        <v>15</v>
      </c>
      <c r="AV20" s="23">
        <f t="shared" si="27"/>
        <v>0</v>
      </c>
      <c r="AW20" s="24">
        <f t="shared" si="10"/>
        <v>-2</v>
      </c>
      <c r="AX20" t="str">
        <f t="shared" si="19"/>
        <v>1, Superávit y eliminé superávit</v>
      </c>
      <c r="BA20" s="4" t="s">
        <v>263</v>
      </c>
      <c r="BB20" s="4">
        <v>12</v>
      </c>
      <c r="BC20" s="8">
        <v>11.333333333333334</v>
      </c>
      <c r="BD20" s="4">
        <v>14</v>
      </c>
      <c r="BE20" s="4">
        <v>14</v>
      </c>
      <c r="BF20" s="4">
        <v>3</v>
      </c>
      <c r="BG20" s="4">
        <v>-0.90834372881365233</v>
      </c>
      <c r="BH20" s="14">
        <v>15</v>
      </c>
      <c r="BI20" s="24">
        <f t="shared" si="28"/>
        <v>1</v>
      </c>
      <c r="BJ20" s="24">
        <f t="shared" si="12"/>
        <v>2</v>
      </c>
      <c r="BK20" t="str">
        <f t="shared" si="20"/>
        <v>1, Superávit y eliminé superávit</v>
      </c>
      <c r="BM20" s="4" t="s">
        <v>263</v>
      </c>
      <c r="BN20" s="4">
        <v>14</v>
      </c>
      <c r="BO20" s="8">
        <v>11.444444444444445</v>
      </c>
      <c r="BP20" s="4">
        <v>13</v>
      </c>
      <c r="BQ20" s="4">
        <v>14</v>
      </c>
      <c r="BR20" s="4">
        <v>3</v>
      </c>
      <c r="BS20" s="4">
        <v>-0.90834372881365233</v>
      </c>
      <c r="BT20" s="14">
        <v>15</v>
      </c>
      <c r="BU20" s="24">
        <f t="shared" si="29"/>
        <v>0</v>
      </c>
      <c r="BV20" s="24">
        <f t="shared" si="14"/>
        <v>-1</v>
      </c>
      <c r="BW20" t="str">
        <f t="shared" si="21"/>
        <v>1, Superávit y eliminé superávit</v>
      </c>
      <c r="BY20" s="4" t="s">
        <v>263</v>
      </c>
      <c r="BZ20" s="4">
        <v>9</v>
      </c>
      <c r="CA20" s="8">
        <v>11.444444444444445</v>
      </c>
      <c r="CB20" s="4">
        <v>9</v>
      </c>
      <c r="CC20" s="4">
        <v>9</v>
      </c>
      <c r="CD20" s="4">
        <v>12</v>
      </c>
      <c r="CE20" s="4">
        <v>-0.90834372881365233</v>
      </c>
      <c r="CF20" s="14">
        <v>15</v>
      </c>
      <c r="CG20" s="24">
        <f t="shared" si="30"/>
        <v>1</v>
      </c>
      <c r="CH20" s="24">
        <f t="shared" si="16"/>
        <v>0</v>
      </c>
      <c r="CI20" t="str">
        <f t="shared" si="22"/>
        <v>0, Superávit y no eliminé superávit</v>
      </c>
      <c r="CK20" s="4" t="s">
        <v>263</v>
      </c>
      <c r="CL20" s="4">
        <v>8</v>
      </c>
      <c r="CM20" s="8">
        <v>9.6666666666666661</v>
      </c>
      <c r="CN20" s="4">
        <v>8</v>
      </c>
      <c r="CO20" s="4">
        <v>8</v>
      </c>
      <c r="CP20" s="4">
        <v>4</v>
      </c>
      <c r="CQ20" s="4">
        <v>-0.90834372881365233</v>
      </c>
      <c r="CR20" s="14">
        <v>15</v>
      </c>
      <c r="CS20" s="24">
        <f t="shared" si="31"/>
        <v>1</v>
      </c>
      <c r="CT20" s="24">
        <f t="shared" si="18"/>
        <v>0</v>
      </c>
      <c r="CU20" t="str">
        <f t="shared" si="23"/>
        <v>1, Superávit y eliminé superávit</v>
      </c>
      <c r="CX20" s="4" t="s">
        <v>258</v>
      </c>
    </row>
    <row r="21" spans="1:102" ht="14.25" customHeight="1" x14ac:dyDescent="0.3">
      <c r="A21" s="4" t="s">
        <v>261</v>
      </c>
      <c r="B21" s="4">
        <v>29</v>
      </c>
      <c r="C21" s="8">
        <v>23.888888888888889</v>
      </c>
      <c r="D21" s="4">
        <v>30</v>
      </c>
      <c r="E21" s="4">
        <v>30</v>
      </c>
      <c r="F21" s="4">
        <v>27</v>
      </c>
      <c r="G21" s="4">
        <v>-0.99095987605964864</v>
      </c>
      <c r="H21" s="24" t="s">
        <v>393</v>
      </c>
      <c r="I21" s="4">
        <v>31</v>
      </c>
      <c r="J21" s="8">
        <f t="shared" si="24"/>
        <v>1</v>
      </c>
      <c r="K21" s="33">
        <f t="shared" si="1"/>
        <v>1</v>
      </c>
      <c r="L21" s="26" t="str">
        <f t="shared" si="2"/>
        <v>-2, Superávit y resultado fue bueno</v>
      </c>
      <c r="M21" s="42"/>
      <c r="N21" s="26" t="s">
        <v>261</v>
      </c>
      <c r="O21" s="26">
        <v>29</v>
      </c>
      <c r="P21" s="23">
        <v>22</v>
      </c>
      <c r="Q21" s="26">
        <v>30</v>
      </c>
      <c r="R21" s="26">
        <v>30</v>
      </c>
      <c r="S21" s="26">
        <v>27</v>
      </c>
      <c r="T21" s="26">
        <v>-0.99095987605964864</v>
      </c>
      <c r="U21" s="24" t="s">
        <v>393</v>
      </c>
      <c r="V21" s="26">
        <v>31</v>
      </c>
      <c r="W21" s="34">
        <f t="shared" si="25"/>
        <v>1</v>
      </c>
      <c r="X21" s="34">
        <f t="shared" si="4"/>
        <v>1</v>
      </c>
      <c r="Y21" s="26" t="str">
        <f t="shared" si="5"/>
        <v>-2, Superávit y resultado fue bueno</v>
      </c>
      <c r="Z21" s="42"/>
      <c r="AA21" s="4" t="s">
        <v>261</v>
      </c>
      <c r="AB21" s="4">
        <v>26</v>
      </c>
      <c r="AC21" s="8">
        <v>24.333333333333332</v>
      </c>
      <c r="AD21" s="4">
        <v>26</v>
      </c>
      <c r="AE21" s="4">
        <v>26</v>
      </c>
      <c r="AF21" s="4">
        <v>24</v>
      </c>
      <c r="AG21" s="4">
        <v>-0.99095987605964864</v>
      </c>
      <c r="AH21" s="24" t="s">
        <v>393</v>
      </c>
      <c r="AI21" s="4">
        <v>31</v>
      </c>
      <c r="AJ21" s="32">
        <f t="shared" si="26"/>
        <v>1</v>
      </c>
      <c r="AK21" s="33">
        <f t="shared" si="7"/>
        <v>0</v>
      </c>
      <c r="AL21" s="24" t="str">
        <f t="shared" si="8"/>
        <v>-2, Superávit y resultado fue bueno</v>
      </c>
      <c r="AM21" s="42"/>
      <c r="AN21" s="4" t="s">
        <v>261</v>
      </c>
      <c r="AO21" s="4">
        <v>10</v>
      </c>
      <c r="AP21" s="8">
        <v>22.777777777777779</v>
      </c>
      <c r="AQ21" s="4">
        <v>16</v>
      </c>
      <c r="AR21" s="4">
        <v>16</v>
      </c>
      <c r="AS21" s="4">
        <v>10</v>
      </c>
      <c r="AT21" s="4">
        <v>-0.99095987605964864</v>
      </c>
      <c r="AU21" s="14">
        <v>31</v>
      </c>
      <c r="AV21" s="23">
        <f t="shared" si="27"/>
        <v>1</v>
      </c>
      <c r="AW21" s="24">
        <f t="shared" si="10"/>
        <v>6</v>
      </c>
      <c r="AX21" t="str">
        <f t="shared" si="19"/>
        <v>-2, no había superávit y resultado fue bueno</v>
      </c>
      <c r="BA21" s="4" t="s">
        <v>261</v>
      </c>
      <c r="BB21" s="4">
        <v>18</v>
      </c>
      <c r="BC21" s="8">
        <v>21.333333333333332</v>
      </c>
      <c r="BD21" s="4">
        <v>20</v>
      </c>
      <c r="BE21" s="4">
        <v>20</v>
      </c>
      <c r="BF21" s="4">
        <v>27</v>
      </c>
      <c r="BG21" s="4">
        <v>-0.99095987605964864</v>
      </c>
      <c r="BH21" s="14">
        <v>31</v>
      </c>
      <c r="BI21" s="24">
        <f t="shared" si="28"/>
        <v>1</v>
      </c>
      <c r="BJ21" s="24">
        <f t="shared" si="12"/>
        <v>2</v>
      </c>
      <c r="BK21" t="str">
        <f t="shared" si="20"/>
        <v>0, Superávit y no eliminé superávit</v>
      </c>
      <c r="BM21" s="4" t="s">
        <v>261</v>
      </c>
      <c r="BN21" s="4">
        <v>13</v>
      </c>
      <c r="BO21" s="8">
        <v>23.222222222222221</v>
      </c>
      <c r="BP21" s="4">
        <v>16</v>
      </c>
      <c r="BQ21" s="4">
        <v>17</v>
      </c>
      <c r="BR21" s="4">
        <v>13</v>
      </c>
      <c r="BS21" s="4">
        <v>-0.99095987605964864</v>
      </c>
      <c r="BT21" s="14">
        <v>31</v>
      </c>
      <c r="BU21" s="24">
        <f t="shared" si="29"/>
        <v>1</v>
      </c>
      <c r="BV21" s="24">
        <f t="shared" si="14"/>
        <v>3</v>
      </c>
      <c r="BW21" t="str">
        <f t="shared" si="21"/>
        <v>-2, no había superávit y resultado fue bueno</v>
      </c>
      <c r="BY21" s="4" t="s">
        <v>261</v>
      </c>
      <c r="BZ21" s="4">
        <v>18</v>
      </c>
      <c r="CA21" s="8">
        <v>18.444444444444443</v>
      </c>
      <c r="CB21" s="4">
        <v>17</v>
      </c>
      <c r="CC21" s="4">
        <v>15</v>
      </c>
      <c r="CD21" s="4">
        <v>18</v>
      </c>
      <c r="CE21" s="4">
        <v>-0.99095987605964864</v>
      </c>
      <c r="CF21" s="14">
        <v>31</v>
      </c>
      <c r="CG21" s="24">
        <f t="shared" si="30"/>
        <v>0</v>
      </c>
      <c r="CH21" s="24">
        <f t="shared" si="16"/>
        <v>-1</v>
      </c>
      <c r="CI21" t="str">
        <f t="shared" si="22"/>
        <v>0, Superávit y no eliminé superávit</v>
      </c>
      <c r="CK21" s="4" t="s">
        <v>261</v>
      </c>
      <c r="CL21" s="4">
        <v>19</v>
      </c>
      <c r="CM21" s="8">
        <v>23.888888888888889</v>
      </c>
      <c r="CN21" s="4">
        <v>23</v>
      </c>
      <c r="CO21" s="4">
        <v>26</v>
      </c>
      <c r="CP21" s="4">
        <v>19</v>
      </c>
      <c r="CQ21" s="4">
        <v>-0.99095987605964864</v>
      </c>
      <c r="CR21" s="14">
        <v>31</v>
      </c>
      <c r="CS21" s="24">
        <f t="shared" si="31"/>
        <v>1</v>
      </c>
      <c r="CT21" s="24">
        <f t="shared" si="18"/>
        <v>4</v>
      </c>
      <c r="CU21" t="str">
        <f t="shared" si="23"/>
        <v>0, Superávit y no eliminé superávit</v>
      </c>
      <c r="CX21" s="4" t="s">
        <v>259</v>
      </c>
    </row>
    <row r="22" spans="1:102" ht="14.25" customHeight="1" x14ac:dyDescent="0.3">
      <c r="A22" s="4" t="s">
        <v>260</v>
      </c>
      <c r="B22" s="4">
        <v>15</v>
      </c>
      <c r="C22" s="8">
        <v>12.777777777777779</v>
      </c>
      <c r="D22" s="4">
        <v>18</v>
      </c>
      <c r="E22" s="4">
        <v>15</v>
      </c>
      <c r="F22" s="4">
        <v>16</v>
      </c>
      <c r="G22" s="4">
        <v>-1.072806810743151</v>
      </c>
      <c r="H22" s="24" t="s">
        <v>392</v>
      </c>
      <c r="I22" s="4">
        <v>19</v>
      </c>
      <c r="J22" s="8">
        <f t="shared" si="24"/>
        <v>1</v>
      </c>
      <c r="K22" s="33">
        <f t="shared" si="1"/>
        <v>3</v>
      </c>
      <c r="L22" s="26" t="str">
        <f t="shared" si="2"/>
        <v>0, Superávit y no eliminé superávit</v>
      </c>
      <c r="M22" s="42"/>
      <c r="N22" s="26" t="s">
        <v>260</v>
      </c>
      <c r="O22" s="26">
        <v>17</v>
      </c>
      <c r="P22" s="23">
        <v>12.111111111111111</v>
      </c>
      <c r="Q22" s="26">
        <v>17</v>
      </c>
      <c r="R22" s="26">
        <v>17</v>
      </c>
      <c r="S22" s="26">
        <v>16</v>
      </c>
      <c r="T22" s="26">
        <v>-1.072806810743151</v>
      </c>
      <c r="U22" s="24" t="s">
        <v>392</v>
      </c>
      <c r="V22" s="26">
        <v>19</v>
      </c>
      <c r="W22" s="34">
        <f t="shared" si="25"/>
        <v>1</v>
      </c>
      <c r="X22" s="34">
        <f t="shared" si="4"/>
        <v>0</v>
      </c>
      <c r="Y22" s="26" t="str">
        <f t="shared" si="5"/>
        <v>-2, Superávit y resultado fue bueno</v>
      </c>
      <c r="Z22" s="42"/>
      <c r="AA22" s="4" t="s">
        <v>260</v>
      </c>
      <c r="AB22" s="4">
        <v>18</v>
      </c>
      <c r="AC22" s="8">
        <v>11.444444444444445</v>
      </c>
      <c r="AD22" s="4">
        <v>15</v>
      </c>
      <c r="AE22" s="4">
        <v>15</v>
      </c>
      <c r="AF22" s="4">
        <v>15</v>
      </c>
      <c r="AG22" s="4">
        <v>-1.072806810743151</v>
      </c>
      <c r="AH22" s="24" t="s">
        <v>392</v>
      </c>
      <c r="AI22" s="4">
        <v>19</v>
      </c>
      <c r="AJ22" s="32">
        <f t="shared" si="26"/>
        <v>0</v>
      </c>
      <c r="AK22" s="33">
        <f t="shared" si="7"/>
        <v>-3</v>
      </c>
      <c r="AL22" s="24" t="str">
        <f t="shared" si="8"/>
        <v>-2, Superávit y resultado fue bueno</v>
      </c>
      <c r="AM22" s="42"/>
      <c r="AN22" s="4" t="s">
        <v>260</v>
      </c>
      <c r="AO22" s="4">
        <v>11</v>
      </c>
      <c r="AP22" s="8">
        <v>13.555555555555555</v>
      </c>
      <c r="AQ22" s="4">
        <v>14</v>
      </c>
      <c r="AR22" s="4">
        <v>15</v>
      </c>
      <c r="AS22" s="4">
        <v>11</v>
      </c>
      <c r="AT22" s="4">
        <v>-1.072806810743151</v>
      </c>
      <c r="AU22" s="14">
        <v>19</v>
      </c>
      <c r="AV22" s="23">
        <f t="shared" si="27"/>
        <v>1</v>
      </c>
      <c r="AW22" s="24">
        <f t="shared" si="10"/>
        <v>3</v>
      </c>
      <c r="AX22" t="str">
        <f t="shared" si="19"/>
        <v>0, Superávit y no eliminé superávit</v>
      </c>
      <c r="BA22" s="4" t="s">
        <v>260</v>
      </c>
      <c r="BB22" s="4">
        <v>9</v>
      </c>
      <c r="BC22" s="8">
        <v>15</v>
      </c>
      <c r="BD22" s="4">
        <v>12</v>
      </c>
      <c r="BE22" s="4">
        <v>13</v>
      </c>
      <c r="BF22" s="4">
        <v>3</v>
      </c>
      <c r="BG22" s="4">
        <v>-1.072806810743151</v>
      </c>
      <c r="BH22" s="14">
        <v>19</v>
      </c>
      <c r="BI22" s="24">
        <f t="shared" si="28"/>
        <v>1</v>
      </c>
      <c r="BJ22" s="24">
        <f t="shared" si="12"/>
        <v>3</v>
      </c>
      <c r="BK22" t="str">
        <f t="shared" si="20"/>
        <v>1, no había superávit, pero el resultado fue mejor</v>
      </c>
      <c r="BM22" s="4" t="s">
        <v>260</v>
      </c>
      <c r="BN22" s="4">
        <v>10</v>
      </c>
      <c r="BO22" s="8">
        <v>12.555555555555555</v>
      </c>
      <c r="BP22" s="4">
        <v>13</v>
      </c>
      <c r="BQ22" s="4">
        <v>12</v>
      </c>
      <c r="BR22" s="4">
        <v>10</v>
      </c>
      <c r="BS22" s="4">
        <v>-1.072806810743151</v>
      </c>
      <c r="BT22" s="14">
        <v>19</v>
      </c>
      <c r="BU22" s="24">
        <f t="shared" si="29"/>
        <v>1</v>
      </c>
      <c r="BV22" s="24">
        <f t="shared" si="14"/>
        <v>3</v>
      </c>
      <c r="BW22" t="str">
        <f t="shared" si="21"/>
        <v>0, Superávit y no eliminé superávit</v>
      </c>
      <c r="BY22" s="4" t="s">
        <v>260</v>
      </c>
      <c r="BZ22" s="4">
        <v>10</v>
      </c>
      <c r="CA22" s="8">
        <v>14.222222222222221</v>
      </c>
      <c r="CB22" s="4">
        <v>13</v>
      </c>
      <c r="CC22" s="4">
        <v>11</v>
      </c>
      <c r="CD22" s="4">
        <v>16</v>
      </c>
      <c r="CE22" s="4">
        <v>-1.072806810743151</v>
      </c>
      <c r="CF22" s="14">
        <v>19</v>
      </c>
      <c r="CG22" s="24">
        <f t="shared" si="30"/>
        <v>1</v>
      </c>
      <c r="CH22" s="24">
        <f t="shared" si="16"/>
        <v>3</v>
      </c>
      <c r="CI22" t="str">
        <f t="shared" si="22"/>
        <v>0, Superávit y no eliminé superávit</v>
      </c>
      <c r="CK22" s="4" t="s">
        <v>260</v>
      </c>
      <c r="CL22" s="4">
        <v>16</v>
      </c>
      <c r="CM22" s="8">
        <v>12.777777777777779</v>
      </c>
      <c r="CN22" s="4">
        <v>16</v>
      </c>
      <c r="CO22" s="4">
        <v>16</v>
      </c>
      <c r="CP22" s="4">
        <v>7</v>
      </c>
      <c r="CQ22" s="4">
        <v>-1.072806810743151</v>
      </c>
      <c r="CR22" s="14">
        <v>19</v>
      </c>
      <c r="CS22" s="24">
        <f t="shared" si="31"/>
        <v>1</v>
      </c>
      <c r="CT22" s="24">
        <f t="shared" si="18"/>
        <v>0</v>
      </c>
      <c r="CU22" t="str">
        <f t="shared" si="23"/>
        <v>1, Superávit y eliminé superávit</v>
      </c>
      <c r="CX22" s="4" t="s">
        <v>260</v>
      </c>
    </row>
    <row r="23" spans="1:102" ht="14.25" customHeight="1" x14ac:dyDescent="0.3">
      <c r="A23" s="4" t="s">
        <v>259</v>
      </c>
      <c r="B23" s="4">
        <v>17</v>
      </c>
      <c r="C23" s="8">
        <v>15.888888888888889</v>
      </c>
      <c r="D23" s="4">
        <v>16</v>
      </c>
      <c r="E23" s="4">
        <v>14</v>
      </c>
      <c r="F23" s="4">
        <v>9</v>
      </c>
      <c r="G23" s="4">
        <v>-1.1154133211974251</v>
      </c>
      <c r="H23" s="24" t="s">
        <v>392</v>
      </c>
      <c r="I23" s="4">
        <v>19</v>
      </c>
      <c r="J23" s="8">
        <f t="shared" si="24"/>
        <v>0</v>
      </c>
      <c r="K23" s="33">
        <f t="shared" si="1"/>
        <v>-1</v>
      </c>
      <c r="L23" s="26" t="str">
        <f t="shared" si="2"/>
        <v>-1, Superávit y deje la capacidad media</v>
      </c>
      <c r="M23" s="42"/>
      <c r="N23" s="26" t="s">
        <v>259</v>
      </c>
      <c r="O23" s="26">
        <v>16</v>
      </c>
      <c r="P23" s="23">
        <v>14.777777777777779</v>
      </c>
      <c r="Q23" s="26">
        <v>16</v>
      </c>
      <c r="R23" s="26">
        <v>14</v>
      </c>
      <c r="S23" s="26">
        <v>3</v>
      </c>
      <c r="T23" s="26">
        <v>-1.1154133211974251</v>
      </c>
      <c r="U23" s="24" t="s">
        <v>392</v>
      </c>
      <c r="V23" s="26">
        <v>19</v>
      </c>
      <c r="W23" s="34">
        <f t="shared" si="25"/>
        <v>1</v>
      </c>
      <c r="X23" s="34">
        <f t="shared" si="4"/>
        <v>0</v>
      </c>
      <c r="Y23" s="26" t="str">
        <f t="shared" si="5"/>
        <v>1, Superávit y eliminé superávit</v>
      </c>
      <c r="Z23" s="42"/>
      <c r="AA23" s="4" t="s">
        <v>259</v>
      </c>
      <c r="AB23" s="4">
        <v>13</v>
      </c>
      <c r="AC23" s="8">
        <v>14.666666666666666</v>
      </c>
      <c r="AD23" s="4">
        <v>13</v>
      </c>
      <c r="AE23" s="4">
        <v>13</v>
      </c>
      <c r="AF23" s="4">
        <v>3</v>
      </c>
      <c r="AG23" s="4">
        <v>-1.1154133211974251</v>
      </c>
      <c r="AH23" s="24" t="s">
        <v>392</v>
      </c>
      <c r="AI23" s="4">
        <v>19</v>
      </c>
      <c r="AJ23" s="32">
        <f t="shared" si="26"/>
        <v>1</v>
      </c>
      <c r="AK23" s="33">
        <f t="shared" si="7"/>
        <v>0</v>
      </c>
      <c r="AL23" s="24" t="str">
        <f t="shared" si="8"/>
        <v>1, Superávit y eliminé superávit</v>
      </c>
      <c r="AM23" s="42"/>
      <c r="AN23" s="4" t="s">
        <v>259</v>
      </c>
      <c r="AO23" s="4">
        <v>6</v>
      </c>
      <c r="AP23" s="8">
        <v>10.333333333333334</v>
      </c>
      <c r="AQ23" s="4">
        <v>11</v>
      </c>
      <c r="AR23" s="4">
        <v>14</v>
      </c>
      <c r="AS23" s="4">
        <v>6</v>
      </c>
      <c r="AT23" s="4">
        <v>-1.1154133211974251</v>
      </c>
      <c r="AU23" s="14">
        <v>19</v>
      </c>
      <c r="AV23" s="23">
        <f t="shared" si="27"/>
        <v>1</v>
      </c>
      <c r="AW23" s="24">
        <f t="shared" si="10"/>
        <v>5</v>
      </c>
      <c r="AX23" t="str">
        <f t="shared" si="19"/>
        <v>-2, no había superávit y resultado fue bueno</v>
      </c>
      <c r="BA23" s="4" t="s">
        <v>259</v>
      </c>
      <c r="BB23" s="4">
        <v>1</v>
      </c>
      <c r="BC23" s="8">
        <v>12.555555555555555</v>
      </c>
      <c r="BD23" s="4">
        <v>4</v>
      </c>
      <c r="BE23" s="4">
        <v>4</v>
      </c>
      <c r="BF23" s="4">
        <v>3</v>
      </c>
      <c r="BG23" s="4">
        <v>-1.1154133211974251</v>
      </c>
      <c r="BH23" s="14">
        <v>19</v>
      </c>
      <c r="BI23" s="24">
        <f t="shared" si="28"/>
        <v>1</v>
      </c>
      <c r="BJ23" s="24">
        <f t="shared" si="12"/>
        <v>3</v>
      </c>
      <c r="BK23" t="str">
        <f t="shared" si="20"/>
        <v>-2, no había superávit y resultado fue bueno</v>
      </c>
      <c r="BM23" s="4" t="s">
        <v>259</v>
      </c>
      <c r="BN23" s="4">
        <v>12</v>
      </c>
      <c r="BO23" s="8">
        <v>13.111111111111111</v>
      </c>
      <c r="BP23" s="4">
        <v>6</v>
      </c>
      <c r="BQ23" s="4">
        <v>9</v>
      </c>
      <c r="BR23" s="4">
        <v>12</v>
      </c>
      <c r="BS23" s="4">
        <v>-1.1154133211974251</v>
      </c>
      <c r="BT23" s="14">
        <v>19</v>
      </c>
      <c r="BU23" s="24">
        <f t="shared" si="29"/>
        <v>0</v>
      </c>
      <c r="BV23" s="24">
        <f t="shared" si="14"/>
        <v>-6</v>
      </c>
      <c r="BW23" t="str">
        <f t="shared" si="21"/>
        <v>0, Superávit y no eliminé superávit</v>
      </c>
      <c r="BY23" s="4" t="s">
        <v>259</v>
      </c>
      <c r="BZ23" s="4">
        <v>6</v>
      </c>
      <c r="CA23" s="8">
        <v>13.555555555555555</v>
      </c>
      <c r="CB23" s="4">
        <v>4</v>
      </c>
      <c r="CC23" s="4">
        <v>3</v>
      </c>
      <c r="CD23" s="4">
        <v>6</v>
      </c>
      <c r="CE23" s="4">
        <v>-1.1154133211974251</v>
      </c>
      <c r="CF23" s="14">
        <v>19</v>
      </c>
      <c r="CG23" s="24">
        <f t="shared" si="30"/>
        <v>0</v>
      </c>
      <c r="CH23" s="24">
        <f t="shared" si="16"/>
        <v>-2</v>
      </c>
      <c r="CI23" t="str">
        <f t="shared" si="22"/>
        <v>-2, no había superávit y resultado fue bueno</v>
      </c>
      <c r="CK23" s="4" t="s">
        <v>259</v>
      </c>
      <c r="CL23" s="4">
        <v>11</v>
      </c>
      <c r="CM23" s="8">
        <v>15.888888888888889</v>
      </c>
      <c r="CN23" s="4">
        <v>11</v>
      </c>
      <c r="CO23" s="4">
        <v>11</v>
      </c>
      <c r="CP23" s="4">
        <v>3</v>
      </c>
      <c r="CQ23" s="4">
        <v>-1.1154133211974251</v>
      </c>
      <c r="CR23" s="14">
        <v>19</v>
      </c>
      <c r="CS23" s="24">
        <f t="shared" si="31"/>
        <v>1</v>
      </c>
      <c r="CT23" s="24">
        <f t="shared" si="18"/>
        <v>0</v>
      </c>
      <c r="CU23" t="str">
        <f t="shared" si="23"/>
        <v>1, Superávit y eliminé superávit</v>
      </c>
      <c r="CX23" s="4" t="s">
        <v>261</v>
      </c>
    </row>
    <row r="24" spans="1:102" ht="14.25" customHeight="1" x14ac:dyDescent="0.3">
      <c r="A24" s="4" t="s">
        <v>258</v>
      </c>
      <c r="B24" s="4">
        <v>15</v>
      </c>
      <c r="C24" s="8">
        <v>10.333333333333334</v>
      </c>
      <c r="D24" s="4">
        <v>14</v>
      </c>
      <c r="E24" s="4">
        <v>13</v>
      </c>
      <c r="F24" s="4">
        <v>3</v>
      </c>
      <c r="G24" s="4">
        <v>-1.12017317951397</v>
      </c>
      <c r="H24" s="24" t="s">
        <v>391</v>
      </c>
      <c r="I24" s="4">
        <v>16</v>
      </c>
      <c r="J24" s="8">
        <f t="shared" si="24"/>
        <v>0</v>
      </c>
      <c r="K24" s="33">
        <f t="shared" si="1"/>
        <v>-1</v>
      </c>
      <c r="L24" s="26" t="str">
        <f t="shared" si="2"/>
        <v>1, Superávit y eliminé superávit</v>
      </c>
      <c r="M24" s="42"/>
      <c r="N24" s="26" t="s">
        <v>258</v>
      </c>
      <c r="O24" s="26">
        <v>14</v>
      </c>
      <c r="P24" s="23">
        <v>12.777777777777779</v>
      </c>
      <c r="Q24" s="26">
        <v>15</v>
      </c>
      <c r="R24" s="26">
        <v>15</v>
      </c>
      <c r="S24" s="26">
        <v>13</v>
      </c>
      <c r="T24" s="26">
        <v>-1.12017317951397</v>
      </c>
      <c r="U24" s="24" t="s">
        <v>391</v>
      </c>
      <c r="V24" s="26">
        <v>16</v>
      </c>
      <c r="W24" s="34">
        <f t="shared" si="25"/>
        <v>1</v>
      </c>
      <c r="X24" s="34">
        <f t="shared" si="4"/>
        <v>1</v>
      </c>
      <c r="Y24" s="26" t="str">
        <f t="shared" si="5"/>
        <v>-2, Superávit y resultado fue bueno</v>
      </c>
      <c r="Z24" s="42"/>
      <c r="AA24" s="4" t="s">
        <v>258</v>
      </c>
      <c r="AB24" s="4">
        <v>12</v>
      </c>
      <c r="AC24" s="8">
        <v>11.777777777777779</v>
      </c>
      <c r="AD24" s="4">
        <v>13</v>
      </c>
      <c r="AE24" s="4">
        <v>13</v>
      </c>
      <c r="AF24" s="4">
        <v>12</v>
      </c>
      <c r="AG24" s="4">
        <v>-1.12017317951397</v>
      </c>
      <c r="AH24" s="24" t="s">
        <v>391</v>
      </c>
      <c r="AI24" s="4">
        <v>16</v>
      </c>
      <c r="AJ24" s="32">
        <f t="shared" si="26"/>
        <v>1</v>
      </c>
      <c r="AK24" s="33">
        <f t="shared" si="7"/>
        <v>1</v>
      </c>
      <c r="AL24" s="24" t="str">
        <f t="shared" si="8"/>
        <v>0, Superávit y no eliminé superávit</v>
      </c>
      <c r="AM24" s="42"/>
      <c r="AN24" s="4" t="s">
        <v>258</v>
      </c>
      <c r="AO24" s="4">
        <v>14</v>
      </c>
      <c r="AP24" s="8">
        <v>10.777777777777779</v>
      </c>
      <c r="AQ24" s="4">
        <v>5</v>
      </c>
      <c r="AR24" s="4">
        <v>2</v>
      </c>
      <c r="AS24" s="4">
        <v>8</v>
      </c>
      <c r="AT24" s="4">
        <v>-1.12017317951397</v>
      </c>
      <c r="AU24" s="14">
        <v>16</v>
      </c>
      <c r="AV24" s="23">
        <f t="shared" si="27"/>
        <v>0</v>
      </c>
      <c r="AW24" s="24">
        <f t="shared" si="10"/>
        <v>-9</v>
      </c>
      <c r="AX24" t="str">
        <f t="shared" si="19"/>
        <v>-1, Superávit y deje la capacidad media</v>
      </c>
      <c r="BA24" s="4" t="s">
        <v>258</v>
      </c>
      <c r="BB24" s="4">
        <v>5</v>
      </c>
      <c r="BC24" s="8">
        <v>8.6666666666666661</v>
      </c>
      <c r="BD24" s="4">
        <v>1</v>
      </c>
      <c r="BE24" s="4">
        <v>3</v>
      </c>
      <c r="BF24" s="4">
        <v>5</v>
      </c>
      <c r="BG24" s="4">
        <v>-1.12017317951397</v>
      </c>
      <c r="BH24" s="14">
        <v>16</v>
      </c>
      <c r="BI24" s="24">
        <f t="shared" si="28"/>
        <v>0</v>
      </c>
      <c r="BJ24" s="24">
        <f t="shared" si="12"/>
        <v>-4</v>
      </c>
      <c r="BK24" t="str">
        <f t="shared" si="20"/>
        <v>-2, no había superávit y resultado fue bueno</v>
      </c>
      <c r="BM24" s="4" t="s">
        <v>258</v>
      </c>
      <c r="BN24" s="4">
        <v>5</v>
      </c>
      <c r="BO24" s="8">
        <v>7</v>
      </c>
      <c r="BP24" s="4">
        <v>2</v>
      </c>
      <c r="BQ24" s="4">
        <v>1</v>
      </c>
      <c r="BR24" s="4">
        <v>5</v>
      </c>
      <c r="BS24" s="4">
        <v>-1.12017317951397</v>
      </c>
      <c r="BT24" s="14">
        <v>16</v>
      </c>
      <c r="BU24" s="24">
        <f t="shared" si="29"/>
        <v>0</v>
      </c>
      <c r="BV24" s="24">
        <f t="shared" si="14"/>
        <v>-3</v>
      </c>
      <c r="BW24" t="str">
        <f t="shared" si="21"/>
        <v>-2, no había superávit y resultado fue bueno</v>
      </c>
      <c r="BY24" s="4" t="s">
        <v>258</v>
      </c>
      <c r="BZ24" s="4">
        <v>8</v>
      </c>
      <c r="CA24" s="8">
        <v>8.8888888888888893</v>
      </c>
      <c r="CB24" s="4">
        <v>6</v>
      </c>
      <c r="CC24" s="4">
        <v>4</v>
      </c>
      <c r="CD24" s="4">
        <v>8</v>
      </c>
      <c r="CE24" s="4">
        <v>-1.12017317951397</v>
      </c>
      <c r="CF24" s="14">
        <v>16</v>
      </c>
      <c r="CG24" s="24">
        <f t="shared" si="30"/>
        <v>0</v>
      </c>
      <c r="CH24" s="24">
        <f t="shared" si="16"/>
        <v>-2</v>
      </c>
      <c r="CI24" t="str">
        <f t="shared" si="22"/>
        <v>-1, no había superávit y deje la capacidad media</v>
      </c>
      <c r="CK24" s="4" t="s">
        <v>258</v>
      </c>
      <c r="CL24" s="4">
        <v>10</v>
      </c>
      <c r="CM24" s="8">
        <v>10.333333333333334</v>
      </c>
      <c r="CN24" s="4">
        <v>8</v>
      </c>
      <c r="CO24" s="4">
        <v>9</v>
      </c>
      <c r="CP24" s="4">
        <v>10</v>
      </c>
      <c r="CQ24" s="4">
        <v>-1.12017317951397</v>
      </c>
      <c r="CR24" s="14">
        <v>16</v>
      </c>
      <c r="CS24" s="24">
        <f t="shared" si="31"/>
        <v>0</v>
      </c>
      <c r="CT24" s="24">
        <f t="shared" si="18"/>
        <v>-2</v>
      </c>
      <c r="CU24" t="str">
        <f t="shared" si="23"/>
        <v>0, Superávit y no eliminé superávit</v>
      </c>
      <c r="CX24" s="4" t="s">
        <v>262</v>
      </c>
    </row>
    <row r="25" spans="1:102" ht="14.25" customHeight="1" x14ac:dyDescent="0.3">
      <c r="A25" s="4" t="s">
        <v>264</v>
      </c>
      <c r="B25" s="4">
        <v>11</v>
      </c>
      <c r="C25" s="8">
        <v>13.777777777777779</v>
      </c>
      <c r="D25" s="4">
        <v>12</v>
      </c>
      <c r="E25" s="4">
        <v>12</v>
      </c>
      <c r="F25" s="4">
        <v>11</v>
      </c>
      <c r="G25" s="4">
        <v>-1.196962071035268</v>
      </c>
      <c r="H25" s="24" t="s">
        <v>392</v>
      </c>
      <c r="I25" s="4">
        <v>19</v>
      </c>
      <c r="J25" s="8">
        <f t="shared" si="24"/>
        <v>1</v>
      </c>
      <c r="K25" s="33">
        <f t="shared" si="1"/>
        <v>1</v>
      </c>
      <c r="L25" s="26" t="str">
        <f t="shared" si="2"/>
        <v>0, Superávit y no eliminé superávit</v>
      </c>
      <c r="M25" s="42"/>
      <c r="N25" s="26" t="s">
        <v>264</v>
      </c>
      <c r="O25" s="26">
        <v>19</v>
      </c>
      <c r="P25" s="23">
        <v>15.666666666666666</v>
      </c>
      <c r="Q25" s="26">
        <v>19</v>
      </c>
      <c r="R25" s="26">
        <v>19</v>
      </c>
      <c r="S25" s="26">
        <v>16</v>
      </c>
      <c r="T25" s="26">
        <v>-1.196962071035268</v>
      </c>
      <c r="U25" s="24" t="s">
        <v>392</v>
      </c>
      <c r="V25" s="26">
        <v>19</v>
      </c>
      <c r="W25" s="34">
        <f t="shared" si="25"/>
        <v>1</v>
      </c>
      <c r="X25" s="34">
        <f t="shared" si="4"/>
        <v>0</v>
      </c>
      <c r="Y25" s="26" t="str">
        <f t="shared" si="5"/>
        <v>-2, Superávit y resultado fue bueno</v>
      </c>
      <c r="Z25" s="42"/>
      <c r="AA25" s="4" t="s">
        <v>264</v>
      </c>
      <c r="AB25" s="4">
        <v>17</v>
      </c>
      <c r="AC25" s="8">
        <v>14.333333333333334</v>
      </c>
      <c r="AD25" s="4">
        <v>18</v>
      </c>
      <c r="AE25" s="4">
        <v>18</v>
      </c>
      <c r="AF25" s="4">
        <v>15</v>
      </c>
      <c r="AG25" s="4">
        <v>-1.196962071035268</v>
      </c>
      <c r="AH25" s="24" t="s">
        <v>392</v>
      </c>
      <c r="AI25" s="4">
        <v>19</v>
      </c>
      <c r="AJ25" s="32">
        <f t="shared" si="26"/>
        <v>1</v>
      </c>
      <c r="AK25" s="33">
        <f t="shared" si="7"/>
        <v>1</v>
      </c>
      <c r="AL25" s="24" t="str">
        <f t="shared" si="8"/>
        <v>-2, Superávit y resultado fue bueno</v>
      </c>
      <c r="AM25" s="42"/>
      <c r="AN25" s="4" t="s">
        <v>264</v>
      </c>
      <c r="AO25" s="4">
        <v>16</v>
      </c>
      <c r="AP25" s="8">
        <v>13.111111111111111</v>
      </c>
      <c r="AQ25" s="4">
        <v>18</v>
      </c>
      <c r="AR25" s="4">
        <v>19</v>
      </c>
      <c r="AS25" s="4">
        <v>16</v>
      </c>
      <c r="AT25" s="4">
        <v>-1.196962071035268</v>
      </c>
      <c r="AU25" s="14">
        <v>19</v>
      </c>
      <c r="AV25" s="23">
        <f t="shared" si="27"/>
        <v>1</v>
      </c>
      <c r="AW25" s="24">
        <f t="shared" si="10"/>
        <v>2</v>
      </c>
      <c r="AX25" t="str">
        <f t="shared" si="19"/>
        <v>0, Superávit y no eliminé superávit</v>
      </c>
      <c r="BA25" s="4" t="s">
        <v>264</v>
      </c>
      <c r="BB25" s="4">
        <v>16</v>
      </c>
      <c r="BC25" s="8">
        <v>9.2222222222222214</v>
      </c>
      <c r="BD25" s="4">
        <v>19</v>
      </c>
      <c r="BE25" s="4">
        <v>19</v>
      </c>
      <c r="BF25" s="4">
        <v>16</v>
      </c>
      <c r="BG25" s="4">
        <v>-1.196962071035268</v>
      </c>
      <c r="BH25" s="14">
        <v>19</v>
      </c>
      <c r="BI25" s="24">
        <f t="shared" si="28"/>
        <v>1</v>
      </c>
      <c r="BJ25" s="24">
        <f t="shared" si="12"/>
        <v>3</v>
      </c>
      <c r="BK25" t="str">
        <f t="shared" si="20"/>
        <v>0, Superávit y no eliminé superávit</v>
      </c>
      <c r="BM25" s="4" t="s">
        <v>264</v>
      </c>
      <c r="BN25" s="4">
        <v>15</v>
      </c>
      <c r="BO25" s="8">
        <v>11.111111111111111</v>
      </c>
      <c r="BP25" s="4">
        <v>17</v>
      </c>
      <c r="BQ25" s="4">
        <v>17</v>
      </c>
      <c r="BR25" s="4">
        <v>15</v>
      </c>
      <c r="BS25" s="4">
        <v>-1.196962071035268</v>
      </c>
      <c r="BT25" s="14">
        <v>19</v>
      </c>
      <c r="BU25" s="24">
        <f t="shared" si="29"/>
        <v>1</v>
      </c>
      <c r="BV25" s="24">
        <f t="shared" si="14"/>
        <v>2</v>
      </c>
      <c r="BW25" t="str">
        <f t="shared" si="21"/>
        <v>0, Superávit y no eliminé superávit</v>
      </c>
      <c r="BY25" s="4" t="s">
        <v>264</v>
      </c>
      <c r="BZ25" s="4">
        <v>14</v>
      </c>
      <c r="CA25" s="8">
        <v>12.666666666666666</v>
      </c>
      <c r="CB25" s="4">
        <v>17</v>
      </c>
      <c r="CC25" s="4">
        <v>16</v>
      </c>
      <c r="CD25" s="4">
        <v>14</v>
      </c>
      <c r="CE25" s="4">
        <v>-1.196962071035268</v>
      </c>
      <c r="CF25" s="14">
        <v>19</v>
      </c>
      <c r="CG25" s="24">
        <f t="shared" si="30"/>
        <v>1</v>
      </c>
      <c r="CH25" s="24">
        <f t="shared" si="16"/>
        <v>3</v>
      </c>
      <c r="CI25" t="str">
        <f t="shared" si="22"/>
        <v>0, Superávit y no eliminé superávit</v>
      </c>
      <c r="CK25" s="4" t="s">
        <v>264</v>
      </c>
      <c r="CL25" s="4">
        <v>13</v>
      </c>
      <c r="CM25" s="8">
        <v>13.777777777777779</v>
      </c>
      <c r="CN25" s="4">
        <v>14</v>
      </c>
      <c r="CO25" s="4">
        <v>17</v>
      </c>
      <c r="CP25" s="4">
        <v>13</v>
      </c>
      <c r="CQ25" s="4">
        <v>-1.196962071035268</v>
      </c>
      <c r="CR25" s="14">
        <v>19</v>
      </c>
      <c r="CS25" s="24">
        <f t="shared" si="31"/>
        <v>1</v>
      </c>
      <c r="CT25" s="24">
        <f t="shared" si="18"/>
        <v>1</v>
      </c>
      <c r="CU25" t="str">
        <f t="shared" si="23"/>
        <v>0, Superávit y no eliminé superávit</v>
      </c>
      <c r="CX25" s="4" t="s">
        <v>263</v>
      </c>
    </row>
    <row r="26" spans="1:102" ht="14.25" customHeight="1" x14ac:dyDescent="0.3">
      <c r="A26" s="4" t="s">
        <v>265</v>
      </c>
      <c r="B26" s="4">
        <v>13</v>
      </c>
      <c r="C26" s="8">
        <v>10.555555555555555</v>
      </c>
      <c r="D26" s="4">
        <v>8</v>
      </c>
      <c r="E26" s="4">
        <v>6</v>
      </c>
      <c r="F26" s="4">
        <v>13</v>
      </c>
      <c r="G26" s="4">
        <v>-1.2097705883740471</v>
      </c>
      <c r="H26" s="24" t="s">
        <v>396</v>
      </c>
      <c r="I26" s="4">
        <v>15</v>
      </c>
      <c r="J26" s="8">
        <f t="shared" si="24"/>
        <v>0</v>
      </c>
      <c r="K26" s="33">
        <f t="shared" si="1"/>
        <v>-5</v>
      </c>
      <c r="L26" s="26" t="str">
        <f t="shared" si="2"/>
        <v>0, Superávit y no eliminé superávit</v>
      </c>
      <c r="M26" s="42"/>
      <c r="N26" s="26" t="s">
        <v>265</v>
      </c>
      <c r="O26" s="26">
        <v>12</v>
      </c>
      <c r="P26" s="23">
        <v>12.111111111111111</v>
      </c>
      <c r="Q26" s="26">
        <v>11</v>
      </c>
      <c r="R26" s="26">
        <v>12</v>
      </c>
      <c r="S26" s="26">
        <v>13</v>
      </c>
      <c r="T26" s="26">
        <v>-1.2097705883740471</v>
      </c>
      <c r="U26" s="24" t="s">
        <v>396</v>
      </c>
      <c r="V26" s="26">
        <v>15</v>
      </c>
      <c r="W26" s="34">
        <f t="shared" si="25"/>
        <v>0</v>
      </c>
      <c r="X26" s="34">
        <f t="shared" si="4"/>
        <v>-1</v>
      </c>
      <c r="Y26" s="26" t="str">
        <f t="shared" si="5"/>
        <v>0, Superávit y no eliminé superávit</v>
      </c>
      <c r="Z26" s="42"/>
      <c r="AA26" s="4" t="s">
        <v>265</v>
      </c>
      <c r="AB26" s="4">
        <v>6</v>
      </c>
      <c r="AC26" s="8">
        <v>12.222222222222221</v>
      </c>
      <c r="AD26" s="4">
        <v>5</v>
      </c>
      <c r="AE26" s="4">
        <v>5</v>
      </c>
      <c r="AF26" s="4">
        <v>12</v>
      </c>
      <c r="AG26" s="4">
        <v>-1.2097705883740471</v>
      </c>
      <c r="AH26" s="24" t="s">
        <v>396</v>
      </c>
      <c r="AI26" s="4">
        <v>15</v>
      </c>
      <c r="AJ26" s="32">
        <f t="shared" si="26"/>
        <v>0</v>
      </c>
      <c r="AK26" s="33">
        <f t="shared" si="7"/>
        <v>-1</v>
      </c>
      <c r="AL26" s="24" t="str">
        <f t="shared" si="8"/>
        <v>0, no había superávit, y la deje con superávit</v>
      </c>
      <c r="AM26" s="42"/>
      <c r="AN26" s="4" t="s">
        <v>265</v>
      </c>
      <c r="AO26" s="4">
        <v>10</v>
      </c>
      <c r="AP26" s="8">
        <v>11.222222222222221</v>
      </c>
      <c r="AQ26" s="4">
        <v>10</v>
      </c>
      <c r="AR26" s="4">
        <v>9</v>
      </c>
      <c r="AS26" s="4">
        <v>10</v>
      </c>
      <c r="AT26" s="4">
        <v>-1.2097705883740471</v>
      </c>
      <c r="AU26" s="14">
        <v>15</v>
      </c>
      <c r="AV26" s="23">
        <f t="shared" si="27"/>
        <v>1</v>
      </c>
      <c r="AW26" s="24">
        <f t="shared" si="10"/>
        <v>0</v>
      </c>
      <c r="AX26" t="str">
        <f t="shared" si="19"/>
        <v>0, Superávit y no eliminé superávit</v>
      </c>
      <c r="BA26" s="4" t="s">
        <v>265</v>
      </c>
      <c r="BB26" s="4">
        <v>8</v>
      </c>
      <c r="BC26" s="8">
        <v>8.4444444444444446</v>
      </c>
      <c r="BD26" s="4">
        <v>8</v>
      </c>
      <c r="BE26" s="4">
        <v>7</v>
      </c>
      <c r="BF26" s="4">
        <v>8</v>
      </c>
      <c r="BG26" s="4">
        <v>-1.2097705883740471</v>
      </c>
      <c r="BH26" s="14">
        <v>15</v>
      </c>
      <c r="BI26" s="24">
        <f t="shared" si="28"/>
        <v>1</v>
      </c>
      <c r="BJ26" s="24">
        <f t="shared" si="12"/>
        <v>0</v>
      </c>
      <c r="BK26" t="str">
        <f t="shared" si="20"/>
        <v>0, Superávit y no eliminé superávit</v>
      </c>
      <c r="BM26" s="4" t="s">
        <v>265</v>
      </c>
      <c r="BN26" s="4">
        <v>4</v>
      </c>
      <c r="BO26" s="8">
        <v>7.333333333333333</v>
      </c>
      <c r="BP26" s="4">
        <v>6</v>
      </c>
      <c r="BQ26" s="4">
        <v>9</v>
      </c>
      <c r="BR26" s="4">
        <v>4</v>
      </c>
      <c r="BS26" s="4">
        <v>-1.2097705883740471</v>
      </c>
      <c r="BT26" s="14">
        <v>15</v>
      </c>
      <c r="BU26" s="24">
        <f t="shared" si="29"/>
        <v>1</v>
      </c>
      <c r="BV26" s="24">
        <f t="shared" si="14"/>
        <v>2</v>
      </c>
      <c r="BW26" t="str">
        <f>IF(BS26&gt;0,
    IF(OR(BN26&lt;=TRUNC(BT26/2,0),BN26=0),
        IF(BR26=TRUNC(BT26/2,0),
            "-1, Déficit y dejo la capacidad media",
            IF(AND(BR26&gt;TRUNC(BT26/2,0), BR26&gt;BN26),
                "1, Déficit y eliminé déficit",
                IF(AND(BR26&lt;TRUNC(BT26/2,0), BR26&lt;BN26),
                    "0, Déficit y no elimine déficit",
                    "-2, Déficit y resultado fue bueno")
            )
        ),
        IF(AND(BR26&gt;TRUNC(BT26/2,0), BR26&gt;BN26),
            "1, no había déficit, pero resultado fue mejor",
            IF(AND(BR26&lt;TRUNC(BT26/2,0),BR26&lt;BN26),
                "0, no había déficit y la dejo con déficit",
                IF(BR26=TRUNC(BT26/2,0),
                    "-1, no había déficit y dejo la capacidad media",
                    "-2,no había déficit y resultado fue bueno")
            )
        )
    ),
    IF(BS26&lt;0,
        IF(BN26&gt;TRUNC(BT26/2,0),
            IF(BR26=TRUNC(BT26/2,0),
                "-1, Superávit y deje la capacidad media",
                IF(AND(BR26&gt;TRUNC(BT26/2,0), BR26&gt;=BN26),
                    "0, Superávit y no eliminé superávit",
                    IF(AND(BR26&lt;TRUNC(BT26/2,0),BR26&lt;BN26),
                        "1, Superávit y eliminé superávit",
                        "-2, Superávit y resultado fue bueno"
                    )
                )
            ),
            IF(AND(BN26&lt;=TRUNC(BT26/2,0),BN26&gt;=0),
                IF(BR26=TRUNC(BT26/2,0),
                    "-1, no había superávit y deje la capacidad media",
                    IF(AND(BR26&gt;TRUNC(BT26/2,0), BR26&gt;=BN26),
                        "0, no había superávit, y la deje con superávit",
                        IF(AND(BR26&lt;TRUNC(BT26/2,0),BR26&lt;BN26),
                            "1, no había superávit, pero el resultado fue mejor",
                            "-2, no había superávit y resultado fue bueno"
                        )
                    )
                )
            )
        )
    )
)</f>
        <v>-2, no había superávit y resultado fue bueno</v>
      </c>
      <c r="BY26" s="4" t="s">
        <v>265</v>
      </c>
      <c r="BZ26" s="4">
        <v>8</v>
      </c>
      <c r="CA26" s="8">
        <v>10.888888888888889</v>
      </c>
      <c r="CB26" s="4">
        <v>6</v>
      </c>
      <c r="CC26" s="4">
        <v>8</v>
      </c>
      <c r="CD26" s="4">
        <v>8</v>
      </c>
      <c r="CE26" s="4">
        <v>-1.2097705883740471</v>
      </c>
      <c r="CF26" s="14">
        <v>15</v>
      </c>
      <c r="CG26" s="24">
        <f t="shared" si="30"/>
        <v>0</v>
      </c>
      <c r="CH26" s="24">
        <f t="shared" si="16"/>
        <v>-2</v>
      </c>
      <c r="CI26" t="str">
        <f t="shared" si="22"/>
        <v>0, Superávit y no eliminé superávit</v>
      </c>
      <c r="CK26" s="4" t="s">
        <v>265</v>
      </c>
      <c r="CL26" s="4">
        <v>13</v>
      </c>
      <c r="CM26" s="8">
        <v>10.555555555555555</v>
      </c>
      <c r="CN26" s="4">
        <v>14</v>
      </c>
      <c r="CO26" s="4">
        <v>13</v>
      </c>
      <c r="CP26" s="4">
        <v>13</v>
      </c>
      <c r="CQ26" s="4">
        <v>-1.2097705883740471</v>
      </c>
      <c r="CR26" s="14">
        <v>15</v>
      </c>
      <c r="CS26" s="24">
        <f t="shared" si="31"/>
        <v>1</v>
      </c>
      <c r="CT26" s="24">
        <f t="shared" si="18"/>
        <v>1</v>
      </c>
      <c r="CU26" t="str">
        <f t="shared" si="23"/>
        <v>0, Superávit y no eliminé superávit</v>
      </c>
      <c r="CX26" s="4" t="s">
        <v>264</v>
      </c>
    </row>
    <row r="27" spans="1:102" ht="14.25" customHeight="1" x14ac:dyDescent="0.3">
      <c r="A27" s="4" t="s">
        <v>262</v>
      </c>
      <c r="B27" s="4">
        <v>25</v>
      </c>
      <c r="C27" s="8">
        <v>24.555555555555557</v>
      </c>
      <c r="D27" s="4">
        <v>25</v>
      </c>
      <c r="E27" s="4">
        <v>25</v>
      </c>
      <c r="F27" s="4">
        <v>19</v>
      </c>
      <c r="G27" s="4">
        <v>-1.679865001322572</v>
      </c>
      <c r="H27" s="24" t="s">
        <v>394</v>
      </c>
      <c r="I27" s="4">
        <v>27</v>
      </c>
      <c r="J27" s="8">
        <f t="shared" si="24"/>
        <v>1</v>
      </c>
      <c r="K27" s="33">
        <f t="shared" si="1"/>
        <v>0</v>
      </c>
      <c r="L27" s="26" t="str">
        <f t="shared" si="2"/>
        <v>-2, Superávit y resultado fue bueno</v>
      </c>
      <c r="M27" s="42"/>
      <c r="N27" s="26" t="s">
        <v>262</v>
      </c>
      <c r="O27" s="26">
        <v>18</v>
      </c>
      <c r="P27" s="23">
        <v>18.777777777777779</v>
      </c>
      <c r="Q27" s="26">
        <v>17</v>
      </c>
      <c r="R27" s="26">
        <v>17</v>
      </c>
      <c r="S27" s="26">
        <v>18</v>
      </c>
      <c r="T27" s="26">
        <v>-1.679865001322572</v>
      </c>
      <c r="U27" s="24" t="s">
        <v>394</v>
      </c>
      <c r="V27" s="26">
        <v>27</v>
      </c>
      <c r="W27" s="34">
        <f t="shared" si="25"/>
        <v>0</v>
      </c>
      <c r="X27" s="34">
        <f t="shared" si="4"/>
        <v>-1</v>
      </c>
      <c r="Y27" s="26" t="str">
        <f t="shared" si="5"/>
        <v>0, Superávit y no eliminé superávit</v>
      </c>
      <c r="Z27" s="42"/>
      <c r="AA27" s="4" t="s">
        <v>262</v>
      </c>
      <c r="AB27" s="4">
        <v>23</v>
      </c>
      <c r="AC27" s="8">
        <v>21.777777777777779</v>
      </c>
      <c r="AD27" s="4">
        <v>22</v>
      </c>
      <c r="AE27" s="4">
        <v>25</v>
      </c>
      <c r="AF27" s="4">
        <v>22</v>
      </c>
      <c r="AG27" s="4">
        <v>-1.679865001322572</v>
      </c>
      <c r="AH27" s="24" t="s">
        <v>394</v>
      </c>
      <c r="AI27" s="4">
        <v>27</v>
      </c>
      <c r="AJ27" s="32">
        <f t="shared" si="26"/>
        <v>0</v>
      </c>
      <c r="AK27" s="33">
        <f t="shared" si="7"/>
        <v>-1</v>
      </c>
      <c r="AL27" s="24" t="str">
        <f t="shared" si="8"/>
        <v>-2, Superávit y resultado fue bueno</v>
      </c>
      <c r="AM27" s="42"/>
      <c r="AN27" s="4" t="s">
        <v>262</v>
      </c>
      <c r="AO27" s="4">
        <v>23</v>
      </c>
      <c r="AP27" s="8">
        <v>23.111111111111111</v>
      </c>
      <c r="AQ27" s="4">
        <v>25</v>
      </c>
      <c r="AR27" s="4">
        <v>25</v>
      </c>
      <c r="AS27" s="4">
        <v>23</v>
      </c>
      <c r="AT27" s="4">
        <v>-1.679865001322572</v>
      </c>
      <c r="AU27" s="14">
        <v>27</v>
      </c>
      <c r="AV27" s="23">
        <f t="shared" si="27"/>
        <v>1</v>
      </c>
      <c r="AW27" s="24">
        <f t="shared" si="10"/>
        <v>2</v>
      </c>
      <c r="AX27" t="str">
        <f t="shared" si="19"/>
        <v>0, Superávit y no eliminé superávit</v>
      </c>
      <c r="BA27" s="4" t="s">
        <v>262</v>
      </c>
      <c r="BB27" s="4">
        <v>26</v>
      </c>
      <c r="BC27" s="8">
        <v>23.888888888888889</v>
      </c>
      <c r="BD27" s="4">
        <v>26</v>
      </c>
      <c r="BE27" s="4">
        <v>26</v>
      </c>
      <c r="BF27" s="4">
        <v>13</v>
      </c>
      <c r="BG27" s="4">
        <v>-1.679865001322572</v>
      </c>
      <c r="BH27" s="14">
        <v>27</v>
      </c>
      <c r="BI27" s="24">
        <f t="shared" si="28"/>
        <v>1</v>
      </c>
      <c r="BJ27" s="24">
        <f t="shared" si="12"/>
        <v>0</v>
      </c>
      <c r="BK27" t="str">
        <f t="shared" si="20"/>
        <v>-1, Superávit y deje la capacidad media</v>
      </c>
      <c r="BM27" s="4" t="s">
        <v>262</v>
      </c>
      <c r="BN27" s="4">
        <v>27</v>
      </c>
      <c r="BO27" s="8">
        <v>24.111111111111111</v>
      </c>
      <c r="BP27" s="4">
        <v>27</v>
      </c>
      <c r="BQ27" s="4">
        <v>26</v>
      </c>
      <c r="BR27" s="4">
        <v>15</v>
      </c>
      <c r="BS27" s="4">
        <v>-1.679865001322572</v>
      </c>
      <c r="BT27" s="14">
        <v>27</v>
      </c>
      <c r="BU27" s="24">
        <f t="shared" si="29"/>
        <v>1</v>
      </c>
      <c r="BV27" s="24">
        <f t="shared" si="14"/>
        <v>0</v>
      </c>
      <c r="BW27" t="str">
        <f t="shared" si="21"/>
        <v>-2, Superávit y resultado fue bueno</v>
      </c>
      <c r="BY27" s="4" t="s">
        <v>262</v>
      </c>
      <c r="BZ27" s="4">
        <v>26</v>
      </c>
      <c r="CA27" s="8">
        <v>24</v>
      </c>
      <c r="CB27" s="4">
        <v>24</v>
      </c>
      <c r="CC27" s="4">
        <v>25</v>
      </c>
      <c r="CD27" s="4">
        <v>23</v>
      </c>
      <c r="CE27" s="4">
        <v>-1.679865001322572</v>
      </c>
      <c r="CF27" s="14">
        <v>27</v>
      </c>
      <c r="CG27" s="24">
        <f t="shared" si="30"/>
        <v>0</v>
      </c>
      <c r="CH27" s="24">
        <f t="shared" si="16"/>
        <v>-2</v>
      </c>
      <c r="CI27" t="str">
        <f t="shared" si="22"/>
        <v>-2, Superávit y resultado fue bueno</v>
      </c>
      <c r="CK27" s="4" t="s">
        <v>262</v>
      </c>
      <c r="CL27" s="4">
        <v>27</v>
      </c>
      <c r="CM27" s="8">
        <v>24.555555555555557</v>
      </c>
      <c r="CN27" s="4">
        <v>26</v>
      </c>
      <c r="CO27" s="4">
        <v>26</v>
      </c>
      <c r="CP27" s="4">
        <v>15</v>
      </c>
      <c r="CQ27" s="4">
        <v>-1.679865001322572</v>
      </c>
      <c r="CR27" s="14">
        <v>27</v>
      </c>
      <c r="CS27" s="24">
        <f t="shared" si="31"/>
        <v>0</v>
      </c>
      <c r="CT27" s="24">
        <f t="shared" si="18"/>
        <v>-1</v>
      </c>
      <c r="CU27" t="str">
        <f t="shared" si="23"/>
        <v>-2, Superávit y resultado fue bueno</v>
      </c>
      <c r="CX27" s="4" t="s">
        <v>265</v>
      </c>
    </row>
    <row r="28" spans="1:102" ht="14.25" customHeight="1" x14ac:dyDescent="0.3">
      <c r="A28" s="4" t="s">
        <v>267</v>
      </c>
      <c r="B28" s="4">
        <f>AVERAGE(B8:B17)</f>
        <v>3.7</v>
      </c>
      <c r="C28" s="8">
        <f>AVERAGE(C8:C17)</f>
        <v>4.7111111111111112</v>
      </c>
      <c r="D28" s="4">
        <f>AVERAGE(D8:D17)</f>
        <v>2.4</v>
      </c>
      <c r="E28" s="4">
        <f>AVERAGE(E8:E17)</f>
        <v>2.2999999999999998</v>
      </c>
      <c r="F28" s="4">
        <f>AVERAGE(F8:F17)</f>
        <v>6.9</v>
      </c>
      <c r="I28" s="10"/>
      <c r="K28" s="5"/>
      <c r="L28" s="5"/>
      <c r="M28" s="5"/>
      <c r="N28" s="15" t="s">
        <v>267</v>
      </c>
      <c r="O28" s="15">
        <f>AVERAGE(O8:O17)</f>
        <v>3.5</v>
      </c>
      <c r="P28" s="46">
        <f>AVERAGE(P8:P17)</f>
        <v>4.8666666666666663</v>
      </c>
      <c r="Q28" s="15">
        <f>AVERAGE(Q8:Q17)</f>
        <v>3.2</v>
      </c>
      <c r="R28" s="15">
        <f>AVERAGE(R8:R17)</f>
        <v>3.3</v>
      </c>
      <c r="S28" s="15">
        <f>AVERAGE(S8:S17)</f>
        <v>6.5</v>
      </c>
      <c r="X28" s="5"/>
      <c r="Y28" s="5"/>
      <c r="Z28" s="5"/>
      <c r="AA28" s="4" t="s">
        <v>267</v>
      </c>
      <c r="AB28" s="4">
        <f>AVERAGE(AB8:AB17)</f>
        <v>4.5</v>
      </c>
      <c r="AC28" s="8">
        <f>AVERAGE(AC8:AC17)</f>
        <v>5.2222222222222214</v>
      </c>
      <c r="AD28" s="4">
        <f>AVERAGE(AD8:AD17)</f>
        <v>4.7</v>
      </c>
      <c r="AE28" s="4">
        <f>AVERAGE(AE8:AE17)</f>
        <v>4.8</v>
      </c>
      <c r="AF28" s="4">
        <f>AVERAGE(AF8:AF17)</f>
        <v>7.2</v>
      </c>
      <c r="AN28" s="4" t="s">
        <v>267</v>
      </c>
      <c r="AO28" s="4">
        <f>AVERAGE(AO8:AO17)</f>
        <v>5.5</v>
      </c>
      <c r="AP28" s="8">
        <f>AVERAGE(AP8:AP17)</f>
        <v>5.1888888888888891</v>
      </c>
      <c r="AQ28" s="4">
        <f>AVERAGE(AQ8:AQ17)</f>
        <v>4.4000000000000004</v>
      </c>
      <c r="AR28" s="4">
        <f>AVERAGE(AR8:AR17)</f>
        <v>3.4</v>
      </c>
      <c r="AS28" s="4">
        <f>AVERAGE(AS8:AS17)</f>
        <v>6.8</v>
      </c>
      <c r="AV28" s="9"/>
      <c r="BA28" s="4" t="s">
        <v>267</v>
      </c>
      <c r="BB28" s="4">
        <f>AVERAGE(BB8:BB17)</f>
        <v>4.3</v>
      </c>
      <c r="BC28" s="8">
        <f>AVERAGE(BC8:BC17)</f>
        <v>5.3555555555555561</v>
      </c>
      <c r="BD28" s="4">
        <f>AVERAGE(BD8:BD17)</f>
        <v>3.4</v>
      </c>
      <c r="BE28" s="4">
        <f>AVERAGE(BE8:BE17)</f>
        <v>3.5</v>
      </c>
      <c r="BF28" s="4">
        <f>AVERAGE(BF8:BF17)</f>
        <v>6.9</v>
      </c>
      <c r="BM28" s="4" t="s">
        <v>267</v>
      </c>
      <c r="BN28" s="4">
        <f>AVERAGE(BN8:BN17)</f>
        <v>5</v>
      </c>
      <c r="BO28" s="8">
        <f>AVERAGE(BO8:BO17)</f>
        <v>4.9444444444444446</v>
      </c>
      <c r="BP28" s="4">
        <f>AVERAGE(BP8:BP17)</f>
        <v>3.6</v>
      </c>
      <c r="BQ28" s="4">
        <f>AVERAGE(BQ8:BQ17)</f>
        <v>3.4</v>
      </c>
      <c r="BR28" s="4">
        <f>AVERAGE(BR8:BR17)</f>
        <v>7.3</v>
      </c>
      <c r="BY28" s="4" t="s">
        <v>267</v>
      </c>
      <c r="BZ28" s="4">
        <f>AVERAGE(BZ8:BZ17)</f>
        <v>7.8</v>
      </c>
      <c r="CA28" s="8">
        <f>AVERAGE(CA8:CA17)</f>
        <v>6.0666666666666664</v>
      </c>
      <c r="CB28" s="4">
        <f>AVERAGE(CB8:CB17)</f>
        <v>6.6</v>
      </c>
      <c r="CC28" s="4">
        <f>AVERAGE(CC8:CC17)</f>
        <v>5.6</v>
      </c>
      <c r="CD28" s="4">
        <f>AVERAGE(CD8:CD17)</f>
        <v>7.8</v>
      </c>
      <c r="CK28" s="4" t="s">
        <v>267</v>
      </c>
      <c r="CL28" s="4">
        <f>AVERAGE(CL8:CL17)</f>
        <v>4.2</v>
      </c>
      <c r="CM28" s="8">
        <f>AVERAGE(CM8:CM17)</f>
        <v>4.7111111111111112</v>
      </c>
      <c r="CN28" s="4">
        <f>AVERAGE(CN8:CN17)</f>
        <v>4.5999999999999996</v>
      </c>
      <c r="CO28" s="4">
        <f>AVERAGE(CO8:CO17)</f>
        <v>4.4000000000000004</v>
      </c>
      <c r="CP28" s="4">
        <f>AVERAGE(CP8:CP17)</f>
        <v>7.5</v>
      </c>
      <c r="CX28" s="4" t="s">
        <v>266</v>
      </c>
    </row>
    <row r="29" spans="1:102" ht="14.25" customHeight="1" x14ac:dyDescent="0.3">
      <c r="A29" s="4" t="s">
        <v>268</v>
      </c>
      <c r="B29" s="4">
        <f>AVERAGE(B18:B27)</f>
        <v>15.9</v>
      </c>
      <c r="C29" s="8">
        <f>AVERAGE(C18:C27)</f>
        <v>14.3</v>
      </c>
      <c r="D29" s="4">
        <f>AVERAGE(D18:D27)</f>
        <v>15.3</v>
      </c>
      <c r="E29" s="4">
        <f>AVERAGE(E18:E27)</f>
        <v>14.8</v>
      </c>
      <c r="F29" s="4">
        <f>AVERAGE(F18:F27)</f>
        <v>12.7</v>
      </c>
      <c r="I29" s="10"/>
      <c r="K29" s="5"/>
      <c r="L29" s="5"/>
      <c r="M29" s="5"/>
      <c r="N29" s="4" t="s">
        <v>268</v>
      </c>
      <c r="O29" s="4">
        <f>AVERAGE(O18:O27)</f>
        <v>17</v>
      </c>
      <c r="P29" s="8">
        <f>AVERAGE(P18:P27)</f>
        <v>14.188888888888892</v>
      </c>
      <c r="Q29" s="4">
        <f>AVERAGE(Q18:Q27)</f>
        <v>17</v>
      </c>
      <c r="R29" s="4">
        <f>AVERAGE(R18:R27)</f>
        <v>17</v>
      </c>
      <c r="S29" s="4">
        <f>AVERAGE(S18:S27)</f>
        <v>14</v>
      </c>
      <c r="X29" s="5"/>
      <c r="Y29" s="5"/>
      <c r="Z29" s="5"/>
      <c r="AA29" s="4" t="s">
        <v>268</v>
      </c>
      <c r="AB29" s="4">
        <f>AVERAGE(AB18:AB27)</f>
        <v>15</v>
      </c>
      <c r="AC29" s="8">
        <f>AVERAGE(AC18:AC27)</f>
        <v>14.499999999999996</v>
      </c>
      <c r="AD29" s="4">
        <f>AVERAGE(AD18:AD27)</f>
        <v>14.9</v>
      </c>
      <c r="AE29" s="4">
        <f>AVERAGE(AE18:AE27)</f>
        <v>15.2</v>
      </c>
      <c r="AF29" s="4">
        <f>AVERAGE(AF18:AF27)</f>
        <v>13.1</v>
      </c>
      <c r="AN29" s="4" t="s">
        <v>268</v>
      </c>
      <c r="AO29" s="4">
        <f>AVERAGE(AO18:AO27)</f>
        <v>11.8</v>
      </c>
      <c r="AP29" s="8">
        <f>AVERAGE(AP18:AP27)</f>
        <v>13.666666666666668</v>
      </c>
      <c r="AQ29" s="4">
        <f>AVERAGE(AQ18:AQ27)</f>
        <v>12.3</v>
      </c>
      <c r="AR29" s="4">
        <f>AVERAGE(AR18:AR27)</f>
        <v>12.5</v>
      </c>
      <c r="AS29" s="4">
        <f>AVERAGE(AS18:AS27)</f>
        <v>10.5</v>
      </c>
      <c r="AV29" s="9"/>
      <c r="BA29" s="4" t="s">
        <v>268</v>
      </c>
      <c r="BB29" s="4">
        <f>AVERAGE(BB18:BB27)</f>
        <v>11.9</v>
      </c>
      <c r="BC29" s="8">
        <f>AVERAGE(BC18:BC27)</f>
        <v>13.000000000000004</v>
      </c>
      <c r="BD29" s="4">
        <f>AVERAGE(BD18:BD27)</f>
        <v>12.7</v>
      </c>
      <c r="BE29" s="4">
        <f>AVERAGE(BE18:BE27)</f>
        <v>12.8</v>
      </c>
      <c r="BF29" s="4">
        <f>AVERAGE(BF18:BF27)</f>
        <v>9.3000000000000007</v>
      </c>
      <c r="BM29" s="4" t="s">
        <v>268</v>
      </c>
      <c r="BN29" s="4">
        <f>AVERAGE(BN18:BN27)</f>
        <v>11.7</v>
      </c>
      <c r="BO29" s="8">
        <f>AVERAGE(BO18:BO27)</f>
        <v>13.2</v>
      </c>
      <c r="BP29" s="4">
        <f>AVERAGE(BP18:BP27)</f>
        <v>11.7</v>
      </c>
      <c r="BQ29" s="4">
        <f>AVERAGE(BQ18:BQ27)</f>
        <v>12.2</v>
      </c>
      <c r="BR29" s="4">
        <f>AVERAGE(BR18:BR27)</f>
        <v>9.4</v>
      </c>
      <c r="BY29" s="4" t="s">
        <v>268</v>
      </c>
      <c r="BZ29" s="4">
        <f>AVERAGE(BZ18:BZ27)</f>
        <v>12.7</v>
      </c>
      <c r="CA29" s="8">
        <f>AVERAGE(CA18:CA27)</f>
        <v>13.577777777777778</v>
      </c>
      <c r="CB29" s="4">
        <f>AVERAGE(CB18:CB27)</f>
        <v>11</v>
      </c>
      <c r="CC29" s="4">
        <f>AVERAGE(CC18:CC27)</f>
        <v>10.3</v>
      </c>
      <c r="CD29" s="4">
        <f>AVERAGE(CD18:CD27)</f>
        <v>12.7</v>
      </c>
      <c r="CK29" s="4" t="s">
        <v>268</v>
      </c>
      <c r="CL29" s="4">
        <f>AVERAGE(CL18:CL27)</f>
        <v>13.2</v>
      </c>
      <c r="CM29" s="8">
        <f>AVERAGE(CM18:CM27)</f>
        <v>14.277777777777777</v>
      </c>
      <c r="CN29" s="4">
        <f>AVERAGE(CN18:CN27)</f>
        <v>13.7</v>
      </c>
      <c r="CO29" s="4">
        <f>AVERAGE(CO18:CO27)</f>
        <v>14.2</v>
      </c>
      <c r="CP29" s="4">
        <f>AVERAGE(CP18:CP27)</f>
        <v>9.9</v>
      </c>
    </row>
    <row r="30" spans="1:102" ht="14.25" customHeight="1" x14ac:dyDescent="0.3">
      <c r="A30" s="4" t="s">
        <v>269</v>
      </c>
      <c r="B30" s="4">
        <f>SKEW(B8:B17)</f>
        <v>0.46190696636419976</v>
      </c>
      <c r="C30" s="4"/>
      <c r="D30" s="4"/>
      <c r="E30" s="4"/>
      <c r="F30" s="4">
        <f>SKEW(F8:F17)</f>
        <v>1.6417305360726278</v>
      </c>
      <c r="K30" s="5"/>
      <c r="L30" s="5"/>
      <c r="M30" s="5"/>
      <c r="N30" s="4" t="s">
        <v>269</v>
      </c>
      <c r="O30" s="4">
        <f>SKEW(O8:O17)</f>
        <v>-0.16493533511727124</v>
      </c>
      <c r="P30" s="4"/>
      <c r="Q30" s="4"/>
      <c r="R30" s="4"/>
      <c r="S30" s="4">
        <f>SKEW(S8:S17)</f>
        <v>0.45396684302428808</v>
      </c>
      <c r="X30" s="5"/>
      <c r="Y30" s="5"/>
      <c r="Z30" s="5"/>
      <c r="AA30" s="4" t="s">
        <v>269</v>
      </c>
      <c r="AB30" s="4">
        <f>SKEW(AB8:AB17)</f>
        <v>2.3093910004378522</v>
      </c>
      <c r="AC30" s="4"/>
      <c r="AD30" s="4"/>
      <c r="AE30" s="4"/>
      <c r="AF30" s="4">
        <f>SKEW(AF8:AF17)</f>
        <v>1.6694127816741928</v>
      </c>
      <c r="AN30" s="4" t="s">
        <v>269</v>
      </c>
      <c r="AO30" s="4">
        <f>SKEW(AO8:AO17)</f>
        <v>-0.3238183292588212</v>
      </c>
      <c r="AP30" s="4"/>
      <c r="AQ30" s="4"/>
      <c r="AR30" s="4"/>
      <c r="AS30" s="4">
        <f>SKEW(AS8:AS17)</f>
        <v>0.46655999199968406</v>
      </c>
      <c r="BA30" s="4" t="s">
        <v>269</v>
      </c>
      <c r="BB30" s="4">
        <f>SKEW(BB8:BB17)</f>
        <v>0.68933188162907788</v>
      </c>
      <c r="BC30" s="4"/>
      <c r="BD30" s="4"/>
      <c r="BE30" s="4"/>
      <c r="BF30" s="4">
        <f>SKEW(BF8:BF17)</f>
        <v>1.8253410871641227</v>
      </c>
      <c r="BM30" s="4" t="s">
        <v>269</v>
      </c>
      <c r="BN30" s="4">
        <f>SKEW(BN8:BN17)</f>
        <v>0.43659958656757836</v>
      </c>
      <c r="BO30" s="4"/>
      <c r="BP30" s="4"/>
      <c r="BQ30" s="4"/>
      <c r="BR30" s="4">
        <f>SKEW(BR8:BR17)</f>
        <v>1.3920747384988685</v>
      </c>
      <c r="BY30" s="4" t="s">
        <v>269</v>
      </c>
      <c r="BZ30" s="4">
        <f>SKEW(BZ8:BZ17)</f>
        <v>0.76146421344495419</v>
      </c>
      <c r="CA30" s="4"/>
      <c r="CB30" s="4"/>
      <c r="CC30" s="4"/>
      <c r="CD30" s="4">
        <f>SKEW(CD8:CD17)</f>
        <v>0.4388094870959835</v>
      </c>
      <c r="CK30" s="4" t="s">
        <v>269</v>
      </c>
      <c r="CL30" s="4">
        <f>SKEW(CL8:CL17)</f>
        <v>0.43270530906872257</v>
      </c>
      <c r="CM30" s="4"/>
      <c r="CN30" s="4"/>
      <c r="CO30" s="4"/>
      <c r="CP30" s="4">
        <f>SKEW(CP8:CP17)</f>
        <v>1.1785113019775799</v>
      </c>
    </row>
    <row r="31" spans="1:102" ht="14.25" customHeight="1" x14ac:dyDescent="0.3">
      <c r="A31" s="4" t="s">
        <v>270</v>
      </c>
      <c r="B31" s="4">
        <f>SKEW(B18:B27)</f>
        <v>1.0710804138412646</v>
      </c>
      <c r="C31" s="4"/>
      <c r="D31" s="4"/>
      <c r="E31" s="4"/>
      <c r="F31" s="4">
        <f>SKEW(F18:F27)</f>
        <v>0.84287848064965309</v>
      </c>
      <c r="K31" s="5"/>
      <c r="L31" s="5"/>
      <c r="M31" s="5"/>
      <c r="N31" s="4" t="s">
        <v>270</v>
      </c>
      <c r="O31" s="4">
        <f>SKEW(O18:O27)</f>
        <v>2.1319241982507289</v>
      </c>
      <c r="P31" s="4"/>
      <c r="Q31" s="4"/>
      <c r="R31" s="4"/>
      <c r="S31" s="4">
        <f>SKEW(S18:S27)</f>
        <v>0.40875492214691139</v>
      </c>
      <c r="X31" s="5"/>
      <c r="Y31" s="5"/>
      <c r="Z31" s="5"/>
      <c r="AA31" s="4" t="s">
        <v>270</v>
      </c>
      <c r="AB31" s="4">
        <f>SKEW(AB18:AB27)</f>
        <v>0.56765378597164073</v>
      </c>
      <c r="AC31" s="4"/>
      <c r="AD31" s="4"/>
      <c r="AE31" s="4"/>
      <c r="AF31" s="4">
        <f>SKEW(AF18:AF27)</f>
        <v>-2.2741077909183685E-2</v>
      </c>
      <c r="AN31" s="4" t="s">
        <v>270</v>
      </c>
      <c r="AO31" s="4">
        <f>SKEW(AO18:AO27)</f>
        <v>1.1968095716382794</v>
      </c>
      <c r="AP31" s="4"/>
      <c r="AQ31" s="4"/>
      <c r="AR31" s="4"/>
      <c r="AS31" s="4">
        <f>SKEW(AS18:AS27)</f>
        <v>1.1266822248021071</v>
      </c>
      <c r="BA31" s="4" t="s">
        <v>270</v>
      </c>
      <c r="BB31" s="4">
        <f>SKEW(BB18:BB27)</f>
        <v>0.54608583634215713</v>
      </c>
      <c r="BC31" s="4"/>
      <c r="BD31" s="4"/>
      <c r="BE31" s="4"/>
      <c r="BF31" s="4">
        <f>SKEW(BF18:BF27)</f>
        <v>1.5318473070173992</v>
      </c>
      <c r="BM31" s="4" t="s">
        <v>270</v>
      </c>
      <c r="BN31" s="4">
        <f>SKEW(BN18:BN27)</f>
        <v>1.2964160658442556</v>
      </c>
      <c r="BO31" s="4"/>
      <c r="BP31" s="4"/>
      <c r="BQ31" s="4"/>
      <c r="BR31" s="4">
        <f>SKEW(BR18:BR27)</f>
        <v>-0.18319069367025118</v>
      </c>
      <c r="BY31" s="4" t="s">
        <v>270</v>
      </c>
      <c r="BZ31" s="4">
        <f>SKEW(BZ18:BZ27)</f>
        <v>1.2566394031294683</v>
      </c>
      <c r="CA31" s="4"/>
      <c r="CB31" s="4"/>
      <c r="CC31" s="4"/>
      <c r="CD31" s="4">
        <f>SKEW(CD18:CD27)</f>
        <v>0.68298366940573652</v>
      </c>
      <c r="CK31" s="4" t="s">
        <v>270</v>
      </c>
      <c r="CL31" s="4">
        <f>SKEW(CL18:CL27)</f>
        <v>1.3034130682273335</v>
      </c>
      <c r="CM31" s="4"/>
      <c r="CN31" s="4"/>
      <c r="CO31" s="4"/>
      <c r="CP31" s="4">
        <f>SKEW(CP18:CP27)</f>
        <v>0.34110770094840898</v>
      </c>
    </row>
    <row r="32" spans="1:102" ht="14.25" customHeight="1" x14ac:dyDescent="0.3">
      <c r="A32" s="4" t="s">
        <v>271</v>
      </c>
      <c r="B32" s="4">
        <v>35.06733753759832</v>
      </c>
      <c r="C32" s="5"/>
      <c r="D32" s="5"/>
      <c r="K32" s="5"/>
      <c r="L32" s="5"/>
      <c r="M32" s="5"/>
      <c r="N32" s="4" t="s">
        <v>271</v>
      </c>
      <c r="O32" s="4">
        <v>41.185685404574869</v>
      </c>
      <c r="X32" s="5"/>
      <c r="Y32" s="5"/>
      <c r="Z32" s="5"/>
      <c r="AA32" s="4" t="s">
        <v>271</v>
      </c>
      <c r="AB32" s="4">
        <v>17.091108486035289</v>
      </c>
      <c r="AN32" s="4" t="s">
        <v>271</v>
      </c>
      <c r="AO32" s="4">
        <v>18.606016946555069</v>
      </c>
      <c r="BA32" s="4" t="s">
        <v>271</v>
      </c>
      <c r="BB32" s="4">
        <v>30.621616918959841</v>
      </c>
      <c r="BM32" s="4" t="s">
        <v>271</v>
      </c>
      <c r="BN32" s="4">
        <v>19.161929070531858</v>
      </c>
      <c r="BY32" s="4" t="s">
        <v>271</v>
      </c>
      <c r="BZ32" s="4">
        <v>3.9074702335643181</v>
      </c>
      <c r="CK32" s="4" t="s">
        <v>271</v>
      </c>
      <c r="CL32" s="4">
        <v>29.078924722739821</v>
      </c>
    </row>
    <row r="33" spans="1:99" ht="28.5" customHeight="1" x14ac:dyDescent="0.3">
      <c r="A33" s="4" t="s">
        <v>272</v>
      </c>
      <c r="B33" s="4">
        <v>16</v>
      </c>
      <c r="C33" s="5"/>
      <c r="D33" s="5"/>
      <c r="K33" s="5"/>
      <c r="L33" s="5"/>
      <c r="M33" s="5"/>
      <c r="N33" s="4" t="s">
        <v>272</v>
      </c>
      <c r="O33" s="4">
        <v>13</v>
      </c>
      <c r="X33" s="5"/>
      <c r="Y33" s="5"/>
      <c r="Z33" s="5"/>
      <c r="AA33" s="4" t="s">
        <v>272</v>
      </c>
      <c r="AB33" s="4">
        <v>9</v>
      </c>
      <c r="AN33" s="4" t="s">
        <v>272</v>
      </c>
      <c r="AO33" s="4">
        <v>7</v>
      </c>
      <c r="BA33" s="4" t="s">
        <v>272</v>
      </c>
      <c r="BB33" s="4">
        <f>10</f>
        <v>10</v>
      </c>
      <c r="BM33" s="4" t="s">
        <v>272</v>
      </c>
      <c r="BN33" s="4">
        <v>9</v>
      </c>
      <c r="BY33" s="4" t="s">
        <v>272</v>
      </c>
      <c r="BZ33" s="4">
        <v>6</v>
      </c>
      <c r="CK33" s="4" t="s">
        <v>272</v>
      </c>
      <c r="CL33" s="4">
        <v>9</v>
      </c>
    </row>
    <row r="34" spans="1:99" ht="14.25" customHeight="1" x14ac:dyDescent="0.3">
      <c r="A34" s="11" t="s">
        <v>273</v>
      </c>
      <c r="B34" s="4">
        <f>B33*2</f>
        <v>32</v>
      </c>
      <c r="C34" s="5"/>
      <c r="D34" s="5"/>
      <c r="K34" s="12"/>
      <c r="L34" s="12"/>
      <c r="M34" s="12"/>
      <c r="N34" s="11" t="s">
        <v>273</v>
      </c>
      <c r="O34" s="4">
        <f>O33*2</f>
        <v>26</v>
      </c>
      <c r="X34" s="12"/>
      <c r="Y34" s="12"/>
      <c r="Z34" s="12"/>
      <c r="AA34" s="11" t="s">
        <v>273</v>
      </c>
      <c r="AB34" s="4">
        <f>AB33*2</f>
        <v>18</v>
      </c>
      <c r="AN34" s="11" t="s">
        <v>273</v>
      </c>
      <c r="AO34" s="4">
        <f>AO33*2</f>
        <v>14</v>
      </c>
      <c r="BA34" s="11" t="s">
        <v>273</v>
      </c>
      <c r="BB34" s="4">
        <f>BB33*2</f>
        <v>20</v>
      </c>
      <c r="BM34" s="11" t="s">
        <v>273</v>
      </c>
      <c r="BN34" s="4">
        <f>BN33*2</f>
        <v>18</v>
      </c>
      <c r="BY34" s="11" t="s">
        <v>273</v>
      </c>
      <c r="BZ34" s="4">
        <f>BZ33*2</f>
        <v>12</v>
      </c>
      <c r="CK34" s="11" t="s">
        <v>273</v>
      </c>
      <c r="CL34" s="4">
        <f>CL33*2</f>
        <v>18</v>
      </c>
    </row>
    <row r="35" spans="1:99" ht="14.25" customHeight="1" x14ac:dyDescent="0.3"/>
    <row r="36" spans="1:99" ht="14.25" customHeight="1" x14ac:dyDescent="0.3"/>
    <row r="37" spans="1:99" ht="14.25" customHeight="1" x14ac:dyDescent="0.3"/>
    <row r="38" spans="1:99" ht="14.25" customHeight="1" x14ac:dyDescent="0.3">
      <c r="BC38" s="5"/>
      <c r="BD38" s="5"/>
      <c r="BE38" s="5"/>
      <c r="BF38" s="5"/>
      <c r="BO38" s="5"/>
      <c r="BP38" s="5"/>
      <c r="BQ38" s="5"/>
      <c r="BR38" s="5"/>
      <c r="CA38" s="5"/>
      <c r="CB38" s="5"/>
      <c r="CC38" s="5"/>
      <c r="CD38" s="5"/>
      <c r="CM38" s="5"/>
      <c r="CN38" s="5"/>
      <c r="CO38" s="5"/>
      <c r="CP38" s="5"/>
    </row>
    <row r="39" spans="1:99" ht="14.25" customHeight="1" x14ac:dyDescent="0.3">
      <c r="A39" s="4" t="s">
        <v>274</v>
      </c>
      <c r="C39" s="5"/>
      <c r="D39" s="5"/>
      <c r="E39" s="5"/>
      <c r="F39" s="5"/>
      <c r="K39" s="5"/>
      <c r="L39" s="5"/>
      <c r="M39" s="5"/>
      <c r="N39" s="4" t="s">
        <v>275</v>
      </c>
      <c r="P39" s="4"/>
      <c r="Q39" s="4"/>
      <c r="R39" s="4"/>
      <c r="S39" s="4"/>
      <c r="X39" s="5"/>
      <c r="Y39" s="5"/>
      <c r="Z39" s="5"/>
      <c r="AA39" s="4" t="s">
        <v>276</v>
      </c>
      <c r="AC39" s="4"/>
      <c r="AD39" s="4"/>
      <c r="AE39" s="4"/>
      <c r="AF39" s="4"/>
      <c r="AN39" s="26" t="s">
        <v>277</v>
      </c>
      <c r="AO39" s="24"/>
      <c r="AP39" s="26"/>
      <c r="AQ39" s="26"/>
      <c r="AR39" s="26"/>
      <c r="AS39" s="26"/>
      <c r="AT39" s="24"/>
      <c r="AU39" s="24"/>
      <c r="AV39" s="24"/>
      <c r="AW39" s="24"/>
      <c r="AX39" s="24"/>
      <c r="BA39" s="4" t="s">
        <v>278</v>
      </c>
      <c r="BM39" s="4" t="s">
        <v>279</v>
      </c>
      <c r="BY39" s="4" t="s">
        <v>280</v>
      </c>
      <c r="CK39" s="4" t="s">
        <v>281</v>
      </c>
    </row>
    <row r="40" spans="1:99" ht="14.25" customHeight="1" x14ac:dyDescent="0.3">
      <c r="A40" s="4" t="s">
        <v>232</v>
      </c>
      <c r="B40" s="4" t="s">
        <v>5</v>
      </c>
      <c r="C40" s="4" t="s">
        <v>240</v>
      </c>
      <c r="D40" s="7" t="s">
        <v>234</v>
      </c>
      <c r="E40" s="7" t="s">
        <v>235</v>
      </c>
      <c r="F40" s="4" t="s">
        <v>236</v>
      </c>
      <c r="G40" s="4" t="s">
        <v>237</v>
      </c>
      <c r="H40" s="4" t="s">
        <v>12</v>
      </c>
      <c r="I40" s="6" t="s">
        <v>238</v>
      </c>
      <c r="J40" s="36" t="s">
        <v>239</v>
      </c>
      <c r="K40" s="41" t="s">
        <v>359</v>
      </c>
      <c r="L40" s="5"/>
      <c r="M40" s="5"/>
      <c r="N40" s="4" t="s">
        <v>232</v>
      </c>
      <c r="O40" s="4" t="s">
        <v>5</v>
      </c>
      <c r="P40" s="4" t="s">
        <v>241</v>
      </c>
      <c r="Q40" s="7" t="s">
        <v>234</v>
      </c>
      <c r="R40" s="7" t="s">
        <v>235</v>
      </c>
      <c r="S40" s="4" t="s">
        <v>236</v>
      </c>
      <c r="T40" s="4" t="s">
        <v>237</v>
      </c>
      <c r="U40" s="4" t="s">
        <v>12</v>
      </c>
      <c r="V40" s="6" t="s">
        <v>238</v>
      </c>
      <c r="W40" s="36" t="s">
        <v>239</v>
      </c>
      <c r="X40" s="41" t="s">
        <v>359</v>
      </c>
      <c r="Y40" s="5"/>
      <c r="Z40" s="5"/>
      <c r="AA40" s="4" t="s">
        <v>232</v>
      </c>
      <c r="AB40" s="4" t="s">
        <v>5</v>
      </c>
      <c r="AC40" s="4" t="s">
        <v>242</v>
      </c>
      <c r="AD40" s="7" t="s">
        <v>234</v>
      </c>
      <c r="AE40" s="7" t="s">
        <v>235</v>
      </c>
      <c r="AF40" s="4" t="s">
        <v>236</v>
      </c>
      <c r="AG40" s="4" t="s">
        <v>237</v>
      </c>
      <c r="AH40" s="4" t="s">
        <v>12</v>
      </c>
      <c r="AI40" s="6" t="s">
        <v>238</v>
      </c>
      <c r="AJ40" s="36" t="s">
        <v>239</v>
      </c>
      <c r="AK40" s="42" t="s">
        <v>359</v>
      </c>
      <c r="AN40" s="26" t="s">
        <v>232</v>
      </c>
      <c r="AO40" s="26" t="s">
        <v>5</v>
      </c>
      <c r="AP40" s="26" t="s">
        <v>243</v>
      </c>
      <c r="AQ40" s="28" t="s">
        <v>234</v>
      </c>
      <c r="AR40" s="28" t="s">
        <v>235</v>
      </c>
      <c r="AS40" s="26" t="s">
        <v>236</v>
      </c>
      <c r="AT40" s="26" t="s">
        <v>237</v>
      </c>
      <c r="AU40" s="26" t="s">
        <v>12</v>
      </c>
      <c r="AV40" s="26" t="s">
        <v>238</v>
      </c>
      <c r="AW40" s="26" t="s">
        <v>239</v>
      </c>
      <c r="AX40" s="31" t="s">
        <v>359</v>
      </c>
      <c r="AY40" s="41" t="s">
        <v>359</v>
      </c>
      <c r="AZ40" s="41"/>
      <c r="BA40" s="19" t="s">
        <v>282</v>
      </c>
      <c r="BB40" s="4" t="s">
        <v>5</v>
      </c>
      <c r="BC40" s="4" t="s">
        <v>245</v>
      </c>
      <c r="BD40" s="7" t="s">
        <v>234</v>
      </c>
      <c r="BE40" s="7" t="s">
        <v>235</v>
      </c>
      <c r="BF40" s="4" t="s">
        <v>236</v>
      </c>
      <c r="BG40" s="4" t="s">
        <v>237</v>
      </c>
      <c r="BH40" s="4" t="s">
        <v>12</v>
      </c>
      <c r="BI40" s="6" t="s">
        <v>238</v>
      </c>
      <c r="BJ40" s="36" t="s">
        <v>239</v>
      </c>
      <c r="BK40" s="42" t="s">
        <v>359</v>
      </c>
      <c r="BM40" s="4" t="s">
        <v>232</v>
      </c>
      <c r="BN40" s="4" t="s">
        <v>5</v>
      </c>
      <c r="BO40" s="4" t="s">
        <v>246</v>
      </c>
      <c r="BP40" s="7" t="s">
        <v>234</v>
      </c>
      <c r="BQ40" s="7" t="s">
        <v>235</v>
      </c>
      <c r="BR40" s="4" t="s">
        <v>236</v>
      </c>
      <c r="BS40" s="4" t="s">
        <v>237</v>
      </c>
      <c r="BT40" s="4" t="s">
        <v>12</v>
      </c>
      <c r="BU40" s="6" t="s">
        <v>238</v>
      </c>
      <c r="BV40" s="36" t="s">
        <v>239</v>
      </c>
      <c r="BW40" s="42" t="s">
        <v>359</v>
      </c>
      <c r="BY40" s="4" t="s">
        <v>232</v>
      </c>
      <c r="BZ40" s="4" t="s">
        <v>5</v>
      </c>
      <c r="CA40" s="4" t="s">
        <v>233</v>
      </c>
      <c r="CB40" s="7" t="s">
        <v>234</v>
      </c>
      <c r="CC40" s="7" t="s">
        <v>235</v>
      </c>
      <c r="CD40" s="4" t="s">
        <v>236</v>
      </c>
      <c r="CE40" s="4" t="s">
        <v>237</v>
      </c>
      <c r="CF40" s="4" t="s">
        <v>12</v>
      </c>
      <c r="CG40" s="6" t="s">
        <v>238</v>
      </c>
      <c r="CH40" s="36" t="s">
        <v>239</v>
      </c>
      <c r="CI40" s="42" t="s">
        <v>359</v>
      </c>
      <c r="CK40" s="4" t="s">
        <v>232</v>
      </c>
      <c r="CL40" s="4" t="s">
        <v>5</v>
      </c>
      <c r="CM40" s="4" t="s">
        <v>240</v>
      </c>
      <c r="CN40" s="7" t="s">
        <v>234</v>
      </c>
      <c r="CO40" s="7" t="s">
        <v>235</v>
      </c>
      <c r="CP40" s="4" t="s">
        <v>236</v>
      </c>
      <c r="CQ40" s="4" t="s">
        <v>237</v>
      </c>
      <c r="CR40" s="4" t="s">
        <v>12</v>
      </c>
      <c r="CS40" s="6" t="s">
        <v>238</v>
      </c>
      <c r="CT40" s="36" t="s">
        <v>239</v>
      </c>
      <c r="CU40" s="42" t="s">
        <v>359</v>
      </c>
    </row>
    <row r="41" spans="1:99" ht="14.25" customHeight="1" x14ac:dyDescent="0.3">
      <c r="A41" s="4" t="s">
        <v>253</v>
      </c>
      <c r="B41" s="4">
        <v>7</v>
      </c>
      <c r="C41" s="8">
        <v>5.5555555555555554</v>
      </c>
      <c r="D41" s="4">
        <v>6</v>
      </c>
      <c r="E41" s="4">
        <v>6</v>
      </c>
      <c r="F41" s="4">
        <v>7</v>
      </c>
      <c r="G41" s="4">
        <v>1.1425292918330761</v>
      </c>
      <c r="H41" s="14">
        <v>15</v>
      </c>
      <c r="I41" s="24">
        <f t="shared" ref="I41:I50" si="32">IF(D41&lt;=B41,1,0)</f>
        <v>1</v>
      </c>
      <c r="J41" s="24">
        <f t="shared" ref="J41:J60" si="33">D41-B41</f>
        <v>-1</v>
      </c>
      <c r="K41" s="5" t="str">
        <f>IF(G41&gt;0,
    IF(OR(B41&lt;=TRUNC(H41/2,0),B41=0),
        IF(F41=TRUNC(H41/2,0),
            "-1, Déficit y dejo la capacidad media",
            IF(AND(F41&gt;TRUNC(H41/2,0), F41&gt;B41),
                "1, Déficit y eliminé déficit",
                IF(AND(F41&lt;TRUNC(H41/2,0), F41&lt;B41),
                    "0, Déficit y no elimine déficit",
                    "-2, Déficit y resultado fue bueno")
            )
        ),
        IF(AND(F41&gt;TRUNC(H41/2,0), F41&gt;B41),
            "1, no había déficit, pero resultado fue mejor",
            IF(AND(F41&lt;TRUNC(H41/2,0),F41&lt;B41),
                "0, no había déficit y la dejo con déficit",
                IF(F41=TRUNC(H41/2,0),
                    "-1, no había déficit y dejo la capacidad media",
                    "-2,no había déficit y resultado fue bueno")
            )
        )
    ),
    IF(G41&lt;0,
        IF(B41&gt;TRUNC(H41/2,0),
            IF(F41=TRUNC(H41/2,0),
                "-1, Superávit y deje la capacidad media",
                IF(AND(F41&gt;TRUNC(H41/2,0), F41&gt;=B41),
                    "0, Superávit y no eliminé superávit",
                    IF(AND(F41&lt;TRUNC(H41/2,0),F41&lt;B41),
                        "1, Superávit y eliminé superávit",
                        "-2, Superávit y resultado fue bueno"
                    )
                )
            ),
            IF(AND(B41&lt;=TRUNC(H41/2,0),B41&gt;=0),
                IF(F41=TRUNC(H41/2,0),
                    "-1, no había superávit y deje la capacidad media",
                    IF(AND(F41&gt;TRUNC(H41/2,0), F41&gt;=B41),
                        "0, no había superávit, y la deje con superávit",
                        IF(AND(F41&lt;TRUNC(H41/2,0),F41&lt;B41),
                            "1, no había superávit, pero el resultado fue mejor",
                            "-2, no había superávit y resultado fue bueno"
                        )
                    )
                )
            )
        )
    )
)</f>
        <v>-1, Déficit y dejo la capacidad media</v>
      </c>
      <c r="L41" s="5"/>
      <c r="M41" s="5"/>
      <c r="N41" s="4" t="s">
        <v>253</v>
      </c>
      <c r="O41" s="4">
        <v>6</v>
      </c>
      <c r="P41" s="8">
        <v>4</v>
      </c>
      <c r="Q41" s="4">
        <v>4</v>
      </c>
      <c r="R41" s="4">
        <v>4</v>
      </c>
      <c r="S41" s="4">
        <v>7</v>
      </c>
      <c r="T41" s="4">
        <v>1.1425292918330761</v>
      </c>
      <c r="U41" s="14">
        <v>15</v>
      </c>
      <c r="V41" s="24">
        <f t="shared" ref="V41:V50" si="34">IF(Q41&lt;=O41,1,0)</f>
        <v>1</v>
      </c>
      <c r="W41" s="25">
        <f t="shared" ref="W41:W60" si="35">Q41-O41</f>
        <v>-2</v>
      </c>
      <c r="X41" s="5" t="str">
        <f>IF(T41&gt;0,
    IF(OR(O41&lt;=TRUNC(U41/2,0),O41=0),
        IF(S41=TRUNC(U41/2,0),
            "-1, Déficit y dejo la capacidad media",
            IF(AND(S41&gt;TRUNC(U41/2,0), S41&gt;O41),
                "1, Déficit y eliminé déficit",
                IF(AND(S41&lt;TRUNC(U41/2,0), S41&lt;O41),
                    "0, Déficit y no elimine déficit",
                    "-2, Déficit y resultado fue bueno")
            )
        ),
        IF(AND(S41&gt;TRUNC(U41/2,0), S41&gt;O41),
            "1, no había déficit, pero resultado fue mejor",
            IF(AND(S41&lt;TRUNC(U41/2,0),S41&lt;O41),
                "0, no había déficit y la dejo con déficit",
                IF(S41=TRUNC(U41/2,0),
                    "-1, no había déficit y dejo la capacidad media",
                    "-2,no había déficit y resultado fue bueno")
            )
        )
    ),
    IF(T41&lt;0,
        IF(O41&gt;TRUNC(U41/2,0),
            IF(S41=TRUNC(U41/2,0),
                "-1, Superávit y deje la capacidad media",
                IF(AND(S41&gt;TRUNC(U41/2,0), S41&gt;=O41),
                    "0, Superávit y no eliminé superávit",
                    IF(AND(S41&lt;TRUNC(U41/2,0),S41&lt;O41),
                        "1, Superávit y eliminé superávit",
                        "-2, Superávit y resultado fue bueno"
                    )
                )
            ),
            IF(AND(O41&lt;=TRUNC(U41/2,0),O41&gt;=0),
                IF(S41=TRUNC(U41/2,0),
                    "-1, no había superávit y deje la capacidad media",
                    IF(AND(S41&gt;TRUNC(U41/2,0), S41&gt;=O41),
                        "0, no había superávit, y la deje con superávit",
                        IF(AND(S41&lt;TRUNC(U41/2,0),S41&lt;O41),
                            "1, no había superávit, pero el resultado fue mejor",
                            "-2, no había superávit y resultado fue bueno"
                        )
                    )
                )
            )
        )
    )
)</f>
        <v>-1, Déficit y dejo la capacidad media</v>
      </c>
      <c r="Y41" s="5"/>
      <c r="Z41" s="5"/>
      <c r="AA41" s="4" t="s">
        <v>253</v>
      </c>
      <c r="AB41" s="4">
        <v>8</v>
      </c>
      <c r="AC41" s="8">
        <v>6.1111111111111107</v>
      </c>
      <c r="AD41" s="4">
        <v>7</v>
      </c>
      <c r="AE41" s="4">
        <v>3</v>
      </c>
      <c r="AF41" s="4">
        <v>7</v>
      </c>
      <c r="AG41" s="4">
        <v>1.1425292918330761</v>
      </c>
      <c r="AH41" s="14">
        <v>15</v>
      </c>
      <c r="AI41" s="24">
        <f t="shared" ref="AI41:AI50" si="36">IF(AD41&lt;=AB41,1,0)</f>
        <v>1</v>
      </c>
      <c r="AJ41" s="24">
        <f t="shared" ref="AJ41:AJ60" si="37">AD41-AB41</f>
        <v>-1</v>
      </c>
      <c r="AK41" t="str">
        <f>IF(AG41&gt;0,
    IF(OR(AB41&lt;=TRUNC(AH41/2,0),AB41=0),
        IF(AF41=TRUNC(AH41/2,0),
            "-1, Déficit y dejo la capacidad media",
            IF(AND(AF41&gt;TRUNC(AH41/2,0), AF41&gt;AB41),
                "1, Déficit y eliminé déficit",
                IF(AND(AF41&lt;TRUNC(AH41/2,0), AF41&lt;AB41),
                    "0, Déficit y no elimine déficit",
                    "-2, Déficit y resultado fue bueno")
            )
        ),
        IF(AND(AF41&gt;TRUNC(AH41/2,0), AF41&gt;AB41),
            "1, no había déficit, pero resultado fue mejor",
            IF(AND(AF41&lt;TRUNC(AH41/2,0),AF41&lt;AB41),
                "0, no había déficit y la dejo con déficit",
                IF(AF41=TRUNC(AH41/2,0),
                    "-1, no había déficit y dejo la capacidad media",
                    "-2,no había déficit y resultado fue bueno")
            )
        )
    ),
    IF(AG41&lt;0,
        IF(AB41&gt;TRUNC(AH41/2,0),
            IF(AF41=TRUNC(AH41/2,0),
                "-1, Superávit y deje la capacidad media",
                IF(AND(AF41&gt;TRUNC(AH41/2,0), AF41&gt;=AB41),
                    "0, Superávit y no eliminé superávit",
                    IF(AND(AF41&lt;TRUNC(AH41/2,0),AF41&lt;AB41),
                        "1, Superávit y eliminé superávit",
                        "-2, Superávit y resultado fue bueno"
                    )
                )
            ),
            IF(AND(AB41&lt;=TRUNC(AH41/2,0),AB41&gt;=0),
                IF(AF41=TRUNC(AH41/2,0),
                    "-1, no había superávit y deje la capacidad media",
                    IF(AND(AF41&gt;TRUNC(AH41/2,0), AF41&gt;=AB41),
                        "0, no había superávit, y la deje con superávit",
                        IF(AND(AF41&lt;TRUNC(AH41/2,0),AF41&lt;AB41),
                            "1, no había superávit, pero el resultado fue mejor",
                            "-2, no había superávit y resultado fue bueno"
                        )
                    )
                )
            )
        )
    )
)</f>
        <v>-1, no había déficit y dejo la capacidad media</v>
      </c>
      <c r="AN41" s="26" t="s">
        <v>253</v>
      </c>
      <c r="AO41" s="34">
        <v>0</v>
      </c>
      <c r="AP41" s="23">
        <v>4.2222222222222223</v>
      </c>
      <c r="AQ41" s="34">
        <v>0</v>
      </c>
      <c r="AR41" s="34">
        <v>0</v>
      </c>
      <c r="AS41" s="34">
        <v>7</v>
      </c>
      <c r="AT41" s="29">
        <v>1.1425292918330761</v>
      </c>
      <c r="AU41" s="26">
        <v>15</v>
      </c>
      <c r="AV41" s="24">
        <f t="shared" ref="AV41:AV50" si="38">IF(AQ41&lt;=AO41,1,0)</f>
        <v>1</v>
      </c>
      <c r="AW41" s="24">
        <f t="shared" ref="AW41:AW60" si="39">AQ41-AO41</f>
        <v>0</v>
      </c>
      <c r="AX41" s="24" t="str">
        <f t="shared" ref="AX41:AX60" si="40">IF(AT41&gt;0,
    IF(OR(AO41&lt;=TRUNC(AU41/2,0),AO41=0),
        IF(AS41=TRUNC(AU41/2,0),
            "-1, Déficit y dejo la capacidad media",
            IF(AND(AS41&gt;TRUNC(AU41/2,0), AS41&gt;AO41),
                "1, Déficit y eliminé déficit",
                IF(AND(AS41&lt;TRUNC(AU41/2,0), AS41&lt;AO41),
                    "0, Déficit y no elimine déficit",
                    "-2, Déficit y resultado fue bueno")
            )
        ),
        IF(AND(AS41&gt;TRUNC(AU41/2,0), AS41&gt;AO41),
            "1, no había déficit, pero resultado fue mejor",
            IF(AND(AS41&lt;TRUNC(AU41/2,0), AS41&lt;AO41),
                "0, no había déficit y la dejo con déficit",
                IF(AS41=TRUNC(AU41/2,0),
                    "-1, no había déficit y dejo la capacidad media",
                    "-2,no había déficit y resultado fue bueno")
            )
        )
    ),
    IF(AT41&lt;0,
        IF(AO41&gt;TRUNC(AU41/2,0),
            IF(AS41=TRUNC(AU41/2,0),
                "-1, Superávit y deje la capacidad media",
                IF(AND(AS41&gt;TRUNC(AU41/2,0), AS41&gt;=AO41),
                    "0, Superávit y no eliminé superávit",
                    IF(AND(AS41&lt;TRUNC(AU41/2,0), AS41&lt;AO41),
                        "1, Superávit y eliminé superávit",
                        "-2, Superávit y resultado fue bueno"
                    )
                )
            ),
            IF(AND(AO41&lt;=TRUNC(AU41/2,0),AO41&gt;=0),
                IF(AS41=TRUNC(AU41/2,0),
                    "-1, no había superávit y deje la capacidad media",
                    IF(AND(AS41&gt;TRUNC(AU41/2,0), AS41&gt;=AO41),
                        "0, no había superávit, y la deje con superávit",
                        IF(AND(AS41&lt;TRUNC(AU41/2,0), AS41&lt;AO41),
                            "1, no había superávit, pero el resultado fue mejor",
                            "-2, no había superávit y resultado fue bueno"
                        )
                    )
                )
            )
        )
    )
)</f>
        <v>-1, Déficit y dejo la capacidad media</v>
      </c>
      <c r="AY41" t="str">
        <f>IF(AU41&gt;0,
    IF(OR(AP41&lt;=TRUNC(AV41/2,0),AP41=0),
        IF(AT41=TRUNC(AV41/2,0),
            "-1, Déficit y dejo la capacidad media",
            IF(AND(AT41&gt;TRUNC(AV41/2,0), AT41&gt;AP41),
                "1, Déficit y eliminé déficit",
                IF(AND(AT41&lt;TRUNC(AV41/2,0), AT41&lt;AP41),
                    "0, Déficit y no elimine déficit",
                    "-2, Déficit y resultado fue bueno")
            )
        ),
        IF(AND(AT41&gt;TRUNC(AV41/2,0), AT41&gt;AP41),
            "1, no había déficit, pero resultado fue mejor",
            IF(AND(AT41&lt;TRUNC(AV41/2,0),AT41&lt;AP41),
                "0, no había déficit y la dejo con déficit",
                IF(AT41=TRUNC(AV41/2,0),
                    "-1, no había déficit y dejo la capacidad media",
                    "-2,no había déficit y resultado fue bueno")
            )
        )
    ),
    IF(AU41&lt;0,
        IF(AP41&gt;TRUNC(AV41/2,0),
            IF(AT41=TRUNC(AV41/2,0),
                "-1, Superávit y deje la capacidad media",
                IF(AND(AT41&gt;TRUNC(AV41/2,0), AT41&gt;=AP41),
                    "0, Superávit y no eliminé superávit",
                    IF(AND(AT41&lt;TRUNC(AV41/2,0),AT41&lt;AP41),
                        "1, Superávit y eliminé superávit",
                        "-2, Superávit y resultado fue bueno"
                    )
                )
            ),
            IF(AND(AP41&lt;=TRUNC(AV41/2,0),AP41&gt;=0),
                IF(AT41=TRUNC(AV41/2,0),
                    "-1, no había superávit y deje la capacidad media",
                    IF(AND(AT41&gt;TRUNC(AV41/2,0), AT41&gt;=AP41),
                        "0, no había superávit, y la deje con superávit",
                        IF(AND(AT41&lt;TRUNC(AV41/2,0),AT41&lt;AP41),
                            "1, no había superávit, pero el resultado fue mejor",
                            "-2, no había superávit y resultado fue bueno"
                        )
                    )
                )
            )
        )
    )
)</f>
        <v>-2,no había déficit y resultado fue bueno</v>
      </c>
      <c r="BA41" s="4" t="s">
        <v>253</v>
      </c>
      <c r="BB41" s="4">
        <v>8</v>
      </c>
      <c r="BC41" s="8">
        <v>4.666666666666667</v>
      </c>
      <c r="BD41" s="8">
        <v>6</v>
      </c>
      <c r="BE41" s="4">
        <v>4</v>
      </c>
      <c r="BF41" s="4">
        <v>8</v>
      </c>
      <c r="BG41" s="4">
        <v>1.1425292918330761</v>
      </c>
      <c r="BH41" s="14">
        <v>15</v>
      </c>
      <c r="BI41" s="24">
        <f t="shared" ref="BI41:BI50" si="41">IF(BD41&lt;=BB41,1,0)</f>
        <v>1</v>
      </c>
      <c r="BJ41" s="25">
        <f t="shared" ref="BJ41:BJ60" si="42">BD41-BB41</f>
        <v>-2</v>
      </c>
      <c r="BK41" t="str">
        <f>IF(BG41&gt;0,
    IF(OR(BB41&lt;=TRUNC(BH41/2,0),BB41=0),
        IF(BF41=TRUNC(BH41/2,0),
            "-1, Déficit y dejo la capacidad media",
            IF(AND(BF41&gt;TRUNC(BH41/2,0), BF41&gt;BB41),
                "1, Déficit y eliminé déficit",
                IF(AND(BF41&lt;TRUNC(BH41/2,0), BF41&lt;BB41),
                    "0, Déficit y no elimine déficit",
                    "-2, Déficit y resultado fue bueno")
            )
        ),
        IF(AND(BF41&gt;TRUNC(BH41/2,0), BF41&gt;BB41),
            "1, no había déficit, pero resultado fue mejor",
            IF(AND(BF41&lt;TRUNC(BH41/2,0),BF41&lt;BB41),
                "0, no había déficit y la dejo con déficit",
                IF(BF41=TRUNC(BH41/2,0),
                    "-1, no había déficit y dejo la capacidad media",
                    "-2,no había déficit y resultado fue bueno")
            )
        )
    ),
    IF(BG41&lt;0,
        IF(BB41&gt;TRUNC(BH41/2,0),
            IF(BF41=TRUNC(BH41/2,0),
                "-1, Superávit y deje la capacidad media",
                IF(AND(BF41&gt;TRUNC(BH41/2,0), BF41&gt;=BB41),
                    "0, Superávit y no eliminé superávit",
                    IF(AND(BF41&lt;TRUNC(BH41/2,0),BF41&lt;BB41),
                        "1, Superávit y eliminé superávit",
                        "-2, Superávit y resultado fue bueno"
                    )
                )
            ),
            IF(AND(BB41&lt;=TRUNC(BH41/2,0),BB41&gt;=0),
                IF(BF41=TRUNC(BH41/2,0),
                    "-1, no había superávit y deje la capacidad media",
                    IF(AND(BF41&gt;TRUNC(BH41/2,0), BF41&gt;=BB41),
                        "0, no había superávit, y la deje con superávit",
                        IF(AND(BF41&lt;TRUNC(BH41/2,0),BF41&lt;BB41),
                            "1, no había superávit, pero el resultado fue mejor",
                            "-2, no había superávit y resultado fue bueno"
                        )
                    )
                )
            )
        )
    )
)</f>
        <v>-2,no había déficit y resultado fue bueno</v>
      </c>
      <c r="BM41" s="4" t="s">
        <v>253</v>
      </c>
      <c r="BN41" s="4">
        <v>3</v>
      </c>
      <c r="BO41" s="8">
        <v>6.1111111111111107</v>
      </c>
      <c r="BP41" s="8">
        <v>4</v>
      </c>
      <c r="BQ41" s="4">
        <v>2</v>
      </c>
      <c r="BR41" s="4">
        <v>7</v>
      </c>
      <c r="BS41" s="4">
        <v>1.1425292918330761</v>
      </c>
      <c r="BT41" s="14">
        <v>15</v>
      </c>
      <c r="BU41" s="24">
        <f t="shared" ref="BU41:BU50" si="43">IF(BP41&lt;=BN41,1,0)</f>
        <v>0</v>
      </c>
      <c r="BV41" s="25">
        <f t="shared" ref="BV41:BV60" si="44">BP41-BN41</f>
        <v>1</v>
      </c>
      <c r="BW41" t="str">
        <f>IF(BS41&gt;0,
    IF(OR(BN41&lt;=TRUNC(BT41/2,0),BN41=0),
        IF(BR41=TRUNC(BT41/2,0),
            "-1, Déficit y dejo la capacidad media",
            IF(AND(BR41&gt;TRUNC(BT41/2,0), BR41&gt;BN41),
                "1, Déficit y eliminé déficit",
                IF(AND(BR41&lt;TRUNC(BT41/2,0), BR41&lt;BN41),
                    "0, Déficit y no elimine déficit",
                    "-2, Déficit y resultado fue bueno")
            )
        ),
        IF(AND(BR41&gt;TRUNC(BT41/2,0), BR41&gt;BN41),
            "1, no había déficit, pero resultado fue mejor",
            IF(AND(BR41&lt;TRUNC(BT41/2,0),BR41&lt;BN41),
                "0, no había déficit y la dejo con déficit",
                IF(BR41=TRUNC(BT41/2,0),
                    "-1, no había déficit y dejo la capacidad media",
                    "-2,no había déficit y resultado fue bueno")
            )
        )
    ),
    IF(BS41&lt;0,
        IF(BN41&gt;TRUNC(BT41/2,0),
            IF(BR41=TRUNC(BT41/2,0),
                "-1, Superávit y deje la capacidad media",
                IF(AND(BR41&gt;TRUNC(BT41/2,0), BR41&gt;=BN41),
                    "0, Superávit y no eliminé superávit",
                    IF(AND(BR41&lt;TRUNC(BT41/2,0),BR41&lt;BN41),
                        "1, Superávit y eliminé superávit",
                        "-2, Superávit y resultado fue bueno"
                    )
                )
            ),
            IF(AND(BN41&lt;=TRUNC(BT41/2,0),BN41&gt;=0),
                IF(BR41=TRUNC(BT41/2,0),
                    "-1, no había superávit y deje la capacidad media",
                    IF(AND(BR41&gt;TRUNC(BT41/2,0), BR41&gt;=BN41),
                        "0, no había superávit, y la deje con superávit",
                        IF(AND(BR41&lt;TRUNC(BT41/2,0),BR41&lt;BN41),
                            "1, no había superávit, pero el resultado fue mejor",
                            "-2, no había superávit y resultado fue bueno"
                        )
                    )
                )
            )
        )
    )
)</f>
        <v>-1, Déficit y dejo la capacidad media</v>
      </c>
      <c r="BY41" s="4" t="s">
        <v>253</v>
      </c>
      <c r="BZ41" s="4">
        <v>10</v>
      </c>
      <c r="CA41" s="8">
        <v>4.666666666666667</v>
      </c>
      <c r="CB41" s="8">
        <v>10</v>
      </c>
      <c r="CC41" s="4">
        <v>10</v>
      </c>
      <c r="CD41" s="4">
        <v>7</v>
      </c>
      <c r="CE41" s="4">
        <v>1.1425292918330761</v>
      </c>
      <c r="CF41" s="14">
        <v>15</v>
      </c>
      <c r="CG41" s="24">
        <f t="shared" ref="CG41:CG50" si="45">IF(CB41&lt;=BZ41,1,0)</f>
        <v>1</v>
      </c>
      <c r="CH41" s="25">
        <f t="shared" ref="CH41:CH60" si="46">CB41-BZ41</f>
        <v>0</v>
      </c>
      <c r="CI41" t="str">
        <f>IF(CE41&gt;0,
    IF(OR(BZ41&lt;=TRUNC(CF41/2,0),BZ41=0),
        IF(CD41=TRUNC(CF41/2,0),
            "-1, Déficit y dejo la capacidad media",
            IF(AND(CD41&gt;TRUNC(CF41/2,0), CD41&gt;BZ41),
                "1, Déficit y eliminé déficit",
                IF(AND(CD41&lt;TRUNC(CF41/2,0), CD41&lt;BZ41),
                    "0, Déficit y no elimine déficit",
                    "-2, Déficit y resultado fue bueno")
            )
        ),
        IF(AND(CD41&gt;TRUNC(CF41/2,0), CD41&gt;BZ41),
            "1, no había déficit, pero resultado fue mejor",
            IF(AND(CD41&lt;TRUNC(CF41/2,0),CD41&lt;BZ41),
                "0, no había déficit y la dejo con déficit",
                IF(CD41=TRUNC(CF41/2,0),
                    "-1, no había déficit y dejo la capacidad media",
                    "-2,no había déficit y resultado fue bueno")
            )
        )
    ),
    IF(CE41&lt;0,
        IF(BZ41&gt;TRUNC(CF41/2,0),
            IF(CD41=TRUNC(CF41/2,0),
                "-1, Superávit y deje la capacidad media",
                IF(AND(CD41&gt;TRUNC(CF41/2,0), CD41&gt;=BZ41),
                    "0, Superávit y no eliminé superávit",
                    IF(AND(CD41&lt;TRUNC(CF41/2,0),CD41&lt;BZ41),
                        "1, Superávit y eliminé superávit",
                        "-2, Superávit y resultado fue bueno"
                    )
                )
            ),
            IF(AND(BZ41&lt;=TRUNC(CF41/2,0),BZ41&gt;=0),
                IF(CD41=TRUNC(CF41/2,0),
                    "-1, no había superávit y deje la capacidad media",
                    IF(AND(CD41&gt;TRUNC(CF41/2,0), CD41&gt;=BZ41),
                        "0, no había superávit, y la deje con superávit",
                        IF(AND(CD41&lt;TRUNC(CF41/2,0),CD41&lt;BZ41),
                            "1, no había superávit, pero el resultado fue mejor",
                            "-2, no había superávit y resultado fue bueno"
                        )
                    )
                )
            )
        )
    )
)</f>
        <v>-1, no había déficit y dejo la capacidad media</v>
      </c>
      <c r="CK41" s="4" t="s">
        <v>253</v>
      </c>
      <c r="CL41" s="4">
        <v>7</v>
      </c>
      <c r="CM41" s="8">
        <v>5.5555555555555554</v>
      </c>
      <c r="CN41" s="8">
        <v>7</v>
      </c>
      <c r="CO41" s="4">
        <v>7</v>
      </c>
      <c r="CP41" s="4">
        <v>7</v>
      </c>
      <c r="CQ41" s="4">
        <v>1.1425292918330761</v>
      </c>
      <c r="CR41" s="14">
        <v>15</v>
      </c>
      <c r="CS41" s="24">
        <f t="shared" ref="CS41:CS50" si="47">IF(CN41&lt;=CL41,1,0)</f>
        <v>1</v>
      </c>
      <c r="CT41" s="25">
        <f t="shared" ref="CT41:CT60" si="48">CN41-CL41</f>
        <v>0</v>
      </c>
      <c r="CU41" t="str">
        <f>IF(CQ41&gt;0,
    IF(OR(CL41&lt;=TRUNC(CR41/2,0),CL41=0),
        IF(CP41=TRUNC(CR41/2,0),
            "-1, Déficit y dejo la capacidad media",
            IF(AND(CP41&gt;TRUNC(CR41/2,0), CP41&gt;CL41),
                "1, Déficit y eliminé déficit",
                IF(AND(CP41&lt;TRUNC(CR41/2,0), CP41&lt;CL41),
                    "0, Déficit y no elimine déficit",
                    "-2, Déficit y resultado fue bueno")
            )
        ),
        IF(AND(CP41&gt;TRUNC(CR41/2,0), CP41&gt;CL41),
            "1, no había déficit, pero resultado fue mejor",
            IF(AND(CP41&lt;TRUNC(CR41/2,0),CP41&lt;CL41),
                "0, no había déficit y la dejo con déficit",
                IF(CP41=TRUNC(CR41/2,0),
                    "-1, no había déficit y dejo la capacidad media",
                    "-2,no había déficit y resultado fue bueno")
            )
        )
    ),
    IF(CQ41&lt;0,
        IF(CL41&gt;TRUNC(CR41/2,0),
            IF(CP41=TRUNC(CR41/2,0),
                "-1, Superávit y deje la capacidad media",
                IF(AND(CP41&gt;TRUNC(CR41/2,0), CP41&gt;=CL41),
                    "0, Superávit y no eliminé superávit",
                    IF(AND(CP41&lt;TRUNC(CR41/2,0),CP41&lt;CL41),
                        "1, Superávit y eliminé superávit",
                        "-2, Superávit y resultado fue bueno"
                    )
                )
            ),
            IF(AND(CL41&lt;=TRUNC(CR41/2,0),CL41&gt;=0),
                IF(CP41=TRUNC(CR41/2,0),
                    "-1, no había superávit y deje la capacidad media",
                    IF(AND(CP41&gt;TRUNC(CR41/2,0), CP41&gt;=CL41),
                        "0, no había superávit, y la deje con superávit",
                        IF(AND(CP41&lt;TRUNC(CR41/2,0),CP41&lt;CL41),
                            "1, no había superávit, pero el resultado fue mejor",
                            "-2, no había superávit y resultado fue bueno"
                        )
                    )
                )
            )
        )
    )
)</f>
        <v>-1, Déficit y dejo la capacidad media</v>
      </c>
    </row>
    <row r="42" spans="1:99" ht="14.25" customHeight="1" x14ac:dyDescent="0.3">
      <c r="A42" s="4" t="s">
        <v>254</v>
      </c>
      <c r="B42" s="4">
        <v>2</v>
      </c>
      <c r="C42" s="8">
        <v>5.8888888888888893</v>
      </c>
      <c r="D42" s="4">
        <v>2</v>
      </c>
      <c r="E42" s="4">
        <v>2</v>
      </c>
      <c r="F42" s="4">
        <v>8</v>
      </c>
      <c r="G42" s="4">
        <v>0.80154659127182082</v>
      </c>
      <c r="H42" s="14">
        <v>19</v>
      </c>
      <c r="I42" s="24">
        <f t="shared" si="32"/>
        <v>1</v>
      </c>
      <c r="J42" s="24">
        <f t="shared" si="33"/>
        <v>0</v>
      </c>
      <c r="K42" s="5" t="str">
        <f t="shared" ref="K42:K60" si="49">IF(G42&gt;0,
    IF(OR(B42&lt;=TRUNC(H42/2,0),B42=0),
        IF(F42=TRUNC(H42/2,0),
            "-1, Déficit y dejo la capacidad media",
            IF(AND(F42&gt;TRUNC(H42/2,0), F42&gt;B42),
                "1, Déficit y eliminé déficit",
                IF(AND(F42&lt;TRUNC(H42/2,0), F42&lt;B42),
                    "0, Déficit y no elimine déficit",
                    "-2, Déficit y resultado fue bueno")
            )
        ),
        IF(AND(F42&gt;TRUNC(H42/2,0), F42&gt;B42),
            "1, no había déficit, pero resultado fue mejor",
            IF(AND(F42&lt;TRUNC(H42/2,0),F42&lt;B42),
                "0, no había déficit y la dejo con déficit",
                IF(F42=TRUNC(H42/2,0),
                    "-1, no había déficit y dejo la capacidad media",
                    "-2,no había déficit y resultado fue bueno")
            )
        )
    ),
    IF(G42&lt;0,
        IF(B42&gt;TRUNC(H42/2,0),
            IF(F42=TRUNC(H42/2,0),
                "-1, Superávit y deje la capacidad media",
                IF(AND(F42&gt;TRUNC(H42/2,0), F42&gt;=B42),
                    "0, Superávit y no eliminé superávit",
                    IF(AND(F42&lt;TRUNC(H42/2,0),F42&lt;B42),
                        "1, Superávit y eliminé superávit",
                        "-2, Superávit y resultado fue bueno"
                    )
                )
            ),
            IF(AND(B42&lt;=TRUNC(H42/2,0),B42&gt;=0),
                IF(F42=TRUNC(H42/2,0),
                    "-1, no había superávit y deje la capacidad media",
                    IF(AND(F42&gt;TRUNC(H42/2,0), F42&gt;=B42),
                        "0, no había superávit, y la deje con superávit",
                        IF(AND(F42&lt;TRUNC(H42/2,0),F42&lt;B42),
                            "1, no había superávit, pero el resultado fue mejor",
                            "-2, no había superávit y resultado fue bueno"
                        )
                    )
                )
            )
        )
    )
)</f>
        <v>-2, Déficit y resultado fue bueno</v>
      </c>
      <c r="L42" s="5"/>
      <c r="M42" s="5"/>
      <c r="N42" s="4" t="s">
        <v>254</v>
      </c>
      <c r="O42" s="4">
        <v>8</v>
      </c>
      <c r="P42" s="8">
        <v>7.333333333333333</v>
      </c>
      <c r="Q42" s="4">
        <v>6</v>
      </c>
      <c r="R42" s="4">
        <v>6</v>
      </c>
      <c r="S42" s="4">
        <v>8</v>
      </c>
      <c r="T42" s="4">
        <v>0.80154659127182082</v>
      </c>
      <c r="U42" s="14">
        <v>19</v>
      </c>
      <c r="V42" s="24">
        <f t="shared" si="34"/>
        <v>1</v>
      </c>
      <c r="W42" s="25">
        <f t="shared" si="35"/>
        <v>-2</v>
      </c>
      <c r="X42" s="5" t="str">
        <f t="shared" ref="X42:X60" si="50">IF(T42&gt;0,
    IF(OR(O42&lt;=TRUNC(U42/2,0),O42=0),
        IF(S42=TRUNC(U42/2,0),
            "-1, Déficit y dejo la capacidad media",
            IF(AND(S42&gt;TRUNC(U42/2,0), S42&gt;O42),
                "1, Déficit y eliminé déficit",
                IF(AND(S42&lt;TRUNC(U42/2,0), S42&lt;O42),
                    "0, Déficit y no elimine déficit",
                    "-2, Déficit y resultado fue bueno")
            )
        ),
        IF(AND(S42&gt;TRUNC(U42/2,0), S42&gt;O42),
            "1, no había déficit, pero resultado fue mejor",
            IF(AND(S42&lt;TRUNC(U42/2,0),S42&lt;O42),
                "0, no había déficit y la dejo con déficit",
                IF(S42=TRUNC(U42/2,0),
                    "-1, no había déficit y dejo la capacidad media",
                    "-2,no había déficit y resultado fue bueno")
            )
        )
    ),
    IF(T42&lt;0,
        IF(O42&gt;TRUNC(U42/2,0),
            IF(S42=TRUNC(U42/2,0),
                "-1, Superávit y deje la capacidad media",
                IF(AND(S42&gt;TRUNC(U42/2,0), S42&gt;=O42),
                    "0, Superávit y no eliminé superávit",
                    IF(AND(S42&lt;TRUNC(U42/2,0),S42&lt;O42),
                        "1, Superávit y eliminé superávit",
                        "-2, Superávit y resultado fue bueno"
                    )
                )
            ),
            IF(AND(O42&lt;=TRUNC(U42/2,0),O42&gt;=0),
                IF(S42=TRUNC(U42/2,0),
                    "-1, no había superávit y deje la capacidad media",
                    IF(AND(S42&gt;TRUNC(U42/2,0), S42&gt;=O42),
                        "0, no había superávit, y la deje con superávit",
                        IF(AND(S42&lt;TRUNC(U42/2,0),S42&lt;O42),
                            "1, no había superávit, pero el resultado fue mejor",
                            "-2, no había superávit y resultado fue bueno"
                        )
                    )
                )
            )
        )
    )
)</f>
        <v>-2, Déficit y resultado fue bueno</v>
      </c>
      <c r="Y42" s="5"/>
      <c r="Z42" s="5"/>
      <c r="AA42" s="4" t="s">
        <v>254</v>
      </c>
      <c r="AB42" s="4">
        <v>2</v>
      </c>
      <c r="AC42" s="8">
        <v>3.5555555555555554</v>
      </c>
      <c r="AD42" s="4">
        <v>1</v>
      </c>
      <c r="AE42" s="4">
        <v>2</v>
      </c>
      <c r="AF42" s="4">
        <v>8</v>
      </c>
      <c r="AG42" s="4">
        <v>0.80154659127182082</v>
      </c>
      <c r="AH42" s="14">
        <v>19</v>
      </c>
      <c r="AI42" s="24">
        <f t="shared" si="36"/>
        <v>1</v>
      </c>
      <c r="AJ42" s="24">
        <f t="shared" si="37"/>
        <v>-1</v>
      </c>
      <c r="AK42" t="str">
        <f t="shared" ref="AK42:AK60" si="51">IF(AG42&gt;0,
    IF(OR(AB42&lt;=TRUNC(AH42/2,0),AB42=0),
        IF(AF42=TRUNC(AH42/2,0),
            "-1, Déficit y dejo la capacidad media",
            IF(AND(AF42&gt;TRUNC(AH42/2,0), AF42&gt;AB42),
                "1, Déficit y eliminé déficit",
                IF(AND(AF42&lt;TRUNC(AH42/2,0), AF42&lt;AB42),
                    "0, Déficit y no elimine déficit",
                    "-2, Déficit y resultado fue bueno")
            )
        ),
        IF(AND(AF42&gt;TRUNC(AH42/2,0), AF42&gt;AB42),
            "1, no había déficit, pero resultado fue mejor",
            IF(AND(AF42&lt;TRUNC(AH42/2,0),AF42&lt;AB42),
                "0, no había déficit y la dejo con déficit",
                IF(AF42=TRUNC(AH42/2,0),
                    "-1, no había déficit y dejo la capacidad media",
                    "-2,no había déficit y resultado fue bueno")
            )
        )
    ),
    IF(AG42&lt;0,
        IF(AB42&gt;TRUNC(AH42/2,0),
            IF(AF42=TRUNC(AH42/2,0),
                "-1, Superávit y deje la capacidad media",
                IF(AND(AF42&gt;TRUNC(AH42/2,0), AF42&gt;=AB42),
                    "0, Superávit y no eliminé superávit",
                    IF(AND(AF42&lt;TRUNC(AH42/2,0),AF42&lt;AB42),
                        "1, Superávit y eliminé superávit",
                        "-2, Superávit y resultado fue bueno"
                    )
                )
            ),
            IF(AND(AB42&lt;=TRUNC(AH42/2,0),AB42&gt;=0),
                IF(AF42=TRUNC(AH42/2,0),
                    "-1, no había superávit y deje la capacidad media",
                    IF(AND(AF42&gt;TRUNC(AH42/2,0), AF42&gt;=AB42),
                        "0, no había superávit, y la deje con superávit",
                        IF(AND(AF42&lt;TRUNC(AH42/2,0),AF42&lt;AB42),
                            "1, no había superávit, pero el resultado fue mejor",
                            "-2, no había superávit y resultado fue bueno"
                        )
                    )
                )
            )
        )
    )
)</f>
        <v>-2, Déficit y resultado fue bueno</v>
      </c>
      <c r="AN42" s="26" t="s">
        <v>254</v>
      </c>
      <c r="AO42" s="34">
        <v>2</v>
      </c>
      <c r="AP42" s="23">
        <v>3.3333333333333335</v>
      </c>
      <c r="AQ42" s="34">
        <v>0</v>
      </c>
      <c r="AR42" s="34">
        <v>0</v>
      </c>
      <c r="AS42" s="34">
        <v>8</v>
      </c>
      <c r="AT42" s="29">
        <v>0.80154659127182082</v>
      </c>
      <c r="AU42" s="26">
        <v>19</v>
      </c>
      <c r="AV42" s="24">
        <f t="shared" si="38"/>
        <v>1</v>
      </c>
      <c r="AW42" s="24">
        <f t="shared" si="39"/>
        <v>-2</v>
      </c>
      <c r="AX42" s="24" t="str">
        <f t="shared" si="40"/>
        <v>-2, Déficit y resultado fue bueno</v>
      </c>
      <c r="AY42" t="str">
        <f t="shared" ref="AY42:AY60" si="52">IF(AU42&gt;0,
    IF(OR(AP42&lt;=TRUNC(AV42/2,0),AP42=0),
        IF(AT42=TRUNC(AV42/2,0),
            "-1, Déficit y dejo la capacidad media",
            IF(AND(AT42&gt;TRUNC(AV42/2,0), AT42&gt;AP42),
                "1, Déficit y eliminé déficit",
                IF(AND(AT42&lt;TRUNC(AV42/2,0), AT42&lt;AP42),
                    "0, Déficit y no elimine déficit",
                    "-2, Déficit y resultado fue bueno")
            )
        ),
        IF(AND(AT42&gt;TRUNC(AV42/2,0), AT42&gt;AP42),
            "1, no había déficit, pero resultado fue mejor",
            IF(AND(AT42&lt;TRUNC(AV42/2,0),AT42&lt;AP42),
                "0, no había déficit y la dejo con déficit",
                IF(AT42=TRUNC(AV42/2,0),
                    "-1, no había déficit y dejo la capacidad media",
                    "-2,no había déficit y resultado fue bueno")
            )
        )
    ),
    IF(AU42&lt;0,
        IF(AP42&gt;TRUNC(AV42/2,0),
            IF(AT42=TRUNC(AV42/2,0),
                "-1, Superávit y deje la capacidad media",
                IF(AND(AT42&gt;TRUNC(AV42/2,0), AT42&gt;=AP42),
                    "0, Superávit y no eliminé superávit",
                    IF(AND(AT42&lt;TRUNC(AV42/2,0),AT42&lt;AP42),
                        "1, Superávit y eliminé superávit",
                        "-2, Superávit y resultado fue bueno"
                    )
                )
            ),
            IF(AND(AP42&lt;=TRUNC(AV42/2,0),AP42&gt;=0),
                IF(AT42=TRUNC(AV42/2,0),
                    "-1, no había superávit y deje la capacidad media",
                    IF(AND(AT42&gt;TRUNC(AV42/2,0), AT42&gt;=AP42),
                        "0, no había superávit, y la deje con superávit",
                        IF(AND(AT42&lt;TRUNC(AV42/2,0),AT42&lt;AP42),
                            "1, no había superávit, pero el resultado fue mejor",
                            "-2, no había superávit y resultado fue bueno"
                        )
                    )
                )
            )
        )
    )
)</f>
        <v>-2,no había déficit y resultado fue bueno</v>
      </c>
      <c r="BA42" s="4" t="s">
        <v>254</v>
      </c>
      <c r="BB42" s="4">
        <v>11</v>
      </c>
      <c r="BC42" s="8">
        <v>5.2222222222222223</v>
      </c>
      <c r="BD42" s="8">
        <v>0</v>
      </c>
      <c r="BE42" s="4">
        <v>1</v>
      </c>
      <c r="BF42" s="4">
        <v>8</v>
      </c>
      <c r="BG42" s="4">
        <v>0.80154659127182082</v>
      </c>
      <c r="BH42" s="14">
        <v>19</v>
      </c>
      <c r="BI42" s="24">
        <f t="shared" si="41"/>
        <v>1</v>
      </c>
      <c r="BJ42" s="25">
        <f t="shared" si="42"/>
        <v>-11</v>
      </c>
      <c r="BK42" t="str">
        <f t="shared" ref="BK42:BK60" si="53">IF(BG42&gt;0,
    IF(OR(BB42&lt;=TRUNC(BH42/2,0),BB42=0),
        IF(BF42=TRUNC(BH42/2,0),
            "-1, Déficit y dejo la capacidad media",
            IF(AND(BF42&gt;TRUNC(BH42/2,0), BF42&gt;BB42),
                "1, Déficit y eliminé déficit",
                IF(AND(BF42&lt;TRUNC(BH42/2,0), BF42&lt;BB42),
                    "0, Déficit y no elimine déficit",
                    "-2, Déficit y resultado fue bueno")
            )
        ),
        IF(AND(BF42&gt;TRUNC(BH42/2,0), BF42&gt;BB42),
            "1, no había déficit, pero resultado fue mejor",
            IF(AND(BF42&lt;TRUNC(BH42/2,0),BF42&lt;BB42),
                "0, no había déficit y la dejo con déficit",
                IF(BF42=TRUNC(BH42/2,0),
                    "-1, no había déficit y dejo la capacidad media",
                    "-2,no había déficit y resultado fue bueno")
            )
        )
    ),
    IF(BG42&lt;0,
        IF(BB42&gt;TRUNC(BH42/2,0),
            IF(BF42=TRUNC(BH42/2,0),
                "-1, Superávit y deje la capacidad media",
                IF(AND(BF42&gt;TRUNC(BH42/2,0), BF42&gt;=BB42),
                    "0, Superávit y no eliminé superávit",
                    IF(AND(BF42&lt;TRUNC(BH42/2,0),BF42&lt;BB42),
                        "1, Superávit y eliminé superávit",
                        "-2, Superávit y resultado fue bueno"
                    )
                )
            ),
            IF(AND(BB42&lt;=TRUNC(BH42/2,0),BB42&gt;=0),
                IF(BF42=TRUNC(BH42/2,0),
                    "-1, no había superávit y deje la capacidad media",
                    IF(AND(BF42&gt;TRUNC(BH42/2,0), BF42&gt;=BB42),
                        "0, no había superávit, y la deje con superávit",
                        IF(AND(BF42&lt;TRUNC(BH42/2,0),BF42&lt;BB42),
                            "1, no había superávit, pero el resultado fue mejor",
                            "-2, no había superávit y resultado fue bueno"
                        )
                    )
                )
            )
        )
    )
)</f>
        <v>0, no había déficit y la dejo con déficit</v>
      </c>
      <c r="BM42" s="4" t="s">
        <v>254</v>
      </c>
      <c r="BN42" s="4">
        <v>12</v>
      </c>
      <c r="BO42" s="8">
        <v>6.5555555555555554</v>
      </c>
      <c r="BP42" s="8">
        <v>2</v>
      </c>
      <c r="BQ42" s="4">
        <v>2</v>
      </c>
      <c r="BR42" s="4">
        <v>12</v>
      </c>
      <c r="BS42" s="4">
        <v>0.80154659127182082</v>
      </c>
      <c r="BT42" s="14">
        <v>19</v>
      </c>
      <c r="BU42" s="24">
        <f t="shared" si="43"/>
        <v>1</v>
      </c>
      <c r="BV42" s="25">
        <f t="shared" si="44"/>
        <v>-10</v>
      </c>
      <c r="BW42" t="str">
        <f t="shared" ref="BW42:BW60" si="54">IF(BS42&gt;0,
    IF(OR(BN42&lt;=TRUNC(BT42/2,0),BN42=0),
        IF(BR42=TRUNC(BT42/2,0),
            "-1, Déficit y dejo la capacidad media",
            IF(AND(BR42&gt;TRUNC(BT42/2,0), BR42&gt;BN42),
                "1, Déficit y eliminé déficit",
                IF(AND(BR42&lt;TRUNC(BT42/2,0), BR42&lt;BN42),
                    "0, Déficit y no elimine déficit",
                    "-2, Déficit y resultado fue bueno")
            )
        ),
        IF(AND(BR42&gt;TRUNC(BT42/2,0), BR42&gt;BN42),
            "1, no había déficit, pero resultado fue mejor",
            IF(AND(BR42&lt;TRUNC(BT42/2,0),BR42&lt;BN42),
                "0, no había déficit y la dejo con déficit",
                IF(BR42=TRUNC(BT42/2,0),
                    "-1, no había déficit y dejo la capacidad media",
                    "-2,no había déficit y resultado fue bueno")
            )
        )
    ),
    IF(BS42&lt;0,
        IF(BN42&gt;TRUNC(BT42/2,0),
            IF(BR42=TRUNC(BT42/2,0),
                "-1, Superávit y deje la capacidad media",
                IF(AND(BR42&gt;TRUNC(BT42/2,0), BR42&gt;=BN42),
                    "0, Superávit y no eliminé superávit",
                    IF(AND(BR42&lt;TRUNC(BT42/2,0),BR42&lt;BN42),
                        "1, Superávit y eliminé superávit",
                        "-2, Superávit y resultado fue bueno"
                    )
                )
            ),
            IF(AND(BN42&lt;=TRUNC(BT42/2,0),BN42&gt;=0),
                IF(BR42=TRUNC(BT42/2,0),
                    "-1, no había superávit y deje la capacidad media",
                    IF(AND(BR42&gt;TRUNC(BT42/2,0), BR42&gt;=BN42),
                        "0, no había superávit, y la deje con superávit",
                        IF(AND(BR42&lt;TRUNC(BT42/2,0),BR42&lt;BN42),
                            "1, no había superávit, pero el resultado fue mejor",
                            "-2, no había superávit y resultado fue bueno"
                        )
                    )
                )
            )
        )
    )
)</f>
        <v>-2,no había déficit y resultado fue bueno</v>
      </c>
      <c r="BY42" s="4" t="s">
        <v>254</v>
      </c>
      <c r="BZ42" s="4">
        <v>7</v>
      </c>
      <c r="CA42" s="8">
        <v>6.1111111111111107</v>
      </c>
      <c r="CB42" s="8">
        <v>8</v>
      </c>
      <c r="CC42" s="4">
        <v>6</v>
      </c>
      <c r="CD42" s="4">
        <v>8</v>
      </c>
      <c r="CE42" s="4">
        <v>0.80154659127182082</v>
      </c>
      <c r="CF42" s="14">
        <v>19</v>
      </c>
      <c r="CG42" s="24">
        <f t="shared" si="45"/>
        <v>0</v>
      </c>
      <c r="CH42" s="25">
        <f t="shared" si="46"/>
        <v>1</v>
      </c>
      <c r="CI42" t="str">
        <f t="shared" ref="CI42:CI60" si="55">IF(CE42&gt;0,
    IF(OR(BZ42&lt;=TRUNC(CF42/2,0),BZ42=0),
        IF(CD42=TRUNC(CF42/2,0),
            "-1, Déficit y dejo la capacidad media",
            IF(AND(CD42&gt;TRUNC(CF42/2,0), CD42&gt;BZ42),
                "1, Déficit y eliminé déficit",
                IF(AND(CD42&lt;TRUNC(CF42/2,0), CD42&lt;BZ42),
                    "0, Déficit y no elimine déficit",
                    "-2, Déficit y resultado fue bueno")
            )
        ),
        IF(AND(CD42&gt;TRUNC(CF42/2,0), CD42&gt;BZ42),
            "1, no había déficit, pero resultado fue mejor",
            IF(AND(CD42&lt;TRUNC(CF42/2,0),CD42&lt;BZ42),
                "0, no había déficit y la dejo con déficit",
                IF(CD42=TRUNC(CF42/2,0),
                    "-1, no había déficit y dejo la capacidad media",
                    "-2,no había déficit y resultado fue bueno")
            )
        )
    ),
    IF(CE42&lt;0,
        IF(BZ42&gt;TRUNC(CF42/2,0),
            IF(CD42=TRUNC(CF42/2,0),
                "-1, Superávit y deje la capacidad media",
                IF(AND(CD42&gt;TRUNC(CF42/2,0), CD42&gt;=BZ42),
                    "0, Superávit y no eliminé superávit",
                    IF(AND(CD42&lt;TRUNC(CF42/2,0),CD42&lt;BZ42),
                        "1, Superávit y eliminé superávit",
                        "-2, Superávit y resultado fue bueno"
                    )
                )
            ),
            IF(AND(BZ42&lt;=TRUNC(CF42/2,0),BZ42&gt;=0),
                IF(CD42=TRUNC(CF42/2,0),
                    "-1, no había superávit y deje la capacidad media",
                    IF(AND(CD42&gt;TRUNC(CF42/2,0), CD42&gt;=BZ42),
                        "0, no había superávit, y la deje con superávit",
                        IF(AND(CD42&lt;TRUNC(CF42/2,0),CD42&lt;BZ42),
                            "1, no había superávit, pero el resultado fue mejor",
                            "-2, no había superávit y resultado fue bueno"
                        )
                    )
                )
            )
        )
    )
)</f>
        <v>-2, Déficit y resultado fue bueno</v>
      </c>
      <c r="CK42" s="4" t="s">
        <v>254</v>
      </c>
      <c r="CL42" s="4">
        <v>11</v>
      </c>
      <c r="CM42" s="8">
        <v>5.8888888888888893</v>
      </c>
      <c r="CN42" s="8">
        <v>10</v>
      </c>
      <c r="CO42" s="4">
        <v>10</v>
      </c>
      <c r="CP42" s="4">
        <v>11</v>
      </c>
      <c r="CQ42" s="4">
        <v>0.80154659127182082</v>
      </c>
      <c r="CR42" s="14">
        <v>19</v>
      </c>
      <c r="CS42" s="24">
        <f t="shared" si="47"/>
        <v>1</v>
      </c>
      <c r="CT42" s="25">
        <f t="shared" si="48"/>
        <v>-1</v>
      </c>
      <c r="CU42" t="str">
        <f t="shared" ref="CU42:CU60" si="56">IF(CQ42&gt;0,
    IF(OR(CL42&lt;=TRUNC(CR42/2,0),CL42=0),
        IF(CP42=TRUNC(CR42/2,0),
            "-1, Déficit y dejo la capacidad media",
            IF(AND(CP42&gt;TRUNC(CR42/2,0), CP42&gt;CL42),
                "1, Déficit y eliminé déficit",
                IF(AND(CP42&lt;TRUNC(CR42/2,0), CP42&lt;CL42),
                    "0, Déficit y no elimine déficit",
                    "-2, Déficit y resultado fue bueno")
            )
        ),
        IF(AND(CP42&gt;TRUNC(CR42/2,0), CP42&gt;CL42),
            "1, no había déficit, pero resultado fue mejor",
            IF(AND(CP42&lt;TRUNC(CR42/2,0),CP42&lt;CL42),
                "0, no había déficit y la dejo con déficit",
                IF(CP42=TRUNC(CR42/2,0),
                    "-1, no había déficit y dejo la capacidad media",
                    "-2,no había déficit y resultado fue bueno")
            )
        )
    ),
    IF(CQ42&lt;0,
        IF(CL42&gt;TRUNC(CR42/2,0),
            IF(CP42=TRUNC(CR42/2,0),
                "-1, Superávit y deje la capacidad media",
                IF(AND(CP42&gt;TRUNC(CR42/2,0), CP42&gt;=CL42),
                    "0, Superávit y no eliminé superávit",
                    IF(AND(CP42&lt;TRUNC(CR42/2,0),CP42&lt;CL42),
                        "1, Superávit y eliminé superávit",
                        "-2, Superávit y resultado fue bueno"
                    )
                )
            ),
            IF(AND(CL42&lt;=TRUNC(CR42/2,0),CL42&gt;=0),
                IF(CP42=TRUNC(CR42/2,0),
                    "-1, no había superávit y deje la capacidad media",
                    IF(AND(CP42&gt;TRUNC(CR42/2,0), CP42&gt;=CL42),
                        "0, no había superávit, y la deje con superávit",
                        IF(AND(CP42&lt;TRUNC(CR42/2,0),CP42&lt;CL42),
                            "1, no había superávit, pero el resultado fue mejor",
                            "-2, no había superávit y resultado fue bueno"
                        )
                    )
                )
            )
        )
    )
)</f>
        <v>-2,no había déficit y resultado fue bueno</v>
      </c>
    </row>
    <row r="43" spans="1:99" ht="14.25" customHeight="1" x14ac:dyDescent="0.3">
      <c r="A43" s="4" t="s">
        <v>255</v>
      </c>
      <c r="B43" s="4">
        <v>2</v>
      </c>
      <c r="C43" s="8">
        <v>2.4444444444444446</v>
      </c>
      <c r="D43" s="4">
        <v>2</v>
      </c>
      <c r="E43" s="4">
        <v>3</v>
      </c>
      <c r="F43" s="4">
        <v>6</v>
      </c>
      <c r="G43" s="4">
        <v>0.75176560751023358</v>
      </c>
      <c r="H43" s="14">
        <v>15</v>
      </c>
      <c r="I43" s="24">
        <f t="shared" si="32"/>
        <v>1</v>
      </c>
      <c r="J43" s="24">
        <f t="shared" si="33"/>
        <v>0</v>
      </c>
      <c r="K43" s="5" t="str">
        <f t="shared" si="49"/>
        <v>-2, Déficit y resultado fue bueno</v>
      </c>
      <c r="L43" s="5"/>
      <c r="M43" s="5"/>
      <c r="N43" s="4" t="s">
        <v>255</v>
      </c>
      <c r="O43" s="4">
        <v>0</v>
      </c>
      <c r="P43" s="8">
        <v>4.4444444444444446</v>
      </c>
      <c r="Q43" s="4">
        <v>0</v>
      </c>
      <c r="R43" s="4">
        <v>0</v>
      </c>
      <c r="S43" s="4">
        <v>6</v>
      </c>
      <c r="T43" s="4">
        <v>0.75176560751023358</v>
      </c>
      <c r="U43" s="14">
        <v>15</v>
      </c>
      <c r="V43" s="24">
        <f t="shared" si="34"/>
        <v>1</v>
      </c>
      <c r="W43" s="25">
        <f t="shared" si="35"/>
        <v>0</v>
      </c>
      <c r="X43" s="5" t="str">
        <f t="shared" si="50"/>
        <v>-2, Déficit y resultado fue bueno</v>
      </c>
      <c r="Y43" s="5"/>
      <c r="Z43" s="5"/>
      <c r="AA43" s="4" t="s">
        <v>255</v>
      </c>
      <c r="AB43" s="4">
        <v>0</v>
      </c>
      <c r="AC43" s="8">
        <v>3.2222222222222223</v>
      </c>
      <c r="AD43" s="4">
        <v>0</v>
      </c>
      <c r="AE43" s="4">
        <v>0</v>
      </c>
      <c r="AF43" s="4">
        <v>6</v>
      </c>
      <c r="AG43" s="4">
        <v>0.75176560751023358</v>
      </c>
      <c r="AH43" s="14">
        <v>15</v>
      </c>
      <c r="AI43" s="24">
        <f t="shared" si="36"/>
        <v>1</v>
      </c>
      <c r="AJ43" s="24">
        <f t="shared" si="37"/>
        <v>0</v>
      </c>
      <c r="AK43" t="str">
        <f t="shared" si="51"/>
        <v>-2, Déficit y resultado fue bueno</v>
      </c>
      <c r="AN43" s="26" t="s">
        <v>255</v>
      </c>
      <c r="AO43" s="34">
        <v>2</v>
      </c>
      <c r="AP43" s="23">
        <v>2.8888888888888888</v>
      </c>
      <c r="AQ43" s="34">
        <v>0</v>
      </c>
      <c r="AR43" s="34">
        <v>1</v>
      </c>
      <c r="AS43" s="34">
        <v>6</v>
      </c>
      <c r="AT43" s="29">
        <v>0.75176560751023358</v>
      </c>
      <c r="AU43" s="26">
        <v>15</v>
      </c>
      <c r="AV43" s="24">
        <f t="shared" si="38"/>
        <v>1</v>
      </c>
      <c r="AW43" s="24">
        <f t="shared" si="39"/>
        <v>-2</v>
      </c>
      <c r="AX43" s="24" t="str">
        <f t="shared" si="40"/>
        <v>-2, Déficit y resultado fue bueno</v>
      </c>
      <c r="AY43" t="str">
        <f t="shared" si="52"/>
        <v>-2,no había déficit y resultado fue bueno</v>
      </c>
      <c r="BA43" s="4" t="s">
        <v>255</v>
      </c>
      <c r="BB43" s="4">
        <v>1</v>
      </c>
      <c r="BC43" s="8">
        <v>2.6666666666666665</v>
      </c>
      <c r="BD43" s="8">
        <v>7</v>
      </c>
      <c r="BE43" s="4">
        <v>5</v>
      </c>
      <c r="BF43" s="4">
        <v>6</v>
      </c>
      <c r="BG43" s="4">
        <v>0.75176560751023358</v>
      </c>
      <c r="BH43" s="14">
        <v>15</v>
      </c>
      <c r="BI43" s="24">
        <f t="shared" si="41"/>
        <v>0</v>
      </c>
      <c r="BJ43" s="25">
        <f t="shared" si="42"/>
        <v>6</v>
      </c>
      <c r="BK43" t="str">
        <f t="shared" si="53"/>
        <v>-2, Déficit y resultado fue bueno</v>
      </c>
      <c r="BM43" s="4" t="s">
        <v>255</v>
      </c>
      <c r="BN43" s="4">
        <v>8</v>
      </c>
      <c r="BO43" s="8">
        <v>4.333333333333333</v>
      </c>
      <c r="BP43" s="8">
        <v>6</v>
      </c>
      <c r="BQ43" s="4">
        <v>5</v>
      </c>
      <c r="BR43" s="4">
        <v>6</v>
      </c>
      <c r="BS43" s="4">
        <v>0.75176560751023358</v>
      </c>
      <c r="BT43" s="14">
        <v>15</v>
      </c>
      <c r="BU43" s="24">
        <f t="shared" si="43"/>
        <v>1</v>
      </c>
      <c r="BV43" s="25">
        <f t="shared" si="44"/>
        <v>-2</v>
      </c>
      <c r="BW43" t="str">
        <f t="shared" si="54"/>
        <v>0, no había déficit y la dejo con déficit</v>
      </c>
      <c r="BY43" s="4" t="s">
        <v>255</v>
      </c>
      <c r="BZ43" s="4">
        <v>0</v>
      </c>
      <c r="CA43" s="8">
        <v>2.1111111111111112</v>
      </c>
      <c r="CB43" s="8">
        <v>1</v>
      </c>
      <c r="CC43" s="4">
        <v>0</v>
      </c>
      <c r="CD43" s="4">
        <v>6</v>
      </c>
      <c r="CE43" s="4">
        <v>0.75176560751023358</v>
      </c>
      <c r="CF43" s="14">
        <v>15</v>
      </c>
      <c r="CG43" s="24">
        <f t="shared" si="45"/>
        <v>0</v>
      </c>
      <c r="CH43" s="25">
        <f t="shared" si="46"/>
        <v>1</v>
      </c>
      <c r="CI43" t="str">
        <f t="shared" si="55"/>
        <v>-2, Déficit y resultado fue bueno</v>
      </c>
      <c r="CK43" s="4" t="s">
        <v>255</v>
      </c>
      <c r="CL43" s="4">
        <v>2</v>
      </c>
      <c r="CM43" s="8">
        <v>2.4444444444444446</v>
      </c>
      <c r="CN43" s="8">
        <v>2</v>
      </c>
      <c r="CO43" s="4">
        <v>2</v>
      </c>
      <c r="CP43" s="4">
        <v>6</v>
      </c>
      <c r="CQ43" s="4">
        <v>0.75176560751023358</v>
      </c>
      <c r="CR43" s="14">
        <v>15</v>
      </c>
      <c r="CS43" s="24">
        <f t="shared" si="47"/>
        <v>1</v>
      </c>
      <c r="CT43" s="25">
        <f t="shared" si="48"/>
        <v>0</v>
      </c>
      <c r="CU43" t="str">
        <f t="shared" si="56"/>
        <v>-2, Déficit y resultado fue bueno</v>
      </c>
    </row>
    <row r="44" spans="1:99" ht="14.25" customHeight="1" x14ac:dyDescent="0.3">
      <c r="A44" s="4" t="s">
        <v>256</v>
      </c>
      <c r="B44" s="4">
        <v>5</v>
      </c>
      <c r="C44" s="8">
        <v>5.1111111111111107</v>
      </c>
      <c r="D44" s="4">
        <v>5</v>
      </c>
      <c r="E44" s="4">
        <v>5</v>
      </c>
      <c r="F44" s="4">
        <v>7</v>
      </c>
      <c r="G44" s="4">
        <v>0.70267762112263932</v>
      </c>
      <c r="H44" s="14">
        <v>17</v>
      </c>
      <c r="I44" s="24">
        <f t="shared" si="32"/>
        <v>1</v>
      </c>
      <c r="J44" s="24">
        <f t="shared" si="33"/>
        <v>0</v>
      </c>
      <c r="K44" s="5" t="str">
        <f t="shared" si="49"/>
        <v>-2, Déficit y resultado fue bueno</v>
      </c>
      <c r="L44" s="5"/>
      <c r="M44" s="5"/>
      <c r="N44" s="4" t="s">
        <v>256</v>
      </c>
      <c r="O44" s="4">
        <v>5</v>
      </c>
      <c r="P44" s="8">
        <v>3.5555555555555554</v>
      </c>
      <c r="Q44" s="4">
        <v>6</v>
      </c>
      <c r="R44" s="4">
        <v>4</v>
      </c>
      <c r="S44" s="4">
        <v>7</v>
      </c>
      <c r="T44" s="4">
        <v>0.70267762112263932</v>
      </c>
      <c r="U44" s="14">
        <v>17</v>
      </c>
      <c r="V44" s="24">
        <f t="shared" si="34"/>
        <v>0</v>
      </c>
      <c r="W44" s="25">
        <f t="shared" si="35"/>
        <v>1</v>
      </c>
      <c r="X44" s="5" t="str">
        <f t="shared" si="50"/>
        <v>-2, Déficit y resultado fue bueno</v>
      </c>
      <c r="Y44" s="5"/>
      <c r="Z44" s="5"/>
      <c r="AA44" s="4" t="s">
        <v>256</v>
      </c>
      <c r="AB44" s="4">
        <v>3</v>
      </c>
      <c r="AC44" s="8">
        <v>4.7777777777777777</v>
      </c>
      <c r="AD44" s="4">
        <v>2</v>
      </c>
      <c r="AE44" s="4">
        <v>2</v>
      </c>
      <c r="AF44" s="4">
        <v>7</v>
      </c>
      <c r="AG44" s="4">
        <v>0.70267762112263932</v>
      </c>
      <c r="AH44" s="14">
        <v>17</v>
      </c>
      <c r="AI44" s="24">
        <f t="shared" si="36"/>
        <v>1</v>
      </c>
      <c r="AJ44" s="24">
        <f t="shared" si="37"/>
        <v>-1</v>
      </c>
      <c r="AK44" t="str">
        <f t="shared" si="51"/>
        <v>-2, Déficit y resultado fue bueno</v>
      </c>
      <c r="AN44" s="26" t="s">
        <v>256</v>
      </c>
      <c r="AO44" s="34">
        <v>3</v>
      </c>
      <c r="AP44" s="23">
        <v>5.8888888888888893</v>
      </c>
      <c r="AQ44" s="34">
        <v>1</v>
      </c>
      <c r="AR44" s="34">
        <v>1</v>
      </c>
      <c r="AS44" s="34">
        <v>7</v>
      </c>
      <c r="AT44" s="29">
        <v>0.70267762112263932</v>
      </c>
      <c r="AU44" s="26">
        <v>17</v>
      </c>
      <c r="AV44" s="24">
        <f t="shared" si="38"/>
        <v>1</v>
      </c>
      <c r="AW44" s="24">
        <f t="shared" si="39"/>
        <v>-2</v>
      </c>
      <c r="AX44" s="24" t="str">
        <f t="shared" si="40"/>
        <v>-2, Déficit y resultado fue bueno</v>
      </c>
      <c r="AY44" t="str">
        <f t="shared" si="52"/>
        <v>-2,no había déficit y resultado fue bueno</v>
      </c>
      <c r="BA44" s="4" t="s">
        <v>256</v>
      </c>
      <c r="BB44" s="4">
        <v>15</v>
      </c>
      <c r="BC44" s="8">
        <v>5</v>
      </c>
      <c r="BD44" s="8">
        <v>16</v>
      </c>
      <c r="BE44" s="4">
        <v>15</v>
      </c>
      <c r="BF44" s="4">
        <v>11</v>
      </c>
      <c r="BG44" s="4">
        <v>0.70267762112263932</v>
      </c>
      <c r="BH44" s="14">
        <v>17</v>
      </c>
      <c r="BI44" s="24">
        <f t="shared" si="41"/>
        <v>0</v>
      </c>
      <c r="BJ44" s="25">
        <f t="shared" si="42"/>
        <v>1</v>
      </c>
      <c r="BK44" t="str">
        <f t="shared" si="53"/>
        <v>-2,no había déficit y resultado fue bueno</v>
      </c>
      <c r="BM44" s="4" t="s">
        <v>256</v>
      </c>
      <c r="BN44" s="4">
        <v>11</v>
      </c>
      <c r="BO44" s="8">
        <v>6.7777777777777777</v>
      </c>
      <c r="BP44" s="8">
        <v>15</v>
      </c>
      <c r="BQ44" s="4">
        <v>14</v>
      </c>
      <c r="BR44" s="4">
        <v>11</v>
      </c>
      <c r="BS44" s="4">
        <v>0.70267762112263932</v>
      </c>
      <c r="BT44" s="14">
        <v>17</v>
      </c>
      <c r="BU44" s="24">
        <f t="shared" si="43"/>
        <v>0</v>
      </c>
      <c r="BV44" s="25">
        <f t="shared" si="44"/>
        <v>4</v>
      </c>
      <c r="BW44" t="str">
        <f t="shared" si="54"/>
        <v>-2,no había déficit y resultado fue bueno</v>
      </c>
      <c r="BY44" s="4" t="s">
        <v>256</v>
      </c>
      <c r="BZ44" s="4">
        <v>7</v>
      </c>
      <c r="CA44" s="8">
        <v>4.666666666666667</v>
      </c>
      <c r="CB44" s="8">
        <v>8</v>
      </c>
      <c r="CC44" s="4">
        <v>5</v>
      </c>
      <c r="CD44" s="4">
        <v>7</v>
      </c>
      <c r="CE44" s="4">
        <v>0.70267762112263932</v>
      </c>
      <c r="CF44" s="14">
        <v>17</v>
      </c>
      <c r="CG44" s="24">
        <f t="shared" si="45"/>
        <v>0</v>
      </c>
      <c r="CH44" s="25">
        <f t="shared" si="46"/>
        <v>1</v>
      </c>
      <c r="CI44" t="str">
        <f t="shared" si="55"/>
        <v>-2, Déficit y resultado fue bueno</v>
      </c>
      <c r="CK44" s="4" t="s">
        <v>256</v>
      </c>
      <c r="CL44" s="4">
        <v>9</v>
      </c>
      <c r="CM44" s="8">
        <v>5.1111111111111107</v>
      </c>
      <c r="CN44" s="8">
        <v>12</v>
      </c>
      <c r="CO44" s="4">
        <v>12</v>
      </c>
      <c r="CP44" s="4">
        <v>11</v>
      </c>
      <c r="CQ44" s="4">
        <v>0.70267762112263932</v>
      </c>
      <c r="CR44" s="14">
        <v>17</v>
      </c>
      <c r="CS44" s="24">
        <f t="shared" si="47"/>
        <v>0</v>
      </c>
      <c r="CT44" s="25">
        <f t="shared" si="48"/>
        <v>3</v>
      </c>
      <c r="CU44" t="str">
        <f t="shared" si="56"/>
        <v>1, no había déficit, pero resultado fue mejor</v>
      </c>
    </row>
    <row r="45" spans="1:99" ht="14.25" customHeight="1" x14ac:dyDescent="0.3">
      <c r="A45" s="4" t="s">
        <v>252</v>
      </c>
      <c r="B45" s="4">
        <v>9</v>
      </c>
      <c r="C45" s="8">
        <v>6.666666666666667</v>
      </c>
      <c r="D45" s="4">
        <v>9</v>
      </c>
      <c r="E45" s="4">
        <v>9</v>
      </c>
      <c r="F45" s="4">
        <v>9</v>
      </c>
      <c r="G45" s="4">
        <v>0.70256358269933272</v>
      </c>
      <c r="H45" s="14">
        <v>15</v>
      </c>
      <c r="I45" s="24">
        <f t="shared" si="32"/>
        <v>1</v>
      </c>
      <c r="J45" s="24">
        <f t="shared" si="33"/>
        <v>0</v>
      </c>
      <c r="K45" s="5" t="str">
        <f t="shared" si="49"/>
        <v>-2,no había déficit y resultado fue bueno</v>
      </c>
      <c r="L45" s="5"/>
      <c r="M45" s="5"/>
      <c r="N45" s="4" t="s">
        <v>252</v>
      </c>
      <c r="O45" s="4">
        <v>11</v>
      </c>
      <c r="P45" s="8">
        <v>6.5555555555555554</v>
      </c>
      <c r="Q45" s="4">
        <v>12</v>
      </c>
      <c r="R45" s="4">
        <v>12</v>
      </c>
      <c r="S45" s="4">
        <v>6</v>
      </c>
      <c r="T45" s="4">
        <v>0.70256358269933272</v>
      </c>
      <c r="U45" s="14">
        <v>15</v>
      </c>
      <c r="V45" s="24">
        <f t="shared" si="34"/>
        <v>0</v>
      </c>
      <c r="W45" s="25">
        <f t="shared" si="35"/>
        <v>1</v>
      </c>
      <c r="X45" s="5" t="str">
        <f t="shared" si="50"/>
        <v>0, no había déficit y la dejo con déficit</v>
      </c>
      <c r="Y45" s="5"/>
      <c r="Z45" s="5"/>
      <c r="AA45" s="4" t="s">
        <v>252</v>
      </c>
      <c r="AB45" s="4">
        <v>6</v>
      </c>
      <c r="AC45" s="8">
        <v>6.7777777777777777</v>
      </c>
      <c r="AD45" s="4">
        <v>4</v>
      </c>
      <c r="AE45" s="4">
        <v>3</v>
      </c>
      <c r="AF45" s="4">
        <v>6</v>
      </c>
      <c r="AG45" s="4">
        <v>0.70256358269933272</v>
      </c>
      <c r="AH45" s="14">
        <v>15</v>
      </c>
      <c r="AI45" s="24">
        <f t="shared" si="36"/>
        <v>1</v>
      </c>
      <c r="AJ45" s="24">
        <f t="shared" si="37"/>
        <v>-2</v>
      </c>
      <c r="AK45" t="str">
        <f t="shared" si="51"/>
        <v>-2, Déficit y resultado fue bueno</v>
      </c>
      <c r="AN45" s="26" t="s">
        <v>252</v>
      </c>
      <c r="AO45" s="34">
        <v>2</v>
      </c>
      <c r="AP45" s="23">
        <v>4.2222222222222223</v>
      </c>
      <c r="AQ45" s="34">
        <v>2</v>
      </c>
      <c r="AR45" s="34">
        <v>2</v>
      </c>
      <c r="AS45" s="34">
        <v>6</v>
      </c>
      <c r="AT45" s="29">
        <v>0.70256358269933272</v>
      </c>
      <c r="AU45" s="26">
        <v>15</v>
      </c>
      <c r="AV45" s="24">
        <f t="shared" si="38"/>
        <v>1</v>
      </c>
      <c r="AW45" s="24">
        <f t="shared" si="39"/>
        <v>0</v>
      </c>
      <c r="AX45" s="24" t="str">
        <f t="shared" si="40"/>
        <v>-2, Déficit y resultado fue bueno</v>
      </c>
      <c r="AY45" t="str">
        <f t="shared" si="52"/>
        <v>-2,no había déficit y resultado fue bueno</v>
      </c>
      <c r="BA45" s="4" t="s">
        <v>252</v>
      </c>
      <c r="BB45" s="4">
        <v>11</v>
      </c>
      <c r="BC45" s="8">
        <v>6.2222222222222223</v>
      </c>
      <c r="BD45" s="8">
        <v>7</v>
      </c>
      <c r="BE45" s="4">
        <v>7</v>
      </c>
      <c r="BF45" s="4">
        <v>10</v>
      </c>
      <c r="BG45" s="4">
        <v>0.70256358269933272</v>
      </c>
      <c r="BH45" s="14">
        <v>15</v>
      </c>
      <c r="BI45" s="24">
        <f t="shared" si="41"/>
        <v>1</v>
      </c>
      <c r="BJ45" s="25">
        <f t="shared" si="42"/>
        <v>-4</v>
      </c>
      <c r="BK45" t="str">
        <f t="shared" si="53"/>
        <v>-2,no había déficit y resultado fue bueno</v>
      </c>
      <c r="BM45" s="4" t="s">
        <v>252</v>
      </c>
      <c r="BN45" s="4">
        <v>9</v>
      </c>
      <c r="BO45" s="8">
        <v>8.1111111111111107</v>
      </c>
      <c r="BP45" s="8">
        <v>8</v>
      </c>
      <c r="BQ45" s="4">
        <v>7</v>
      </c>
      <c r="BR45" s="4">
        <v>9</v>
      </c>
      <c r="BS45" s="4">
        <v>0.70256358269933272</v>
      </c>
      <c r="BT45" s="14">
        <v>15</v>
      </c>
      <c r="BU45" s="24">
        <f t="shared" si="43"/>
        <v>1</v>
      </c>
      <c r="BV45" s="25">
        <f t="shared" si="44"/>
        <v>-1</v>
      </c>
      <c r="BW45" t="str">
        <f t="shared" si="54"/>
        <v>-2,no había déficit y resultado fue bueno</v>
      </c>
      <c r="BY45" s="4" t="s">
        <v>252</v>
      </c>
      <c r="BZ45" s="4">
        <v>11</v>
      </c>
      <c r="CA45" s="8">
        <v>5.5555555555555554</v>
      </c>
      <c r="CB45" s="8">
        <v>11</v>
      </c>
      <c r="CC45" s="4">
        <v>12</v>
      </c>
      <c r="CD45" s="4">
        <v>6</v>
      </c>
      <c r="CE45" s="4">
        <v>0.70256358269933272</v>
      </c>
      <c r="CF45" s="14">
        <v>15</v>
      </c>
      <c r="CG45" s="24">
        <f t="shared" si="45"/>
        <v>1</v>
      </c>
      <c r="CH45" s="25">
        <f t="shared" si="46"/>
        <v>0</v>
      </c>
      <c r="CI45" t="str">
        <f t="shared" si="55"/>
        <v>0, no había déficit y la dejo con déficit</v>
      </c>
      <c r="CK45" s="4" t="s">
        <v>252</v>
      </c>
      <c r="CL45" s="4">
        <v>9</v>
      </c>
      <c r="CM45" s="8">
        <v>6.666666666666667</v>
      </c>
      <c r="CN45" s="8">
        <v>10</v>
      </c>
      <c r="CO45" s="4">
        <v>10</v>
      </c>
      <c r="CP45" s="4">
        <v>6</v>
      </c>
      <c r="CQ45" s="4">
        <v>0.70256358269933272</v>
      </c>
      <c r="CR45" s="14">
        <v>15</v>
      </c>
      <c r="CS45" s="24">
        <f t="shared" si="47"/>
        <v>0</v>
      </c>
      <c r="CT45" s="25">
        <f t="shared" si="48"/>
        <v>1</v>
      </c>
      <c r="CU45" t="str">
        <f t="shared" si="56"/>
        <v>0, no había déficit y la dejo con déficit</v>
      </c>
    </row>
    <row r="46" spans="1:99" ht="14.25" customHeight="1" x14ac:dyDescent="0.3">
      <c r="A46" s="4" t="s">
        <v>250</v>
      </c>
      <c r="B46" s="4">
        <v>7</v>
      </c>
      <c r="C46" s="8">
        <v>5.333333333333333</v>
      </c>
      <c r="D46" s="4">
        <v>7</v>
      </c>
      <c r="E46" s="4">
        <v>8</v>
      </c>
      <c r="F46" s="4">
        <v>6</v>
      </c>
      <c r="G46" s="4">
        <v>0.67691586229508371</v>
      </c>
      <c r="H46" s="14">
        <v>15</v>
      </c>
      <c r="I46" s="24">
        <f t="shared" si="32"/>
        <v>1</v>
      </c>
      <c r="J46" s="24">
        <f t="shared" si="33"/>
        <v>0</v>
      </c>
      <c r="K46" s="5" t="str">
        <f t="shared" si="49"/>
        <v>0, Déficit y no elimine déficit</v>
      </c>
      <c r="L46" s="5"/>
      <c r="M46" s="5"/>
      <c r="N46" s="4" t="s">
        <v>250</v>
      </c>
      <c r="O46" s="4">
        <v>14</v>
      </c>
      <c r="P46" s="8">
        <v>5.4444444444444446</v>
      </c>
      <c r="Q46" s="4">
        <v>15</v>
      </c>
      <c r="R46" s="4">
        <v>15</v>
      </c>
      <c r="S46" s="4">
        <v>6</v>
      </c>
      <c r="T46" s="4">
        <v>0.67691586229508371</v>
      </c>
      <c r="U46" s="14">
        <v>15</v>
      </c>
      <c r="V46" s="24">
        <f t="shared" si="34"/>
        <v>0</v>
      </c>
      <c r="W46" s="25">
        <f t="shared" si="35"/>
        <v>1</v>
      </c>
      <c r="X46" s="5" t="str">
        <f t="shared" si="50"/>
        <v>0, no había déficit y la dejo con déficit</v>
      </c>
      <c r="Y46" s="5"/>
      <c r="Z46" s="5"/>
      <c r="AA46" s="4" t="s">
        <v>250</v>
      </c>
      <c r="AB46" s="4">
        <v>11</v>
      </c>
      <c r="AC46" s="8">
        <v>3.8888888888888888</v>
      </c>
      <c r="AD46" s="4">
        <v>10</v>
      </c>
      <c r="AE46" s="4">
        <v>10</v>
      </c>
      <c r="AF46" s="4">
        <v>7</v>
      </c>
      <c r="AG46" s="4">
        <v>0.67691586229508371</v>
      </c>
      <c r="AH46" s="14">
        <v>15</v>
      </c>
      <c r="AI46" s="24">
        <f t="shared" si="36"/>
        <v>1</v>
      </c>
      <c r="AJ46" s="24">
        <f t="shared" si="37"/>
        <v>-1</v>
      </c>
      <c r="AK46" t="str">
        <f t="shared" si="51"/>
        <v>-1, no había déficit y dejo la capacidad media</v>
      </c>
      <c r="AN46" s="26" t="s">
        <v>250</v>
      </c>
      <c r="AO46" s="34">
        <v>2</v>
      </c>
      <c r="AP46" s="23">
        <v>6.8888888888888893</v>
      </c>
      <c r="AQ46" s="34">
        <v>0</v>
      </c>
      <c r="AR46" s="34">
        <v>0</v>
      </c>
      <c r="AS46" s="34">
        <v>6</v>
      </c>
      <c r="AT46" s="29">
        <v>0.67691586229508371</v>
      </c>
      <c r="AU46" s="26">
        <v>15</v>
      </c>
      <c r="AV46" s="24">
        <f t="shared" si="38"/>
        <v>1</v>
      </c>
      <c r="AW46" s="24">
        <f t="shared" si="39"/>
        <v>-2</v>
      </c>
      <c r="AX46" s="24" t="str">
        <f t="shared" si="40"/>
        <v>-2, Déficit y resultado fue bueno</v>
      </c>
      <c r="AY46" t="str">
        <f t="shared" si="52"/>
        <v>-2,no había déficit y resultado fue bueno</v>
      </c>
      <c r="BA46" s="4" t="s">
        <v>250</v>
      </c>
      <c r="BB46" s="4">
        <v>4</v>
      </c>
      <c r="BC46" s="8">
        <v>1.5555555555555556</v>
      </c>
      <c r="BD46" s="8">
        <v>2</v>
      </c>
      <c r="BE46" s="4">
        <v>2</v>
      </c>
      <c r="BF46" s="4">
        <v>8</v>
      </c>
      <c r="BG46" s="4">
        <v>0.67691586229508371</v>
      </c>
      <c r="BH46" s="14">
        <v>15</v>
      </c>
      <c r="BI46" s="24">
        <f t="shared" si="41"/>
        <v>1</v>
      </c>
      <c r="BJ46" s="25">
        <f t="shared" si="42"/>
        <v>-2</v>
      </c>
      <c r="BK46" t="str">
        <f t="shared" si="53"/>
        <v>1, Déficit y eliminé déficit</v>
      </c>
      <c r="BM46" s="4" t="s">
        <v>250</v>
      </c>
      <c r="BN46" s="4">
        <v>2</v>
      </c>
      <c r="BO46" s="8">
        <v>3.1111111111111112</v>
      </c>
      <c r="BP46" s="8">
        <v>1</v>
      </c>
      <c r="BQ46" s="4">
        <v>1</v>
      </c>
      <c r="BR46" s="4">
        <v>6</v>
      </c>
      <c r="BS46" s="4">
        <v>0.67691586229508371</v>
      </c>
      <c r="BT46" s="14">
        <v>15</v>
      </c>
      <c r="BU46" s="24">
        <f t="shared" si="43"/>
        <v>1</v>
      </c>
      <c r="BV46" s="25">
        <f t="shared" si="44"/>
        <v>-1</v>
      </c>
      <c r="BW46" t="str">
        <f t="shared" si="54"/>
        <v>-2, Déficit y resultado fue bueno</v>
      </c>
      <c r="BY46" s="4" t="s">
        <v>250</v>
      </c>
      <c r="BZ46" s="4">
        <v>1</v>
      </c>
      <c r="CA46" s="8">
        <v>5.1111111111111107</v>
      </c>
      <c r="CB46" s="8">
        <v>0</v>
      </c>
      <c r="CC46" s="4">
        <v>0</v>
      </c>
      <c r="CD46" s="4">
        <v>6</v>
      </c>
      <c r="CE46" s="4">
        <v>0.67691586229508371</v>
      </c>
      <c r="CF46" s="14">
        <v>15</v>
      </c>
      <c r="CG46" s="24">
        <f t="shared" si="45"/>
        <v>1</v>
      </c>
      <c r="CH46" s="25">
        <f t="shared" si="46"/>
        <v>-1</v>
      </c>
      <c r="CI46" t="str">
        <f t="shared" si="55"/>
        <v>-2, Déficit y resultado fue bueno</v>
      </c>
      <c r="CK46" s="4" t="s">
        <v>250</v>
      </c>
      <c r="CL46" s="4">
        <v>6</v>
      </c>
      <c r="CM46" s="8">
        <v>5.333333333333333</v>
      </c>
      <c r="CN46" s="8">
        <v>6</v>
      </c>
      <c r="CO46" s="4">
        <v>7</v>
      </c>
      <c r="CP46" s="4">
        <v>6</v>
      </c>
      <c r="CQ46" s="4">
        <v>0.67691586229508371</v>
      </c>
      <c r="CR46" s="14">
        <v>15</v>
      </c>
      <c r="CS46" s="24">
        <f t="shared" si="47"/>
        <v>1</v>
      </c>
      <c r="CT46" s="25">
        <f t="shared" si="48"/>
        <v>0</v>
      </c>
      <c r="CU46" t="str">
        <f t="shared" si="56"/>
        <v>-2, Déficit y resultado fue bueno</v>
      </c>
    </row>
    <row r="47" spans="1:99" ht="14.25" customHeight="1" x14ac:dyDescent="0.3">
      <c r="A47" s="4" t="s">
        <v>251</v>
      </c>
      <c r="B47" s="4">
        <v>4</v>
      </c>
      <c r="C47" s="8">
        <v>4.2222222222222223</v>
      </c>
      <c r="D47" s="4">
        <v>5</v>
      </c>
      <c r="E47" s="4">
        <v>5</v>
      </c>
      <c r="F47" s="4">
        <v>6</v>
      </c>
      <c r="G47" s="4">
        <v>0.655473679459604</v>
      </c>
      <c r="H47" s="14">
        <v>15</v>
      </c>
      <c r="I47" s="24">
        <f t="shared" si="32"/>
        <v>0</v>
      </c>
      <c r="J47" s="24">
        <f t="shared" si="33"/>
        <v>1</v>
      </c>
      <c r="K47" s="5" t="str">
        <f t="shared" si="49"/>
        <v>-2, Déficit y resultado fue bueno</v>
      </c>
      <c r="L47" s="5"/>
      <c r="M47" s="5"/>
      <c r="N47" s="4" t="s">
        <v>251</v>
      </c>
      <c r="O47" s="4">
        <v>5</v>
      </c>
      <c r="P47" s="8">
        <v>4.666666666666667</v>
      </c>
      <c r="Q47" s="4">
        <v>5</v>
      </c>
      <c r="R47" s="4">
        <v>5</v>
      </c>
      <c r="S47" s="4">
        <v>6</v>
      </c>
      <c r="T47" s="4">
        <v>0.655473679459604</v>
      </c>
      <c r="U47" s="14">
        <v>15</v>
      </c>
      <c r="V47" s="24">
        <f t="shared" si="34"/>
        <v>1</v>
      </c>
      <c r="W47" s="25">
        <f t="shared" si="35"/>
        <v>0</v>
      </c>
      <c r="X47" s="5" t="str">
        <f t="shared" si="50"/>
        <v>-2, Déficit y resultado fue bueno</v>
      </c>
      <c r="Y47" s="5"/>
      <c r="Z47" s="5"/>
      <c r="AA47" s="4" t="s">
        <v>251</v>
      </c>
      <c r="AB47" s="4">
        <v>10</v>
      </c>
      <c r="AC47" s="8">
        <v>10</v>
      </c>
      <c r="AD47" s="4">
        <v>8</v>
      </c>
      <c r="AE47" s="4">
        <v>8</v>
      </c>
      <c r="AF47" s="4">
        <v>6</v>
      </c>
      <c r="AG47" s="4">
        <v>0.655473679459604</v>
      </c>
      <c r="AH47" s="14">
        <v>15</v>
      </c>
      <c r="AI47" s="24">
        <f t="shared" si="36"/>
        <v>1</v>
      </c>
      <c r="AJ47" s="24">
        <f t="shared" si="37"/>
        <v>-2</v>
      </c>
      <c r="AK47" t="str">
        <f t="shared" si="51"/>
        <v>0, no había déficit y la dejo con déficit</v>
      </c>
      <c r="AN47" s="26" t="s">
        <v>251</v>
      </c>
      <c r="AO47" s="34">
        <v>9</v>
      </c>
      <c r="AP47" s="23">
        <v>6.2222222222222223</v>
      </c>
      <c r="AQ47" s="34">
        <v>5</v>
      </c>
      <c r="AR47" s="34">
        <v>4</v>
      </c>
      <c r="AS47" s="34">
        <v>6</v>
      </c>
      <c r="AT47" s="29">
        <v>0.655473679459604</v>
      </c>
      <c r="AU47" s="26">
        <v>15</v>
      </c>
      <c r="AV47" s="24">
        <f t="shared" si="38"/>
        <v>1</v>
      </c>
      <c r="AW47" s="24">
        <f t="shared" si="39"/>
        <v>-4</v>
      </c>
      <c r="AX47" s="24" t="str">
        <f t="shared" si="40"/>
        <v>0, no había déficit y la dejo con déficit</v>
      </c>
      <c r="AY47" t="str">
        <f t="shared" si="52"/>
        <v>-2,no había déficit y resultado fue bueno</v>
      </c>
      <c r="BA47" s="4" t="s">
        <v>251</v>
      </c>
      <c r="BB47" s="4">
        <v>5</v>
      </c>
      <c r="BC47" s="8">
        <v>8.3333333333333339</v>
      </c>
      <c r="BD47" s="8">
        <v>1</v>
      </c>
      <c r="BE47" s="4">
        <v>0</v>
      </c>
      <c r="BF47" s="4">
        <v>6</v>
      </c>
      <c r="BG47" s="4">
        <v>0.655473679459604</v>
      </c>
      <c r="BH47" s="14">
        <v>15</v>
      </c>
      <c r="BI47" s="24">
        <f t="shared" si="41"/>
        <v>1</v>
      </c>
      <c r="BJ47" s="25">
        <f t="shared" si="42"/>
        <v>-4</v>
      </c>
      <c r="BK47" t="str">
        <f t="shared" si="53"/>
        <v>-2, Déficit y resultado fue bueno</v>
      </c>
      <c r="BM47" s="4" t="s">
        <v>251</v>
      </c>
      <c r="BN47" s="4">
        <v>14</v>
      </c>
      <c r="BO47" s="8">
        <v>9.2222222222222214</v>
      </c>
      <c r="BP47" s="8">
        <v>11</v>
      </c>
      <c r="BQ47" s="4">
        <v>12</v>
      </c>
      <c r="BR47" s="4">
        <v>10</v>
      </c>
      <c r="BS47" s="4">
        <v>0.655473679459604</v>
      </c>
      <c r="BT47" s="14">
        <v>15</v>
      </c>
      <c r="BU47" s="24">
        <f t="shared" si="43"/>
        <v>1</v>
      </c>
      <c r="BV47" s="25">
        <f t="shared" si="44"/>
        <v>-3</v>
      </c>
      <c r="BW47" t="str">
        <f t="shared" si="54"/>
        <v>-2,no había déficit y resultado fue bueno</v>
      </c>
      <c r="BY47" s="4" t="s">
        <v>251</v>
      </c>
      <c r="BZ47" s="4">
        <v>1</v>
      </c>
      <c r="CA47" s="8">
        <v>3.3333333333333335</v>
      </c>
      <c r="CB47" s="8">
        <v>0</v>
      </c>
      <c r="CC47" s="4">
        <v>0</v>
      </c>
      <c r="CD47" s="4">
        <v>10</v>
      </c>
      <c r="CE47" s="4">
        <v>0.655473679459604</v>
      </c>
      <c r="CF47" s="14">
        <v>15</v>
      </c>
      <c r="CG47" s="24">
        <f t="shared" si="45"/>
        <v>1</v>
      </c>
      <c r="CH47" s="25">
        <f t="shared" si="46"/>
        <v>-1</v>
      </c>
      <c r="CI47" t="str">
        <f t="shared" si="55"/>
        <v>1, Déficit y eliminé déficit</v>
      </c>
      <c r="CK47" s="4" t="s">
        <v>251</v>
      </c>
      <c r="CL47" s="4">
        <v>0</v>
      </c>
      <c r="CM47" s="8">
        <v>4.2222222222222223</v>
      </c>
      <c r="CN47" s="8">
        <v>1</v>
      </c>
      <c r="CO47" s="4">
        <v>1</v>
      </c>
      <c r="CP47" s="4">
        <v>6</v>
      </c>
      <c r="CQ47" s="4">
        <v>0.655473679459604</v>
      </c>
      <c r="CR47" s="14">
        <v>15</v>
      </c>
      <c r="CS47" s="24">
        <f t="shared" si="47"/>
        <v>0</v>
      </c>
      <c r="CT47" s="25">
        <f t="shared" si="48"/>
        <v>1</v>
      </c>
      <c r="CU47" t="str">
        <f t="shared" si="56"/>
        <v>-2, Déficit y resultado fue bueno</v>
      </c>
    </row>
    <row r="48" spans="1:99" ht="14.25" customHeight="1" x14ac:dyDescent="0.3">
      <c r="A48" s="4" t="s">
        <v>248</v>
      </c>
      <c r="B48" s="4">
        <v>8</v>
      </c>
      <c r="C48" s="8">
        <v>4.4444444444444446</v>
      </c>
      <c r="D48" s="4">
        <v>7</v>
      </c>
      <c r="E48" s="4">
        <v>7</v>
      </c>
      <c r="F48" s="4">
        <v>5</v>
      </c>
      <c r="G48" s="4">
        <v>0.62268266964537045</v>
      </c>
      <c r="H48" s="14">
        <v>15</v>
      </c>
      <c r="I48" s="24">
        <f t="shared" si="32"/>
        <v>1</v>
      </c>
      <c r="J48" s="24">
        <f t="shared" si="33"/>
        <v>-1</v>
      </c>
      <c r="K48" s="5" t="str">
        <f t="shared" si="49"/>
        <v>0, no había déficit y la dejo con déficit</v>
      </c>
      <c r="L48" s="5"/>
      <c r="M48" s="5"/>
      <c r="N48" s="4" t="s">
        <v>248</v>
      </c>
      <c r="O48" s="4">
        <v>2</v>
      </c>
      <c r="P48" s="8">
        <v>5.2222222222222223</v>
      </c>
      <c r="Q48" s="4">
        <v>2</v>
      </c>
      <c r="R48" s="4">
        <v>3</v>
      </c>
      <c r="S48" s="4">
        <v>5</v>
      </c>
      <c r="T48" s="4">
        <v>0.62268266964537045</v>
      </c>
      <c r="U48" s="14">
        <v>15</v>
      </c>
      <c r="V48" s="24">
        <f t="shared" si="34"/>
        <v>1</v>
      </c>
      <c r="W48" s="25">
        <f t="shared" si="35"/>
        <v>0</v>
      </c>
      <c r="X48" s="5" t="str">
        <f t="shared" si="50"/>
        <v>-2, Déficit y resultado fue bueno</v>
      </c>
      <c r="Y48" s="5"/>
      <c r="Z48" s="5"/>
      <c r="AA48" s="4" t="s">
        <v>248</v>
      </c>
      <c r="AB48" s="4">
        <v>0</v>
      </c>
      <c r="AC48" s="8">
        <v>3.6666666666666665</v>
      </c>
      <c r="AD48" s="4">
        <v>0</v>
      </c>
      <c r="AE48" s="4">
        <v>0</v>
      </c>
      <c r="AF48" s="4">
        <v>5</v>
      </c>
      <c r="AG48" s="4">
        <v>0.62268266964537045</v>
      </c>
      <c r="AH48" s="14">
        <v>15</v>
      </c>
      <c r="AI48" s="24">
        <f t="shared" si="36"/>
        <v>1</v>
      </c>
      <c r="AJ48" s="24">
        <f t="shared" si="37"/>
        <v>0</v>
      </c>
      <c r="AK48" t="str">
        <f t="shared" si="51"/>
        <v>-2, Déficit y resultado fue bueno</v>
      </c>
      <c r="AN48" s="26" t="s">
        <v>248</v>
      </c>
      <c r="AO48" s="34">
        <v>6</v>
      </c>
      <c r="AP48" s="23">
        <v>6.4444444444444446</v>
      </c>
      <c r="AQ48" s="26">
        <v>4</v>
      </c>
      <c r="AR48" s="26">
        <v>2</v>
      </c>
      <c r="AS48" s="26">
        <v>5</v>
      </c>
      <c r="AT48" s="29">
        <v>0.62268266964537045</v>
      </c>
      <c r="AU48" s="26">
        <v>15</v>
      </c>
      <c r="AV48" s="24">
        <f t="shared" si="38"/>
        <v>1</v>
      </c>
      <c r="AW48" s="24">
        <f t="shared" si="39"/>
        <v>-2</v>
      </c>
      <c r="AX48" s="24" t="str">
        <f t="shared" si="40"/>
        <v>0, Déficit y no elimine déficit</v>
      </c>
      <c r="AY48" t="str">
        <f t="shared" si="52"/>
        <v>-2,no había déficit y resultado fue bueno</v>
      </c>
      <c r="BA48" s="4" t="s">
        <v>248</v>
      </c>
      <c r="BB48" s="4">
        <v>1</v>
      </c>
      <c r="BC48" s="8">
        <v>3.4444444444444446</v>
      </c>
      <c r="BD48" s="8">
        <v>2</v>
      </c>
      <c r="BE48" s="4">
        <v>10</v>
      </c>
      <c r="BF48" s="4">
        <v>5</v>
      </c>
      <c r="BG48" s="4">
        <v>0.62268266964537045</v>
      </c>
      <c r="BH48" s="14">
        <v>15</v>
      </c>
      <c r="BI48" s="24">
        <f t="shared" si="41"/>
        <v>0</v>
      </c>
      <c r="BJ48" s="25">
        <f t="shared" si="42"/>
        <v>1</v>
      </c>
      <c r="BK48" t="str">
        <f t="shared" si="53"/>
        <v>-2, Déficit y resultado fue bueno</v>
      </c>
      <c r="BM48" s="4" t="s">
        <v>248</v>
      </c>
      <c r="BN48" s="4">
        <v>6</v>
      </c>
      <c r="BO48" s="8">
        <v>4.4444444444444446</v>
      </c>
      <c r="BP48" s="8">
        <v>6</v>
      </c>
      <c r="BQ48" s="4">
        <v>7</v>
      </c>
      <c r="BR48" s="4">
        <v>5</v>
      </c>
      <c r="BS48" s="4">
        <v>0.62268266964537045</v>
      </c>
      <c r="BT48" s="14">
        <v>15</v>
      </c>
      <c r="BU48" s="24">
        <f t="shared" si="43"/>
        <v>1</v>
      </c>
      <c r="BV48" s="25">
        <f t="shared" si="44"/>
        <v>0</v>
      </c>
      <c r="BW48" t="str">
        <f t="shared" si="54"/>
        <v>0, Déficit y no elimine déficit</v>
      </c>
      <c r="BY48" s="4" t="s">
        <v>248</v>
      </c>
      <c r="BZ48" s="4">
        <v>1</v>
      </c>
      <c r="CA48" s="8">
        <v>2.5555555555555554</v>
      </c>
      <c r="CB48" s="8">
        <v>1</v>
      </c>
      <c r="CC48" s="4">
        <v>1</v>
      </c>
      <c r="CD48" s="4">
        <v>5</v>
      </c>
      <c r="CE48" s="4">
        <v>0.62268266964537045</v>
      </c>
      <c r="CF48" s="14">
        <v>15</v>
      </c>
      <c r="CG48" s="24">
        <f t="shared" si="45"/>
        <v>1</v>
      </c>
      <c r="CH48" s="25">
        <f t="shared" si="46"/>
        <v>0</v>
      </c>
      <c r="CI48" t="str">
        <f t="shared" si="55"/>
        <v>-2, Déficit y resultado fue bueno</v>
      </c>
      <c r="CK48" s="4" t="s">
        <v>248</v>
      </c>
      <c r="CL48" s="4">
        <v>8</v>
      </c>
      <c r="CM48" s="8">
        <v>4.4444444444444446</v>
      </c>
      <c r="CN48" s="8">
        <v>6</v>
      </c>
      <c r="CO48" s="4">
        <v>6</v>
      </c>
      <c r="CP48" s="4">
        <v>5</v>
      </c>
      <c r="CQ48" s="4">
        <v>0.62268266964537045</v>
      </c>
      <c r="CR48" s="14">
        <v>15</v>
      </c>
      <c r="CS48" s="24">
        <f t="shared" si="47"/>
        <v>1</v>
      </c>
      <c r="CT48" s="25">
        <f t="shared" si="48"/>
        <v>-2</v>
      </c>
      <c r="CU48" t="str">
        <f t="shared" si="56"/>
        <v>0, no había déficit y la dejo con déficit</v>
      </c>
    </row>
    <row r="49" spans="1:99" ht="14.25" customHeight="1" x14ac:dyDescent="0.3">
      <c r="A49" s="4" t="s">
        <v>247</v>
      </c>
      <c r="B49" s="4">
        <v>2</v>
      </c>
      <c r="C49" s="8">
        <v>3.4444444444444446</v>
      </c>
      <c r="D49" s="4">
        <v>2</v>
      </c>
      <c r="E49" s="4">
        <v>2</v>
      </c>
      <c r="F49" s="4">
        <v>6</v>
      </c>
      <c r="G49" s="4">
        <v>0.53747605471157822</v>
      </c>
      <c r="H49" s="14">
        <v>15</v>
      </c>
      <c r="I49" s="24">
        <f t="shared" si="32"/>
        <v>1</v>
      </c>
      <c r="J49" s="24">
        <f t="shared" si="33"/>
        <v>0</v>
      </c>
      <c r="K49" s="5" t="str">
        <f t="shared" si="49"/>
        <v>-2, Déficit y resultado fue bueno</v>
      </c>
      <c r="L49" s="5"/>
      <c r="M49" s="5"/>
      <c r="N49" s="4" t="s">
        <v>247</v>
      </c>
      <c r="O49" s="4">
        <v>5</v>
      </c>
      <c r="P49" s="8">
        <v>5.5555555555555554</v>
      </c>
      <c r="Q49" s="4">
        <v>4</v>
      </c>
      <c r="R49" s="4">
        <v>4</v>
      </c>
      <c r="S49" s="4">
        <v>6</v>
      </c>
      <c r="T49" s="4">
        <v>0.53747605471157822</v>
      </c>
      <c r="U49" s="14">
        <v>15</v>
      </c>
      <c r="V49" s="24">
        <f t="shared" si="34"/>
        <v>1</v>
      </c>
      <c r="W49" s="25">
        <f t="shared" si="35"/>
        <v>-1</v>
      </c>
      <c r="X49" s="5" t="str">
        <f t="shared" si="50"/>
        <v>-2, Déficit y resultado fue bueno</v>
      </c>
      <c r="Y49" s="5"/>
      <c r="Z49" s="5"/>
      <c r="AA49" s="4" t="s">
        <v>247</v>
      </c>
      <c r="AB49" s="4">
        <v>2</v>
      </c>
      <c r="AC49" s="8">
        <v>4.5555555555555554</v>
      </c>
      <c r="AD49" s="4">
        <v>0</v>
      </c>
      <c r="AE49" s="4">
        <v>0</v>
      </c>
      <c r="AF49" s="4">
        <v>6</v>
      </c>
      <c r="AG49" s="4">
        <v>0.53747605471157822</v>
      </c>
      <c r="AH49" s="14">
        <v>15</v>
      </c>
      <c r="AI49" s="24">
        <f t="shared" si="36"/>
        <v>1</v>
      </c>
      <c r="AJ49" s="24">
        <f t="shared" si="37"/>
        <v>-2</v>
      </c>
      <c r="AK49" t="str">
        <f t="shared" si="51"/>
        <v>-2, Déficit y resultado fue bueno</v>
      </c>
      <c r="AN49" s="26" t="s">
        <v>247</v>
      </c>
      <c r="AO49" s="34">
        <v>5</v>
      </c>
      <c r="AP49" s="23">
        <v>5.333333333333333</v>
      </c>
      <c r="AQ49" s="26">
        <v>0</v>
      </c>
      <c r="AR49" s="26">
        <v>0</v>
      </c>
      <c r="AS49" s="26">
        <v>6</v>
      </c>
      <c r="AT49" s="29">
        <v>0.53747605471157822</v>
      </c>
      <c r="AU49" s="26">
        <v>15</v>
      </c>
      <c r="AV49" s="24">
        <f t="shared" si="38"/>
        <v>1</v>
      </c>
      <c r="AW49" s="24">
        <f t="shared" si="39"/>
        <v>-5</v>
      </c>
      <c r="AX49" s="24" t="str">
        <f t="shared" si="40"/>
        <v>-2, Déficit y resultado fue bueno</v>
      </c>
      <c r="AY49" t="str">
        <f t="shared" si="52"/>
        <v>-2,no había déficit y resultado fue bueno</v>
      </c>
      <c r="BA49" s="4" t="s">
        <v>247</v>
      </c>
      <c r="BB49" s="4">
        <v>8</v>
      </c>
      <c r="BC49" s="8">
        <v>5.333333333333333</v>
      </c>
      <c r="BD49" s="8">
        <v>3</v>
      </c>
      <c r="BE49" s="4">
        <v>0</v>
      </c>
      <c r="BF49" s="4">
        <v>8</v>
      </c>
      <c r="BG49" s="4">
        <v>0.53747605471157822</v>
      </c>
      <c r="BH49" s="14">
        <v>15</v>
      </c>
      <c r="BI49" s="24">
        <f t="shared" si="41"/>
        <v>1</v>
      </c>
      <c r="BJ49" s="25">
        <f t="shared" si="42"/>
        <v>-5</v>
      </c>
      <c r="BK49" t="str">
        <f t="shared" si="53"/>
        <v>-2,no había déficit y resultado fue bueno</v>
      </c>
      <c r="BM49" s="4" t="s">
        <v>247</v>
      </c>
      <c r="BN49" s="4">
        <v>11</v>
      </c>
      <c r="BO49" s="8">
        <v>6.4444444444444446</v>
      </c>
      <c r="BP49" s="8">
        <v>2</v>
      </c>
      <c r="BQ49" s="4">
        <v>0</v>
      </c>
      <c r="BR49" s="4">
        <v>6</v>
      </c>
      <c r="BS49" s="4">
        <v>0.53747605471157822</v>
      </c>
      <c r="BT49" s="14">
        <v>15</v>
      </c>
      <c r="BU49" s="24">
        <f t="shared" si="43"/>
        <v>1</v>
      </c>
      <c r="BV49" s="25">
        <f t="shared" si="44"/>
        <v>-9</v>
      </c>
      <c r="BW49" t="str">
        <f t="shared" si="54"/>
        <v>0, no había déficit y la dejo con déficit</v>
      </c>
      <c r="BY49" s="4" t="s">
        <v>247</v>
      </c>
      <c r="BZ49" s="4">
        <v>5</v>
      </c>
      <c r="CA49" s="8">
        <v>5.4444444444444446</v>
      </c>
      <c r="CB49" s="8">
        <v>7</v>
      </c>
      <c r="CC49" s="4">
        <v>6</v>
      </c>
      <c r="CD49" s="4">
        <v>6</v>
      </c>
      <c r="CE49" s="4">
        <v>0.53747605471157822</v>
      </c>
      <c r="CF49" s="14">
        <v>15</v>
      </c>
      <c r="CG49" s="24">
        <f t="shared" si="45"/>
        <v>0</v>
      </c>
      <c r="CH49" s="25">
        <f t="shared" si="46"/>
        <v>2</v>
      </c>
      <c r="CI49" t="str">
        <f t="shared" si="55"/>
        <v>-2, Déficit y resultado fue bueno</v>
      </c>
      <c r="CK49" s="4" t="s">
        <v>247</v>
      </c>
      <c r="CL49" s="4">
        <v>5</v>
      </c>
      <c r="CM49" s="8">
        <v>3.4444444444444446</v>
      </c>
      <c r="CN49" s="8">
        <v>2</v>
      </c>
      <c r="CO49" s="4">
        <v>3</v>
      </c>
      <c r="CP49" s="4">
        <v>6</v>
      </c>
      <c r="CQ49" s="4">
        <v>0.53747605471157822</v>
      </c>
      <c r="CR49" s="14">
        <v>15</v>
      </c>
      <c r="CS49" s="24">
        <f t="shared" si="47"/>
        <v>1</v>
      </c>
      <c r="CT49" s="25">
        <f t="shared" si="48"/>
        <v>-3</v>
      </c>
      <c r="CU49" t="str">
        <f t="shared" si="56"/>
        <v>-2, Déficit y resultado fue bueno</v>
      </c>
    </row>
    <row r="50" spans="1:99" ht="14.25" customHeight="1" x14ac:dyDescent="0.3">
      <c r="A50" s="4" t="s">
        <v>249</v>
      </c>
      <c r="B50" s="4">
        <v>9</v>
      </c>
      <c r="C50" s="8">
        <v>5.5555555555555554</v>
      </c>
      <c r="D50" s="4">
        <v>10</v>
      </c>
      <c r="E50" s="4">
        <v>10</v>
      </c>
      <c r="F50" s="4">
        <v>8</v>
      </c>
      <c r="G50" s="4">
        <v>0.52426836588405112</v>
      </c>
      <c r="H50" s="14">
        <v>19</v>
      </c>
      <c r="I50" s="24">
        <f t="shared" si="32"/>
        <v>0</v>
      </c>
      <c r="J50" s="24">
        <f t="shared" si="33"/>
        <v>1</v>
      </c>
      <c r="K50" s="5" t="str">
        <f t="shared" si="49"/>
        <v>0, Déficit y no elimine déficit</v>
      </c>
      <c r="L50" s="5"/>
      <c r="M50" s="5"/>
      <c r="N50" s="4" t="s">
        <v>249</v>
      </c>
      <c r="O50" s="4">
        <v>9</v>
      </c>
      <c r="P50" s="8">
        <v>5.4444444444444446</v>
      </c>
      <c r="Q50" s="4">
        <v>9</v>
      </c>
      <c r="R50" s="4">
        <v>9</v>
      </c>
      <c r="S50" s="4">
        <v>8</v>
      </c>
      <c r="T50" s="4">
        <v>0.52426836588405112</v>
      </c>
      <c r="U50" s="14">
        <v>19</v>
      </c>
      <c r="V50" s="24">
        <f t="shared" si="34"/>
        <v>1</v>
      </c>
      <c r="W50" s="25">
        <f t="shared" si="35"/>
        <v>0</v>
      </c>
      <c r="X50" s="5" t="str">
        <f t="shared" si="50"/>
        <v>0, Déficit y no elimine déficit</v>
      </c>
      <c r="Y50" s="5"/>
      <c r="Z50" s="5"/>
      <c r="AA50" s="4" t="s">
        <v>249</v>
      </c>
      <c r="AB50" s="4">
        <v>6</v>
      </c>
      <c r="AC50" s="8">
        <v>5.333333333333333</v>
      </c>
      <c r="AD50" s="4">
        <v>4</v>
      </c>
      <c r="AE50" s="4">
        <v>5</v>
      </c>
      <c r="AF50" s="4">
        <v>8</v>
      </c>
      <c r="AG50" s="4">
        <v>0.52426836588405112</v>
      </c>
      <c r="AH50" s="14">
        <v>19</v>
      </c>
      <c r="AI50" s="24">
        <f t="shared" si="36"/>
        <v>1</v>
      </c>
      <c r="AJ50" s="24">
        <f t="shared" si="37"/>
        <v>-2</v>
      </c>
      <c r="AK50" t="str">
        <f t="shared" si="51"/>
        <v>-2, Déficit y resultado fue bueno</v>
      </c>
      <c r="AN50" s="26" t="s">
        <v>249</v>
      </c>
      <c r="AO50" s="34">
        <v>1</v>
      </c>
      <c r="AP50" s="23">
        <v>8.1111111111111107</v>
      </c>
      <c r="AQ50" s="26">
        <v>1</v>
      </c>
      <c r="AR50" s="26">
        <v>1</v>
      </c>
      <c r="AS50" s="26">
        <v>12</v>
      </c>
      <c r="AT50" s="29">
        <v>0.52426836588405112</v>
      </c>
      <c r="AU50" s="26">
        <v>19</v>
      </c>
      <c r="AV50" s="24">
        <f t="shared" si="38"/>
        <v>1</v>
      </c>
      <c r="AW50" s="24">
        <f t="shared" si="39"/>
        <v>0</v>
      </c>
      <c r="AX50" s="24" t="str">
        <f t="shared" si="40"/>
        <v>1, Déficit y eliminé déficit</v>
      </c>
      <c r="AY50" t="str">
        <f t="shared" si="52"/>
        <v>-2,no había déficit y resultado fue bueno</v>
      </c>
      <c r="BA50" s="4" t="s">
        <v>249</v>
      </c>
      <c r="BB50" s="4">
        <v>14</v>
      </c>
      <c r="BC50" s="8">
        <v>7</v>
      </c>
      <c r="BD50" s="8">
        <v>15</v>
      </c>
      <c r="BE50" s="4">
        <v>14</v>
      </c>
      <c r="BF50" s="4">
        <v>8</v>
      </c>
      <c r="BG50" s="4">
        <v>0.52426836588405112</v>
      </c>
      <c r="BH50" s="14">
        <v>19</v>
      </c>
      <c r="BI50" s="24">
        <f t="shared" si="41"/>
        <v>0</v>
      </c>
      <c r="BJ50" s="25">
        <f t="shared" si="42"/>
        <v>1</v>
      </c>
      <c r="BK50" t="str">
        <f t="shared" si="53"/>
        <v>0, no había déficit y la dejo con déficit</v>
      </c>
      <c r="BM50" s="4" t="s">
        <v>249</v>
      </c>
      <c r="BN50" s="4">
        <v>4</v>
      </c>
      <c r="BO50" s="8">
        <v>5.5555555555555554</v>
      </c>
      <c r="BP50" s="8">
        <v>3</v>
      </c>
      <c r="BQ50" s="4">
        <v>3</v>
      </c>
      <c r="BR50" s="4">
        <v>8</v>
      </c>
      <c r="BS50" s="4">
        <v>0.52426836588405112</v>
      </c>
      <c r="BT50" s="14">
        <v>19</v>
      </c>
      <c r="BU50" s="24">
        <f t="shared" si="43"/>
        <v>1</v>
      </c>
      <c r="BV50" s="25">
        <f t="shared" si="44"/>
        <v>-1</v>
      </c>
      <c r="BW50" t="str">
        <f t="shared" si="54"/>
        <v>-2, Déficit y resultado fue bueno</v>
      </c>
      <c r="BY50" s="4" t="s">
        <v>249</v>
      </c>
      <c r="BZ50" s="4">
        <v>5</v>
      </c>
      <c r="CA50" s="8">
        <v>7.5555555555555554</v>
      </c>
      <c r="CB50" s="8">
        <v>6</v>
      </c>
      <c r="CC50" s="4">
        <v>6</v>
      </c>
      <c r="CD50" s="4">
        <v>9</v>
      </c>
      <c r="CE50" s="4">
        <v>0.52426836588405112</v>
      </c>
      <c r="CF50" s="14">
        <v>19</v>
      </c>
      <c r="CG50" s="24">
        <f t="shared" si="45"/>
        <v>0</v>
      </c>
      <c r="CH50" s="25">
        <f t="shared" si="46"/>
        <v>1</v>
      </c>
      <c r="CI50" t="str">
        <f t="shared" si="55"/>
        <v>-1, Déficit y dejo la capacidad media</v>
      </c>
      <c r="CK50" s="4" t="s">
        <v>249</v>
      </c>
      <c r="CL50" s="4">
        <v>4</v>
      </c>
      <c r="CM50" s="8">
        <v>5.5555555555555554</v>
      </c>
      <c r="CN50" s="8">
        <v>5</v>
      </c>
      <c r="CO50" s="4">
        <v>5</v>
      </c>
      <c r="CP50" s="4">
        <v>8</v>
      </c>
      <c r="CQ50" s="4">
        <v>0.52426836588405112</v>
      </c>
      <c r="CR50" s="14">
        <v>19</v>
      </c>
      <c r="CS50" s="24">
        <f t="shared" si="47"/>
        <v>0</v>
      </c>
      <c r="CT50" s="25">
        <f t="shared" si="48"/>
        <v>1</v>
      </c>
      <c r="CU50" t="str">
        <f t="shared" si="56"/>
        <v>-2, Déficit y resultado fue bueno</v>
      </c>
    </row>
    <row r="51" spans="1:99" ht="14.25" customHeight="1" x14ac:dyDescent="0.3">
      <c r="A51" s="4" t="s">
        <v>257</v>
      </c>
      <c r="B51" s="4">
        <v>11</v>
      </c>
      <c r="C51" s="8">
        <v>11.333333333333334</v>
      </c>
      <c r="D51" s="4">
        <v>10</v>
      </c>
      <c r="E51" s="4">
        <v>10</v>
      </c>
      <c r="F51" s="4">
        <v>11</v>
      </c>
      <c r="G51" s="4">
        <v>-0.85169148296274</v>
      </c>
      <c r="H51" s="14">
        <v>17</v>
      </c>
      <c r="I51" s="24">
        <f>IF(D51&gt;=B51,1,0)</f>
        <v>0</v>
      </c>
      <c r="J51" s="24">
        <f t="shared" si="33"/>
        <v>-1</v>
      </c>
      <c r="K51" s="5" t="str">
        <f t="shared" si="49"/>
        <v>0, Superávit y no eliminé superávit</v>
      </c>
      <c r="L51" s="5"/>
      <c r="M51" s="5"/>
      <c r="N51" s="4" t="s">
        <v>257</v>
      </c>
      <c r="O51" s="4">
        <v>11</v>
      </c>
      <c r="P51" s="8">
        <v>11</v>
      </c>
      <c r="Q51" s="4">
        <v>11</v>
      </c>
      <c r="R51" s="4">
        <v>10</v>
      </c>
      <c r="S51" s="4">
        <v>11</v>
      </c>
      <c r="T51" s="4">
        <v>-0.85169148296274</v>
      </c>
      <c r="U51" s="14">
        <v>17</v>
      </c>
      <c r="V51" s="24">
        <f t="shared" ref="V51:V60" si="57">IF(Q51&gt;=O51,1,0)</f>
        <v>1</v>
      </c>
      <c r="W51" s="25">
        <f t="shared" si="35"/>
        <v>0</v>
      </c>
      <c r="X51" s="5" t="str">
        <f t="shared" si="50"/>
        <v>0, Superávit y no eliminé superávit</v>
      </c>
      <c r="Y51" s="5"/>
      <c r="Z51" s="5"/>
      <c r="AA51" s="4" t="s">
        <v>257</v>
      </c>
      <c r="AB51" s="4">
        <v>13</v>
      </c>
      <c r="AC51" s="8">
        <v>11.222222222222221</v>
      </c>
      <c r="AD51" s="4">
        <v>11</v>
      </c>
      <c r="AE51" s="4">
        <v>13</v>
      </c>
      <c r="AF51" s="4">
        <v>13</v>
      </c>
      <c r="AG51" s="4">
        <v>-0.85169148296274</v>
      </c>
      <c r="AH51" s="14">
        <v>17</v>
      </c>
      <c r="AI51" s="24">
        <f t="shared" ref="AI51:AI60" si="58">IF(AD51&gt;=AB51,1,0)</f>
        <v>0</v>
      </c>
      <c r="AJ51" s="24">
        <f t="shared" si="37"/>
        <v>-2</v>
      </c>
      <c r="AK51" t="str">
        <f t="shared" si="51"/>
        <v>0, Superávit y no eliminé superávit</v>
      </c>
      <c r="AN51" s="26" t="s">
        <v>257</v>
      </c>
      <c r="AO51" s="34">
        <v>0</v>
      </c>
      <c r="AP51" s="23">
        <v>10.333333333333334</v>
      </c>
      <c r="AQ51" s="34">
        <v>0</v>
      </c>
      <c r="AR51" s="34">
        <v>2</v>
      </c>
      <c r="AS51" s="34">
        <v>3</v>
      </c>
      <c r="AT51" s="29">
        <v>-0.85169148296274</v>
      </c>
      <c r="AU51" s="26">
        <v>17</v>
      </c>
      <c r="AV51" s="24">
        <f t="shared" ref="AV51:AV60" si="59">IF(AQ51&gt;=AO51,1,0)</f>
        <v>1</v>
      </c>
      <c r="AW51" s="24">
        <f t="shared" si="39"/>
        <v>0</v>
      </c>
      <c r="AX51" s="24" t="str">
        <f t="shared" si="40"/>
        <v>-2, no había superávit y resultado fue bueno</v>
      </c>
      <c r="AY51" t="str">
        <f t="shared" si="52"/>
        <v>0, no había déficit y la dejo con déficit</v>
      </c>
      <c r="BA51" s="4" t="s">
        <v>257</v>
      </c>
      <c r="BB51" s="4">
        <v>16</v>
      </c>
      <c r="BC51" s="8">
        <v>13.555555555555555</v>
      </c>
      <c r="BD51" s="8">
        <v>17</v>
      </c>
      <c r="BE51" s="4">
        <v>16</v>
      </c>
      <c r="BF51" s="4">
        <v>14</v>
      </c>
      <c r="BG51" s="4">
        <v>-0.85169148296274</v>
      </c>
      <c r="BH51" s="14">
        <v>17</v>
      </c>
      <c r="BI51" s="24">
        <f t="shared" ref="BI51:BI60" si="60">IF(BD51&gt;=BB51,1,0)</f>
        <v>1</v>
      </c>
      <c r="BJ51" s="25">
        <f t="shared" si="42"/>
        <v>1</v>
      </c>
      <c r="BK51" t="str">
        <f t="shared" si="53"/>
        <v>-2, Superávit y resultado fue bueno</v>
      </c>
      <c r="BM51" s="4" t="s">
        <v>257</v>
      </c>
      <c r="BN51" s="4">
        <v>6</v>
      </c>
      <c r="BO51" s="8">
        <v>9.8888888888888893</v>
      </c>
      <c r="BP51" s="8">
        <v>4</v>
      </c>
      <c r="BQ51" s="4">
        <v>1</v>
      </c>
      <c r="BR51" s="4">
        <v>6</v>
      </c>
      <c r="BS51" s="4">
        <v>-0.85169148296274</v>
      </c>
      <c r="BT51" s="14">
        <v>17</v>
      </c>
      <c r="BU51" s="24">
        <f t="shared" ref="BU51:BU60" si="61">IF(BP51&gt;=BN51,1,0)</f>
        <v>0</v>
      </c>
      <c r="BV51" s="25">
        <f t="shared" si="44"/>
        <v>-2</v>
      </c>
      <c r="BW51" t="str">
        <f t="shared" si="54"/>
        <v>-2, no había superávit y resultado fue bueno</v>
      </c>
      <c r="BY51" s="4" t="s">
        <v>257</v>
      </c>
      <c r="BZ51" s="4">
        <v>6</v>
      </c>
      <c r="CA51" s="8">
        <v>10.555555555555555</v>
      </c>
      <c r="CB51" s="8">
        <v>6</v>
      </c>
      <c r="CC51" s="4">
        <v>8</v>
      </c>
      <c r="CD51" s="4">
        <v>14</v>
      </c>
      <c r="CE51" s="4">
        <v>-0.85169148296274</v>
      </c>
      <c r="CF51" s="14">
        <v>17</v>
      </c>
      <c r="CG51" s="24">
        <f t="shared" ref="CG51:CG60" si="62">IF(CB51&gt;=BZ51,1,0)</f>
        <v>1</v>
      </c>
      <c r="CH51" s="25">
        <f t="shared" si="46"/>
        <v>0</v>
      </c>
      <c r="CI51" t="str">
        <f t="shared" si="55"/>
        <v>0, no había superávit, y la deje con superávit</v>
      </c>
      <c r="CK51" s="4" t="s">
        <v>257</v>
      </c>
      <c r="CL51" s="4">
        <v>8</v>
      </c>
      <c r="CM51" s="8">
        <v>11.333333333333334</v>
      </c>
      <c r="CN51" s="8">
        <v>9</v>
      </c>
      <c r="CO51" s="4">
        <v>9</v>
      </c>
      <c r="CP51" s="4">
        <v>14</v>
      </c>
      <c r="CQ51" s="4">
        <v>-0.85169148296274</v>
      </c>
      <c r="CR51" s="14">
        <v>17</v>
      </c>
      <c r="CS51" s="24">
        <f t="shared" ref="CS51:CS60" si="63">IF(CN51&gt;=CL51,1,0)</f>
        <v>1</v>
      </c>
      <c r="CT51" s="25">
        <f t="shared" si="48"/>
        <v>1</v>
      </c>
      <c r="CU51" t="str">
        <f t="shared" si="56"/>
        <v>0, no había superávit, y la deje con superávit</v>
      </c>
    </row>
    <row r="52" spans="1:99" ht="14.25" customHeight="1" x14ac:dyDescent="0.3">
      <c r="A52" s="4" t="s">
        <v>266</v>
      </c>
      <c r="B52" s="4">
        <v>9</v>
      </c>
      <c r="C52" s="8">
        <v>11</v>
      </c>
      <c r="D52" s="4">
        <v>10</v>
      </c>
      <c r="E52" s="4">
        <v>10</v>
      </c>
      <c r="F52" s="4">
        <v>9</v>
      </c>
      <c r="G52" s="4">
        <v>-0.88310324035056598</v>
      </c>
      <c r="H52" s="14">
        <v>15</v>
      </c>
      <c r="I52" s="24">
        <f t="shared" ref="I52:I60" si="64">IF(D52&lt;=B52,1,0)</f>
        <v>0</v>
      </c>
      <c r="J52" s="24">
        <f t="shared" si="33"/>
        <v>1</v>
      </c>
      <c r="K52" s="5" t="str">
        <f t="shared" si="49"/>
        <v>0, Superávit y no eliminé superávit</v>
      </c>
      <c r="L52" s="5"/>
      <c r="M52" s="5"/>
      <c r="N52" s="4" t="s">
        <v>266</v>
      </c>
      <c r="O52" s="4">
        <v>13</v>
      </c>
      <c r="P52" s="8">
        <v>11.444444444444445</v>
      </c>
      <c r="Q52" s="4">
        <v>13</v>
      </c>
      <c r="R52" s="4">
        <v>13</v>
      </c>
      <c r="S52" s="4">
        <v>13</v>
      </c>
      <c r="T52" s="4">
        <v>-0.88310324035056598</v>
      </c>
      <c r="U52" s="14">
        <v>15</v>
      </c>
      <c r="V52" s="24">
        <f t="shared" si="57"/>
        <v>1</v>
      </c>
      <c r="W52" s="25">
        <f t="shared" si="35"/>
        <v>0</v>
      </c>
      <c r="X52" s="5" t="str">
        <f t="shared" si="50"/>
        <v>0, Superávit y no eliminé superávit</v>
      </c>
      <c r="Y52" s="5"/>
      <c r="Z52" s="5"/>
      <c r="AA52" s="4" t="s">
        <v>266</v>
      </c>
      <c r="AB52" s="4">
        <v>6</v>
      </c>
      <c r="AC52" s="8">
        <v>11.333333333333334</v>
      </c>
      <c r="AD52" s="4">
        <v>11</v>
      </c>
      <c r="AE52" s="4">
        <v>11</v>
      </c>
      <c r="AF52" s="4">
        <v>13</v>
      </c>
      <c r="AG52" s="4">
        <v>-0.88310324035056598</v>
      </c>
      <c r="AH52" s="14">
        <v>15</v>
      </c>
      <c r="AI52" s="24">
        <f t="shared" si="58"/>
        <v>1</v>
      </c>
      <c r="AJ52" s="24">
        <f t="shared" si="37"/>
        <v>5</v>
      </c>
      <c r="AK52" t="str">
        <f t="shared" si="51"/>
        <v>0, no había superávit, y la deje con superávit</v>
      </c>
      <c r="AN52" s="26" t="s">
        <v>266</v>
      </c>
      <c r="AO52" s="34">
        <v>5</v>
      </c>
      <c r="AP52" s="23">
        <v>9.2222222222222214</v>
      </c>
      <c r="AQ52" s="34">
        <v>10</v>
      </c>
      <c r="AR52" s="34">
        <v>11</v>
      </c>
      <c r="AS52" s="34">
        <v>5</v>
      </c>
      <c r="AT52" s="29">
        <v>-0.88310324035056598</v>
      </c>
      <c r="AU52" s="26">
        <v>15</v>
      </c>
      <c r="AV52" s="24">
        <f t="shared" si="59"/>
        <v>1</v>
      </c>
      <c r="AW52" s="24">
        <f t="shared" si="39"/>
        <v>5</v>
      </c>
      <c r="AX52" s="24" t="str">
        <f t="shared" si="40"/>
        <v>-2, no había superávit y resultado fue bueno</v>
      </c>
      <c r="AY52" t="str">
        <f t="shared" si="52"/>
        <v>0, no había déficit y la dejo con déficit</v>
      </c>
      <c r="BA52" s="4" t="s">
        <v>266</v>
      </c>
      <c r="BB52" s="4">
        <v>6</v>
      </c>
      <c r="BC52" s="8">
        <v>8.5555555555555554</v>
      </c>
      <c r="BD52" s="8">
        <v>9</v>
      </c>
      <c r="BE52" s="4">
        <v>9</v>
      </c>
      <c r="BF52" s="4">
        <v>7</v>
      </c>
      <c r="BG52" s="4">
        <v>-0.88310324035056598</v>
      </c>
      <c r="BH52" s="14">
        <v>15</v>
      </c>
      <c r="BI52" s="24">
        <f t="shared" si="60"/>
        <v>1</v>
      </c>
      <c r="BJ52" s="25">
        <f t="shared" si="42"/>
        <v>3</v>
      </c>
      <c r="BK52" t="str">
        <f t="shared" si="53"/>
        <v>-1, no había superávit y deje la capacidad media</v>
      </c>
      <c r="BM52" s="4" t="s">
        <v>266</v>
      </c>
      <c r="BN52" s="4">
        <v>10</v>
      </c>
      <c r="BO52" s="8">
        <v>11.777777777777779</v>
      </c>
      <c r="BP52" s="8">
        <v>11</v>
      </c>
      <c r="BQ52" s="4">
        <v>12</v>
      </c>
      <c r="BR52" s="4">
        <v>11</v>
      </c>
      <c r="BS52" s="4">
        <v>-0.88310324035056598</v>
      </c>
      <c r="BT52" s="14">
        <v>15</v>
      </c>
      <c r="BU52" s="24">
        <f t="shared" si="61"/>
        <v>1</v>
      </c>
      <c r="BV52" s="25">
        <f t="shared" si="44"/>
        <v>1</v>
      </c>
      <c r="BW52" t="str">
        <f t="shared" si="54"/>
        <v>0, Superávit y no eliminé superávit</v>
      </c>
      <c r="BY52" s="4" t="s">
        <v>266</v>
      </c>
      <c r="BZ52" s="4">
        <v>12</v>
      </c>
      <c r="CA52" s="8">
        <v>10.777777777777779</v>
      </c>
      <c r="CB52" s="8">
        <v>15</v>
      </c>
      <c r="CC52" s="4">
        <v>14</v>
      </c>
      <c r="CD52" s="4">
        <v>12</v>
      </c>
      <c r="CE52" s="4">
        <v>-0.88310324035056598</v>
      </c>
      <c r="CF52" s="14">
        <v>15</v>
      </c>
      <c r="CG52" s="24">
        <f t="shared" si="62"/>
        <v>1</v>
      </c>
      <c r="CH52" s="25">
        <f t="shared" si="46"/>
        <v>3</v>
      </c>
      <c r="CI52" t="str">
        <f t="shared" si="55"/>
        <v>0, Superávit y no eliminé superávit</v>
      </c>
      <c r="CK52" s="4" t="s">
        <v>266</v>
      </c>
      <c r="CL52" s="4">
        <v>15</v>
      </c>
      <c r="CM52" s="8">
        <v>11</v>
      </c>
      <c r="CN52" s="8">
        <v>5</v>
      </c>
      <c r="CO52" s="4">
        <v>5</v>
      </c>
      <c r="CP52" s="4">
        <v>13</v>
      </c>
      <c r="CQ52" s="4">
        <v>-0.88310324035056598</v>
      </c>
      <c r="CR52" s="14">
        <v>15</v>
      </c>
      <c r="CS52" s="24">
        <f t="shared" si="63"/>
        <v>0</v>
      </c>
      <c r="CT52" s="25">
        <f t="shared" si="48"/>
        <v>-10</v>
      </c>
      <c r="CU52" t="str">
        <f t="shared" si="56"/>
        <v>-2, Superávit y resultado fue bueno</v>
      </c>
    </row>
    <row r="53" spans="1:99" ht="14.25" customHeight="1" x14ac:dyDescent="0.3">
      <c r="A53" s="4" t="s">
        <v>263</v>
      </c>
      <c r="B53" s="4">
        <v>14</v>
      </c>
      <c r="C53" s="8">
        <v>11.333333333333334</v>
      </c>
      <c r="D53" s="4">
        <v>14</v>
      </c>
      <c r="E53" s="4">
        <v>14</v>
      </c>
      <c r="F53" s="4">
        <v>8</v>
      </c>
      <c r="G53" s="4">
        <v>-0.90834372881365233</v>
      </c>
      <c r="H53" s="14">
        <v>15</v>
      </c>
      <c r="I53" s="24">
        <f t="shared" si="64"/>
        <v>1</v>
      </c>
      <c r="J53" s="24">
        <f t="shared" si="33"/>
        <v>0</v>
      </c>
      <c r="K53" s="5" t="str">
        <f t="shared" si="49"/>
        <v>-2, Superávit y resultado fue bueno</v>
      </c>
      <c r="L53" s="5"/>
      <c r="M53" s="5"/>
      <c r="N53" s="4" t="s">
        <v>263</v>
      </c>
      <c r="O53" s="4">
        <v>11</v>
      </c>
      <c r="P53" s="8">
        <v>12</v>
      </c>
      <c r="Q53" s="4">
        <v>12</v>
      </c>
      <c r="R53" s="4">
        <v>13</v>
      </c>
      <c r="S53" s="4">
        <v>11</v>
      </c>
      <c r="T53" s="4">
        <v>-0.90834372881365233</v>
      </c>
      <c r="U53" s="14">
        <v>15</v>
      </c>
      <c r="V53" s="24">
        <f t="shared" si="57"/>
        <v>1</v>
      </c>
      <c r="W53" s="25">
        <f t="shared" si="35"/>
        <v>1</v>
      </c>
      <c r="X53" s="5" t="str">
        <f t="shared" si="50"/>
        <v>0, Superávit y no eliminé superávit</v>
      </c>
      <c r="Y53" s="5"/>
      <c r="Z53" s="5"/>
      <c r="AA53" s="4" t="s">
        <v>263</v>
      </c>
      <c r="AB53" s="4">
        <v>13</v>
      </c>
      <c r="AC53" s="8">
        <v>9.2222222222222214</v>
      </c>
      <c r="AD53" s="4">
        <v>11</v>
      </c>
      <c r="AE53" s="4">
        <v>12</v>
      </c>
      <c r="AF53" s="4">
        <v>7</v>
      </c>
      <c r="AG53" s="4">
        <v>-0.90834372881365233</v>
      </c>
      <c r="AH53" s="14">
        <v>15</v>
      </c>
      <c r="AI53" s="24">
        <f t="shared" si="58"/>
        <v>0</v>
      </c>
      <c r="AJ53" s="24">
        <f t="shared" si="37"/>
        <v>-2</v>
      </c>
      <c r="AK53" t="str">
        <f t="shared" si="51"/>
        <v>-1, Superávit y deje la capacidad media</v>
      </c>
      <c r="AN53" s="26" t="s">
        <v>263</v>
      </c>
      <c r="AO53" s="34">
        <v>8</v>
      </c>
      <c r="AP53" s="23">
        <v>11.333333333333334</v>
      </c>
      <c r="AQ53" s="34">
        <v>12</v>
      </c>
      <c r="AR53" s="34">
        <v>12</v>
      </c>
      <c r="AS53" s="34">
        <v>8</v>
      </c>
      <c r="AT53" s="29">
        <v>-0.90834372881365233</v>
      </c>
      <c r="AU53" s="26">
        <v>15</v>
      </c>
      <c r="AV53" s="24">
        <f t="shared" si="59"/>
        <v>1</v>
      </c>
      <c r="AW53" s="24">
        <f t="shared" si="39"/>
        <v>4</v>
      </c>
      <c r="AX53" s="24" t="str">
        <f t="shared" si="40"/>
        <v>0, Superávit y no eliminé superávit</v>
      </c>
      <c r="AY53" t="str">
        <f t="shared" si="52"/>
        <v>0, no había déficit y la dejo con déficit</v>
      </c>
      <c r="BA53" s="4" t="s">
        <v>263</v>
      </c>
      <c r="BB53" s="4">
        <v>9</v>
      </c>
      <c r="BC53" s="8">
        <v>11.444444444444445</v>
      </c>
      <c r="BD53" s="8">
        <v>12</v>
      </c>
      <c r="BE53" s="4">
        <v>12</v>
      </c>
      <c r="BF53" s="4">
        <v>12</v>
      </c>
      <c r="BG53" s="4">
        <v>-0.90834372881365233</v>
      </c>
      <c r="BH53" s="14">
        <v>15</v>
      </c>
      <c r="BI53" s="24">
        <f t="shared" si="60"/>
        <v>1</v>
      </c>
      <c r="BJ53" s="25">
        <f t="shared" si="42"/>
        <v>3</v>
      </c>
      <c r="BK53" t="str">
        <f t="shared" si="53"/>
        <v>0, Superávit y no eliminé superávit</v>
      </c>
      <c r="BM53" s="4" t="s">
        <v>263</v>
      </c>
      <c r="BN53" s="4">
        <v>9</v>
      </c>
      <c r="BO53" s="8">
        <v>11.444444444444445</v>
      </c>
      <c r="BP53" s="8">
        <v>8</v>
      </c>
      <c r="BQ53" s="4">
        <v>11</v>
      </c>
      <c r="BR53" s="4">
        <v>9</v>
      </c>
      <c r="BS53" s="4">
        <v>-0.90834372881365233</v>
      </c>
      <c r="BT53" s="14">
        <v>15</v>
      </c>
      <c r="BU53" s="24">
        <f t="shared" si="61"/>
        <v>0</v>
      </c>
      <c r="BV53" s="25">
        <f t="shared" si="44"/>
        <v>-1</v>
      </c>
      <c r="BW53" t="str">
        <f t="shared" si="54"/>
        <v>0, Superávit y no eliminé superávit</v>
      </c>
      <c r="BY53" s="4" t="s">
        <v>263</v>
      </c>
      <c r="BZ53" s="4">
        <v>9</v>
      </c>
      <c r="CA53" s="8">
        <v>9.6666666666666661</v>
      </c>
      <c r="CB53" s="8">
        <v>9</v>
      </c>
      <c r="CC53" s="4">
        <v>8</v>
      </c>
      <c r="CD53" s="4">
        <v>3</v>
      </c>
      <c r="CE53" s="4">
        <v>-0.90834372881365233</v>
      </c>
      <c r="CF53" s="14">
        <v>15</v>
      </c>
      <c r="CG53" s="24">
        <f t="shared" si="62"/>
        <v>1</v>
      </c>
      <c r="CH53" s="25">
        <f t="shared" si="46"/>
        <v>0</v>
      </c>
      <c r="CI53" t="str">
        <f t="shared" si="55"/>
        <v>1, Superávit y eliminé superávit</v>
      </c>
      <c r="CK53" s="4" t="s">
        <v>263</v>
      </c>
      <c r="CL53" s="4">
        <v>14</v>
      </c>
      <c r="CM53" s="8">
        <v>11.333333333333334</v>
      </c>
      <c r="CN53" s="8">
        <v>14</v>
      </c>
      <c r="CO53" s="4">
        <v>14</v>
      </c>
      <c r="CP53" s="4">
        <v>6</v>
      </c>
      <c r="CQ53" s="4">
        <v>-0.90834372881365233</v>
      </c>
      <c r="CR53" s="14">
        <v>15</v>
      </c>
      <c r="CS53" s="24">
        <f t="shared" si="63"/>
        <v>1</v>
      </c>
      <c r="CT53" s="25">
        <f t="shared" si="48"/>
        <v>0</v>
      </c>
      <c r="CU53" t="str">
        <f t="shared" si="56"/>
        <v>1, Superávit y eliminé superávit</v>
      </c>
    </row>
    <row r="54" spans="1:99" ht="14.25" customHeight="1" x14ac:dyDescent="0.3">
      <c r="A54" s="4" t="s">
        <v>261</v>
      </c>
      <c r="B54" s="4">
        <v>13</v>
      </c>
      <c r="C54" s="8">
        <v>22</v>
      </c>
      <c r="D54" s="4">
        <v>16</v>
      </c>
      <c r="E54" s="4">
        <v>17</v>
      </c>
      <c r="F54" s="4">
        <v>13</v>
      </c>
      <c r="G54" s="4">
        <v>-0.99095987605964864</v>
      </c>
      <c r="H54" s="14">
        <v>31</v>
      </c>
      <c r="I54" s="24">
        <f t="shared" si="64"/>
        <v>0</v>
      </c>
      <c r="J54" s="24">
        <f t="shared" si="33"/>
        <v>3</v>
      </c>
      <c r="K54" s="5" t="str">
        <f t="shared" si="49"/>
        <v>-2, no había superávit y resultado fue bueno</v>
      </c>
      <c r="L54" s="5"/>
      <c r="M54" s="5"/>
      <c r="N54" s="4" t="s">
        <v>261</v>
      </c>
      <c r="O54" s="4">
        <v>26</v>
      </c>
      <c r="P54" s="8">
        <v>24.333333333333332</v>
      </c>
      <c r="Q54" s="4">
        <v>26</v>
      </c>
      <c r="R54" s="4">
        <v>30</v>
      </c>
      <c r="S54" s="4">
        <v>26</v>
      </c>
      <c r="T54" s="4">
        <v>-0.99095987605964864</v>
      </c>
      <c r="U54" s="14">
        <v>31</v>
      </c>
      <c r="V54" s="24">
        <f t="shared" si="57"/>
        <v>1</v>
      </c>
      <c r="W54" s="25">
        <f t="shared" si="35"/>
        <v>0</v>
      </c>
      <c r="X54" s="5" t="str">
        <f t="shared" si="50"/>
        <v>0, Superávit y no eliminé superávit</v>
      </c>
      <c r="Y54" s="5"/>
      <c r="Z54" s="5"/>
      <c r="AA54" s="4" t="s">
        <v>261</v>
      </c>
      <c r="AB54" s="4">
        <v>29</v>
      </c>
      <c r="AC54" s="8">
        <v>22.777777777777779</v>
      </c>
      <c r="AD54" s="4">
        <v>29</v>
      </c>
      <c r="AE54" s="4">
        <v>29</v>
      </c>
      <c r="AF54" s="4">
        <v>22</v>
      </c>
      <c r="AG54" s="4">
        <v>-0.99095987605964864</v>
      </c>
      <c r="AH54" s="14">
        <v>31</v>
      </c>
      <c r="AI54" s="24">
        <f t="shared" si="58"/>
        <v>1</v>
      </c>
      <c r="AJ54" s="24">
        <f t="shared" si="37"/>
        <v>0</v>
      </c>
      <c r="AK54" t="str">
        <f t="shared" si="51"/>
        <v>-2, Superávit y resultado fue bueno</v>
      </c>
      <c r="AN54" s="26" t="s">
        <v>261</v>
      </c>
      <c r="AO54" s="34">
        <v>26</v>
      </c>
      <c r="AP54" s="23">
        <v>21.333333333333332</v>
      </c>
      <c r="AQ54" s="34">
        <v>25</v>
      </c>
      <c r="AR54" s="34">
        <v>28</v>
      </c>
      <c r="AS54" s="34">
        <v>26</v>
      </c>
      <c r="AT54" s="29">
        <v>-0.99095987605964864</v>
      </c>
      <c r="AU54" s="26">
        <v>31</v>
      </c>
      <c r="AV54" s="24">
        <f t="shared" si="59"/>
        <v>0</v>
      </c>
      <c r="AW54" s="24">
        <f t="shared" si="39"/>
        <v>-1</v>
      </c>
      <c r="AX54" s="24" t="str">
        <f t="shared" si="40"/>
        <v>0, Superávit y no eliminé superávit</v>
      </c>
      <c r="AY54" t="str">
        <f t="shared" si="52"/>
        <v>0, no había déficit y la dejo con déficit</v>
      </c>
      <c r="BA54" s="4" t="s">
        <v>261</v>
      </c>
      <c r="BB54" s="4">
        <v>19</v>
      </c>
      <c r="BC54" s="8">
        <v>23.222222222222221</v>
      </c>
      <c r="BD54" s="8">
        <v>20</v>
      </c>
      <c r="BE54" s="4">
        <v>20</v>
      </c>
      <c r="BF54" s="4">
        <v>19</v>
      </c>
      <c r="BG54" s="4">
        <v>-0.99095987605964864</v>
      </c>
      <c r="BH54" s="14">
        <v>31</v>
      </c>
      <c r="BI54" s="24">
        <f t="shared" si="60"/>
        <v>1</v>
      </c>
      <c r="BJ54" s="25">
        <f t="shared" si="42"/>
        <v>1</v>
      </c>
      <c r="BK54" t="str">
        <f t="shared" si="53"/>
        <v>0, Superávit y no eliminé superávit</v>
      </c>
      <c r="BM54" s="4" t="s">
        <v>261</v>
      </c>
      <c r="BN54" s="4">
        <v>28</v>
      </c>
      <c r="BO54" s="8">
        <v>18.444444444444443</v>
      </c>
      <c r="BP54" s="8">
        <v>31</v>
      </c>
      <c r="BQ54" s="4">
        <v>30</v>
      </c>
      <c r="BR54" s="4">
        <v>27</v>
      </c>
      <c r="BS54" s="4">
        <v>-0.99095987605964864</v>
      </c>
      <c r="BT54" s="14">
        <v>31</v>
      </c>
      <c r="BU54" s="24">
        <f t="shared" si="61"/>
        <v>1</v>
      </c>
      <c r="BV54" s="25">
        <f t="shared" si="44"/>
        <v>3</v>
      </c>
      <c r="BW54" t="str">
        <f t="shared" si="54"/>
        <v>-2, Superávit y resultado fue bueno</v>
      </c>
      <c r="BY54" s="4" t="s">
        <v>261</v>
      </c>
      <c r="BZ54" s="4">
        <v>25</v>
      </c>
      <c r="CA54" s="8">
        <v>23.888888888888889</v>
      </c>
      <c r="CB54" s="8">
        <v>29</v>
      </c>
      <c r="CC54" s="4">
        <v>29</v>
      </c>
      <c r="CD54" s="4">
        <v>25</v>
      </c>
      <c r="CE54" s="4">
        <v>-0.99095987605964864</v>
      </c>
      <c r="CF54" s="14">
        <v>31</v>
      </c>
      <c r="CG54" s="24">
        <f t="shared" si="62"/>
        <v>1</v>
      </c>
      <c r="CH54" s="25">
        <f t="shared" si="46"/>
        <v>4</v>
      </c>
      <c r="CI54" t="str">
        <f t="shared" si="55"/>
        <v>0, Superávit y no eliminé superávit</v>
      </c>
      <c r="CK54" s="4" t="s">
        <v>261</v>
      </c>
      <c r="CL54" s="4">
        <v>9</v>
      </c>
      <c r="CM54" s="8">
        <v>22</v>
      </c>
      <c r="CN54" s="8">
        <v>10</v>
      </c>
      <c r="CO54" s="4">
        <v>29</v>
      </c>
      <c r="CP54" s="4">
        <v>11</v>
      </c>
      <c r="CQ54" s="4">
        <v>-0.99095987605964864</v>
      </c>
      <c r="CR54" s="14">
        <v>31</v>
      </c>
      <c r="CS54" s="24">
        <f t="shared" si="63"/>
        <v>1</v>
      </c>
      <c r="CT54" s="25">
        <f t="shared" si="48"/>
        <v>1</v>
      </c>
      <c r="CU54" t="str">
        <f t="shared" si="56"/>
        <v>-2, no había superávit y resultado fue bueno</v>
      </c>
    </row>
    <row r="55" spans="1:99" ht="14.25" customHeight="1" x14ac:dyDescent="0.3">
      <c r="A55" s="4" t="s">
        <v>260</v>
      </c>
      <c r="B55" s="4">
        <v>14</v>
      </c>
      <c r="C55" s="8">
        <v>12.111111111111111</v>
      </c>
      <c r="D55" s="4">
        <v>16</v>
      </c>
      <c r="E55" s="4">
        <v>16</v>
      </c>
      <c r="F55" s="4">
        <v>14</v>
      </c>
      <c r="G55" s="4">
        <v>-1.072806810743151</v>
      </c>
      <c r="H55" s="14">
        <v>19</v>
      </c>
      <c r="I55" s="24">
        <f t="shared" si="64"/>
        <v>0</v>
      </c>
      <c r="J55" s="24">
        <f t="shared" si="33"/>
        <v>2</v>
      </c>
      <c r="K55" s="5" t="str">
        <f t="shared" si="49"/>
        <v>0, Superávit y no eliminé superávit</v>
      </c>
      <c r="L55" s="5"/>
      <c r="M55" s="5"/>
      <c r="N55" s="4" t="s">
        <v>260</v>
      </c>
      <c r="O55" s="4">
        <v>18</v>
      </c>
      <c r="P55" s="8">
        <v>11.444444444444445</v>
      </c>
      <c r="Q55" s="4">
        <v>19</v>
      </c>
      <c r="R55" s="4">
        <v>19</v>
      </c>
      <c r="S55" s="4">
        <v>16</v>
      </c>
      <c r="T55" s="4">
        <v>-1.072806810743151</v>
      </c>
      <c r="U55" s="14">
        <v>19</v>
      </c>
      <c r="V55" s="24">
        <f t="shared" si="57"/>
        <v>1</v>
      </c>
      <c r="W55" s="25">
        <f t="shared" si="35"/>
        <v>1</v>
      </c>
      <c r="X55" s="5" t="str">
        <f t="shared" si="50"/>
        <v>-2, Superávit y resultado fue bueno</v>
      </c>
      <c r="Y55" s="5"/>
      <c r="Z55" s="5"/>
      <c r="AA55" s="4" t="s">
        <v>260</v>
      </c>
      <c r="AB55" s="4">
        <v>18</v>
      </c>
      <c r="AC55" s="8">
        <v>13.555555555555555</v>
      </c>
      <c r="AD55" s="4">
        <v>15</v>
      </c>
      <c r="AE55" s="4">
        <v>12</v>
      </c>
      <c r="AF55" s="4">
        <v>9</v>
      </c>
      <c r="AG55" s="4">
        <v>-1.072806810743151</v>
      </c>
      <c r="AH55" s="14">
        <v>19</v>
      </c>
      <c r="AI55" s="24">
        <f t="shared" si="58"/>
        <v>0</v>
      </c>
      <c r="AJ55" s="24">
        <f t="shared" si="37"/>
        <v>-3</v>
      </c>
      <c r="AK55" t="str">
        <f t="shared" si="51"/>
        <v>-1, Superávit y deje la capacidad media</v>
      </c>
      <c r="AN55" s="26" t="s">
        <v>260</v>
      </c>
      <c r="AO55" s="34">
        <v>19</v>
      </c>
      <c r="AP55" s="23">
        <v>15</v>
      </c>
      <c r="AQ55" s="34">
        <v>19</v>
      </c>
      <c r="AR55" s="34">
        <v>19</v>
      </c>
      <c r="AS55" s="34">
        <v>12</v>
      </c>
      <c r="AT55" s="29">
        <v>-1.072806810743151</v>
      </c>
      <c r="AU55" s="26">
        <v>19</v>
      </c>
      <c r="AV55" s="24">
        <f t="shared" si="59"/>
        <v>1</v>
      </c>
      <c r="AW55" s="24">
        <f t="shared" si="39"/>
        <v>0</v>
      </c>
      <c r="AX55" s="24" t="str">
        <f t="shared" si="40"/>
        <v>-2, Superávit y resultado fue bueno</v>
      </c>
      <c r="AY55" t="str">
        <f t="shared" si="52"/>
        <v>0, no había déficit y la dejo con déficit</v>
      </c>
      <c r="BA55" s="4" t="s">
        <v>260</v>
      </c>
      <c r="BB55" s="4">
        <v>16</v>
      </c>
      <c r="BC55" s="8">
        <v>12.555555555555555</v>
      </c>
      <c r="BD55" s="8">
        <v>18</v>
      </c>
      <c r="BE55" s="4">
        <v>18</v>
      </c>
      <c r="BF55" s="4">
        <v>16</v>
      </c>
      <c r="BG55" s="4">
        <v>-1.072806810743151</v>
      </c>
      <c r="BH55" s="14">
        <v>19</v>
      </c>
      <c r="BI55" s="24">
        <f t="shared" si="60"/>
        <v>1</v>
      </c>
      <c r="BJ55" s="25">
        <f t="shared" si="42"/>
        <v>2</v>
      </c>
      <c r="BK55" t="str">
        <f t="shared" si="53"/>
        <v>0, Superávit y no eliminé superávit</v>
      </c>
      <c r="BM55" s="4" t="s">
        <v>260</v>
      </c>
      <c r="BN55" s="4">
        <v>16</v>
      </c>
      <c r="BO55" s="8">
        <v>14.222222222222221</v>
      </c>
      <c r="BP55" s="8">
        <v>15</v>
      </c>
      <c r="BQ55" s="4">
        <v>15</v>
      </c>
      <c r="BR55" s="4">
        <v>16</v>
      </c>
      <c r="BS55" s="4">
        <v>-1.072806810743151</v>
      </c>
      <c r="BT55" s="14">
        <v>19</v>
      </c>
      <c r="BU55" s="24">
        <f t="shared" si="61"/>
        <v>0</v>
      </c>
      <c r="BV55" s="25">
        <f t="shared" si="44"/>
        <v>-1</v>
      </c>
      <c r="BW55" t="str">
        <f t="shared" si="54"/>
        <v>0, Superávit y no eliminé superávit</v>
      </c>
      <c r="BY55" s="4" t="s">
        <v>260</v>
      </c>
      <c r="BZ55" s="4">
        <v>9</v>
      </c>
      <c r="CA55" s="8">
        <v>12.777777777777779</v>
      </c>
      <c r="CB55" s="8">
        <v>11</v>
      </c>
      <c r="CC55" s="4">
        <v>13</v>
      </c>
      <c r="CD55" s="4">
        <v>9</v>
      </c>
      <c r="CE55" s="4">
        <v>-1.072806810743151</v>
      </c>
      <c r="CF55" s="14">
        <v>19</v>
      </c>
      <c r="CG55" s="24">
        <f t="shared" si="62"/>
        <v>1</v>
      </c>
      <c r="CH55" s="25">
        <f t="shared" si="46"/>
        <v>2</v>
      </c>
      <c r="CI55" t="str">
        <f t="shared" si="55"/>
        <v>-1, no había superávit y deje la capacidad media</v>
      </c>
      <c r="CK55" s="4" t="s">
        <v>260</v>
      </c>
      <c r="CL55" s="4">
        <v>10</v>
      </c>
      <c r="CM55" s="8">
        <v>12.111111111111111</v>
      </c>
      <c r="CN55" s="8">
        <v>8</v>
      </c>
      <c r="CO55" s="4">
        <v>8</v>
      </c>
      <c r="CP55" s="4">
        <v>10</v>
      </c>
      <c r="CQ55" s="4">
        <v>-1.072806810743151</v>
      </c>
      <c r="CR55" s="14">
        <v>19</v>
      </c>
      <c r="CS55" s="24">
        <f t="shared" si="63"/>
        <v>0</v>
      </c>
      <c r="CT55" s="25">
        <f t="shared" si="48"/>
        <v>-2</v>
      </c>
      <c r="CU55" t="str">
        <f t="shared" si="56"/>
        <v>0, Superávit y no eliminé superávit</v>
      </c>
    </row>
    <row r="56" spans="1:99" ht="14.25" customHeight="1" x14ac:dyDescent="0.3">
      <c r="A56" s="4" t="s">
        <v>259</v>
      </c>
      <c r="B56" s="4">
        <v>7</v>
      </c>
      <c r="C56" s="8">
        <v>14.777777777777779</v>
      </c>
      <c r="D56" s="4">
        <v>9</v>
      </c>
      <c r="E56" s="4">
        <v>11</v>
      </c>
      <c r="F56" s="4">
        <v>7</v>
      </c>
      <c r="G56" s="4">
        <v>-1.1154133211974251</v>
      </c>
      <c r="H56" s="14">
        <v>19</v>
      </c>
      <c r="I56" s="24">
        <f t="shared" si="64"/>
        <v>0</v>
      </c>
      <c r="J56" s="24">
        <f t="shared" si="33"/>
        <v>2</v>
      </c>
      <c r="K56" s="5" t="str">
        <f t="shared" si="49"/>
        <v>-2, no había superávit y resultado fue bueno</v>
      </c>
      <c r="L56" s="5"/>
      <c r="M56" s="5"/>
      <c r="N56" s="4" t="s">
        <v>259</v>
      </c>
      <c r="O56" s="4">
        <v>12</v>
      </c>
      <c r="P56" s="8">
        <v>14.666666666666666</v>
      </c>
      <c r="Q56" s="4">
        <v>15</v>
      </c>
      <c r="R56" s="4">
        <v>15</v>
      </c>
      <c r="S56" s="4">
        <v>16</v>
      </c>
      <c r="T56" s="4">
        <v>-1.1154133211974251</v>
      </c>
      <c r="U56" s="14">
        <v>19</v>
      </c>
      <c r="V56" s="24">
        <f t="shared" si="57"/>
        <v>1</v>
      </c>
      <c r="W56" s="25">
        <f t="shared" si="35"/>
        <v>3</v>
      </c>
      <c r="X56" s="5" t="str">
        <f t="shared" si="50"/>
        <v>0, Superávit y no eliminé superávit</v>
      </c>
      <c r="Y56" s="5"/>
      <c r="Z56" s="5"/>
      <c r="AA56" s="4" t="s">
        <v>259</v>
      </c>
      <c r="AB56" s="4">
        <v>16</v>
      </c>
      <c r="AC56" s="8">
        <v>10.333333333333334</v>
      </c>
      <c r="AD56" s="4">
        <v>15</v>
      </c>
      <c r="AE56" s="4">
        <v>17</v>
      </c>
      <c r="AF56" s="4">
        <v>8</v>
      </c>
      <c r="AG56" s="4">
        <v>-1.1154133211974251</v>
      </c>
      <c r="AH56" s="14">
        <v>19</v>
      </c>
      <c r="AI56" s="24">
        <f t="shared" si="58"/>
        <v>0</v>
      </c>
      <c r="AJ56" s="24">
        <f t="shared" si="37"/>
        <v>-1</v>
      </c>
      <c r="AK56" t="str">
        <f t="shared" si="51"/>
        <v>1, Superávit y eliminé superávit</v>
      </c>
      <c r="AN56" s="26" t="s">
        <v>259</v>
      </c>
      <c r="AO56" s="34">
        <v>14</v>
      </c>
      <c r="AP56" s="23">
        <v>12.555555555555555</v>
      </c>
      <c r="AQ56" s="34">
        <v>16</v>
      </c>
      <c r="AR56" s="34">
        <v>16</v>
      </c>
      <c r="AS56" s="34">
        <v>3</v>
      </c>
      <c r="AT56" s="29">
        <v>-1.1154133211974251</v>
      </c>
      <c r="AU56" s="26">
        <v>19</v>
      </c>
      <c r="AV56" s="24">
        <f t="shared" si="59"/>
        <v>1</v>
      </c>
      <c r="AW56" s="24">
        <f t="shared" si="39"/>
        <v>2</v>
      </c>
      <c r="AX56" s="24" t="str">
        <f t="shared" si="40"/>
        <v>1, Superávit y eliminé superávit</v>
      </c>
      <c r="AY56" t="str">
        <f t="shared" si="52"/>
        <v>0, no había déficit y la dejo con déficit</v>
      </c>
      <c r="BA56" s="4" t="s">
        <v>259</v>
      </c>
      <c r="BB56" s="4">
        <v>12</v>
      </c>
      <c r="BC56" s="8">
        <v>13.111111111111111</v>
      </c>
      <c r="BD56" s="8">
        <v>10</v>
      </c>
      <c r="BE56" s="4">
        <v>14</v>
      </c>
      <c r="BF56" s="4">
        <v>12</v>
      </c>
      <c r="BG56" s="4">
        <v>-1.1154133211974251</v>
      </c>
      <c r="BH56" s="14">
        <v>19</v>
      </c>
      <c r="BI56" s="24">
        <f t="shared" si="60"/>
        <v>0</v>
      </c>
      <c r="BJ56" s="25">
        <f t="shared" si="42"/>
        <v>-2</v>
      </c>
      <c r="BK56" t="str">
        <f t="shared" si="53"/>
        <v>0, Superávit y no eliminé superávit</v>
      </c>
      <c r="BM56" s="4" t="s">
        <v>259</v>
      </c>
      <c r="BN56" s="4">
        <v>12</v>
      </c>
      <c r="BO56" s="8">
        <v>13.555555555555555</v>
      </c>
      <c r="BP56" s="8">
        <v>14</v>
      </c>
      <c r="BQ56" s="4">
        <v>15</v>
      </c>
      <c r="BR56" s="4">
        <v>12</v>
      </c>
      <c r="BS56" s="4">
        <v>-1.1154133211974251</v>
      </c>
      <c r="BT56" s="14">
        <v>19</v>
      </c>
      <c r="BU56" s="24">
        <f t="shared" si="61"/>
        <v>1</v>
      </c>
      <c r="BV56" s="25">
        <f t="shared" si="44"/>
        <v>2</v>
      </c>
      <c r="BW56" t="str">
        <f t="shared" si="54"/>
        <v>0, Superávit y no eliminé superávit</v>
      </c>
      <c r="BY56" s="4" t="s">
        <v>259</v>
      </c>
      <c r="BZ56" s="4">
        <v>12</v>
      </c>
      <c r="CA56" s="8">
        <v>15.888888888888889</v>
      </c>
      <c r="CB56" s="8">
        <v>14</v>
      </c>
      <c r="CC56" s="4">
        <v>15</v>
      </c>
      <c r="CD56" s="4">
        <v>3</v>
      </c>
      <c r="CE56" s="4">
        <v>-1.1154133211974251</v>
      </c>
      <c r="CF56" s="14">
        <v>19</v>
      </c>
      <c r="CG56" s="24">
        <f t="shared" si="62"/>
        <v>1</v>
      </c>
      <c r="CH56" s="25">
        <f t="shared" si="46"/>
        <v>2</v>
      </c>
      <c r="CI56" t="str">
        <f t="shared" si="55"/>
        <v>1, Superávit y eliminé superávit</v>
      </c>
      <c r="CK56" s="4" t="s">
        <v>259</v>
      </c>
      <c r="CL56" s="4">
        <v>19</v>
      </c>
      <c r="CM56" s="8">
        <v>14.777777777777779</v>
      </c>
      <c r="CN56" s="8">
        <v>15</v>
      </c>
      <c r="CO56" s="4">
        <v>15</v>
      </c>
      <c r="CP56" s="4">
        <v>16</v>
      </c>
      <c r="CQ56" s="4">
        <v>-1.1154133211974251</v>
      </c>
      <c r="CR56" s="14">
        <v>19</v>
      </c>
      <c r="CS56" s="24">
        <f t="shared" si="63"/>
        <v>0</v>
      </c>
      <c r="CT56" s="25">
        <f t="shared" si="48"/>
        <v>-4</v>
      </c>
      <c r="CU56" t="str">
        <f t="shared" si="56"/>
        <v>-2, Superávit y resultado fue bueno</v>
      </c>
    </row>
    <row r="57" spans="1:99" ht="14.25" customHeight="1" x14ac:dyDescent="0.3">
      <c r="A57" s="4" t="s">
        <v>258</v>
      </c>
      <c r="B57" s="4">
        <v>13</v>
      </c>
      <c r="C57" s="8">
        <v>12.777777777777779</v>
      </c>
      <c r="D57" s="4">
        <v>10</v>
      </c>
      <c r="E57" s="4">
        <v>12</v>
      </c>
      <c r="F57" s="4">
        <v>13</v>
      </c>
      <c r="G57" s="4">
        <v>-1.12017317951397</v>
      </c>
      <c r="H57" s="14">
        <v>16</v>
      </c>
      <c r="I57" s="24">
        <f t="shared" si="64"/>
        <v>1</v>
      </c>
      <c r="J57" s="24">
        <f t="shared" si="33"/>
        <v>-3</v>
      </c>
      <c r="K57" s="5" t="str">
        <f t="shared" si="49"/>
        <v>0, Superávit y no eliminé superávit</v>
      </c>
      <c r="L57" s="5"/>
      <c r="M57" s="5"/>
      <c r="N57" s="4" t="s">
        <v>258</v>
      </c>
      <c r="O57" s="4">
        <v>14</v>
      </c>
      <c r="P57" s="8">
        <v>11.777777777777779</v>
      </c>
      <c r="Q57" s="4">
        <v>15</v>
      </c>
      <c r="R57" s="4">
        <v>15</v>
      </c>
      <c r="S57" s="4">
        <v>13</v>
      </c>
      <c r="T57" s="4">
        <v>-1.12017317951397</v>
      </c>
      <c r="U57" s="14">
        <v>16</v>
      </c>
      <c r="V57" s="24">
        <f t="shared" si="57"/>
        <v>1</v>
      </c>
      <c r="W57" s="25">
        <f t="shared" si="35"/>
        <v>1</v>
      </c>
      <c r="X57" s="5" t="str">
        <f t="shared" si="50"/>
        <v>-2, Superávit y resultado fue bueno</v>
      </c>
      <c r="Y57" s="5"/>
      <c r="Z57" s="5"/>
      <c r="AA57" s="4" t="s">
        <v>258</v>
      </c>
      <c r="AB57" s="4">
        <v>14</v>
      </c>
      <c r="AC57" s="8">
        <v>10.777777777777779</v>
      </c>
      <c r="AD57" s="4">
        <v>9</v>
      </c>
      <c r="AE57" s="4">
        <v>7</v>
      </c>
      <c r="AF57" s="4">
        <v>13</v>
      </c>
      <c r="AG57" s="4">
        <v>-1.12017317951397</v>
      </c>
      <c r="AH57" s="14">
        <v>16</v>
      </c>
      <c r="AI57" s="24">
        <f t="shared" si="58"/>
        <v>0</v>
      </c>
      <c r="AJ57" s="24">
        <f t="shared" si="37"/>
        <v>-5</v>
      </c>
      <c r="AK57" t="str">
        <f t="shared" si="51"/>
        <v>-2, Superávit y resultado fue bueno</v>
      </c>
      <c r="AN57" s="26" t="s">
        <v>258</v>
      </c>
      <c r="AO57" s="34">
        <v>14</v>
      </c>
      <c r="AP57" s="23">
        <v>8.6666666666666661</v>
      </c>
      <c r="AQ57" s="34">
        <v>14</v>
      </c>
      <c r="AR57" s="34">
        <v>13</v>
      </c>
      <c r="AS57" s="34">
        <v>7</v>
      </c>
      <c r="AT57" s="29">
        <v>-1.12017317951397</v>
      </c>
      <c r="AU57" s="26">
        <v>16</v>
      </c>
      <c r="AV57" s="24">
        <f t="shared" si="59"/>
        <v>1</v>
      </c>
      <c r="AW57" s="24">
        <f t="shared" si="39"/>
        <v>0</v>
      </c>
      <c r="AX57" s="24" t="str">
        <f t="shared" si="40"/>
        <v>1, Superávit y eliminé superávit</v>
      </c>
      <c r="AY57" t="str">
        <f t="shared" si="52"/>
        <v>0, no había déficit y la dejo con déficit</v>
      </c>
      <c r="BA57" s="4" t="s">
        <v>258</v>
      </c>
      <c r="BB57" s="4">
        <v>10</v>
      </c>
      <c r="BC57" s="8">
        <v>7</v>
      </c>
      <c r="BD57" s="8">
        <v>14</v>
      </c>
      <c r="BE57" s="4">
        <v>12</v>
      </c>
      <c r="BF57" s="4">
        <v>13</v>
      </c>
      <c r="BG57" s="4">
        <v>-1.12017317951397</v>
      </c>
      <c r="BH57" s="14">
        <v>16</v>
      </c>
      <c r="BI57" s="24">
        <f t="shared" si="60"/>
        <v>1</v>
      </c>
      <c r="BJ57" s="25">
        <f t="shared" si="42"/>
        <v>4</v>
      </c>
      <c r="BK57" t="str">
        <f t="shared" si="53"/>
        <v>0, Superávit y no eliminé superávit</v>
      </c>
      <c r="BM57" s="4" t="s">
        <v>258</v>
      </c>
      <c r="BN57" s="4">
        <v>1</v>
      </c>
      <c r="BO57" s="8">
        <v>8.8888888888888893</v>
      </c>
      <c r="BP57" s="8">
        <v>1</v>
      </c>
      <c r="BQ57" s="4">
        <v>3</v>
      </c>
      <c r="BR57" s="4">
        <v>3</v>
      </c>
      <c r="BS57" s="4">
        <v>-1.12017317951397</v>
      </c>
      <c r="BT57" s="14">
        <v>16</v>
      </c>
      <c r="BU57" s="24">
        <f t="shared" si="61"/>
        <v>1</v>
      </c>
      <c r="BV57" s="25">
        <f t="shared" si="44"/>
        <v>0</v>
      </c>
      <c r="BW57" t="str">
        <f t="shared" si="54"/>
        <v>-2, no había superávit y resultado fue bueno</v>
      </c>
      <c r="BY57" s="4" t="s">
        <v>258</v>
      </c>
      <c r="BZ57" s="4">
        <v>4</v>
      </c>
      <c r="CA57" s="8">
        <v>10.333333333333334</v>
      </c>
      <c r="CB57" s="8">
        <v>1</v>
      </c>
      <c r="CC57" s="4">
        <v>1</v>
      </c>
      <c r="CD57" s="4">
        <v>4</v>
      </c>
      <c r="CE57" s="4">
        <v>-1.12017317951397</v>
      </c>
      <c r="CF57" s="14">
        <v>16</v>
      </c>
      <c r="CG57" s="24">
        <f t="shared" si="62"/>
        <v>0</v>
      </c>
      <c r="CH57" s="25">
        <f t="shared" si="46"/>
        <v>-3</v>
      </c>
      <c r="CI57" t="str">
        <f t="shared" si="55"/>
        <v>-2, no había superávit y resultado fue bueno</v>
      </c>
      <c r="CK57" s="4" t="s">
        <v>258</v>
      </c>
      <c r="CL57" s="4">
        <v>9</v>
      </c>
      <c r="CM57" s="8">
        <v>12.777777777777779</v>
      </c>
      <c r="CN57" s="8">
        <v>10</v>
      </c>
      <c r="CO57" s="4">
        <v>11</v>
      </c>
      <c r="CP57" s="4">
        <v>9</v>
      </c>
      <c r="CQ57" s="4">
        <v>-1.12017317951397</v>
      </c>
      <c r="CR57" s="14">
        <v>16</v>
      </c>
      <c r="CS57" s="24">
        <f t="shared" si="63"/>
        <v>1</v>
      </c>
      <c r="CT57" s="25">
        <f t="shared" si="48"/>
        <v>1</v>
      </c>
      <c r="CU57" t="str">
        <f t="shared" si="56"/>
        <v>0, Superávit y no eliminé superávit</v>
      </c>
    </row>
    <row r="58" spans="1:99" ht="14.25" customHeight="1" x14ac:dyDescent="0.3">
      <c r="A58" s="4" t="s">
        <v>264</v>
      </c>
      <c r="B58" s="4">
        <v>6</v>
      </c>
      <c r="C58" s="8">
        <v>15.666666666666666</v>
      </c>
      <c r="D58" s="4">
        <v>6</v>
      </c>
      <c r="E58" s="4">
        <v>7</v>
      </c>
      <c r="F58" s="4">
        <v>6</v>
      </c>
      <c r="G58" s="4">
        <v>-1.196962071035268</v>
      </c>
      <c r="H58" s="14">
        <v>19</v>
      </c>
      <c r="I58" s="24">
        <f t="shared" si="64"/>
        <v>1</v>
      </c>
      <c r="J58" s="24">
        <f t="shared" si="33"/>
        <v>0</v>
      </c>
      <c r="K58" s="5" t="str">
        <f t="shared" si="49"/>
        <v>-2, no había superávit y resultado fue bueno</v>
      </c>
      <c r="L58" s="5"/>
      <c r="M58" s="5"/>
      <c r="N58" s="4" t="s">
        <v>264</v>
      </c>
      <c r="O58" s="4">
        <v>10</v>
      </c>
      <c r="P58" s="8">
        <v>14.333333333333334</v>
      </c>
      <c r="Q58" s="4">
        <v>10</v>
      </c>
      <c r="R58" s="4">
        <v>10</v>
      </c>
      <c r="S58" s="4">
        <v>10</v>
      </c>
      <c r="T58" s="4">
        <v>-1.196962071035268</v>
      </c>
      <c r="U58" s="14">
        <v>19</v>
      </c>
      <c r="V58" s="24">
        <f t="shared" si="57"/>
        <v>1</v>
      </c>
      <c r="W58" s="25">
        <f t="shared" si="35"/>
        <v>0</v>
      </c>
      <c r="X58" s="5" t="str">
        <f t="shared" si="50"/>
        <v>0, Superávit y no eliminé superávit</v>
      </c>
      <c r="Y58" s="5"/>
      <c r="Z58" s="5"/>
      <c r="AA58" s="4" t="s">
        <v>264</v>
      </c>
      <c r="AB58" s="4">
        <v>12</v>
      </c>
      <c r="AC58" s="8">
        <v>13.111111111111111</v>
      </c>
      <c r="AD58" s="4">
        <v>14</v>
      </c>
      <c r="AE58" s="4">
        <v>15</v>
      </c>
      <c r="AF58" s="4">
        <v>12</v>
      </c>
      <c r="AG58" s="4">
        <v>-1.196962071035268</v>
      </c>
      <c r="AH58" s="14">
        <v>19</v>
      </c>
      <c r="AI58" s="24">
        <f t="shared" si="58"/>
        <v>1</v>
      </c>
      <c r="AJ58" s="24">
        <f t="shared" si="37"/>
        <v>2</v>
      </c>
      <c r="AK58" t="str">
        <f t="shared" si="51"/>
        <v>0, Superávit y no eliminé superávit</v>
      </c>
      <c r="AN58" s="26" t="s">
        <v>264</v>
      </c>
      <c r="AO58" s="34">
        <v>18</v>
      </c>
      <c r="AP58" s="23">
        <v>9.2222222222222214</v>
      </c>
      <c r="AQ58" s="34">
        <v>19</v>
      </c>
      <c r="AR58" s="34">
        <v>19</v>
      </c>
      <c r="AS58" s="34">
        <v>15</v>
      </c>
      <c r="AT58" s="29">
        <v>-1.196962071035268</v>
      </c>
      <c r="AU58" s="26">
        <v>19</v>
      </c>
      <c r="AV58" s="24">
        <f t="shared" si="59"/>
        <v>1</v>
      </c>
      <c r="AW58" s="24">
        <f t="shared" si="39"/>
        <v>1</v>
      </c>
      <c r="AX58" s="24" t="str">
        <f t="shared" si="40"/>
        <v>-2, Superávit y resultado fue bueno</v>
      </c>
      <c r="AY58" t="str">
        <f t="shared" si="52"/>
        <v>0, no había déficit y la dejo con déficit</v>
      </c>
      <c r="BA58" s="4" t="s">
        <v>264</v>
      </c>
      <c r="BB58" s="4">
        <v>17</v>
      </c>
      <c r="BC58" s="8">
        <v>11.111111111111111</v>
      </c>
      <c r="BD58" s="8">
        <v>19</v>
      </c>
      <c r="BE58" s="4">
        <v>19</v>
      </c>
      <c r="BF58" s="4">
        <v>16</v>
      </c>
      <c r="BG58" s="4">
        <v>-1.196962071035268</v>
      </c>
      <c r="BH58" s="14">
        <v>19</v>
      </c>
      <c r="BI58" s="24">
        <f t="shared" si="60"/>
        <v>1</v>
      </c>
      <c r="BJ58" s="25">
        <f t="shared" si="42"/>
        <v>2</v>
      </c>
      <c r="BK58" t="str">
        <f t="shared" si="53"/>
        <v>-2, Superávit y resultado fue bueno</v>
      </c>
      <c r="BM58" s="4" t="s">
        <v>264</v>
      </c>
      <c r="BN58" s="4">
        <v>15</v>
      </c>
      <c r="BO58" s="8">
        <v>12.666666666666666</v>
      </c>
      <c r="BP58" s="8">
        <v>19</v>
      </c>
      <c r="BQ58" s="4">
        <v>18</v>
      </c>
      <c r="BR58" s="4">
        <v>15</v>
      </c>
      <c r="BS58" s="4">
        <v>-1.196962071035268</v>
      </c>
      <c r="BT58" s="14">
        <v>19</v>
      </c>
      <c r="BU58" s="24">
        <f t="shared" si="61"/>
        <v>1</v>
      </c>
      <c r="BV58" s="25">
        <f t="shared" si="44"/>
        <v>4</v>
      </c>
      <c r="BW58" t="str">
        <f t="shared" si="54"/>
        <v>0, Superávit y no eliminé superávit</v>
      </c>
      <c r="BY58" s="4" t="s">
        <v>264</v>
      </c>
      <c r="BZ58" s="4">
        <v>19</v>
      </c>
      <c r="CA58" s="8">
        <v>13.777777777777779</v>
      </c>
      <c r="CB58" s="8">
        <v>19</v>
      </c>
      <c r="CC58" s="4">
        <v>19</v>
      </c>
      <c r="CD58" s="4">
        <v>11</v>
      </c>
      <c r="CE58" s="4">
        <v>-1.196962071035268</v>
      </c>
      <c r="CF58" s="14">
        <v>19</v>
      </c>
      <c r="CG58" s="24">
        <f t="shared" si="62"/>
        <v>1</v>
      </c>
      <c r="CH58" s="25">
        <f t="shared" si="46"/>
        <v>0</v>
      </c>
      <c r="CI58" t="str">
        <f t="shared" si="55"/>
        <v>-2, Superávit y resultado fue bueno</v>
      </c>
      <c r="CK58" s="4" t="s">
        <v>264</v>
      </c>
      <c r="CL58" s="4">
        <v>19</v>
      </c>
      <c r="CM58" s="8">
        <v>15.666666666666666</v>
      </c>
      <c r="CN58" s="8">
        <v>18</v>
      </c>
      <c r="CO58" s="4">
        <v>18</v>
      </c>
      <c r="CP58" s="4">
        <v>13</v>
      </c>
      <c r="CQ58" s="4">
        <v>-1.196962071035268</v>
      </c>
      <c r="CR58" s="14">
        <v>19</v>
      </c>
      <c r="CS58" s="24">
        <f t="shared" si="63"/>
        <v>0</v>
      </c>
      <c r="CT58" s="25">
        <f t="shared" si="48"/>
        <v>-1</v>
      </c>
      <c r="CU58" t="str">
        <f t="shared" si="56"/>
        <v>-2, Superávit y resultado fue bueno</v>
      </c>
    </row>
    <row r="59" spans="1:99" ht="14.25" customHeight="1" x14ac:dyDescent="0.3">
      <c r="A59" s="4" t="s">
        <v>265</v>
      </c>
      <c r="B59" s="4">
        <v>12</v>
      </c>
      <c r="C59" s="8">
        <v>12.111111111111111</v>
      </c>
      <c r="D59" s="4">
        <v>12</v>
      </c>
      <c r="E59" s="4">
        <v>12</v>
      </c>
      <c r="F59" s="4">
        <v>12</v>
      </c>
      <c r="G59" s="4">
        <v>-1.2097705883740471</v>
      </c>
      <c r="H59" s="14">
        <v>15</v>
      </c>
      <c r="I59" s="24">
        <f t="shared" si="64"/>
        <v>1</v>
      </c>
      <c r="J59" s="24">
        <f t="shared" si="33"/>
        <v>0</v>
      </c>
      <c r="K59" s="5" t="str">
        <f t="shared" si="49"/>
        <v>0, Superávit y no eliminé superávit</v>
      </c>
      <c r="L59" s="5"/>
      <c r="M59" s="5"/>
      <c r="N59" s="4" t="s">
        <v>265</v>
      </c>
      <c r="O59" s="4">
        <v>14</v>
      </c>
      <c r="P59" s="8">
        <v>12.222222222222221</v>
      </c>
      <c r="Q59" s="4">
        <v>14</v>
      </c>
      <c r="R59" s="4">
        <v>15</v>
      </c>
      <c r="S59" s="4">
        <v>13</v>
      </c>
      <c r="T59" s="4">
        <v>-1.2097705883740471</v>
      </c>
      <c r="U59" s="14">
        <v>15</v>
      </c>
      <c r="V59" s="24">
        <f t="shared" si="57"/>
        <v>1</v>
      </c>
      <c r="W59" s="25">
        <f t="shared" si="35"/>
        <v>0</v>
      </c>
      <c r="X59" s="5" t="str">
        <f t="shared" si="50"/>
        <v>-2, Superávit y resultado fue bueno</v>
      </c>
      <c r="Y59" s="5"/>
      <c r="Z59" s="5"/>
      <c r="AA59" s="4" t="s">
        <v>265</v>
      </c>
      <c r="AB59" s="4">
        <v>3</v>
      </c>
      <c r="AC59" s="8">
        <v>11.222222222222221</v>
      </c>
      <c r="AD59" s="4">
        <v>9</v>
      </c>
      <c r="AE59" s="4">
        <v>8</v>
      </c>
      <c r="AF59" s="4">
        <v>13</v>
      </c>
      <c r="AG59" s="4">
        <v>-1.2097705883740471</v>
      </c>
      <c r="AH59" s="14">
        <v>15</v>
      </c>
      <c r="AI59" s="24">
        <f t="shared" si="58"/>
        <v>1</v>
      </c>
      <c r="AJ59" s="24">
        <f t="shared" si="37"/>
        <v>6</v>
      </c>
      <c r="AK59" t="str">
        <f t="shared" si="51"/>
        <v>0, no había superávit, y la deje con superávit</v>
      </c>
      <c r="AN59" s="26" t="s">
        <v>265</v>
      </c>
      <c r="AO59" s="34">
        <v>14</v>
      </c>
      <c r="AP59" s="23">
        <v>8.4444444444444446</v>
      </c>
      <c r="AQ59" s="34">
        <v>15</v>
      </c>
      <c r="AR59" s="34">
        <v>15</v>
      </c>
      <c r="AS59" s="34">
        <v>13</v>
      </c>
      <c r="AT59" s="29">
        <v>-1.2097705883740471</v>
      </c>
      <c r="AU59" s="26">
        <v>15</v>
      </c>
      <c r="AV59" s="24">
        <f t="shared" si="59"/>
        <v>1</v>
      </c>
      <c r="AW59" s="24">
        <f t="shared" si="39"/>
        <v>1</v>
      </c>
      <c r="AX59" s="24" t="str">
        <f t="shared" si="40"/>
        <v>-2, Superávit y resultado fue bueno</v>
      </c>
      <c r="AY59" t="str">
        <f t="shared" si="52"/>
        <v>0, no había déficit y la dejo con déficit</v>
      </c>
      <c r="BA59" s="4" t="s">
        <v>265</v>
      </c>
      <c r="BB59" s="4">
        <v>14</v>
      </c>
      <c r="BC59" s="8">
        <v>7.333333333333333</v>
      </c>
      <c r="BD59" s="8">
        <v>13</v>
      </c>
      <c r="BE59" s="4">
        <v>14</v>
      </c>
      <c r="BF59" s="4">
        <v>13</v>
      </c>
      <c r="BG59" s="4">
        <v>-1.2097705883740471</v>
      </c>
      <c r="BH59" s="14">
        <v>15</v>
      </c>
      <c r="BI59" s="24">
        <f t="shared" si="60"/>
        <v>0</v>
      </c>
      <c r="BJ59" s="25">
        <f t="shared" si="42"/>
        <v>-1</v>
      </c>
      <c r="BK59" t="str">
        <f t="shared" si="53"/>
        <v>-2, Superávit y resultado fue bueno</v>
      </c>
      <c r="BM59" s="4" t="s">
        <v>265</v>
      </c>
      <c r="BN59" s="4">
        <v>13</v>
      </c>
      <c r="BO59" s="8">
        <v>10.888888888888889</v>
      </c>
      <c r="BP59" s="8">
        <v>12</v>
      </c>
      <c r="BQ59" s="4">
        <v>9</v>
      </c>
      <c r="BR59" s="4">
        <v>11</v>
      </c>
      <c r="BS59" s="4">
        <v>-1.2097705883740471</v>
      </c>
      <c r="BT59" s="14">
        <v>15</v>
      </c>
      <c r="BU59" s="24">
        <f t="shared" si="61"/>
        <v>0</v>
      </c>
      <c r="BV59" s="25">
        <f t="shared" si="44"/>
        <v>-1</v>
      </c>
      <c r="BW59" t="str">
        <f t="shared" si="54"/>
        <v>-2, Superávit y resultado fue bueno</v>
      </c>
      <c r="BY59" s="4" t="s">
        <v>265</v>
      </c>
      <c r="BZ59" s="4">
        <v>5</v>
      </c>
      <c r="CA59" s="8">
        <v>10.555555555555555</v>
      </c>
      <c r="CB59" s="8">
        <v>6</v>
      </c>
      <c r="CC59" s="4">
        <v>8</v>
      </c>
      <c r="CD59" s="4">
        <v>5</v>
      </c>
      <c r="CE59" s="4">
        <v>-1.2097705883740471</v>
      </c>
      <c r="CF59" s="14">
        <v>15</v>
      </c>
      <c r="CG59" s="24">
        <f t="shared" si="62"/>
        <v>1</v>
      </c>
      <c r="CH59" s="25">
        <f t="shared" si="46"/>
        <v>1</v>
      </c>
      <c r="CI59" t="str">
        <f t="shared" si="55"/>
        <v>-2, no había superávit y resultado fue bueno</v>
      </c>
      <c r="CK59" s="4" t="s">
        <v>265</v>
      </c>
      <c r="CL59" s="4">
        <v>11</v>
      </c>
      <c r="CM59" s="8">
        <v>12.111111111111111</v>
      </c>
      <c r="CN59" s="8">
        <v>11</v>
      </c>
      <c r="CO59" s="4">
        <v>10</v>
      </c>
      <c r="CP59" s="4">
        <v>11</v>
      </c>
      <c r="CQ59" s="4">
        <v>-1.2097705883740471</v>
      </c>
      <c r="CR59" s="14">
        <v>15</v>
      </c>
      <c r="CS59" s="24">
        <f t="shared" si="63"/>
        <v>1</v>
      </c>
      <c r="CT59" s="25">
        <f t="shared" si="48"/>
        <v>0</v>
      </c>
      <c r="CU59" t="str">
        <f t="shared" si="56"/>
        <v>0, Superávit y no eliminé superávit</v>
      </c>
    </row>
    <row r="60" spans="1:99" ht="14.25" customHeight="1" x14ac:dyDescent="0.3">
      <c r="A60" s="4" t="s">
        <v>262</v>
      </c>
      <c r="B60" s="4">
        <v>26</v>
      </c>
      <c r="C60" s="8">
        <v>18.777777777777779</v>
      </c>
      <c r="D60" s="4">
        <v>22</v>
      </c>
      <c r="E60" s="4">
        <v>22</v>
      </c>
      <c r="F60" s="4">
        <v>19</v>
      </c>
      <c r="G60" s="4">
        <v>-1.679865001322572</v>
      </c>
      <c r="H60" s="14">
        <v>27</v>
      </c>
      <c r="I60" s="24">
        <f t="shared" si="64"/>
        <v>1</v>
      </c>
      <c r="J60" s="24">
        <f t="shared" si="33"/>
        <v>-4</v>
      </c>
      <c r="K60" s="5" t="str">
        <f t="shared" si="49"/>
        <v>-2, Superávit y resultado fue bueno</v>
      </c>
      <c r="L60" s="5"/>
      <c r="M60" s="5"/>
      <c r="N60" s="4" t="s">
        <v>262</v>
      </c>
      <c r="O60" s="4">
        <v>20</v>
      </c>
      <c r="P60" s="8">
        <v>21.777777777777779</v>
      </c>
      <c r="Q60" s="4">
        <v>23</v>
      </c>
      <c r="R60" s="4">
        <v>23</v>
      </c>
      <c r="S60" s="4">
        <v>20</v>
      </c>
      <c r="T60" s="4">
        <v>-1.679865001322572</v>
      </c>
      <c r="U60" s="14">
        <v>27</v>
      </c>
      <c r="V60" s="24">
        <f t="shared" si="57"/>
        <v>1</v>
      </c>
      <c r="W60" s="25">
        <f t="shared" si="35"/>
        <v>3</v>
      </c>
      <c r="X60" s="5" t="str">
        <f t="shared" si="50"/>
        <v>0, Superávit y no eliminé superávit</v>
      </c>
      <c r="Y60" s="5"/>
      <c r="Z60" s="5"/>
      <c r="AA60" s="4" t="s">
        <v>262</v>
      </c>
      <c r="AB60" s="4">
        <v>27</v>
      </c>
      <c r="AC60" s="8">
        <v>23.111111111111111</v>
      </c>
      <c r="AD60" s="4">
        <v>27</v>
      </c>
      <c r="AE60" s="4">
        <v>26</v>
      </c>
      <c r="AF60" s="4">
        <v>23</v>
      </c>
      <c r="AG60" s="4">
        <v>-1.679865001322572</v>
      </c>
      <c r="AH60" s="14">
        <v>27</v>
      </c>
      <c r="AI60" s="24">
        <f t="shared" si="58"/>
        <v>1</v>
      </c>
      <c r="AJ60" s="24">
        <f t="shared" si="37"/>
        <v>0</v>
      </c>
      <c r="AK60" t="str">
        <f t="shared" si="51"/>
        <v>-2, Superávit y resultado fue bueno</v>
      </c>
      <c r="AN60" s="26" t="s">
        <v>262</v>
      </c>
      <c r="AO60" s="34">
        <v>26</v>
      </c>
      <c r="AP60" s="23">
        <v>23.888888888888889</v>
      </c>
      <c r="AQ60" s="34">
        <v>27</v>
      </c>
      <c r="AR60" s="34">
        <v>27</v>
      </c>
      <c r="AS60" s="34">
        <v>15</v>
      </c>
      <c r="AT60" s="29">
        <v>-1.679865001322572</v>
      </c>
      <c r="AU60" s="26">
        <v>27</v>
      </c>
      <c r="AV60" s="24">
        <f t="shared" si="59"/>
        <v>1</v>
      </c>
      <c r="AW60" s="24">
        <f t="shared" si="39"/>
        <v>1</v>
      </c>
      <c r="AX60" s="24" t="str">
        <f t="shared" si="40"/>
        <v>-2, Superávit y resultado fue bueno</v>
      </c>
      <c r="AY60" t="str">
        <f t="shared" si="52"/>
        <v>0, no había déficit y la dejo con déficit</v>
      </c>
      <c r="BA60" s="4" t="s">
        <v>262</v>
      </c>
      <c r="BB60" s="4">
        <v>27</v>
      </c>
      <c r="BC60" s="8">
        <v>24.111111111111111</v>
      </c>
      <c r="BD60" s="8">
        <v>27</v>
      </c>
      <c r="BE60" s="4">
        <v>27</v>
      </c>
      <c r="BF60" s="4">
        <v>24</v>
      </c>
      <c r="BG60" s="4">
        <v>-1.679865001322572</v>
      </c>
      <c r="BH60" s="14">
        <v>27</v>
      </c>
      <c r="BI60" s="24">
        <f t="shared" si="60"/>
        <v>1</v>
      </c>
      <c r="BJ60" s="25">
        <f t="shared" si="42"/>
        <v>0</v>
      </c>
      <c r="BK60" t="str">
        <f t="shared" si="53"/>
        <v>-2, Superávit y resultado fue bueno</v>
      </c>
      <c r="BM60" s="4" t="s">
        <v>262</v>
      </c>
      <c r="BN60" s="4">
        <v>23</v>
      </c>
      <c r="BO60" s="8">
        <v>24</v>
      </c>
      <c r="BP60" s="8">
        <v>25</v>
      </c>
      <c r="BQ60" s="4">
        <v>26</v>
      </c>
      <c r="BR60" s="4">
        <v>23</v>
      </c>
      <c r="BS60" s="4">
        <v>-1.679865001322572</v>
      </c>
      <c r="BT60" s="14">
        <v>27</v>
      </c>
      <c r="BU60" s="24">
        <f t="shared" si="61"/>
        <v>1</v>
      </c>
      <c r="BV60" s="25">
        <f t="shared" si="44"/>
        <v>2</v>
      </c>
      <c r="BW60" t="str">
        <f t="shared" si="54"/>
        <v>0, Superávit y no eliminé superávit</v>
      </c>
      <c r="BY60" s="4" t="s">
        <v>262</v>
      </c>
      <c r="BZ60" s="4">
        <v>27</v>
      </c>
      <c r="CA60" s="8">
        <v>24.555555555555557</v>
      </c>
      <c r="CB60" s="8">
        <v>27</v>
      </c>
      <c r="CC60" s="4">
        <v>27</v>
      </c>
      <c r="CD60" s="4">
        <v>20</v>
      </c>
      <c r="CE60" s="4">
        <v>-1.679865001322572</v>
      </c>
      <c r="CF60" s="14">
        <v>27</v>
      </c>
      <c r="CG60" s="24">
        <f t="shared" si="62"/>
        <v>1</v>
      </c>
      <c r="CH60" s="25">
        <f t="shared" si="46"/>
        <v>0</v>
      </c>
      <c r="CI60" t="str">
        <f t="shared" si="55"/>
        <v>-2, Superávit y resultado fue bueno</v>
      </c>
      <c r="CK60" s="4" t="s">
        <v>262</v>
      </c>
      <c r="CL60" s="4">
        <v>21</v>
      </c>
      <c r="CM60" s="8">
        <v>18.777777777777779</v>
      </c>
      <c r="CN60" s="8">
        <v>20</v>
      </c>
      <c r="CO60" s="4">
        <v>20</v>
      </c>
      <c r="CP60" s="4">
        <v>21</v>
      </c>
      <c r="CQ60" s="4">
        <v>-1.679865001322572</v>
      </c>
      <c r="CR60" s="14">
        <v>27</v>
      </c>
      <c r="CS60" s="24">
        <f t="shared" si="63"/>
        <v>0</v>
      </c>
      <c r="CT60" s="25">
        <f t="shared" si="48"/>
        <v>-1</v>
      </c>
      <c r="CU60" t="str">
        <f t="shared" si="56"/>
        <v>0, Superávit y no eliminé superávit</v>
      </c>
    </row>
    <row r="61" spans="1:99" ht="14.25" customHeight="1" x14ac:dyDescent="0.3">
      <c r="A61" s="4" t="s">
        <v>267</v>
      </c>
      <c r="B61" s="4">
        <f>AVERAGE(B41:B50)</f>
        <v>5.5</v>
      </c>
      <c r="C61" s="8">
        <f>AVERAGE(C41:C50)</f>
        <v>4.8666666666666663</v>
      </c>
      <c r="D61" s="4">
        <f>AVERAGE(D41:D50)</f>
        <v>5.5</v>
      </c>
      <c r="E61" s="4">
        <f>AVERAGE(E41:E50)</f>
        <v>5.7</v>
      </c>
      <c r="F61" s="4">
        <f>AVERAGE(F41:F50)</f>
        <v>6.8</v>
      </c>
      <c r="K61" s="5"/>
      <c r="L61" s="5"/>
      <c r="M61" s="5"/>
      <c r="N61" s="4" t="s">
        <v>267</v>
      </c>
      <c r="O61" s="4">
        <f>AVERAGE(O41:O50)</f>
        <v>6.5</v>
      </c>
      <c r="P61" s="8">
        <f>AVERAGE(P41:P50)</f>
        <v>5.2222222222222214</v>
      </c>
      <c r="Q61" s="4">
        <f>AVERAGE(Q41:Q50)</f>
        <v>6.3</v>
      </c>
      <c r="R61" s="4">
        <f>AVERAGE(R41:R50)</f>
        <v>6.2</v>
      </c>
      <c r="S61" s="4">
        <f>AVERAGE(S41:S50)</f>
        <v>6.5</v>
      </c>
      <c r="X61" s="5"/>
      <c r="Y61" s="5"/>
      <c r="Z61" s="5"/>
      <c r="AA61" s="4" t="s">
        <v>267</v>
      </c>
      <c r="AB61" s="4">
        <f>AVERAGE(AB41:AB50)</f>
        <v>4.8</v>
      </c>
      <c r="AC61" s="8">
        <f>AVERAGE(AC41:AC50)</f>
        <v>5.1888888888888891</v>
      </c>
      <c r="AD61" s="4">
        <f>AVERAGE(AD41:AD50)</f>
        <v>3.6</v>
      </c>
      <c r="AE61" s="4">
        <f>AVERAGE(AE41:AE50)</f>
        <v>3.3</v>
      </c>
      <c r="AF61" s="4">
        <f>AVERAGE(AF41:AF50)</f>
        <v>6.6</v>
      </c>
      <c r="AG61" s="4"/>
      <c r="AH61" s="4"/>
      <c r="AI61" s="10"/>
      <c r="AN61" s="26" t="s">
        <v>360</v>
      </c>
      <c r="AO61" s="26">
        <f>AVERAGE(AO41:AO50)</f>
        <v>3.2</v>
      </c>
      <c r="AP61" s="23">
        <f>AVERAGE(AP41:AP50)</f>
        <v>5.3555555555555561</v>
      </c>
      <c r="AQ61" s="26">
        <f>AVERAGE(AQ41:AQ50)</f>
        <v>1.3</v>
      </c>
      <c r="AR61" s="26">
        <f>AVERAGE(AR41:AR50)</f>
        <v>1.1000000000000001</v>
      </c>
      <c r="AS61" s="26">
        <f>AVERAGE(AS41:AS50)</f>
        <v>6.9</v>
      </c>
      <c r="AT61" s="24"/>
      <c r="AU61" s="24"/>
      <c r="AV61" s="24"/>
      <c r="AW61" s="24"/>
      <c r="AX61" s="24"/>
      <c r="BA61" s="4" t="s">
        <v>267</v>
      </c>
      <c r="BB61" s="4">
        <f>AVERAGE(BB41:BB50)</f>
        <v>7.8</v>
      </c>
      <c r="BC61" s="8">
        <f>AVERAGE(BC41:BC50)</f>
        <v>4.9444444444444446</v>
      </c>
      <c r="BD61" s="8">
        <f>AVERAGE(BD41:BD50)</f>
        <v>5.9</v>
      </c>
      <c r="BE61" s="4">
        <f>AVERAGE(BE41:BE50)</f>
        <v>5.8</v>
      </c>
      <c r="BF61" s="4">
        <f>AVERAGE(BF41:BF50)</f>
        <v>7.8</v>
      </c>
      <c r="BM61" s="4" t="s">
        <v>267</v>
      </c>
      <c r="BN61" s="16">
        <f>AVERAGE(BN41:BN50)</f>
        <v>8</v>
      </c>
      <c r="BO61" s="16">
        <f>AVERAGE(BO41:BO50)</f>
        <v>6.0666666666666664</v>
      </c>
      <c r="BP61" s="16">
        <f>AVERAGE(BP41:BP50)</f>
        <v>5.8</v>
      </c>
      <c r="BQ61" s="16">
        <f>AVERAGE(BQ41:BQ50)</f>
        <v>5.3</v>
      </c>
      <c r="BR61" s="16">
        <f>AVERAGE(BR41:BR50)</f>
        <v>8</v>
      </c>
      <c r="BY61" s="4" t="s">
        <v>267</v>
      </c>
      <c r="BZ61" s="4">
        <f>AVERAGE(BZ41:BZ50)</f>
        <v>4.8</v>
      </c>
      <c r="CA61" s="8">
        <f>AVERAGE(CA41:CA50)</f>
        <v>4.7111111111111112</v>
      </c>
      <c r="CB61" s="8">
        <f>AVERAGE(CB41:CB50)</f>
        <v>5.2</v>
      </c>
      <c r="CC61" s="4">
        <f>AVERAGE(CC41:CC50)</f>
        <v>4.5999999999999996</v>
      </c>
      <c r="CD61" s="4">
        <f>AVERAGE(CD41:CD50)</f>
        <v>7</v>
      </c>
      <c r="CK61" s="4" t="s">
        <v>267</v>
      </c>
      <c r="CL61" s="4">
        <f>AVERAGE(CL41:CL50)</f>
        <v>6.1</v>
      </c>
      <c r="CM61" s="8">
        <f>AVERAGE(CM41:CM50)</f>
        <v>4.8666666666666663</v>
      </c>
      <c r="CN61" s="8">
        <f>AVERAGE(CN41:CN50)</f>
        <v>6.1</v>
      </c>
      <c r="CO61" s="4">
        <f>AVERAGE(CO41:CO50)</f>
        <v>6.3</v>
      </c>
      <c r="CP61" s="4">
        <f>AVERAGE(CP41:CP50)</f>
        <v>7.2</v>
      </c>
    </row>
    <row r="62" spans="1:99" ht="14.25" customHeight="1" x14ac:dyDescent="0.3">
      <c r="A62" s="4" t="s">
        <v>268</v>
      </c>
      <c r="B62" s="4">
        <f>AVERAGE(B51:B60)</f>
        <v>12.5</v>
      </c>
      <c r="C62" s="8">
        <f>AVERAGE(C51:C60)</f>
        <v>14.188888888888892</v>
      </c>
      <c r="D62" s="4">
        <f>AVERAGE(D51:D60)</f>
        <v>12.5</v>
      </c>
      <c r="E62" s="4">
        <f>AVERAGE(E51:E60)</f>
        <v>13.1</v>
      </c>
      <c r="F62" s="4">
        <f>AVERAGE(F51:F60)</f>
        <v>11.2</v>
      </c>
      <c r="K62" s="5"/>
      <c r="L62" s="5"/>
      <c r="M62" s="5"/>
      <c r="N62" s="4" t="s">
        <v>268</v>
      </c>
      <c r="O62" s="4">
        <f>AVERAGE(O51:O60)</f>
        <v>14.9</v>
      </c>
      <c r="P62" s="8">
        <f>AVERAGE(P51:P60)</f>
        <v>14.499999999999996</v>
      </c>
      <c r="Q62" s="4">
        <f>AVERAGE(Q51:Q60)</f>
        <v>15.8</v>
      </c>
      <c r="R62" s="4">
        <f>AVERAGE(R51:R60)</f>
        <v>16.3</v>
      </c>
      <c r="S62" s="4">
        <f>AVERAGE(S51:S60)</f>
        <v>14.9</v>
      </c>
      <c r="X62" s="5"/>
      <c r="Y62" s="5"/>
      <c r="Z62" s="5"/>
      <c r="AA62" s="4" t="s">
        <v>268</v>
      </c>
      <c r="AB62" s="4">
        <f>AVERAGE(AB51:AB60)</f>
        <v>15.1</v>
      </c>
      <c r="AC62" s="8">
        <f>AVERAGE(AC51:AC60)</f>
        <v>13.666666666666668</v>
      </c>
      <c r="AD62" s="4">
        <f>AVERAGE(AD51:AD60)</f>
        <v>15.1</v>
      </c>
      <c r="AE62" s="4">
        <f>AVERAGE(AE51:AE60)</f>
        <v>15</v>
      </c>
      <c r="AF62" s="4">
        <f>AVERAGE(AF51:AF60)</f>
        <v>13.3</v>
      </c>
      <c r="AG62" s="4"/>
      <c r="AH62" s="4"/>
      <c r="AI62" s="10"/>
      <c r="AK62" s="35"/>
      <c r="AL62" s="35"/>
      <c r="AM62" s="35"/>
      <c r="AN62" s="26" t="s">
        <v>361</v>
      </c>
      <c r="AO62" s="26">
        <f>AVERAGE(AO51:AO60)</f>
        <v>14.4</v>
      </c>
      <c r="AP62" s="23">
        <f>AVERAGE(AP51:AP60)</f>
        <v>13.000000000000004</v>
      </c>
      <c r="AQ62" s="26">
        <f>AVERAGE(AQ51:AQ60)</f>
        <v>15.7</v>
      </c>
      <c r="AR62" s="26">
        <f>AVERAGE(AR51:AR60)</f>
        <v>16.2</v>
      </c>
      <c r="AS62" s="26">
        <f>AVERAGE(AS51:AS60)</f>
        <v>10.7</v>
      </c>
      <c r="AT62" s="24"/>
      <c r="AU62" s="24"/>
      <c r="AV62" s="24"/>
      <c r="AW62" s="24"/>
      <c r="AX62" s="24"/>
      <c r="BA62" s="4" t="s">
        <v>268</v>
      </c>
      <c r="BB62" s="4">
        <f>AVERAGE(BB51:BB60)</f>
        <v>14.6</v>
      </c>
      <c r="BC62" s="8">
        <f>AVERAGE(BC51:BC60)</f>
        <v>13.2</v>
      </c>
      <c r="BD62" s="8">
        <f>AVERAGE(BD51:BD60)</f>
        <v>15.9</v>
      </c>
      <c r="BE62" s="4">
        <f>AVERAGE(BE51:BE60)</f>
        <v>16.100000000000001</v>
      </c>
      <c r="BF62" s="4">
        <f>AVERAGE(BF51:BF60)</f>
        <v>14.6</v>
      </c>
      <c r="BM62" s="4" t="s">
        <v>268</v>
      </c>
      <c r="BN62" s="17">
        <f>AVERAGE(BN51:BN60)</f>
        <v>13.3</v>
      </c>
      <c r="BO62" s="17">
        <f>AVERAGE(BO51:BO60)</f>
        <v>13.577777777777778</v>
      </c>
      <c r="BP62" s="17">
        <f>AVERAGE(BP51:BP60)</f>
        <v>14</v>
      </c>
      <c r="BQ62" s="17">
        <f>AVERAGE(BQ51:BQ60)</f>
        <v>14</v>
      </c>
      <c r="BR62" s="17">
        <f>AVERAGE(BR51:BR60)</f>
        <v>13.3</v>
      </c>
      <c r="BY62" s="4" t="s">
        <v>268</v>
      </c>
      <c r="BZ62" s="4">
        <f>AVERAGE(BZ51:BZ60)</f>
        <v>12.8</v>
      </c>
      <c r="CA62" s="8">
        <f>AVERAGE(CA51:CA60)</f>
        <v>14.277777777777777</v>
      </c>
      <c r="CB62" s="8">
        <f>AVERAGE(CB51:CB60)</f>
        <v>13.7</v>
      </c>
      <c r="CC62" s="4">
        <f>AVERAGE(CC51:CC60)</f>
        <v>14.2</v>
      </c>
      <c r="CD62" s="4">
        <f>AVERAGE(CD51:CD60)</f>
        <v>10.6</v>
      </c>
      <c r="CK62" s="4" t="s">
        <v>268</v>
      </c>
      <c r="CL62" s="4">
        <f>AVERAGE(CL51:CL60)</f>
        <v>13.5</v>
      </c>
      <c r="CM62" s="8">
        <f>AVERAGE(CM51:CM60)</f>
        <v>14.188888888888892</v>
      </c>
      <c r="CN62" s="8">
        <f>AVERAGE(CN51:CN60)</f>
        <v>12</v>
      </c>
      <c r="CO62" s="4">
        <f>AVERAGE(CO51:CO60)</f>
        <v>13.9</v>
      </c>
      <c r="CP62" s="4">
        <f>AVERAGE(CP51:CP60)</f>
        <v>12.4</v>
      </c>
    </row>
    <row r="63" spans="1:99" ht="14.25" customHeight="1" x14ac:dyDescent="0.3">
      <c r="A63" s="4" t="s">
        <v>269</v>
      </c>
      <c r="B63" s="4">
        <f>SKEW(B41:B50)</f>
        <v>-0.13996134274554178</v>
      </c>
      <c r="C63" s="4"/>
      <c r="D63" s="4"/>
      <c r="E63" s="4"/>
      <c r="F63" s="4">
        <f>SKEW(F41:F50)</f>
        <v>0.46655999199968379</v>
      </c>
      <c r="K63" s="5"/>
      <c r="L63" s="5"/>
      <c r="M63" s="5"/>
      <c r="N63" s="4" t="s">
        <v>269</v>
      </c>
      <c r="O63" s="4">
        <f>SKEW(O41:O50)</f>
        <v>0.30462331535588427</v>
      </c>
      <c r="P63" s="4"/>
      <c r="Q63" s="4"/>
      <c r="R63" s="4"/>
      <c r="S63" s="4">
        <f>SKEW(S41:S50)</f>
        <v>0.45396684302428808</v>
      </c>
      <c r="X63" s="5"/>
      <c r="Y63" s="5"/>
      <c r="Z63" s="5"/>
      <c r="AA63" s="15" t="s">
        <v>269</v>
      </c>
      <c r="AB63" s="15">
        <f>SKEW(AB41:AB50)</f>
        <v>0.31432963018565541</v>
      </c>
      <c r="AC63" s="15"/>
      <c r="AD63" s="15"/>
      <c r="AE63" s="15"/>
      <c r="AF63" s="15">
        <f>SKEW(AF41:AF50)</f>
        <v>0.11090339346573688</v>
      </c>
      <c r="AN63" s="15" t="s">
        <v>269</v>
      </c>
      <c r="AO63" s="15">
        <f>SKEW(AO41:AO50)</f>
        <v>1.2179112461736836</v>
      </c>
      <c r="AP63" s="15"/>
      <c r="AQ63" s="15"/>
      <c r="AR63" s="15"/>
      <c r="AS63" s="15">
        <f>SKEW(AS41:AS50)</f>
        <v>2.2458965504713095</v>
      </c>
      <c r="BA63" s="4" t="s">
        <v>269</v>
      </c>
      <c r="BB63" s="4">
        <f>SKEW(BB41:BB50)</f>
        <v>-3.1606821798702958E-2</v>
      </c>
      <c r="BC63" s="4"/>
      <c r="BD63" s="4"/>
      <c r="BE63" s="4"/>
      <c r="BF63" s="4">
        <f>SKEW(BF41:BF50)</f>
        <v>0.22913361110862773</v>
      </c>
      <c r="BM63" s="4" t="s">
        <v>269</v>
      </c>
      <c r="BN63" s="4">
        <f>SKEW(BN41:BN50)</f>
        <v>-0.15608475552877638</v>
      </c>
      <c r="BO63" s="4"/>
      <c r="BP63" s="4"/>
      <c r="BQ63" s="4"/>
      <c r="BR63" s="4">
        <f>SKEW(BR41:BR50)</f>
        <v>0.48002901596414072</v>
      </c>
      <c r="BY63" s="4" t="s">
        <v>269</v>
      </c>
      <c r="BZ63" s="4">
        <f>SKEW(BZ41:BZ50)</f>
        <v>0.27828215170623671</v>
      </c>
      <c r="CA63" s="4"/>
      <c r="CB63" s="4"/>
      <c r="CC63" s="4"/>
      <c r="CD63" s="4">
        <f>SKEW(CD41:CD50)</f>
        <v>0.87218474872749696</v>
      </c>
      <c r="CK63" s="4" t="s">
        <v>269</v>
      </c>
      <c r="CL63" s="4">
        <f>SKEW(CL41:CL50)</f>
        <v>-0.462400563730615</v>
      </c>
      <c r="CM63" s="4"/>
      <c r="CN63" s="4"/>
      <c r="CO63" s="4"/>
      <c r="CP63" s="4">
        <f>SKEW(CP41:CP50)</f>
        <v>1.2712814894344642</v>
      </c>
    </row>
    <row r="64" spans="1:99" ht="14.25" customHeight="1" x14ac:dyDescent="0.3">
      <c r="A64" s="4" t="s">
        <v>270</v>
      </c>
      <c r="B64" s="4">
        <f>SKEW(B51:B60)</f>
        <v>1.6326118138814814</v>
      </c>
      <c r="C64" s="4"/>
      <c r="D64" s="4"/>
      <c r="E64" s="4"/>
      <c r="F64" s="4">
        <f>SKEW(F51:F60)</f>
        <v>0.59505001956465153</v>
      </c>
      <c r="K64" s="5"/>
      <c r="L64" s="5"/>
      <c r="M64" s="5"/>
      <c r="N64" s="4" t="s">
        <v>270</v>
      </c>
      <c r="O64" s="4">
        <f>SKEW(O51:O60)</f>
        <v>1.383636983967675</v>
      </c>
      <c r="P64" s="4"/>
      <c r="Q64" s="4"/>
      <c r="R64" s="4"/>
      <c r="S64" s="4">
        <f>SKEW(S51:S60)</f>
        <v>1.462809813495533</v>
      </c>
      <c r="X64" s="5"/>
      <c r="Y64" s="5"/>
      <c r="Z64" s="5"/>
      <c r="AA64" s="4" t="s">
        <v>270</v>
      </c>
      <c r="AB64" s="4">
        <f>SKEW(AB51:AB60)</f>
        <v>0.47303977142554682</v>
      </c>
      <c r="AC64" s="4"/>
      <c r="AD64" s="4"/>
      <c r="AE64" s="4"/>
      <c r="AF64" s="4">
        <f>SKEW(AF51:AF60)</f>
        <v>0.9861682927821096</v>
      </c>
      <c r="AN64" s="4" t="s">
        <v>270</v>
      </c>
      <c r="AO64" s="4">
        <f>SKEW(AO51:AO60)</f>
        <v>-0.18815203774570904</v>
      </c>
      <c r="AP64" s="4"/>
      <c r="AQ64" s="4"/>
      <c r="AR64" s="4"/>
      <c r="AS64" s="4">
        <f>SKEW(AS51:AS60)</f>
        <v>1.0156795849910627</v>
      </c>
      <c r="BA64" s="4" t="s">
        <v>270</v>
      </c>
      <c r="BB64" s="4">
        <f>SKEW(BB51:BB60)</f>
        <v>0.72249363229268038</v>
      </c>
      <c r="BC64" s="4"/>
      <c r="BD64" s="4"/>
      <c r="BE64" s="4"/>
      <c r="BF64" s="4">
        <f>SKEW(BF51:BF60)</f>
        <v>0.63620540314864582</v>
      </c>
      <c r="BM64" s="4" t="s">
        <v>270</v>
      </c>
      <c r="BN64" s="4">
        <f>SKEW(BN51:BN60)</f>
        <v>0.4993509232904656</v>
      </c>
      <c r="BO64" s="4"/>
      <c r="BP64" s="4"/>
      <c r="BQ64" s="4"/>
      <c r="BR64" s="4">
        <f>SKEW(BR51:BR60)</f>
        <v>0.68048218753466083</v>
      </c>
      <c r="BY64" s="4" t="s">
        <v>270</v>
      </c>
      <c r="BZ64" s="4">
        <f>SKEW(BZ51:BZ60)</f>
        <v>0.84365465300961018</v>
      </c>
      <c r="CA64" s="4"/>
      <c r="CB64" s="4"/>
      <c r="CC64" s="4"/>
      <c r="CD64" s="4">
        <f>SKEW(CD51:CD60)</f>
        <v>0.83702642105604708</v>
      </c>
      <c r="CK64" s="4" t="s">
        <v>270</v>
      </c>
      <c r="CL64" s="4">
        <f>SKEW(CL51:CL60)</f>
        <v>0.43719913621154621</v>
      </c>
      <c r="CM64" s="4"/>
      <c r="CN64" s="4"/>
      <c r="CO64" s="4"/>
      <c r="CP64" s="4">
        <f>SKEW(CP51:CP60)</f>
        <v>0.73047287884527001</v>
      </c>
    </row>
    <row r="65" spans="1:99" ht="14.25" customHeight="1" x14ac:dyDescent="0.3">
      <c r="A65" s="4" t="s">
        <v>271</v>
      </c>
      <c r="B65" s="4">
        <v>16.929914164188389</v>
      </c>
      <c r="C65" s="5"/>
      <c r="D65" s="5"/>
      <c r="K65" s="5"/>
      <c r="L65" s="5"/>
      <c r="M65" s="5"/>
      <c r="N65" s="4" t="s">
        <v>271</v>
      </c>
      <c r="O65" s="4">
        <v>9.1275319212878845</v>
      </c>
      <c r="X65" s="5"/>
      <c r="Y65" s="5"/>
      <c r="Z65" s="5"/>
      <c r="AA65" s="4" t="s">
        <v>271</v>
      </c>
      <c r="AB65" s="4">
        <v>29.0533877718137</v>
      </c>
      <c r="AN65" s="4" t="s">
        <v>271</v>
      </c>
      <c r="AO65" s="4">
        <v>41.383622981336273</v>
      </c>
      <c r="BA65" s="4" t="s">
        <v>271</v>
      </c>
      <c r="BB65" s="4">
        <v>7.3136229194110687</v>
      </c>
      <c r="BM65" s="4" t="s">
        <v>271</v>
      </c>
      <c r="BN65" s="4">
        <v>4.7861030203714474</v>
      </c>
      <c r="BY65" s="4" t="s">
        <v>271</v>
      </c>
      <c r="BZ65" s="4">
        <v>26.247759789546869</v>
      </c>
      <c r="CK65" s="4" t="s">
        <v>271</v>
      </c>
      <c r="CL65" s="4">
        <v>12.70025272173115</v>
      </c>
    </row>
    <row r="66" spans="1:99" ht="14.25" customHeight="1" x14ac:dyDescent="0.3">
      <c r="A66" s="4" t="s">
        <v>272</v>
      </c>
      <c r="B66" s="4">
        <v>7</v>
      </c>
      <c r="C66" s="5"/>
      <c r="D66" s="5"/>
      <c r="K66" s="5"/>
      <c r="L66" s="5"/>
      <c r="M66" s="5"/>
      <c r="N66" s="4" t="s">
        <v>272</v>
      </c>
      <c r="O66" s="4">
        <v>11</v>
      </c>
      <c r="X66" s="5"/>
      <c r="Y66" s="5"/>
      <c r="Z66" s="5"/>
      <c r="AA66" s="4" t="s">
        <v>272</v>
      </c>
      <c r="AB66" s="4">
        <v>11</v>
      </c>
      <c r="AN66" s="4" t="s">
        <v>272</v>
      </c>
      <c r="AO66" s="4">
        <v>14</v>
      </c>
      <c r="BA66" s="4" t="s">
        <v>272</v>
      </c>
      <c r="BB66" s="4">
        <v>9</v>
      </c>
      <c r="BM66" s="4" t="s">
        <v>272</v>
      </c>
      <c r="BN66" s="4">
        <v>7</v>
      </c>
      <c r="BY66" s="4" t="s">
        <v>272</v>
      </c>
      <c r="BZ66" s="4">
        <v>9</v>
      </c>
      <c r="CK66" s="4" t="s">
        <v>272</v>
      </c>
      <c r="CL66" s="4">
        <v>10</v>
      </c>
    </row>
    <row r="67" spans="1:99" ht="14.25" customHeight="1" x14ac:dyDescent="0.3">
      <c r="A67" s="11" t="s">
        <v>273</v>
      </c>
      <c r="B67" s="4">
        <f>B66*2</f>
        <v>14</v>
      </c>
      <c r="C67" s="5"/>
      <c r="D67" s="5"/>
      <c r="K67" s="12"/>
      <c r="L67" s="12"/>
      <c r="M67" s="12"/>
      <c r="N67" s="11" t="s">
        <v>273</v>
      </c>
      <c r="O67" s="4">
        <f>O66*2</f>
        <v>22</v>
      </c>
      <c r="X67" s="12"/>
      <c r="Y67" s="12"/>
      <c r="Z67" s="12"/>
      <c r="AA67" s="11" t="s">
        <v>273</v>
      </c>
      <c r="AB67" s="4">
        <f>AB66*2</f>
        <v>22</v>
      </c>
      <c r="AG67" s="35"/>
      <c r="AN67" s="11" t="s">
        <v>273</v>
      </c>
      <c r="AO67" s="4">
        <f>AO66*2</f>
        <v>28</v>
      </c>
      <c r="BA67" s="11" t="s">
        <v>273</v>
      </c>
      <c r="BB67" s="4">
        <f>BB66*2</f>
        <v>18</v>
      </c>
      <c r="BM67" s="11" t="s">
        <v>273</v>
      </c>
      <c r="BN67" s="4">
        <f>BN66*2</f>
        <v>14</v>
      </c>
      <c r="BY67" s="11" t="s">
        <v>273</v>
      </c>
      <c r="BZ67" s="4">
        <f>BZ66*2</f>
        <v>18</v>
      </c>
      <c r="CK67" s="11" t="s">
        <v>273</v>
      </c>
      <c r="CL67" s="4">
        <f>CL66*2</f>
        <v>20</v>
      </c>
    </row>
    <row r="68" spans="1:99" ht="14.25" customHeight="1" x14ac:dyDescent="0.3"/>
    <row r="69" spans="1:99" ht="14.25" customHeight="1" x14ac:dyDescent="0.3"/>
    <row r="70" spans="1:99" ht="14.25" customHeight="1" x14ac:dyDescent="0.3"/>
    <row r="71" spans="1:99" ht="14.25" customHeight="1" x14ac:dyDescent="0.3">
      <c r="C71" s="5"/>
      <c r="D71" s="5"/>
      <c r="E71" s="5"/>
      <c r="F71" s="5"/>
      <c r="O71" s="5"/>
      <c r="P71" s="5"/>
      <c r="Q71" s="5"/>
      <c r="R71" s="5"/>
      <c r="AC71" s="5"/>
      <c r="AD71" s="5"/>
      <c r="AE71" s="5"/>
      <c r="AF71" s="5"/>
      <c r="AP71" s="5"/>
      <c r="AQ71" s="5"/>
      <c r="AR71" s="5"/>
      <c r="AS71" s="5"/>
      <c r="BC71" s="5"/>
      <c r="BD71" s="5"/>
      <c r="BE71" s="5"/>
      <c r="BF71" s="5"/>
    </row>
    <row r="72" spans="1:99" ht="14.25" customHeight="1" x14ac:dyDescent="0.3">
      <c r="A72" s="4" t="s">
        <v>284</v>
      </c>
      <c r="K72" s="5"/>
      <c r="L72" s="5"/>
      <c r="M72" s="5"/>
      <c r="N72" s="4" t="s">
        <v>285</v>
      </c>
      <c r="X72" s="5"/>
      <c r="Y72" s="5"/>
      <c r="Z72" s="5"/>
      <c r="AA72" s="4" t="s">
        <v>286</v>
      </c>
      <c r="AN72" s="4" t="s">
        <v>287</v>
      </c>
      <c r="BA72" s="4" t="s">
        <v>288</v>
      </c>
      <c r="BN72" s="4" t="s">
        <v>289</v>
      </c>
      <c r="BO72" s="4"/>
      <c r="BP72" s="4"/>
      <c r="BQ72" s="4"/>
      <c r="BR72" s="4"/>
      <c r="BZ72" s="4" t="s">
        <v>290</v>
      </c>
      <c r="CA72" s="4"/>
      <c r="CB72" s="4"/>
      <c r="CC72" s="4"/>
      <c r="CD72" s="4"/>
      <c r="CL72" s="4" t="s">
        <v>291</v>
      </c>
      <c r="CM72" s="4"/>
      <c r="CN72" s="4"/>
      <c r="CO72" s="4"/>
      <c r="CP72" s="4"/>
    </row>
    <row r="73" spans="1:99" ht="14.25" customHeight="1" x14ac:dyDescent="0.3">
      <c r="A73" s="4" t="s">
        <v>232</v>
      </c>
      <c r="B73" s="4" t="s">
        <v>5</v>
      </c>
      <c r="C73" s="4" t="s">
        <v>241</v>
      </c>
      <c r="D73" s="7" t="s">
        <v>234</v>
      </c>
      <c r="E73" s="7" t="s">
        <v>235</v>
      </c>
      <c r="F73" s="4" t="s">
        <v>236</v>
      </c>
      <c r="G73" s="4" t="s">
        <v>237</v>
      </c>
      <c r="H73" s="4" t="s">
        <v>12</v>
      </c>
      <c r="I73" s="6" t="s">
        <v>238</v>
      </c>
      <c r="J73" s="36" t="s">
        <v>239</v>
      </c>
      <c r="K73" s="41" t="s">
        <v>359</v>
      </c>
      <c r="L73" s="5"/>
      <c r="M73" s="5"/>
      <c r="N73" s="4" t="s">
        <v>232</v>
      </c>
      <c r="O73" s="4" t="s">
        <v>5</v>
      </c>
      <c r="P73" s="4" t="s">
        <v>242</v>
      </c>
      <c r="Q73" s="7" t="s">
        <v>234</v>
      </c>
      <c r="R73" s="7" t="s">
        <v>235</v>
      </c>
      <c r="S73" s="4" t="s">
        <v>236</v>
      </c>
      <c r="T73" s="4" t="s">
        <v>237</v>
      </c>
      <c r="U73" s="4" t="s">
        <v>12</v>
      </c>
      <c r="V73" s="6" t="s">
        <v>238</v>
      </c>
      <c r="W73" s="36" t="s">
        <v>239</v>
      </c>
      <c r="X73" s="41" t="s">
        <v>359</v>
      </c>
      <c r="Y73" s="5"/>
      <c r="Z73" s="5"/>
      <c r="AA73" s="4" t="s">
        <v>232</v>
      </c>
      <c r="AB73" s="4" t="s">
        <v>5</v>
      </c>
      <c r="AC73" s="4" t="s">
        <v>243</v>
      </c>
      <c r="AD73" s="7" t="s">
        <v>234</v>
      </c>
      <c r="AE73" s="7" t="s">
        <v>235</v>
      </c>
      <c r="AF73" s="4" t="s">
        <v>236</v>
      </c>
      <c r="AG73" s="4" t="s">
        <v>237</v>
      </c>
      <c r="AH73" s="4" t="s">
        <v>12</v>
      </c>
      <c r="AI73" s="6" t="s">
        <v>238</v>
      </c>
      <c r="AJ73" s="36" t="s">
        <v>239</v>
      </c>
      <c r="AK73" s="42" t="s">
        <v>359</v>
      </c>
      <c r="AN73" s="4" t="s">
        <v>232</v>
      </c>
      <c r="AO73" s="4" t="s">
        <v>5</v>
      </c>
      <c r="AP73" s="4" t="s">
        <v>245</v>
      </c>
      <c r="AQ73" s="7" t="s">
        <v>234</v>
      </c>
      <c r="AR73" s="7" t="s">
        <v>235</v>
      </c>
      <c r="AS73" s="4" t="s">
        <v>236</v>
      </c>
      <c r="AT73" s="4" t="s">
        <v>237</v>
      </c>
      <c r="AU73" s="4" t="s">
        <v>12</v>
      </c>
      <c r="AV73" s="6" t="s">
        <v>238</v>
      </c>
      <c r="AW73" s="36" t="s">
        <v>239</v>
      </c>
      <c r="AX73" s="41" t="s">
        <v>359</v>
      </c>
      <c r="AY73" s="5"/>
      <c r="AZ73" s="5"/>
      <c r="BA73" s="4" t="s">
        <v>232</v>
      </c>
      <c r="BB73" s="4" t="s">
        <v>5</v>
      </c>
      <c r="BC73" s="4" t="s">
        <v>246</v>
      </c>
      <c r="BD73" s="7" t="s">
        <v>234</v>
      </c>
      <c r="BE73" s="7" t="s">
        <v>235</v>
      </c>
      <c r="BF73" s="4" t="s">
        <v>236</v>
      </c>
      <c r="BG73" s="4" t="s">
        <v>237</v>
      </c>
      <c r="BH73" s="4" t="s">
        <v>12</v>
      </c>
      <c r="BI73" s="6" t="s">
        <v>238</v>
      </c>
      <c r="BJ73" s="36" t="s">
        <v>239</v>
      </c>
      <c r="BK73" s="42" t="s">
        <v>359</v>
      </c>
      <c r="BM73" s="4" t="s">
        <v>232</v>
      </c>
      <c r="BN73" s="4" t="s">
        <v>5</v>
      </c>
      <c r="BO73" s="4" t="s">
        <v>233</v>
      </c>
      <c r="BP73" s="7" t="s">
        <v>234</v>
      </c>
      <c r="BQ73" s="7" t="s">
        <v>235</v>
      </c>
      <c r="BR73" s="4" t="s">
        <v>236</v>
      </c>
      <c r="BS73" s="4" t="s">
        <v>237</v>
      </c>
      <c r="BT73" s="4" t="s">
        <v>12</v>
      </c>
      <c r="BU73" s="6" t="s">
        <v>238</v>
      </c>
      <c r="BV73" s="36" t="s">
        <v>239</v>
      </c>
      <c r="BW73" s="42" t="s">
        <v>359</v>
      </c>
      <c r="BY73" s="4" t="s">
        <v>232</v>
      </c>
      <c r="BZ73" s="4" t="s">
        <v>5</v>
      </c>
      <c r="CA73" s="4" t="s">
        <v>240</v>
      </c>
      <c r="CB73" s="7" t="s">
        <v>234</v>
      </c>
      <c r="CC73" s="7" t="s">
        <v>235</v>
      </c>
      <c r="CD73" s="4" t="s">
        <v>236</v>
      </c>
      <c r="CE73" s="4" t="s">
        <v>237</v>
      </c>
      <c r="CF73" s="4" t="s">
        <v>12</v>
      </c>
      <c r="CG73" s="6" t="s">
        <v>238</v>
      </c>
      <c r="CH73" s="36" t="s">
        <v>239</v>
      </c>
      <c r="CI73" s="42" t="s">
        <v>359</v>
      </c>
      <c r="CK73" s="4" t="s">
        <v>232</v>
      </c>
      <c r="CL73" s="4" t="s">
        <v>5</v>
      </c>
      <c r="CM73" s="4" t="s">
        <v>241</v>
      </c>
      <c r="CN73" s="7" t="s">
        <v>234</v>
      </c>
      <c r="CO73" s="7" t="s">
        <v>235</v>
      </c>
      <c r="CP73" s="4" t="s">
        <v>236</v>
      </c>
      <c r="CQ73" s="4" t="s">
        <v>237</v>
      </c>
      <c r="CR73" s="4" t="s">
        <v>12</v>
      </c>
      <c r="CS73" s="6" t="s">
        <v>238</v>
      </c>
      <c r="CT73" s="36" t="s">
        <v>239</v>
      </c>
      <c r="CU73" s="42" t="s">
        <v>359</v>
      </c>
    </row>
    <row r="74" spans="1:99" ht="14.25" customHeight="1" x14ac:dyDescent="0.3">
      <c r="A74" s="4" t="s">
        <v>253</v>
      </c>
      <c r="B74" s="4">
        <v>4</v>
      </c>
      <c r="C74" s="8">
        <v>4</v>
      </c>
      <c r="D74" s="4">
        <v>4</v>
      </c>
      <c r="E74" s="4">
        <v>4</v>
      </c>
      <c r="F74" s="4">
        <v>7</v>
      </c>
      <c r="G74" s="4">
        <v>1.1425292918330761</v>
      </c>
      <c r="H74" s="14">
        <v>15</v>
      </c>
      <c r="I74" s="24">
        <f t="shared" ref="I74:I83" si="65">IF(D74&lt;=B74,1,0)</f>
        <v>1</v>
      </c>
      <c r="J74" s="24">
        <f t="shared" ref="J74:J93" si="66">D74-B74</f>
        <v>0</v>
      </c>
      <c r="K74" s="5" t="str">
        <f>IF(G74&gt;0,
    IF(OR(B74&lt;=TRUNC(H74/2,0),B74=0),
        IF(F74=TRUNC(H74/2,0),
            "-1, Déficit y dejo la capacidad media",
            IF(AND(F74&gt;TRUNC(H74/2,0), F74&gt;B74),
                "1, Déficit y eliminé déficit",
                IF(AND(F74&lt;TRUNC(H74/2,0), F74&lt;B74),
                    "0, Déficit y no elimine déficit",
                    "-2, Déficit y resultado fue bueno")
            )
        ),
        IF(AND(F74&gt;TRUNC(H74/2,0), F74&gt;B74),
            "1, no había déficit, pero resultado fue mejor",
            IF(AND(F74&lt;TRUNC(H74/2,0),F74&lt;B74),
                "0, no había déficit y la dejo con déficit",
                IF(F74=TRUNC(H74/2,0),
                    "-1, no había déficit y dejo la capacidad media",
                    "-2,no había déficit y resultado fue bueno")
            )
        )
    ),
    IF(G74&lt;0,
        IF(B74&gt;TRUNC(H74/2,0),
            IF(F74=TRUNC(H74/2,0),
                "-1, Superávit y deje la capacidad media",
                IF(AND(F74&gt;TRUNC(H74/2,0), F74&gt;=B74),
                    "0, Superávit y no eliminé superávit",
                    IF(AND(F74&lt;TRUNC(H74/2,0),F74&lt;B74),
                        "1, Superávit y eliminé superávit",
                        "-2, Superávit y resultado fue bueno"
                    )
                )
            ),
            IF(AND(B74&lt;=TRUNC(H74/2,0),B74&gt;=0),
                IF(F74=TRUNC(H74/2,0),
                    "-1, no había superávit y deje la capacidad media",
                    IF(AND(F74&gt;TRUNC(H74/2,0), F74&gt;=B74),
                        "0, no había superávit, y la deje con superávit",
                        IF(AND(F74&lt;TRUNC(H74/2,0),F74&lt;B74),
                            "1, no había superávit, pero el resultado fue mejor",
                            "-2, no había superávit y resultado fue bueno"
                        )
                    )
                )
            )
        )
    )
)</f>
        <v>-1, Déficit y dejo la capacidad media</v>
      </c>
      <c r="L74" s="5"/>
      <c r="M74" s="5"/>
      <c r="N74" s="4" t="s">
        <v>253</v>
      </c>
      <c r="O74" s="4">
        <v>3</v>
      </c>
      <c r="P74" s="8">
        <v>6.1111111111111107</v>
      </c>
      <c r="Q74" s="4">
        <v>1</v>
      </c>
      <c r="R74" s="4">
        <v>1</v>
      </c>
      <c r="S74" s="4">
        <v>10</v>
      </c>
      <c r="T74" s="4">
        <v>1.1425292918330761</v>
      </c>
      <c r="U74" s="14">
        <v>15</v>
      </c>
      <c r="V74" s="23">
        <f t="shared" ref="V74:V83" si="67">IF(Q74&lt;=O74,1,0)</f>
        <v>1</v>
      </c>
      <c r="W74" s="24">
        <f t="shared" ref="W74:W93" si="68">Q74-O74</f>
        <v>-2</v>
      </c>
      <c r="X74" s="5" t="str">
        <f>IF(T74&gt;0,
    IF(OR(O74&lt;=TRUNC(U74/2,0),O74=0),
        IF(S74=TRUNC(U74/2,0),
            "-1, Déficit y dejo la capacidad media",
            IF(AND(S74&gt;TRUNC(U74/2,0), S74&gt;O74),
                "1, Déficit y eliminé déficit",
                IF(AND(S74&lt;TRUNC(U74/2,0), S74&lt;O74),
                    "0, Déficit y no elimine déficit",
                    "-2, Déficit y resultado fue bueno")
            )
        ),
        IF(AND(S74&gt;TRUNC(U74/2,0), S74&gt;O74),
            "1, no había déficit, pero resultado fue mejor",
            IF(AND(S74&lt;TRUNC(U74/2,0),S74&lt;O74),
                "0, no había déficit y la dejo con déficit",
                IF(S74=TRUNC(U74/2,0),
                    "-1, no había déficit y dejo la capacidad media",
                    "-2,no había déficit y resultado fue bueno")
            )
        )
    ),
    IF(T74&lt;0,
        IF(O74&gt;TRUNC(U74/2,0),
            IF(S74=TRUNC(U74/2,0),
                "-1, Superávit y deje la capacidad media",
                IF(AND(S74&gt;TRUNC(U74/2,0), S74&gt;=O74),
                    "0, Superávit y no eliminé superávit",
                    IF(AND(S74&lt;TRUNC(U74/2,0),S74&lt;O74),
                        "1, Superávit y eliminé superávit",
                        "-2, Superávit y resultado fue bueno"
                    )
                )
            ),
            IF(AND(O74&lt;=TRUNC(U74/2,0),O74&gt;=0),
                IF(S74=TRUNC(U74/2,0),
                    "-1, no había superávit y deje la capacidad media",
                    IF(AND(S74&gt;TRUNC(U74/2,0), S74&gt;=O74),
                        "0, no había superávit, y la deje con superávit",
                        IF(AND(S74&lt;TRUNC(U74/2,0),S74&lt;O74),
                            "1, no había superávit, pero el resultado fue mejor",
                            "-2, no había superávit y resultado fue bueno"
                        )
                    )
                )
            )
        )
    )
)</f>
        <v>1, Déficit y eliminé déficit</v>
      </c>
      <c r="Y74" s="5"/>
      <c r="Z74" s="5"/>
      <c r="AA74" s="4" t="s">
        <v>253</v>
      </c>
      <c r="AB74" s="4">
        <v>5</v>
      </c>
      <c r="AC74" s="8">
        <v>4.2222222222222223</v>
      </c>
      <c r="AD74" s="4">
        <v>5</v>
      </c>
      <c r="AE74" s="4">
        <v>4</v>
      </c>
      <c r="AF74" s="4">
        <v>7</v>
      </c>
      <c r="AG74" s="4">
        <v>1.1425292918330761</v>
      </c>
      <c r="AH74" s="14">
        <v>15</v>
      </c>
      <c r="AI74" s="24">
        <f t="shared" ref="AI74:AI83" si="69">IF(AD74&lt;=AB74,1,0)</f>
        <v>1</v>
      </c>
      <c r="AJ74" s="24">
        <f t="shared" ref="AJ74:AJ93" si="70">AD74-AB74</f>
        <v>0</v>
      </c>
      <c r="AK74" t="str">
        <f>IF(AG74&gt;0,
    IF(OR(AB74&lt;=TRUNC(AH74/2,0),AB74=0),
        IF(AF74=TRUNC(AH74/2,0),
            "-1, Déficit y dejo la capacidad media",
            IF(AND(AF74&gt;TRUNC(AH74/2,0), AF74&gt;AB74),
                "1, Déficit y eliminé déficit",
                IF(AND(AF74&lt;TRUNC(AH74/2,0), AF74&lt;AB74),
                    "0, Déficit y no elimine déficit",
                    "-2, Déficit y resultado fue bueno")
            )
        ),
        IF(AND(AF74&gt;TRUNC(AH74/2,0), AF74&gt;AB74),
            "1, no había déficit, pero resultado fue mejor",
            IF(AND(AF74&lt;TRUNC(AH74/2,0),AF74&lt;AB74),
                "0, no había déficit y la dejo con déficit",
                IF(AF74=TRUNC(AH74/2,0),
                    "-1, no había déficit y dejo la capacidad media",
                    "-2,no había déficit y resultado fue bueno")
            )
        )
    ),
    IF(AG74&lt;0,
        IF(AB74&gt;TRUNC(AH74/2,0),
            IF(AF74=TRUNC(AH74/2,0),
                "-1, Superávit y deje la capacidad media",
                IF(AND(AF74&gt;TRUNC(AH74/2,0), AF74&gt;=AB74),
                    "0, Superávit y no eliminé superávit",
                    IF(AND(AF74&lt;TRUNC(AH74/2,0),AF74&lt;AB74),
                        "1, Superávit y eliminé superávit",
                        "-2, Superávit y resultado fue bueno"
                    )
                )
            ),
            IF(AND(AB74&lt;=TRUNC(AH74/2,0),AB74&gt;=0),
                IF(AF74=TRUNC(AH74/2,0),
                    "-1, no había superávit y deje la capacidad media",
                    IF(AND(AF74&gt;TRUNC(AH74/2,0), AF74&gt;=AB74),
                        "0, no había superávit, y la deje con superávit",
                        IF(AND(AF74&lt;TRUNC(AH74/2,0),AF74&lt;AB74),
                            "1, no había superávit, pero el resultado fue mejor",
                            "-2, no había superávit y resultado fue bueno"
                        )
                    )
                )
            )
        )
    )
)</f>
        <v>-1, Déficit y dejo la capacidad media</v>
      </c>
      <c r="AN74" s="4" t="s">
        <v>253</v>
      </c>
      <c r="AO74" s="4">
        <v>2</v>
      </c>
      <c r="AP74" s="8">
        <v>4.666666666666667</v>
      </c>
      <c r="AQ74" s="4">
        <v>3</v>
      </c>
      <c r="AR74" s="4">
        <v>2</v>
      </c>
      <c r="AS74" s="4">
        <v>7</v>
      </c>
      <c r="AT74" s="4">
        <v>1.1425292918330761</v>
      </c>
      <c r="AU74" s="14">
        <v>15</v>
      </c>
      <c r="AV74" s="24">
        <f t="shared" ref="AV74:AV83" si="71">IF(AQ74&lt;=AO74,1,0)</f>
        <v>0</v>
      </c>
      <c r="AW74" s="24">
        <f t="shared" ref="AW74:AW93" si="72">AQ74-AO74</f>
        <v>1</v>
      </c>
      <c r="AX74" t="str">
        <f>IF(AT74&gt;0,
    IF(OR(AO74&lt;=TRUNC(AU74/2,0),AO74=0),
        IF(AS74=TRUNC(AU74/2,0),
            "-1, Déficit y dejo la capacidad media",
            IF(AND(AS74&gt;TRUNC(AU74/2,0), AS74&gt;AO74),
                "1, Déficit y eliminé déficit",
                IF(AND(AS74&lt;TRUNC(AU74/2,0), AS74&lt;AO74),
                    "0, Déficit y no elimine déficit",
                    "-2, Déficit y resultado fue bueno")
            )
        ),
        IF(AND(AS74&gt;TRUNC(AU74/2,0), AS74&gt;AO74),
            "1, no había déficit, pero resultado fue mejor",
            IF(AND(AS74&lt;TRUNC(AU74/2,0),AS74&lt;AO74),
                "0, no había déficit y la dejo con déficit",
                IF(AS74=TRUNC(AU74/2,0),
                    "-1, no había déficit y dejo la capacidad media",
                    "-2,no había déficit y resultado fue bueno")
            )
        )
    ),
    IF(AT74&lt;0,
        IF(AO74&gt;TRUNC(AU74/2,0),
            IF(AS74=TRUNC(AU74/2,0),
                "-1, Superávit y deje la capacidad media",
                IF(AND(AS74&gt;TRUNC(AU74/2,0), AS74&gt;=AO74),
                    "0, Superávit y no eliminé superávit",
                    IF(AND(AS74&lt;TRUNC(AU74/2,0),AS74&lt;AO74),
                        "1, Superávit y eliminé superávit",
                        "-2, Superávit y resultado fue bueno"
                    )
                )
            ),
            IF(AND(AO74&lt;=TRUNC(AU74/2,0),AO74&gt;=0),
                IF(AS74=TRUNC(AU74/2,0),
                    "-1, no había superávit y deje la capacidad media",
                    IF(AND(AS74&gt;TRUNC(AU74/2,0), AS74&gt;=AO74),
                        "0, no había superávit, y la deje con superávit",
                        IF(AND(AS74&lt;TRUNC(AU74/2,0),AS74&lt;AO74),
                            "1, no había superávit, pero el resultado fue mejor",
                            "-2, no había superávit y resultado fue bueno"
                        )
                    )
                )
            )
        )
    )
)</f>
        <v>-1, Déficit y dejo la capacidad media</v>
      </c>
      <c r="BA74" s="4" t="s">
        <v>253</v>
      </c>
      <c r="BB74" s="4">
        <v>5</v>
      </c>
      <c r="BC74" s="8">
        <v>6.1111111111111107</v>
      </c>
      <c r="BD74" s="4">
        <v>5</v>
      </c>
      <c r="BE74" s="4">
        <v>5</v>
      </c>
      <c r="BF74" s="4">
        <v>7</v>
      </c>
      <c r="BG74" s="4">
        <v>1.1425292918330761</v>
      </c>
      <c r="BH74" s="14">
        <v>15</v>
      </c>
      <c r="BI74" s="24">
        <f t="shared" ref="BI74:BI83" si="73">IF(BD74&lt;=BB74,1,0)</f>
        <v>1</v>
      </c>
      <c r="BJ74" s="24">
        <f t="shared" ref="BJ74:BJ93" si="74">BD74-BB74</f>
        <v>0</v>
      </c>
      <c r="BK74" t="str">
        <f>IF(BG74&gt;0,
    IF(OR(BB74&lt;=TRUNC(BH74/2,0),BB74=0),
        IF(BF74=TRUNC(BH74/2,0),
            "-1, Déficit y dejo la capacidad media",
            IF(AND(BF74&gt;TRUNC(BH74/2,0), BF74&gt;BB74),
                "1, Déficit y eliminé déficit",
                IF(AND(BF74&lt;TRUNC(BH74/2,0), BF74&lt;BB74),
                    "0, Déficit y no elimine déficit",
                    "-2, Déficit y resultado fue bueno")
            )
        ),
        IF(AND(BF74&gt;TRUNC(BH74/2,0), BF74&gt;BB74),
            "1, no había déficit, pero resultado fue mejor",
            IF(AND(BF74&lt;TRUNC(BH74/2,0),BF74&lt;BB74),
                "0, no había déficit y la dejo con déficit",
                IF(BF74=TRUNC(BH74/2,0),
                    "-1, no había déficit y dejo la capacidad media",
                    "-2,no había déficit y resultado fue bueno")
            )
        )
    ),
    IF(BG74&lt;0,
        IF(BB74&gt;TRUNC(BH74/2,0),
            IF(BF74=TRUNC(BH74/2,0),
                "-1, Superávit y deje la capacidad media",
                IF(AND(BF74&gt;TRUNC(BH74/2,0), BF74&gt;=BB74),
                    "0, Superávit y no eliminé superávit",
                    IF(AND(BF74&lt;TRUNC(BH74/2,0),BF74&lt;BB74),
                        "1, Superávit y eliminé superávit",
                        "-2, Superávit y resultado fue bueno"
                    )
                )
            ),
            IF(AND(BB74&lt;=TRUNC(BH74/2,0),BB74&gt;=0),
                IF(BF74=TRUNC(BH74/2,0),
                    "-1, no había superávit y deje la capacidad media",
                    IF(AND(BF74&gt;TRUNC(BH74/2,0), BF74&gt;=BB74),
                        "0, no había superávit, y la deje con superávit",
                        IF(AND(BF74&lt;TRUNC(BH74/2,0),BF74&lt;BB74),
                            "1, no había superávit, pero el resultado fue mejor",
                            "-2, no había superávit y resultado fue bueno"
                        )
                    )
                )
            )
        )
    )
)</f>
        <v>-1, Déficit y dejo la capacidad media</v>
      </c>
      <c r="BM74" s="4" t="s">
        <v>253</v>
      </c>
      <c r="BN74" s="4">
        <v>10</v>
      </c>
      <c r="BO74" s="8">
        <v>4.666666666666667</v>
      </c>
      <c r="BP74" s="4">
        <v>10</v>
      </c>
      <c r="BQ74" s="4">
        <v>10</v>
      </c>
      <c r="BR74" s="4">
        <v>7</v>
      </c>
      <c r="BS74" s="4">
        <v>1.1425292918330761</v>
      </c>
      <c r="BT74" s="14">
        <v>15</v>
      </c>
      <c r="BU74" s="24">
        <f t="shared" ref="BU74:BU83" si="75">IF(BP74&lt;=BN74,1,0)</f>
        <v>1</v>
      </c>
      <c r="BV74" s="24">
        <f t="shared" ref="BV74:BV93" si="76">BP74-BN74</f>
        <v>0</v>
      </c>
      <c r="BW74" t="str">
        <f>IF(BS74&gt;0,
    IF(OR(BN74&lt;=TRUNC(BT74/2,0),BN74=0),
        IF(BR74=TRUNC(BT74/2,0),
            "-1, Déficit y dejo la capacidad media",
            IF(AND(BR74&gt;TRUNC(BT74/2,0), BR74&gt;BN74),
                "1, Déficit y eliminé déficit",
                IF(AND(BR74&lt;TRUNC(BT74/2,0), BR74&lt;BN74),
                    "0, Déficit y no elimine déficit",
                    "-2, Déficit y resultado fue bueno")
            )
        ),
        IF(AND(BR74&gt;TRUNC(BT74/2,0), BR74&gt;BN74),
            "1, no había déficit, pero resultado fue mejor",
            IF(AND(BR74&lt;TRUNC(BT74/2,0),BR74&lt;BN74),
                "0, no había déficit y la dejo con déficit",
                IF(BR74=TRUNC(BT74/2,0),
                    "-1, no había déficit y dejo la capacidad media",
                    "-2,no había déficit y resultado fue bueno")
            )
        )
    ),
    IF(BS74&lt;0,
        IF(BN74&gt;TRUNC(BT74/2,0),
            IF(BR74=TRUNC(BT74/2,0),
                "-1, Superávit y deje la capacidad media",
                IF(AND(BR74&gt;TRUNC(BT74/2,0), BR74&gt;=BN74),
                    "0, Superávit y no eliminé superávit",
                    IF(AND(BR74&lt;TRUNC(BT74/2,0),BR74&lt;BN74),
                        "1, Superávit y eliminé superávit",
                        "-2, Superávit y resultado fue bueno"
                    )
                )
            ),
            IF(AND(BN74&lt;=TRUNC(BT74/2,0),BN74&gt;=0),
                IF(BR74=TRUNC(BT74/2,0),
                    "-1, no había superávit y deje la capacidad media",
                    IF(AND(BR74&gt;TRUNC(BT74/2,0), BR74&gt;=BN74),
                        "0, no había superávit, y la deje con superávit",
                        IF(AND(BR74&lt;TRUNC(BT74/2,0),BR74&lt;BN74),
                            "1, no había superávit, pero el resultado fue mejor",
                            "-2, no había superávit y resultado fue bueno"
                        )
                    )
                )
            )
        )
    )
)</f>
        <v>-1, no había déficit y dejo la capacidad media</v>
      </c>
      <c r="BY74" s="4" t="s">
        <v>253</v>
      </c>
      <c r="BZ74" s="4">
        <v>5</v>
      </c>
      <c r="CA74" s="8">
        <v>5.5555555555555554</v>
      </c>
      <c r="CB74" s="4">
        <v>6</v>
      </c>
      <c r="CC74" s="4">
        <v>6</v>
      </c>
      <c r="CD74" s="4">
        <v>7</v>
      </c>
      <c r="CE74" s="4">
        <v>1.1425292918330761</v>
      </c>
      <c r="CF74" s="14">
        <v>15</v>
      </c>
      <c r="CG74" s="24">
        <f t="shared" ref="CG74:CG83" si="77">IF(CB74&lt;=BZ74,1,0)</f>
        <v>0</v>
      </c>
      <c r="CH74" s="24">
        <f t="shared" ref="CH74:CH93" si="78">CB74-BZ74</f>
        <v>1</v>
      </c>
      <c r="CI74" t="str">
        <f>IF(CE74&gt;0,
    IF(OR(BZ74&lt;=TRUNC(CF74/2,0),BZ74=0),
        IF(CD74=TRUNC(CF74/2,0),
            "-1, Déficit y dejo la capacidad media",
            IF(AND(CD74&gt;TRUNC(CF74/2,0), CD74&gt;BZ74),
                "1, Déficit y eliminé déficit",
                IF(AND(CD74&lt;TRUNC(CF74/2,0), CD74&lt;BZ74),
                    "0, Déficit y no elimine déficit",
                    "-2, Déficit y resultado fue bueno")
            )
        ),
        IF(AND(CD74&gt;TRUNC(CF74/2,0), CD74&gt;BZ74),
            "1, no había déficit, pero resultado fue mejor",
            IF(AND(CD74&lt;TRUNC(CF74/2,0),CD74&lt;BZ74),
                "0, no había déficit y la dejo con déficit",
                IF(CD74=TRUNC(CF74/2,0),
                    "-1, no había déficit y dejo la capacidad media",
                    "-2,no había déficit y resultado fue bueno")
            )
        )
    ),
    IF(CE74&lt;0,
        IF(BZ74&gt;TRUNC(CF74/2,0),
            IF(CD74=TRUNC(CF74/2,0),
                "-1, Superávit y deje la capacidad media",
                IF(AND(CD74&gt;TRUNC(CF74/2,0), CD74&gt;=BZ74),
                    "0, Superávit y no eliminé superávit",
                    IF(AND(CD74&lt;TRUNC(CF74/2,0),CD74&lt;BZ74),
                        "1, Superávit y eliminé superávit",
                        "-2, Superávit y resultado fue bueno"
                    )
                )
            ),
            IF(AND(BZ74&lt;=TRUNC(CF74/2,0),BZ74&gt;=0),
                IF(CD74=TRUNC(CF74/2,0),
                    "-1, no había superávit y deje la capacidad media",
                    IF(AND(CD74&gt;TRUNC(CF74/2,0), CD74&gt;=BZ74),
                        "0, no había superávit, y la deje con superávit",
                        IF(AND(CD74&lt;TRUNC(CF74/2,0),CD74&lt;BZ74),
                            "1, no había superávit, pero el resultado fue mejor",
                            "-2, no había superávit y resultado fue bueno"
                        )
                    )
                )
            )
        )
    )
)</f>
        <v>-1, Déficit y dejo la capacidad media</v>
      </c>
      <c r="CK74" s="4" t="s">
        <v>253</v>
      </c>
      <c r="CL74" s="4">
        <v>6</v>
      </c>
      <c r="CM74" s="8">
        <v>4</v>
      </c>
      <c r="CN74" s="4">
        <v>6</v>
      </c>
      <c r="CO74" s="4">
        <v>6</v>
      </c>
      <c r="CP74" s="4">
        <v>7</v>
      </c>
      <c r="CQ74" s="4">
        <v>1.1425292918330761</v>
      </c>
      <c r="CR74" s="14">
        <v>15</v>
      </c>
      <c r="CS74" s="24">
        <f t="shared" ref="CS74:CS83" si="79">IF(CN74&lt;=CL74,1,0)</f>
        <v>1</v>
      </c>
      <c r="CT74" s="24">
        <f t="shared" ref="CT74:CT93" si="80">CN74-CL74</f>
        <v>0</v>
      </c>
      <c r="CU74" t="str">
        <f>IF(CQ74&gt;0,
    IF(OR(CL74&lt;=TRUNC(CR74/2,0),CL74=0),
        IF(CP74=TRUNC(CR74/2,0),
            "-1, Déficit y dejo la capacidad media",
            IF(AND(CP74&gt;TRUNC(CR74/2,0), CP74&gt;CL74),
                "1, Déficit y eliminé déficit",
                IF(AND(CP74&lt;TRUNC(CR74/2,0), CP74&lt;CL74),
                    "0, Déficit y no elimine déficit",
                    "-2, Déficit y resultado fue bueno")
            )
        ),
        IF(AND(CP74&gt;TRUNC(CR74/2,0), CP74&gt;CL74),
            "1, no había déficit, pero resultado fue mejor",
            IF(AND(CP74&lt;TRUNC(CR74/2,0),CP74&lt;CL74),
                "0, no había déficit y la dejo con déficit",
                IF(CP74=TRUNC(CR74/2,0),
                    "-1, no había déficit y dejo la capacidad media",
                    "-2,no había déficit y resultado fue bueno")
            )
        )
    ),
    IF(CQ74&lt;0,
        IF(CL74&gt;TRUNC(CR74/2,0),
            IF(CP74=TRUNC(CR74/2,0),
                "-1, Superávit y deje la capacidad media",
                IF(AND(CP74&gt;TRUNC(CR74/2,0), CP74&gt;=CL74),
                    "0, Superávit y no eliminé superávit",
                    IF(AND(CP74&lt;TRUNC(CR74/2,0),CP74&lt;CL74),
                        "1, Superávit y eliminé superávit",
                        "-2, Superávit y resultado fue bueno"
                    )
                )
            ),
            IF(AND(CL74&lt;=TRUNC(CR74/2,0),CL74&gt;=0),
                IF(CP74=TRUNC(CR74/2,0),
                    "-1, no había superávit y deje la capacidad media",
                    IF(AND(CP74&gt;TRUNC(CR74/2,0), CP74&gt;=CL74),
                        "0, no había superávit, y la deje con superávit",
                        IF(AND(CP74&lt;TRUNC(CR74/2,0),CP74&lt;CL74),
                            "1, no había superávit, pero el resultado fue mejor",
                            "-2, no había superávit y resultado fue bueno"
                        )
                    )
                )
            )
        )
    )
)</f>
        <v>-1, Déficit y dejo la capacidad media</v>
      </c>
    </row>
    <row r="75" spans="1:99" ht="14.25" customHeight="1" x14ac:dyDescent="0.3">
      <c r="A75" s="4" t="s">
        <v>254</v>
      </c>
      <c r="B75" s="4">
        <v>8</v>
      </c>
      <c r="C75" s="8">
        <v>7.333333333333333</v>
      </c>
      <c r="D75" s="4">
        <v>6</v>
      </c>
      <c r="E75" s="4">
        <v>8</v>
      </c>
      <c r="F75" s="4">
        <v>12</v>
      </c>
      <c r="G75" s="4">
        <v>0.80154659127182082</v>
      </c>
      <c r="H75" s="14">
        <v>19</v>
      </c>
      <c r="I75" s="24">
        <f t="shared" si="65"/>
        <v>1</v>
      </c>
      <c r="J75" s="24">
        <f t="shared" si="66"/>
        <v>-2</v>
      </c>
      <c r="K75" s="5" t="str">
        <f t="shared" ref="K75:K93" si="81">IF(G75&gt;0,
    IF(OR(B75&lt;=TRUNC(H75/2,0),B75=0),
        IF(F75=TRUNC(H75/2,0),
            "-1, Déficit y dejo la capacidad media",
            IF(AND(F75&gt;TRUNC(H75/2,0), F75&gt;B75),
                "1, Déficit y eliminé déficit",
                IF(AND(F75&lt;TRUNC(H75/2,0), F75&lt;B75),
                    "0, Déficit y no elimine déficit",
                    "-2, Déficit y resultado fue bueno")
            )
        ),
        IF(AND(F75&gt;TRUNC(H75/2,0), F75&gt;B75),
            "1, no había déficit, pero resultado fue mejor",
            IF(AND(F75&lt;TRUNC(H75/2,0),F75&lt;B75),
                "0, no había déficit y la dejo con déficit",
                IF(F75=TRUNC(H75/2,0),
                    "-1, no había déficit y dejo la capacidad media",
                    "-2,no había déficit y resultado fue bueno")
            )
        )
    ),
    IF(G75&lt;0,
        IF(B75&gt;TRUNC(H75/2,0),
            IF(F75=TRUNC(H75/2,0),
                "-1, Superávit y deje la capacidad media",
                IF(AND(F75&gt;TRUNC(H75/2,0), F75&gt;=B75),
                    "0, Superávit y no eliminé superávit",
                    IF(AND(F75&lt;TRUNC(H75/2,0),F75&lt;B75),
                        "1, Superávit y eliminé superávit",
                        "-2, Superávit y resultado fue bueno"
                    )
                )
            ),
            IF(AND(B75&lt;=TRUNC(H75/2,0),B75&gt;=0),
                IF(F75=TRUNC(H75/2,0),
                    "-1, no había superávit y deje la capacidad media",
                    IF(AND(F75&gt;TRUNC(H75/2,0), F75&gt;=B75),
                        "0, no había superávit, y la deje con superávit",
                        IF(AND(F75&lt;TRUNC(H75/2,0),F75&lt;B75),
                            "1, no había superávit, pero el resultado fue mejor",
                            "-2, no había superávit y resultado fue bueno"
                        )
                    )
                )
            )
        )
    )
)</f>
        <v>1, Déficit y eliminé déficit</v>
      </c>
      <c r="L75" s="5"/>
      <c r="M75" s="5"/>
      <c r="N75" s="4" t="s">
        <v>254</v>
      </c>
      <c r="O75" s="4">
        <v>3</v>
      </c>
      <c r="P75" s="8">
        <v>3.5555555555555554</v>
      </c>
      <c r="Q75" s="4">
        <v>0</v>
      </c>
      <c r="R75" s="4">
        <v>0</v>
      </c>
      <c r="S75" s="4">
        <v>8</v>
      </c>
      <c r="T75" s="4">
        <v>0.80154659127182082</v>
      </c>
      <c r="U75" s="14">
        <v>19</v>
      </c>
      <c r="V75" s="23">
        <f t="shared" si="67"/>
        <v>1</v>
      </c>
      <c r="W75" s="24">
        <f t="shared" si="68"/>
        <v>-3</v>
      </c>
      <c r="X75" s="5" t="str">
        <f t="shared" ref="X75:X93" si="82">IF(T75&gt;0,
    IF(OR(O75&lt;=TRUNC(U75/2,0),O75=0),
        IF(S75=TRUNC(U75/2,0),
            "-1, Déficit y dejo la capacidad media",
            IF(AND(S75&gt;TRUNC(U75/2,0), S75&gt;O75),
                "1, Déficit y eliminé déficit",
                IF(AND(S75&lt;TRUNC(U75/2,0), S75&lt;O75),
                    "0, Déficit y no elimine déficit",
                    "-2, Déficit y resultado fue bueno")
            )
        ),
        IF(AND(S75&gt;TRUNC(U75/2,0), S75&gt;O75),
            "1, no había déficit, pero resultado fue mejor",
            IF(AND(S75&lt;TRUNC(U75/2,0),S75&lt;O75),
                "0, no había déficit y la dejo con déficit",
                IF(S75=TRUNC(U75/2,0),
                    "-1, no había déficit y dejo la capacidad media",
                    "-2,no había déficit y resultado fue bueno")
            )
        )
    ),
    IF(T75&lt;0,
        IF(O75&gt;TRUNC(U75/2,0),
            IF(S75=TRUNC(U75/2,0),
                "-1, Superávit y deje la capacidad media",
                IF(AND(S75&gt;TRUNC(U75/2,0), S75&gt;=O75),
                    "0, Superávit y no eliminé superávit",
                    IF(AND(S75&lt;TRUNC(U75/2,0),S75&lt;O75),
                        "1, Superávit y eliminé superávit",
                        "-2, Superávit y resultado fue bueno"
                    )
                )
            ),
            IF(AND(O75&lt;=TRUNC(U75/2,0),O75&gt;=0),
                IF(S75=TRUNC(U75/2,0),
                    "-1, no había superávit y deje la capacidad media",
                    IF(AND(S75&gt;TRUNC(U75/2,0), S75&gt;=O75),
                        "0, no había superávit, y la deje con superávit",
                        IF(AND(S75&lt;TRUNC(U75/2,0),S75&lt;O75),
                            "1, no había superávit, pero el resultado fue mejor",
                            "-2, no había superávit y resultado fue bueno"
                        )
                    )
                )
            )
        )
    )
)</f>
        <v>-2, Déficit y resultado fue bueno</v>
      </c>
      <c r="Y75" s="5"/>
      <c r="Z75" s="5"/>
      <c r="AA75" s="4" t="s">
        <v>254</v>
      </c>
      <c r="AB75" s="4">
        <v>2</v>
      </c>
      <c r="AC75" s="8">
        <v>3.3333333333333335</v>
      </c>
      <c r="AD75" s="4">
        <v>5</v>
      </c>
      <c r="AE75" s="4">
        <v>0</v>
      </c>
      <c r="AF75" s="4">
        <v>8</v>
      </c>
      <c r="AG75" s="4">
        <v>0.80154659127182082</v>
      </c>
      <c r="AH75" s="14">
        <v>19</v>
      </c>
      <c r="AI75" s="24">
        <f t="shared" si="69"/>
        <v>0</v>
      </c>
      <c r="AJ75" s="24">
        <f t="shared" si="70"/>
        <v>3</v>
      </c>
      <c r="AK75" t="str">
        <f t="shared" ref="AK75:AK93" si="83">IF(AG75&gt;0,
    IF(OR(AB75&lt;=TRUNC(AH75/2,0),AB75=0),
        IF(AF75=TRUNC(AH75/2,0),
            "-1, Déficit y dejo la capacidad media",
            IF(AND(AF75&gt;TRUNC(AH75/2,0), AF75&gt;AB75),
                "1, Déficit y eliminé déficit",
                IF(AND(AF75&lt;TRUNC(AH75/2,0), AF75&lt;AB75),
                    "0, Déficit y no elimine déficit",
                    "-2, Déficit y resultado fue bueno")
            )
        ),
        IF(AND(AF75&gt;TRUNC(AH75/2,0), AF75&gt;AB75),
            "1, no había déficit, pero resultado fue mejor",
            IF(AND(AF75&lt;TRUNC(AH75/2,0),AF75&lt;AB75),
                "0, no había déficit y la dejo con déficit",
                IF(AF75=TRUNC(AH75/2,0),
                    "-1, no había déficit y dejo la capacidad media",
                    "-2,no había déficit y resultado fue bueno")
            )
        )
    ),
    IF(AG75&lt;0,
        IF(AB75&gt;TRUNC(AH75/2,0),
            IF(AF75=TRUNC(AH75/2,0),
                "-1, Superávit y deje la capacidad media",
                IF(AND(AF75&gt;TRUNC(AH75/2,0), AF75&gt;=AB75),
                    "0, Superávit y no eliminé superávit",
                    IF(AND(AF75&lt;TRUNC(AH75/2,0),AF75&lt;AB75),
                        "1, Superávit y eliminé superávit",
                        "-2, Superávit y resultado fue bueno"
                    )
                )
            ),
            IF(AND(AB75&lt;=TRUNC(AH75/2,0),AB75&gt;=0),
                IF(AF75=TRUNC(AH75/2,0),
                    "-1, no había superávit y deje la capacidad media",
                    IF(AND(AF75&gt;TRUNC(AH75/2,0), AF75&gt;=AB75),
                        "0, no había superávit, y la deje con superávit",
                        IF(AND(AF75&lt;TRUNC(AH75/2,0),AF75&lt;AB75),
                            "1, no había superávit, pero el resultado fue mejor",
                            "-2, no había superávit y resultado fue bueno"
                        )
                    )
                )
            )
        )
    )
)</f>
        <v>-2, Déficit y resultado fue bueno</v>
      </c>
      <c r="AN75" s="4" t="s">
        <v>254</v>
      </c>
      <c r="AO75" s="4">
        <v>3</v>
      </c>
      <c r="AP75" s="8">
        <v>5.2222222222222223</v>
      </c>
      <c r="AQ75" s="4">
        <v>1</v>
      </c>
      <c r="AR75" s="4">
        <v>0</v>
      </c>
      <c r="AS75" s="4">
        <v>8</v>
      </c>
      <c r="AT75" s="4">
        <v>0.80154659127182082</v>
      </c>
      <c r="AU75" s="14">
        <v>19</v>
      </c>
      <c r="AV75" s="24">
        <f t="shared" si="71"/>
        <v>1</v>
      </c>
      <c r="AW75" s="24">
        <f t="shared" si="72"/>
        <v>-2</v>
      </c>
      <c r="AX75" t="str">
        <f t="shared" ref="AX75:AX93" si="84">IF(AT75&gt;0,
    IF(OR(AO75&lt;=TRUNC(AU75/2,0),AO75=0),
        IF(AS75=TRUNC(AU75/2,0),
            "-1, Déficit y dejo la capacidad media",
            IF(AND(AS75&gt;TRUNC(AU75/2,0), AS75&gt;AO75),
                "1, Déficit y eliminé déficit",
                IF(AND(AS75&lt;TRUNC(AU75/2,0), AS75&lt;AO75),
                    "0, Déficit y no elimine déficit",
                    "-2, Déficit y resultado fue bueno")
            )
        ),
        IF(AND(AS75&gt;TRUNC(AU75/2,0), AS75&gt;AO75),
            "1, no había déficit, pero resultado fue mejor",
            IF(AND(AS75&lt;TRUNC(AU75/2,0),AS75&lt;AO75),
                "0, no había déficit y la dejo con déficit",
                IF(AS75=TRUNC(AU75/2,0),
                    "-1, no había déficit y dejo la capacidad media",
                    "-2,no había déficit y resultado fue bueno")
            )
        )
    ),
    IF(AT75&lt;0,
        IF(AO75&gt;TRUNC(AU75/2,0),
            IF(AS75=TRUNC(AU75/2,0),
                "-1, Superávit y deje la capacidad media",
                IF(AND(AS75&gt;TRUNC(AU75/2,0), AS75&gt;=AO75),
                    "0, Superávit y no eliminé superávit",
                    IF(AND(AS75&lt;TRUNC(AU75/2,0),AS75&lt;AO75),
                        "1, Superávit y eliminé superávit",
                        "-2, Superávit y resultado fue bueno"
                    )
                )
            ),
            IF(AND(AO75&lt;=TRUNC(AU75/2,0),AO75&gt;=0),
                IF(AS75=TRUNC(AU75/2,0),
                    "-1, no había superávit y deje la capacidad media",
                    IF(AND(AS75&gt;TRUNC(AU75/2,0), AS75&gt;=AO75),
                        "0, no había superávit, y la deje con superávit",
                        IF(AND(AS75&lt;TRUNC(AU75/2,0),AS75&lt;AO75),
                            "1, no había superávit, pero el resultado fue mejor",
                            "-2, no había superávit y resultado fue bueno"
                        )
                    )
                )
            )
        )
    )
)</f>
        <v>-2, Déficit y resultado fue bueno</v>
      </c>
      <c r="BA75" s="4" t="s">
        <v>254</v>
      </c>
      <c r="BB75" s="4">
        <v>7</v>
      </c>
      <c r="BC75" s="8">
        <v>6.5555555555555554</v>
      </c>
      <c r="BD75" s="4">
        <v>0</v>
      </c>
      <c r="BE75" s="4">
        <v>0</v>
      </c>
      <c r="BF75" s="4">
        <v>8</v>
      </c>
      <c r="BG75" s="4">
        <v>0.80154659127182082</v>
      </c>
      <c r="BH75" s="14">
        <v>19</v>
      </c>
      <c r="BI75" s="24">
        <f t="shared" si="73"/>
        <v>1</v>
      </c>
      <c r="BJ75" s="24">
        <f t="shared" si="74"/>
        <v>-7</v>
      </c>
      <c r="BK75" t="str">
        <f t="shared" ref="BK75:BK93" si="85">IF(BG75&gt;0,
    IF(OR(BB75&lt;=TRUNC(BH75/2,0),BB75=0),
        IF(BF75=TRUNC(BH75/2,0),
            "-1, Déficit y dejo la capacidad media",
            IF(AND(BF75&gt;TRUNC(BH75/2,0), BF75&gt;BB75),
                "1, Déficit y eliminé déficit",
                IF(AND(BF75&lt;TRUNC(BH75/2,0), BF75&lt;BB75),
                    "0, Déficit y no elimine déficit",
                    "-2, Déficit y resultado fue bueno")
            )
        ),
        IF(AND(BF75&gt;TRUNC(BH75/2,0), BF75&gt;BB75),
            "1, no había déficit, pero resultado fue mejor",
            IF(AND(BF75&lt;TRUNC(BH75/2,0),BF75&lt;BB75),
                "0, no había déficit y la dejo con déficit",
                IF(BF75=TRUNC(BH75/2,0),
                    "-1, no había déficit y dejo la capacidad media",
                    "-2,no había déficit y resultado fue bueno")
            )
        )
    ),
    IF(BG75&lt;0,
        IF(BB75&gt;TRUNC(BH75/2,0),
            IF(BF75=TRUNC(BH75/2,0),
                "-1, Superávit y deje la capacidad media",
                IF(AND(BF75&gt;TRUNC(BH75/2,0), BF75&gt;=BB75),
                    "0, Superávit y no eliminé superávit",
                    IF(AND(BF75&lt;TRUNC(BH75/2,0),BF75&lt;BB75),
                        "1, Superávit y eliminé superávit",
                        "-2, Superávit y resultado fue bueno"
                    )
                )
            ),
            IF(AND(BB75&lt;=TRUNC(BH75/2,0),BB75&gt;=0),
                IF(BF75=TRUNC(BH75/2,0),
                    "-1, no había superávit y deje la capacidad media",
                    IF(AND(BF75&gt;TRUNC(BH75/2,0), BF75&gt;=BB75),
                        "0, no había superávit, y la deje con superávit",
                        IF(AND(BF75&lt;TRUNC(BH75/2,0),BF75&lt;BB75),
                            "1, no había superávit, pero el resultado fue mejor",
                            "-2, no había superávit y resultado fue bueno"
                        )
                    )
                )
            )
        )
    )
)</f>
        <v>-2, Déficit y resultado fue bueno</v>
      </c>
      <c r="BM75" s="4" t="s">
        <v>254</v>
      </c>
      <c r="BN75" s="4">
        <v>3</v>
      </c>
      <c r="BO75" s="8">
        <v>6.1111111111111107</v>
      </c>
      <c r="BP75" s="4">
        <v>2</v>
      </c>
      <c r="BQ75" s="4">
        <v>3</v>
      </c>
      <c r="BR75" s="4">
        <v>8</v>
      </c>
      <c r="BS75" s="4">
        <v>0.80154659127182082</v>
      </c>
      <c r="BT75" s="14">
        <v>19</v>
      </c>
      <c r="BU75" s="24">
        <f t="shared" si="75"/>
        <v>1</v>
      </c>
      <c r="BV75" s="24">
        <f t="shared" si="76"/>
        <v>-1</v>
      </c>
      <c r="BW75" t="str">
        <f t="shared" ref="BW75:BW93" si="86">IF(BS75&gt;0,
    IF(OR(BN75&lt;=TRUNC(BT75/2,0),BN75=0),
        IF(BR75=TRUNC(BT75/2,0),
            "-1, Déficit y dejo la capacidad media",
            IF(AND(BR75&gt;TRUNC(BT75/2,0), BR75&gt;BN75),
                "1, Déficit y eliminé déficit",
                IF(AND(BR75&lt;TRUNC(BT75/2,0), BR75&lt;BN75),
                    "0, Déficit y no elimine déficit",
                    "-2, Déficit y resultado fue bueno")
            )
        ),
        IF(AND(BR75&gt;TRUNC(BT75/2,0), BR75&gt;BN75),
            "1, no había déficit, pero resultado fue mejor",
            IF(AND(BR75&lt;TRUNC(BT75/2,0),BR75&lt;BN75),
                "0, no había déficit y la dejo con déficit",
                IF(BR75=TRUNC(BT75/2,0),
                    "-1, no había déficit y dejo la capacidad media",
                    "-2,no había déficit y resultado fue bueno")
            )
        )
    ),
    IF(BS75&lt;0,
        IF(BN75&gt;TRUNC(BT75/2,0),
            IF(BR75=TRUNC(BT75/2,0),
                "-1, Superávit y deje la capacidad media",
                IF(AND(BR75&gt;TRUNC(BT75/2,0), BR75&gt;=BN75),
                    "0, Superávit y no eliminé superávit",
                    IF(AND(BR75&lt;TRUNC(BT75/2,0),BR75&lt;BN75),
                        "1, Superávit y eliminé superávit",
                        "-2, Superávit y resultado fue bueno"
                    )
                )
            ),
            IF(AND(BN75&lt;=TRUNC(BT75/2,0),BN75&gt;=0),
                IF(BR75=TRUNC(BT75/2,0),
                    "-1, no había superávit y deje la capacidad media",
                    IF(AND(BR75&gt;TRUNC(BT75/2,0), BR75&gt;=BN75),
                        "0, no había superávit, y la deje con superávit",
                        IF(AND(BR75&lt;TRUNC(BT75/2,0),BR75&lt;BN75),
                            "1, no había superávit, pero el resultado fue mejor",
                            "-2, no había superávit y resultado fue bueno"
                        )
                    )
                )
            )
        )
    )
)</f>
        <v>-2, Déficit y resultado fue bueno</v>
      </c>
      <c r="BY75" s="4" t="s">
        <v>254</v>
      </c>
      <c r="BZ75" s="4">
        <v>4</v>
      </c>
      <c r="CA75" s="8">
        <v>5.8888888888888893</v>
      </c>
      <c r="CB75" s="4">
        <v>5</v>
      </c>
      <c r="CC75" s="4">
        <v>7</v>
      </c>
      <c r="CD75" s="4">
        <v>8</v>
      </c>
      <c r="CE75" s="4">
        <v>0.80154659127182082</v>
      </c>
      <c r="CF75" s="14">
        <v>19</v>
      </c>
      <c r="CG75" s="24">
        <f t="shared" si="77"/>
        <v>0</v>
      </c>
      <c r="CH75" s="24">
        <f t="shared" si="78"/>
        <v>1</v>
      </c>
      <c r="CI75" t="str">
        <f t="shared" ref="CI75:CI93" si="87">IF(CE75&gt;0,
    IF(OR(BZ75&lt;=TRUNC(CF75/2,0),BZ75=0),
        IF(CD75=TRUNC(CF75/2,0),
            "-1, Déficit y dejo la capacidad media",
            IF(AND(CD75&gt;TRUNC(CF75/2,0), CD75&gt;BZ75),
                "1, Déficit y eliminé déficit",
                IF(AND(CD75&lt;TRUNC(CF75/2,0), CD75&lt;BZ75),
                    "0, Déficit y no elimine déficit",
                    "-2, Déficit y resultado fue bueno")
            )
        ),
        IF(AND(CD75&gt;TRUNC(CF75/2,0), CD75&gt;BZ75),
            "1, no había déficit, pero resultado fue mejor",
            IF(AND(CD75&lt;TRUNC(CF75/2,0),CD75&lt;BZ75),
                "0, no había déficit y la dejo con déficit",
                IF(CD75=TRUNC(CF75/2,0),
                    "-1, no había déficit y dejo la capacidad media",
                    "-2,no había déficit y resultado fue bueno")
            )
        )
    ),
    IF(CE75&lt;0,
        IF(BZ75&gt;TRUNC(CF75/2,0),
            IF(CD75=TRUNC(CF75/2,0),
                "-1, Superávit y deje la capacidad media",
                IF(AND(CD75&gt;TRUNC(CF75/2,0), CD75&gt;=BZ75),
                    "0, Superávit y no eliminé superávit",
                    IF(AND(CD75&lt;TRUNC(CF75/2,0),CD75&lt;BZ75),
                        "1, Superávit y eliminé superávit",
                        "-2, Superávit y resultado fue bueno"
                    )
                )
            ),
            IF(AND(BZ75&lt;=TRUNC(CF75/2,0),BZ75&gt;=0),
                IF(CD75=TRUNC(CF75/2,0),
                    "-1, no había superávit y deje la capacidad media",
                    IF(AND(CD75&gt;TRUNC(CF75/2,0), CD75&gt;=BZ75),
                        "0, no había superávit, y la deje con superávit",
                        IF(AND(CD75&lt;TRUNC(CF75/2,0),CD75&lt;BZ75),
                            "1, no había superávit, pero el resultado fue mejor",
                            "-2, no había superávit y resultado fue bueno"
                        )
                    )
                )
            )
        )
    )
)</f>
        <v>-2, Déficit y resultado fue bueno</v>
      </c>
      <c r="CK75" s="4" t="s">
        <v>254</v>
      </c>
      <c r="CL75" s="4">
        <v>7</v>
      </c>
      <c r="CM75" s="8">
        <v>7.333333333333333</v>
      </c>
      <c r="CN75" s="4">
        <v>5</v>
      </c>
      <c r="CO75" s="4">
        <v>3</v>
      </c>
      <c r="CP75" s="4">
        <v>8</v>
      </c>
      <c r="CQ75" s="4">
        <v>0.80154659127182082</v>
      </c>
      <c r="CR75" s="14">
        <v>19</v>
      </c>
      <c r="CS75" s="24">
        <f t="shared" si="79"/>
        <v>1</v>
      </c>
      <c r="CT75" s="24">
        <f t="shared" si="80"/>
        <v>-2</v>
      </c>
      <c r="CU75" t="str">
        <f t="shared" ref="CU75:CU93" si="88">IF(CQ75&gt;0,
    IF(OR(CL75&lt;=TRUNC(CR75/2,0),CL75=0),
        IF(CP75=TRUNC(CR75/2,0),
            "-1, Déficit y dejo la capacidad media",
            IF(AND(CP75&gt;TRUNC(CR75/2,0), CP75&gt;CL75),
                "1, Déficit y eliminé déficit",
                IF(AND(CP75&lt;TRUNC(CR75/2,0), CP75&lt;CL75),
                    "0, Déficit y no elimine déficit",
                    "-2, Déficit y resultado fue bueno")
            )
        ),
        IF(AND(CP75&gt;TRUNC(CR75/2,0), CP75&gt;CL75),
            "1, no había déficit, pero resultado fue mejor",
            IF(AND(CP75&lt;TRUNC(CR75/2,0),CP75&lt;CL75),
                "0, no había déficit y la dejo con déficit",
                IF(CP75=TRUNC(CR75/2,0),
                    "-1, no había déficit y dejo la capacidad media",
                    "-2,no había déficit y resultado fue bueno")
            )
        )
    ),
    IF(CQ75&lt;0,
        IF(CL75&gt;TRUNC(CR75/2,0),
            IF(CP75=TRUNC(CR75/2,0),
                "-1, Superávit y deje la capacidad media",
                IF(AND(CP75&gt;TRUNC(CR75/2,0), CP75&gt;=CL75),
                    "0, Superávit y no eliminé superávit",
                    IF(AND(CP75&lt;TRUNC(CR75/2,0),CP75&lt;CL75),
                        "1, Superávit y eliminé superávit",
                        "-2, Superávit y resultado fue bueno"
                    )
                )
            ),
            IF(AND(CL75&lt;=TRUNC(CR75/2,0),CL75&gt;=0),
                IF(CP75=TRUNC(CR75/2,0),
                    "-1, no había superávit y deje la capacidad media",
                    IF(AND(CP75&gt;TRUNC(CR75/2,0), CP75&gt;=CL75),
                        "0, no había superávit, y la deje con superávit",
                        IF(AND(CP75&lt;TRUNC(CR75/2,0),CP75&lt;CL75),
                            "1, no había superávit, pero el resultado fue mejor",
                            "-2, no había superávit y resultado fue bueno"
                        )
                    )
                )
            )
        )
    )
)</f>
        <v>-2, Déficit y resultado fue bueno</v>
      </c>
    </row>
    <row r="76" spans="1:99" ht="14.25" customHeight="1" x14ac:dyDescent="0.3">
      <c r="A76" s="4" t="s">
        <v>255</v>
      </c>
      <c r="B76" s="4">
        <v>1</v>
      </c>
      <c r="C76" s="8">
        <v>4.4444444444444446</v>
      </c>
      <c r="D76" s="4">
        <v>1</v>
      </c>
      <c r="E76" s="4">
        <v>1</v>
      </c>
      <c r="F76" s="4">
        <v>6</v>
      </c>
      <c r="G76" s="4">
        <v>0.75176560751023358</v>
      </c>
      <c r="H76" s="14">
        <v>15</v>
      </c>
      <c r="I76" s="24">
        <f t="shared" si="65"/>
        <v>1</v>
      </c>
      <c r="J76" s="24">
        <f t="shared" si="66"/>
        <v>0</v>
      </c>
      <c r="K76" s="5" t="str">
        <f t="shared" si="81"/>
        <v>-2, Déficit y resultado fue bueno</v>
      </c>
      <c r="L76" s="5"/>
      <c r="M76" s="5"/>
      <c r="N76" s="4" t="s">
        <v>255</v>
      </c>
      <c r="O76" s="4">
        <v>0</v>
      </c>
      <c r="P76" s="8">
        <v>3.2222222222222223</v>
      </c>
      <c r="Q76" s="4">
        <v>1</v>
      </c>
      <c r="R76" s="4">
        <v>1</v>
      </c>
      <c r="S76" s="4">
        <v>6</v>
      </c>
      <c r="T76" s="4">
        <v>0.75176560751023358</v>
      </c>
      <c r="U76" s="14">
        <v>15</v>
      </c>
      <c r="V76" s="23">
        <f t="shared" si="67"/>
        <v>0</v>
      </c>
      <c r="W76" s="24">
        <f t="shared" si="68"/>
        <v>1</v>
      </c>
      <c r="X76" s="5" t="str">
        <f t="shared" si="82"/>
        <v>-2, Déficit y resultado fue bueno</v>
      </c>
      <c r="Y76" s="5"/>
      <c r="Z76" s="5"/>
      <c r="AA76" s="4" t="s">
        <v>255</v>
      </c>
      <c r="AB76" s="4">
        <v>4</v>
      </c>
      <c r="AC76" s="8">
        <v>2.8888888888888888</v>
      </c>
      <c r="AD76" s="4">
        <v>5</v>
      </c>
      <c r="AE76" s="4">
        <v>6</v>
      </c>
      <c r="AF76" s="4">
        <v>7</v>
      </c>
      <c r="AG76" s="4">
        <v>0.75176560751023358</v>
      </c>
      <c r="AH76" s="14">
        <v>15</v>
      </c>
      <c r="AI76" s="24">
        <f t="shared" si="69"/>
        <v>0</v>
      </c>
      <c r="AJ76" s="24">
        <f t="shared" si="70"/>
        <v>1</v>
      </c>
      <c r="AK76" t="str">
        <f t="shared" si="83"/>
        <v>-1, Déficit y dejo la capacidad media</v>
      </c>
      <c r="AN76" s="4" t="s">
        <v>255</v>
      </c>
      <c r="AO76" s="4">
        <v>1</v>
      </c>
      <c r="AP76" s="8">
        <v>2.6666666666666665</v>
      </c>
      <c r="AQ76" s="4">
        <v>3</v>
      </c>
      <c r="AR76" s="4">
        <v>2</v>
      </c>
      <c r="AS76" s="4">
        <v>7</v>
      </c>
      <c r="AT76" s="4">
        <v>0.75176560751023358</v>
      </c>
      <c r="AU76" s="14">
        <v>15</v>
      </c>
      <c r="AV76" s="24">
        <f t="shared" si="71"/>
        <v>0</v>
      </c>
      <c r="AW76" s="24">
        <f t="shared" si="72"/>
        <v>2</v>
      </c>
      <c r="AX76" t="str">
        <f t="shared" si="84"/>
        <v>-1, Déficit y dejo la capacidad media</v>
      </c>
      <c r="BA76" s="4" t="s">
        <v>255</v>
      </c>
      <c r="BB76" s="4">
        <v>2</v>
      </c>
      <c r="BC76" s="8">
        <v>4.333333333333333</v>
      </c>
      <c r="BD76" s="4">
        <v>1</v>
      </c>
      <c r="BE76" s="4">
        <v>2</v>
      </c>
      <c r="BF76" s="4">
        <v>6</v>
      </c>
      <c r="BG76" s="4">
        <v>0.75176560751023358</v>
      </c>
      <c r="BH76" s="14">
        <v>15</v>
      </c>
      <c r="BI76" s="24">
        <f t="shared" si="73"/>
        <v>1</v>
      </c>
      <c r="BJ76" s="24">
        <f t="shared" si="74"/>
        <v>-1</v>
      </c>
      <c r="BK76" t="str">
        <f t="shared" si="85"/>
        <v>-2, Déficit y resultado fue bueno</v>
      </c>
      <c r="BM76" s="4" t="s">
        <v>255</v>
      </c>
      <c r="BN76" s="4">
        <v>1</v>
      </c>
      <c r="BO76" s="8">
        <v>2.1111111111111112</v>
      </c>
      <c r="BP76" s="4">
        <v>1</v>
      </c>
      <c r="BQ76" s="4">
        <v>1</v>
      </c>
      <c r="BR76" s="4">
        <v>6</v>
      </c>
      <c r="BS76" s="4">
        <v>0.75176560751023358</v>
      </c>
      <c r="BT76" s="14">
        <v>15</v>
      </c>
      <c r="BU76" s="24">
        <f t="shared" si="75"/>
        <v>1</v>
      </c>
      <c r="BV76" s="24">
        <f t="shared" si="76"/>
        <v>0</v>
      </c>
      <c r="BW76" t="str">
        <f t="shared" si="86"/>
        <v>-2, Déficit y resultado fue bueno</v>
      </c>
      <c r="BY76" s="4" t="s">
        <v>255</v>
      </c>
      <c r="BZ76" s="4">
        <v>7</v>
      </c>
      <c r="CA76" s="8">
        <v>2.4444444444444446</v>
      </c>
      <c r="CB76" s="4">
        <v>7</v>
      </c>
      <c r="CC76" s="4">
        <v>7</v>
      </c>
      <c r="CD76" s="4">
        <v>6</v>
      </c>
      <c r="CE76" s="4">
        <v>0.75176560751023358</v>
      </c>
      <c r="CF76" s="14">
        <v>15</v>
      </c>
      <c r="CG76" s="24">
        <f t="shared" si="77"/>
        <v>1</v>
      </c>
      <c r="CH76" s="24">
        <f t="shared" si="78"/>
        <v>0</v>
      </c>
      <c r="CI76" t="str">
        <f t="shared" si="87"/>
        <v>0, Déficit y no elimine déficit</v>
      </c>
      <c r="CK76" s="4" t="s">
        <v>255</v>
      </c>
      <c r="CL76" s="4">
        <v>4</v>
      </c>
      <c r="CM76" s="8">
        <v>4.4444444444444446</v>
      </c>
      <c r="CN76" s="4">
        <v>3</v>
      </c>
      <c r="CO76" s="4">
        <v>3</v>
      </c>
      <c r="CP76" s="4">
        <v>6</v>
      </c>
      <c r="CQ76" s="4">
        <v>0.75176560751023358</v>
      </c>
      <c r="CR76" s="14">
        <v>15</v>
      </c>
      <c r="CS76" s="24">
        <f t="shared" si="79"/>
        <v>1</v>
      </c>
      <c r="CT76" s="24">
        <f t="shared" si="80"/>
        <v>-1</v>
      </c>
      <c r="CU76" t="str">
        <f t="shared" si="88"/>
        <v>-2, Déficit y resultado fue bueno</v>
      </c>
    </row>
    <row r="77" spans="1:99" ht="14.25" customHeight="1" x14ac:dyDescent="0.3">
      <c r="A77" s="4" t="s">
        <v>256</v>
      </c>
      <c r="B77" s="4">
        <v>4</v>
      </c>
      <c r="C77" s="8">
        <v>3.5555555555555554</v>
      </c>
      <c r="D77" s="4">
        <v>4</v>
      </c>
      <c r="E77" s="4">
        <v>4</v>
      </c>
      <c r="F77" s="4">
        <v>7</v>
      </c>
      <c r="G77" s="4">
        <v>0.70267762112263932</v>
      </c>
      <c r="H77" s="14">
        <v>17</v>
      </c>
      <c r="I77" s="24">
        <f t="shared" si="65"/>
        <v>1</v>
      </c>
      <c r="J77" s="24">
        <f t="shared" si="66"/>
        <v>0</v>
      </c>
      <c r="K77" s="5" t="str">
        <f t="shared" si="81"/>
        <v>-2, Déficit y resultado fue bueno</v>
      </c>
      <c r="L77" s="5"/>
      <c r="M77" s="5"/>
      <c r="N77" s="4" t="s">
        <v>256</v>
      </c>
      <c r="O77" s="4">
        <v>3</v>
      </c>
      <c r="P77" s="8">
        <v>4.7777777777777777</v>
      </c>
      <c r="Q77" s="4">
        <v>4</v>
      </c>
      <c r="R77" s="4">
        <v>1</v>
      </c>
      <c r="S77" s="4">
        <v>7</v>
      </c>
      <c r="T77" s="4">
        <v>0.70267762112263932</v>
      </c>
      <c r="U77" s="14">
        <v>17</v>
      </c>
      <c r="V77" s="23">
        <f t="shared" si="67"/>
        <v>0</v>
      </c>
      <c r="W77" s="24">
        <f t="shared" si="68"/>
        <v>1</v>
      </c>
      <c r="X77" s="5" t="str">
        <f t="shared" si="82"/>
        <v>-2, Déficit y resultado fue bueno</v>
      </c>
      <c r="Y77" s="5"/>
      <c r="Z77" s="5"/>
      <c r="AA77" s="4" t="s">
        <v>256</v>
      </c>
      <c r="AB77" s="4">
        <v>6</v>
      </c>
      <c r="AC77" s="8">
        <v>5.8888888888888893</v>
      </c>
      <c r="AD77" s="4">
        <v>5</v>
      </c>
      <c r="AE77" s="4">
        <v>4</v>
      </c>
      <c r="AF77" s="4">
        <v>11</v>
      </c>
      <c r="AG77" s="4">
        <v>0.70267762112263932</v>
      </c>
      <c r="AH77" s="14">
        <v>17</v>
      </c>
      <c r="AI77" s="24">
        <f t="shared" si="69"/>
        <v>1</v>
      </c>
      <c r="AJ77" s="24">
        <f t="shared" si="70"/>
        <v>-1</v>
      </c>
      <c r="AK77" t="str">
        <f t="shared" si="83"/>
        <v>1, Déficit y eliminé déficit</v>
      </c>
      <c r="AN77" s="4" t="s">
        <v>256</v>
      </c>
      <c r="AO77" s="4">
        <v>5</v>
      </c>
      <c r="AP77" s="8">
        <v>5</v>
      </c>
      <c r="AQ77" s="4">
        <v>3</v>
      </c>
      <c r="AR77" s="4">
        <v>2</v>
      </c>
      <c r="AS77" s="4">
        <v>11</v>
      </c>
      <c r="AT77" s="4">
        <v>0.70267762112263932</v>
      </c>
      <c r="AU77" s="14">
        <v>17</v>
      </c>
      <c r="AV77" s="24">
        <f t="shared" si="71"/>
        <v>1</v>
      </c>
      <c r="AW77" s="24">
        <f t="shared" si="72"/>
        <v>-2</v>
      </c>
      <c r="AX77" t="str">
        <f t="shared" si="84"/>
        <v>1, Déficit y eliminé déficit</v>
      </c>
      <c r="BA77" s="4" t="s">
        <v>256</v>
      </c>
      <c r="BB77" s="4">
        <v>1</v>
      </c>
      <c r="BC77" s="8">
        <v>6.7777777777777777</v>
      </c>
      <c r="BD77" s="4">
        <v>5</v>
      </c>
      <c r="BE77" s="4">
        <v>5</v>
      </c>
      <c r="BF77" s="4">
        <v>7</v>
      </c>
      <c r="BG77" s="4">
        <v>0.70267762112263932</v>
      </c>
      <c r="BH77" s="14">
        <v>17</v>
      </c>
      <c r="BI77" s="24">
        <f t="shared" si="73"/>
        <v>0</v>
      </c>
      <c r="BJ77" s="24">
        <f t="shared" si="74"/>
        <v>4</v>
      </c>
      <c r="BK77" t="str">
        <f t="shared" si="85"/>
        <v>-2, Déficit y resultado fue bueno</v>
      </c>
      <c r="BM77" s="4" t="s">
        <v>256</v>
      </c>
      <c r="BN77" s="4">
        <v>9</v>
      </c>
      <c r="BO77" s="8">
        <v>4.666666666666667</v>
      </c>
      <c r="BP77" s="4">
        <v>6</v>
      </c>
      <c r="BQ77" s="4">
        <v>5</v>
      </c>
      <c r="BR77" s="4">
        <v>7</v>
      </c>
      <c r="BS77" s="4">
        <v>0.70267762112263932</v>
      </c>
      <c r="BT77" s="14">
        <v>17</v>
      </c>
      <c r="BU77" s="24">
        <f t="shared" si="75"/>
        <v>1</v>
      </c>
      <c r="BV77" s="24">
        <f t="shared" si="76"/>
        <v>-3</v>
      </c>
      <c r="BW77" t="str">
        <f t="shared" si="86"/>
        <v>0, no había déficit y la dejo con déficit</v>
      </c>
      <c r="BY77" s="4" t="s">
        <v>256</v>
      </c>
      <c r="BZ77" s="4">
        <v>2</v>
      </c>
      <c r="CA77" s="8">
        <v>5.1111111111111107</v>
      </c>
      <c r="CB77" s="4">
        <v>1</v>
      </c>
      <c r="CC77" s="4">
        <v>0</v>
      </c>
      <c r="CD77" s="4">
        <v>7</v>
      </c>
      <c r="CE77" s="4">
        <v>0.70267762112263932</v>
      </c>
      <c r="CF77" s="14">
        <v>17</v>
      </c>
      <c r="CG77" s="24">
        <f t="shared" si="77"/>
        <v>1</v>
      </c>
      <c r="CH77" s="24">
        <f t="shared" si="78"/>
        <v>-1</v>
      </c>
      <c r="CI77" t="str">
        <f t="shared" si="87"/>
        <v>-2, Déficit y resultado fue bueno</v>
      </c>
      <c r="CK77" s="4" t="s">
        <v>256</v>
      </c>
      <c r="CL77" s="4">
        <v>0</v>
      </c>
      <c r="CM77" s="8">
        <v>3.5555555555555554</v>
      </c>
      <c r="CN77" s="4">
        <v>0</v>
      </c>
      <c r="CO77" s="4">
        <v>0</v>
      </c>
      <c r="CP77" s="4">
        <v>7</v>
      </c>
      <c r="CQ77" s="4">
        <v>0.70267762112263932</v>
      </c>
      <c r="CR77" s="14">
        <v>17</v>
      </c>
      <c r="CS77" s="24">
        <f t="shared" si="79"/>
        <v>1</v>
      </c>
      <c r="CT77" s="24">
        <f t="shared" si="80"/>
        <v>0</v>
      </c>
      <c r="CU77" t="str">
        <f t="shared" si="88"/>
        <v>-2, Déficit y resultado fue bueno</v>
      </c>
    </row>
    <row r="78" spans="1:99" ht="14.25" customHeight="1" x14ac:dyDescent="0.3">
      <c r="A78" s="4" t="s">
        <v>252</v>
      </c>
      <c r="B78" s="4">
        <v>1</v>
      </c>
      <c r="C78" s="8">
        <v>6.5555555555555554</v>
      </c>
      <c r="D78" s="4">
        <v>1</v>
      </c>
      <c r="E78" s="4">
        <v>1</v>
      </c>
      <c r="F78" s="4">
        <v>6</v>
      </c>
      <c r="G78" s="4">
        <v>0.70256358269933272</v>
      </c>
      <c r="H78" s="14">
        <v>15</v>
      </c>
      <c r="I78" s="24">
        <f t="shared" si="65"/>
        <v>1</v>
      </c>
      <c r="J78" s="24">
        <f t="shared" si="66"/>
        <v>0</v>
      </c>
      <c r="K78" s="5" t="str">
        <f t="shared" si="81"/>
        <v>-2, Déficit y resultado fue bueno</v>
      </c>
      <c r="L78" s="5"/>
      <c r="M78" s="5"/>
      <c r="N78" s="4" t="s">
        <v>252</v>
      </c>
      <c r="O78" s="4">
        <v>5</v>
      </c>
      <c r="P78" s="8">
        <v>6.7777777777777777</v>
      </c>
      <c r="Q78" s="4">
        <v>2</v>
      </c>
      <c r="R78" s="4">
        <v>3</v>
      </c>
      <c r="S78" s="4">
        <v>10</v>
      </c>
      <c r="T78" s="4">
        <v>0.70256358269933272</v>
      </c>
      <c r="U78" s="14">
        <v>15</v>
      </c>
      <c r="V78" s="23">
        <f t="shared" si="67"/>
        <v>1</v>
      </c>
      <c r="W78" s="24">
        <f t="shared" si="68"/>
        <v>-3</v>
      </c>
      <c r="X78" s="5" t="str">
        <f t="shared" si="82"/>
        <v>1, Déficit y eliminé déficit</v>
      </c>
      <c r="Y78" s="5"/>
      <c r="Z78" s="5"/>
      <c r="AA78" s="4" t="s">
        <v>252</v>
      </c>
      <c r="AB78" s="4">
        <v>5</v>
      </c>
      <c r="AC78" s="8">
        <v>4.2222222222222223</v>
      </c>
      <c r="AD78" s="4">
        <v>5</v>
      </c>
      <c r="AE78" s="4">
        <v>4</v>
      </c>
      <c r="AF78" s="4">
        <v>6</v>
      </c>
      <c r="AG78" s="4">
        <v>0.70256358269933272</v>
      </c>
      <c r="AH78" s="14">
        <v>15</v>
      </c>
      <c r="AI78" s="24">
        <f t="shared" si="69"/>
        <v>1</v>
      </c>
      <c r="AJ78" s="24">
        <f t="shared" si="70"/>
        <v>0</v>
      </c>
      <c r="AK78" t="str">
        <f t="shared" si="83"/>
        <v>-2, Déficit y resultado fue bueno</v>
      </c>
      <c r="AN78" s="4" t="s">
        <v>252</v>
      </c>
      <c r="AO78" s="4">
        <v>12</v>
      </c>
      <c r="AP78" s="8">
        <v>6.2222222222222223</v>
      </c>
      <c r="AQ78" s="4">
        <v>13</v>
      </c>
      <c r="AR78" s="4">
        <v>9</v>
      </c>
      <c r="AS78" s="4">
        <v>6</v>
      </c>
      <c r="AT78" s="4">
        <v>0.70256358269933272</v>
      </c>
      <c r="AU78" s="14">
        <v>15</v>
      </c>
      <c r="AV78" s="24">
        <f t="shared" si="71"/>
        <v>0</v>
      </c>
      <c r="AW78" s="24">
        <f t="shared" si="72"/>
        <v>1</v>
      </c>
      <c r="AX78" t="str">
        <f t="shared" si="84"/>
        <v>0, no había déficit y la dejo con déficit</v>
      </c>
      <c r="BA78" s="4" t="s">
        <v>252</v>
      </c>
      <c r="BB78" s="4">
        <v>10</v>
      </c>
      <c r="BC78" s="8">
        <v>8.1111111111111107</v>
      </c>
      <c r="BD78" s="4">
        <v>10</v>
      </c>
      <c r="BE78" s="4">
        <v>10</v>
      </c>
      <c r="BF78" s="4">
        <v>6</v>
      </c>
      <c r="BG78" s="4">
        <v>0.70256358269933272</v>
      </c>
      <c r="BH78" s="14">
        <v>15</v>
      </c>
      <c r="BI78" s="24">
        <f t="shared" si="73"/>
        <v>1</v>
      </c>
      <c r="BJ78" s="24">
        <f t="shared" si="74"/>
        <v>0</v>
      </c>
      <c r="BK78" t="str">
        <f t="shared" si="85"/>
        <v>0, no había déficit y la dejo con déficit</v>
      </c>
      <c r="BM78" s="4" t="s">
        <v>252</v>
      </c>
      <c r="BN78" s="4">
        <v>9</v>
      </c>
      <c r="BO78" s="8">
        <v>5.5555555555555554</v>
      </c>
      <c r="BP78" s="4">
        <v>9</v>
      </c>
      <c r="BQ78" s="4">
        <v>9</v>
      </c>
      <c r="BR78" s="4">
        <v>6</v>
      </c>
      <c r="BS78" s="4">
        <v>0.70256358269933272</v>
      </c>
      <c r="BT78" s="14">
        <v>15</v>
      </c>
      <c r="BU78" s="24">
        <f t="shared" si="75"/>
        <v>1</v>
      </c>
      <c r="BV78" s="24">
        <f t="shared" si="76"/>
        <v>0</v>
      </c>
      <c r="BW78" t="str">
        <f t="shared" si="86"/>
        <v>0, no había déficit y la dejo con déficit</v>
      </c>
      <c r="BY78" s="4" t="s">
        <v>252</v>
      </c>
      <c r="BZ78" s="4">
        <v>11</v>
      </c>
      <c r="CA78" s="8">
        <v>6.666666666666667</v>
      </c>
      <c r="CB78" s="4">
        <v>11</v>
      </c>
      <c r="CC78" s="4">
        <v>11</v>
      </c>
      <c r="CD78" s="4">
        <v>6</v>
      </c>
      <c r="CE78" s="4">
        <v>0.70256358269933272</v>
      </c>
      <c r="CF78" s="14">
        <v>15</v>
      </c>
      <c r="CG78" s="24">
        <f t="shared" si="77"/>
        <v>1</v>
      </c>
      <c r="CH78" s="24">
        <f t="shared" si="78"/>
        <v>0</v>
      </c>
      <c r="CI78" t="str">
        <f t="shared" si="87"/>
        <v>0, no había déficit y la dejo con déficit</v>
      </c>
      <c r="CK78" s="4" t="s">
        <v>252</v>
      </c>
      <c r="CL78" s="4">
        <v>14</v>
      </c>
      <c r="CM78" s="8">
        <v>6.5555555555555554</v>
      </c>
      <c r="CN78" s="4">
        <v>14</v>
      </c>
      <c r="CO78" s="4">
        <v>15</v>
      </c>
      <c r="CP78" s="4">
        <v>7</v>
      </c>
      <c r="CQ78" s="4">
        <v>0.70256358269933272</v>
      </c>
      <c r="CR78" s="14">
        <v>15</v>
      </c>
      <c r="CS78" s="24">
        <f t="shared" si="79"/>
        <v>1</v>
      </c>
      <c r="CT78" s="24">
        <f t="shared" si="80"/>
        <v>0</v>
      </c>
      <c r="CU78" t="str">
        <f t="shared" si="88"/>
        <v>-1, no había déficit y dejo la capacidad media</v>
      </c>
    </row>
    <row r="79" spans="1:99" ht="14.25" customHeight="1" x14ac:dyDescent="0.3">
      <c r="A79" s="4" t="s">
        <v>250</v>
      </c>
      <c r="B79" s="4">
        <v>4</v>
      </c>
      <c r="C79" s="8">
        <v>5.4444444444444446</v>
      </c>
      <c r="D79" s="4">
        <v>4</v>
      </c>
      <c r="E79" s="4">
        <v>4</v>
      </c>
      <c r="F79" s="4">
        <v>6</v>
      </c>
      <c r="G79" s="4">
        <v>0.67691586229508371</v>
      </c>
      <c r="H79" s="14">
        <v>15</v>
      </c>
      <c r="I79" s="24">
        <f t="shared" si="65"/>
        <v>1</v>
      </c>
      <c r="J79" s="24">
        <f t="shared" si="66"/>
        <v>0</v>
      </c>
      <c r="K79" s="5" t="str">
        <f t="shared" si="81"/>
        <v>-2, Déficit y resultado fue bueno</v>
      </c>
      <c r="L79" s="5"/>
      <c r="M79" s="5"/>
      <c r="N79" s="4" t="s">
        <v>250</v>
      </c>
      <c r="O79" s="4">
        <v>1</v>
      </c>
      <c r="P79" s="8">
        <v>3.8888888888888888</v>
      </c>
      <c r="Q79" s="4">
        <v>1</v>
      </c>
      <c r="R79" s="4">
        <v>0</v>
      </c>
      <c r="S79" s="4">
        <v>6</v>
      </c>
      <c r="T79" s="4">
        <v>0.67691586229508371</v>
      </c>
      <c r="U79" s="14">
        <v>15</v>
      </c>
      <c r="V79" s="23">
        <f t="shared" si="67"/>
        <v>1</v>
      </c>
      <c r="W79" s="24">
        <f t="shared" si="68"/>
        <v>0</v>
      </c>
      <c r="X79" s="5" t="str">
        <f t="shared" si="82"/>
        <v>-2, Déficit y resultado fue bueno</v>
      </c>
      <c r="Y79" s="5"/>
      <c r="Z79" s="5"/>
      <c r="AA79" s="4" t="s">
        <v>250</v>
      </c>
      <c r="AB79" s="4">
        <v>9</v>
      </c>
      <c r="AC79" s="8">
        <v>6.8888888888888893</v>
      </c>
      <c r="AD79" s="4">
        <v>5</v>
      </c>
      <c r="AE79" s="4">
        <v>6</v>
      </c>
      <c r="AF79" s="4">
        <v>6</v>
      </c>
      <c r="AG79" s="4">
        <v>0.67691586229508371</v>
      </c>
      <c r="AH79" s="14">
        <v>15</v>
      </c>
      <c r="AI79" s="24">
        <f t="shared" si="69"/>
        <v>1</v>
      </c>
      <c r="AJ79" s="24">
        <f t="shared" si="70"/>
        <v>-4</v>
      </c>
      <c r="AK79" t="str">
        <f t="shared" si="83"/>
        <v>0, no había déficit y la dejo con déficit</v>
      </c>
      <c r="AN79" s="4" t="s">
        <v>250</v>
      </c>
      <c r="AO79" s="4">
        <v>0</v>
      </c>
      <c r="AP79" s="8">
        <v>1.5555555555555556</v>
      </c>
      <c r="AQ79" s="4">
        <v>0</v>
      </c>
      <c r="AR79" s="4">
        <v>0</v>
      </c>
      <c r="AS79" s="4">
        <v>6</v>
      </c>
      <c r="AT79" s="4">
        <v>0.67691586229508371</v>
      </c>
      <c r="AU79" s="14">
        <v>15</v>
      </c>
      <c r="AV79" s="24">
        <f t="shared" si="71"/>
        <v>1</v>
      </c>
      <c r="AW79" s="24">
        <f t="shared" si="72"/>
        <v>0</v>
      </c>
      <c r="AX79" t="str">
        <f t="shared" si="84"/>
        <v>-2, Déficit y resultado fue bueno</v>
      </c>
      <c r="BA79" s="4" t="s">
        <v>250</v>
      </c>
      <c r="BB79" s="4">
        <v>7</v>
      </c>
      <c r="BC79" s="8">
        <v>3.1111111111111112</v>
      </c>
      <c r="BD79" s="4">
        <v>2</v>
      </c>
      <c r="BE79" s="4">
        <v>3</v>
      </c>
      <c r="BF79" s="4">
        <v>7</v>
      </c>
      <c r="BG79" s="4">
        <v>0.67691586229508371</v>
      </c>
      <c r="BH79" s="14">
        <v>15</v>
      </c>
      <c r="BI79" s="24">
        <f t="shared" si="73"/>
        <v>1</v>
      </c>
      <c r="BJ79" s="24">
        <f t="shared" si="74"/>
        <v>-5</v>
      </c>
      <c r="BK79" t="str">
        <f t="shared" si="85"/>
        <v>-1, Déficit y dejo la capacidad media</v>
      </c>
      <c r="BM79" s="4" t="s">
        <v>250</v>
      </c>
      <c r="BN79" s="4">
        <v>2</v>
      </c>
      <c r="BO79" s="8">
        <v>5.1111111111111107</v>
      </c>
      <c r="BP79" s="4">
        <v>3</v>
      </c>
      <c r="BQ79" s="4">
        <v>3</v>
      </c>
      <c r="BR79" s="4">
        <v>6</v>
      </c>
      <c r="BS79" s="4">
        <v>0.67691586229508371</v>
      </c>
      <c r="BT79" s="14">
        <v>15</v>
      </c>
      <c r="BU79" s="24">
        <f t="shared" si="75"/>
        <v>0</v>
      </c>
      <c r="BV79" s="24">
        <f t="shared" si="76"/>
        <v>1</v>
      </c>
      <c r="BW79" t="str">
        <f t="shared" si="86"/>
        <v>-2, Déficit y resultado fue bueno</v>
      </c>
      <c r="BY79" s="4" t="s">
        <v>250</v>
      </c>
      <c r="BZ79" s="4">
        <v>7</v>
      </c>
      <c r="CA79" s="8">
        <v>5.333333333333333</v>
      </c>
      <c r="CB79" s="4">
        <v>7</v>
      </c>
      <c r="CC79" s="4">
        <v>7</v>
      </c>
      <c r="CD79" s="4">
        <v>6</v>
      </c>
      <c r="CE79" s="4">
        <v>0.67691586229508371</v>
      </c>
      <c r="CF79" s="14">
        <v>15</v>
      </c>
      <c r="CG79" s="24">
        <f t="shared" si="77"/>
        <v>1</v>
      </c>
      <c r="CH79" s="24">
        <f t="shared" si="78"/>
        <v>0</v>
      </c>
      <c r="CI79" t="str">
        <f t="shared" si="87"/>
        <v>0, Déficit y no elimine déficit</v>
      </c>
      <c r="CK79" s="4" t="s">
        <v>250</v>
      </c>
      <c r="CL79" s="4">
        <v>7</v>
      </c>
      <c r="CM79" s="8">
        <v>5.4444444444444446</v>
      </c>
      <c r="CN79" s="4">
        <v>5</v>
      </c>
      <c r="CO79" s="4">
        <v>5</v>
      </c>
      <c r="CP79" s="4">
        <v>6</v>
      </c>
      <c r="CQ79" s="4">
        <v>0.67691586229508371</v>
      </c>
      <c r="CR79" s="14">
        <v>15</v>
      </c>
      <c r="CS79" s="24">
        <f t="shared" si="79"/>
        <v>1</v>
      </c>
      <c r="CT79" s="24">
        <f t="shared" si="80"/>
        <v>-2</v>
      </c>
      <c r="CU79" t="str">
        <f t="shared" si="88"/>
        <v>0, Déficit y no elimine déficit</v>
      </c>
    </row>
    <row r="80" spans="1:99" ht="14.25" customHeight="1" x14ac:dyDescent="0.3">
      <c r="A80" s="4" t="s">
        <v>251</v>
      </c>
      <c r="B80" s="4">
        <v>1</v>
      </c>
      <c r="C80" s="8">
        <v>4.666666666666667</v>
      </c>
      <c r="D80" s="4">
        <v>0</v>
      </c>
      <c r="E80" s="4">
        <v>4</v>
      </c>
      <c r="F80" s="4">
        <v>6</v>
      </c>
      <c r="G80" s="4">
        <v>0.655473679459604</v>
      </c>
      <c r="H80" s="14">
        <v>15</v>
      </c>
      <c r="I80" s="24">
        <f t="shared" si="65"/>
        <v>1</v>
      </c>
      <c r="J80" s="24">
        <f t="shared" si="66"/>
        <v>-1</v>
      </c>
      <c r="K80" s="5" t="str">
        <f t="shared" si="81"/>
        <v>-2, Déficit y resultado fue bueno</v>
      </c>
      <c r="L80" s="5"/>
      <c r="M80" s="5"/>
      <c r="N80" s="4" t="s">
        <v>251</v>
      </c>
      <c r="O80" s="4">
        <v>14</v>
      </c>
      <c r="P80" s="8">
        <v>10</v>
      </c>
      <c r="Q80" s="4">
        <v>11</v>
      </c>
      <c r="R80" s="4">
        <v>10</v>
      </c>
      <c r="S80" s="4">
        <v>6</v>
      </c>
      <c r="T80" s="4">
        <v>0.655473679459604</v>
      </c>
      <c r="U80" s="14">
        <v>15</v>
      </c>
      <c r="V80" s="23">
        <f t="shared" si="67"/>
        <v>1</v>
      </c>
      <c r="W80" s="24">
        <f t="shared" si="68"/>
        <v>-3</v>
      </c>
      <c r="X80" s="5" t="str">
        <f t="shared" si="82"/>
        <v>0, no había déficit y la dejo con déficit</v>
      </c>
      <c r="Y80" s="5"/>
      <c r="Z80" s="5"/>
      <c r="AA80" s="4" t="s">
        <v>251</v>
      </c>
      <c r="AB80" s="4">
        <v>1</v>
      </c>
      <c r="AC80" s="8">
        <v>6.2222222222222223</v>
      </c>
      <c r="AD80" s="4">
        <v>5</v>
      </c>
      <c r="AE80" s="4">
        <v>0</v>
      </c>
      <c r="AF80" s="4">
        <v>6</v>
      </c>
      <c r="AG80" s="4">
        <v>0.655473679459604</v>
      </c>
      <c r="AH80" s="14">
        <v>15</v>
      </c>
      <c r="AI80" s="24">
        <f t="shared" si="69"/>
        <v>0</v>
      </c>
      <c r="AJ80" s="24">
        <f t="shared" si="70"/>
        <v>4</v>
      </c>
      <c r="AK80" t="str">
        <f t="shared" si="83"/>
        <v>-2, Déficit y resultado fue bueno</v>
      </c>
      <c r="AN80" s="4" t="s">
        <v>251</v>
      </c>
      <c r="AO80" s="4">
        <v>11</v>
      </c>
      <c r="AP80" s="8">
        <v>8.3333333333333339</v>
      </c>
      <c r="AQ80" s="4">
        <v>11</v>
      </c>
      <c r="AR80" s="4">
        <v>10</v>
      </c>
      <c r="AS80" s="4">
        <v>6</v>
      </c>
      <c r="AT80" s="4">
        <v>0.655473679459604</v>
      </c>
      <c r="AU80" s="14">
        <v>15</v>
      </c>
      <c r="AV80" s="24">
        <f t="shared" si="71"/>
        <v>1</v>
      </c>
      <c r="AW80" s="24">
        <f t="shared" si="72"/>
        <v>0</v>
      </c>
      <c r="AX80" t="str">
        <f t="shared" si="84"/>
        <v>0, no había déficit y la dejo con déficit</v>
      </c>
      <c r="BA80" s="4" t="s">
        <v>251</v>
      </c>
      <c r="BB80" s="4">
        <v>10</v>
      </c>
      <c r="BC80" s="8">
        <v>9.2222222222222214</v>
      </c>
      <c r="BD80" s="4">
        <v>7</v>
      </c>
      <c r="BE80" s="4">
        <v>4</v>
      </c>
      <c r="BF80" s="4">
        <v>6</v>
      </c>
      <c r="BG80" s="4">
        <v>0.655473679459604</v>
      </c>
      <c r="BH80" s="14">
        <v>15</v>
      </c>
      <c r="BI80" s="24">
        <f t="shared" si="73"/>
        <v>1</v>
      </c>
      <c r="BJ80" s="24">
        <f t="shared" si="74"/>
        <v>-3</v>
      </c>
      <c r="BK80" t="str">
        <f t="shared" si="85"/>
        <v>0, no había déficit y la dejo con déficit</v>
      </c>
      <c r="BM80" s="4" t="s">
        <v>251</v>
      </c>
      <c r="BN80" s="4">
        <v>5</v>
      </c>
      <c r="BO80" s="8">
        <v>3.3333333333333335</v>
      </c>
      <c r="BP80" s="4">
        <v>3</v>
      </c>
      <c r="BQ80" s="4">
        <v>2</v>
      </c>
      <c r="BR80" s="4">
        <v>6</v>
      </c>
      <c r="BS80" s="4">
        <v>0.655473679459604</v>
      </c>
      <c r="BT80" s="14">
        <v>15</v>
      </c>
      <c r="BU80" s="24">
        <f t="shared" si="75"/>
        <v>1</v>
      </c>
      <c r="BV80" s="24">
        <f t="shared" si="76"/>
        <v>-2</v>
      </c>
      <c r="BW80" t="str">
        <f t="shared" si="86"/>
        <v>-2, Déficit y resultado fue bueno</v>
      </c>
      <c r="BY80" s="4" t="s">
        <v>251</v>
      </c>
      <c r="BZ80" s="4">
        <v>4</v>
      </c>
      <c r="CA80" s="8">
        <v>4.2222222222222223</v>
      </c>
      <c r="CB80" s="4">
        <v>4</v>
      </c>
      <c r="CC80" s="4">
        <v>4</v>
      </c>
      <c r="CD80" s="4">
        <v>6</v>
      </c>
      <c r="CE80" s="4">
        <v>0.655473679459604</v>
      </c>
      <c r="CF80" s="14">
        <v>15</v>
      </c>
      <c r="CG80" s="24">
        <f t="shared" si="77"/>
        <v>1</v>
      </c>
      <c r="CH80" s="24">
        <f t="shared" si="78"/>
        <v>0</v>
      </c>
      <c r="CI80" t="str">
        <f t="shared" si="87"/>
        <v>-2, Déficit y resultado fue bueno</v>
      </c>
      <c r="CK80" s="4" t="s">
        <v>251</v>
      </c>
      <c r="CL80" s="4">
        <v>7</v>
      </c>
      <c r="CM80" s="8">
        <v>4.666666666666667</v>
      </c>
      <c r="CN80" s="4">
        <v>8</v>
      </c>
      <c r="CO80" s="4">
        <v>8</v>
      </c>
      <c r="CP80" s="4">
        <v>7</v>
      </c>
      <c r="CQ80" s="4">
        <v>0.655473679459604</v>
      </c>
      <c r="CR80" s="14">
        <v>15</v>
      </c>
      <c r="CS80" s="24">
        <f t="shared" si="79"/>
        <v>0</v>
      </c>
      <c r="CT80" s="24">
        <f t="shared" si="80"/>
        <v>1</v>
      </c>
      <c r="CU80" t="str">
        <f t="shared" si="88"/>
        <v>-1, Déficit y dejo la capacidad media</v>
      </c>
    </row>
    <row r="81" spans="1:99" ht="14.25" customHeight="1" x14ac:dyDescent="0.3">
      <c r="A81" s="4" t="s">
        <v>248</v>
      </c>
      <c r="B81" s="4">
        <v>2</v>
      </c>
      <c r="C81" s="8">
        <v>5.2222222222222223</v>
      </c>
      <c r="D81" s="4">
        <v>3</v>
      </c>
      <c r="E81" s="4">
        <v>3</v>
      </c>
      <c r="F81" s="4">
        <v>5</v>
      </c>
      <c r="G81" s="4">
        <v>0.62268266964537045</v>
      </c>
      <c r="H81" s="14">
        <v>15</v>
      </c>
      <c r="I81" s="24">
        <f t="shared" si="65"/>
        <v>0</v>
      </c>
      <c r="J81" s="24">
        <f t="shared" si="66"/>
        <v>1</v>
      </c>
      <c r="K81" s="5" t="str">
        <f t="shared" si="81"/>
        <v>-2, Déficit y resultado fue bueno</v>
      </c>
      <c r="L81" s="5"/>
      <c r="M81" s="5"/>
      <c r="N81" s="4" t="s">
        <v>248</v>
      </c>
      <c r="O81" s="4">
        <v>0</v>
      </c>
      <c r="P81" s="8">
        <v>3.6666666666666665</v>
      </c>
      <c r="Q81" s="4">
        <v>0</v>
      </c>
      <c r="R81" s="4">
        <v>0</v>
      </c>
      <c r="S81" s="4">
        <v>5</v>
      </c>
      <c r="T81" s="4">
        <v>0.62268266964537045</v>
      </c>
      <c r="U81" s="14">
        <v>15</v>
      </c>
      <c r="V81" s="23">
        <f t="shared" si="67"/>
        <v>1</v>
      </c>
      <c r="W81" s="24">
        <f t="shared" si="68"/>
        <v>0</v>
      </c>
      <c r="X81" s="5" t="str">
        <f t="shared" si="82"/>
        <v>-2, Déficit y resultado fue bueno</v>
      </c>
      <c r="Y81" s="5"/>
      <c r="Z81" s="5"/>
      <c r="AA81" s="4" t="s">
        <v>248</v>
      </c>
      <c r="AB81" s="4">
        <v>10</v>
      </c>
      <c r="AC81" s="8">
        <v>6.4444444444444446</v>
      </c>
      <c r="AD81" s="4">
        <v>6</v>
      </c>
      <c r="AE81" s="4">
        <v>10</v>
      </c>
      <c r="AF81" s="4">
        <v>5</v>
      </c>
      <c r="AG81" s="4">
        <v>0.62268266964537045</v>
      </c>
      <c r="AH81" s="14">
        <v>15</v>
      </c>
      <c r="AI81" s="24">
        <f t="shared" si="69"/>
        <v>1</v>
      </c>
      <c r="AJ81" s="24">
        <f t="shared" si="70"/>
        <v>-4</v>
      </c>
      <c r="AK81" t="str">
        <f t="shared" si="83"/>
        <v>0, no había déficit y la dejo con déficit</v>
      </c>
      <c r="AN81" s="4" t="s">
        <v>248</v>
      </c>
      <c r="AO81" s="4">
        <v>6</v>
      </c>
      <c r="AP81" s="8">
        <v>3.4444444444444446</v>
      </c>
      <c r="AQ81" s="4">
        <v>5</v>
      </c>
      <c r="AR81" s="4">
        <v>5</v>
      </c>
      <c r="AS81" s="4">
        <v>5</v>
      </c>
      <c r="AT81" s="4">
        <v>0.62268266964537045</v>
      </c>
      <c r="AU81" s="14">
        <v>15</v>
      </c>
      <c r="AV81" s="24">
        <f t="shared" si="71"/>
        <v>1</v>
      </c>
      <c r="AW81" s="24">
        <f t="shared" si="72"/>
        <v>-1</v>
      </c>
      <c r="AX81" t="str">
        <f t="shared" si="84"/>
        <v>0, Déficit y no elimine déficit</v>
      </c>
      <c r="BA81" s="4" t="s">
        <v>248</v>
      </c>
      <c r="BB81" s="4">
        <v>3</v>
      </c>
      <c r="BC81" s="8">
        <v>4.4444444444444446</v>
      </c>
      <c r="BD81" s="4">
        <v>0</v>
      </c>
      <c r="BE81" s="4">
        <v>1</v>
      </c>
      <c r="BF81" s="4">
        <v>5</v>
      </c>
      <c r="BG81" s="4">
        <v>0.62268266964537045</v>
      </c>
      <c r="BH81" s="14">
        <v>15</v>
      </c>
      <c r="BI81" s="24">
        <f t="shared" si="73"/>
        <v>1</v>
      </c>
      <c r="BJ81" s="24">
        <f t="shared" si="74"/>
        <v>-3</v>
      </c>
      <c r="BK81" t="str">
        <f t="shared" si="85"/>
        <v>-2, Déficit y resultado fue bueno</v>
      </c>
      <c r="BM81" s="4" t="s">
        <v>248</v>
      </c>
      <c r="BN81" s="4">
        <v>2</v>
      </c>
      <c r="BO81" s="8">
        <v>2.5555555555555554</v>
      </c>
      <c r="BP81" s="4">
        <v>0</v>
      </c>
      <c r="BQ81" s="4">
        <v>8</v>
      </c>
      <c r="BR81" s="4">
        <v>5</v>
      </c>
      <c r="BS81" s="4">
        <v>0.62268266964537045</v>
      </c>
      <c r="BT81" s="14">
        <v>15</v>
      </c>
      <c r="BU81" s="24">
        <f t="shared" si="75"/>
        <v>1</v>
      </c>
      <c r="BV81" s="24">
        <f t="shared" si="76"/>
        <v>-2</v>
      </c>
      <c r="BW81" t="str">
        <f t="shared" si="86"/>
        <v>-2, Déficit y resultado fue bueno</v>
      </c>
      <c r="BY81" s="4" t="s">
        <v>248</v>
      </c>
      <c r="BZ81" s="4">
        <v>10</v>
      </c>
      <c r="CA81" s="8">
        <v>4.4444444444444446</v>
      </c>
      <c r="CB81" s="4">
        <v>10</v>
      </c>
      <c r="CC81" s="4">
        <v>10</v>
      </c>
      <c r="CD81" s="4">
        <v>5</v>
      </c>
      <c r="CE81" s="4">
        <v>0.62268266964537045</v>
      </c>
      <c r="CF81" s="14">
        <v>15</v>
      </c>
      <c r="CG81" s="24">
        <f t="shared" si="77"/>
        <v>1</v>
      </c>
      <c r="CH81" s="24">
        <f t="shared" si="78"/>
        <v>0</v>
      </c>
      <c r="CI81" t="str">
        <f t="shared" si="87"/>
        <v>0, no había déficit y la dejo con déficit</v>
      </c>
      <c r="CK81" s="4" t="s">
        <v>248</v>
      </c>
      <c r="CL81" s="4">
        <v>6</v>
      </c>
      <c r="CM81" s="8">
        <v>5.2222222222222223</v>
      </c>
      <c r="CN81" s="4">
        <v>6</v>
      </c>
      <c r="CO81" s="4">
        <v>6</v>
      </c>
      <c r="CP81" s="4">
        <v>5</v>
      </c>
      <c r="CQ81" s="4">
        <v>0.62268266964537045</v>
      </c>
      <c r="CR81" s="14">
        <v>15</v>
      </c>
      <c r="CS81" s="24">
        <f t="shared" si="79"/>
        <v>1</v>
      </c>
      <c r="CT81" s="24">
        <f t="shared" si="80"/>
        <v>0</v>
      </c>
      <c r="CU81" t="str">
        <f t="shared" si="88"/>
        <v>0, Déficit y no elimine déficit</v>
      </c>
    </row>
    <row r="82" spans="1:99" ht="14.25" customHeight="1" x14ac:dyDescent="0.3">
      <c r="A82" s="4" t="s">
        <v>247</v>
      </c>
      <c r="B82" s="4">
        <v>3</v>
      </c>
      <c r="C82" s="8">
        <v>5.5555555555555554</v>
      </c>
      <c r="D82" s="4">
        <v>2</v>
      </c>
      <c r="E82" s="4">
        <v>1</v>
      </c>
      <c r="F82" s="4">
        <v>6</v>
      </c>
      <c r="G82" s="4">
        <v>0.53747605471157822</v>
      </c>
      <c r="H82" s="14">
        <v>15</v>
      </c>
      <c r="I82" s="24">
        <f t="shared" si="65"/>
        <v>1</v>
      </c>
      <c r="J82" s="24">
        <f t="shared" si="66"/>
        <v>-1</v>
      </c>
      <c r="K82" s="5" t="str">
        <f t="shared" si="81"/>
        <v>-2, Déficit y resultado fue bueno</v>
      </c>
      <c r="L82" s="5"/>
      <c r="M82" s="5"/>
      <c r="N82" s="4" t="s">
        <v>247</v>
      </c>
      <c r="O82" s="4">
        <v>0</v>
      </c>
      <c r="P82" s="8">
        <v>4.5555555555555554</v>
      </c>
      <c r="Q82" s="4">
        <v>0</v>
      </c>
      <c r="R82" s="4">
        <v>0</v>
      </c>
      <c r="S82" s="4">
        <v>6</v>
      </c>
      <c r="T82" s="4">
        <v>0.53747605471157822</v>
      </c>
      <c r="U82" s="14">
        <v>15</v>
      </c>
      <c r="V82" s="23">
        <f t="shared" si="67"/>
        <v>1</v>
      </c>
      <c r="W82" s="24">
        <f t="shared" si="68"/>
        <v>0</v>
      </c>
      <c r="X82" s="5" t="str">
        <f t="shared" si="82"/>
        <v>-2, Déficit y resultado fue bueno</v>
      </c>
      <c r="Y82" s="5"/>
      <c r="Z82" s="5"/>
      <c r="AA82" s="4" t="s">
        <v>247</v>
      </c>
      <c r="AB82" s="4">
        <v>9</v>
      </c>
      <c r="AC82" s="8">
        <v>5.333333333333333</v>
      </c>
      <c r="AD82" s="4">
        <v>5</v>
      </c>
      <c r="AE82" s="4">
        <v>0</v>
      </c>
      <c r="AF82" s="4">
        <v>6</v>
      </c>
      <c r="AG82" s="4">
        <v>0.53747605471157822</v>
      </c>
      <c r="AH82" s="14">
        <v>15</v>
      </c>
      <c r="AI82" s="24">
        <f t="shared" si="69"/>
        <v>1</v>
      </c>
      <c r="AJ82" s="24">
        <f t="shared" si="70"/>
        <v>-4</v>
      </c>
      <c r="AK82" t="str">
        <f t="shared" si="83"/>
        <v>0, no había déficit y la dejo con déficit</v>
      </c>
      <c r="AN82" s="4" t="s">
        <v>247</v>
      </c>
      <c r="AO82" s="4">
        <v>9</v>
      </c>
      <c r="AP82" s="8">
        <v>5.333333333333333</v>
      </c>
      <c r="AQ82" s="4">
        <v>1</v>
      </c>
      <c r="AR82" s="4">
        <v>1</v>
      </c>
      <c r="AS82" s="4">
        <v>6</v>
      </c>
      <c r="AT82" s="4">
        <v>0.53747605471157822</v>
      </c>
      <c r="AU82" s="14">
        <v>15</v>
      </c>
      <c r="AV82" s="24">
        <f t="shared" si="71"/>
        <v>1</v>
      </c>
      <c r="AW82" s="24">
        <f t="shared" si="72"/>
        <v>-8</v>
      </c>
      <c r="AX82" t="str">
        <f t="shared" si="84"/>
        <v>0, no había déficit y la dejo con déficit</v>
      </c>
      <c r="BA82" s="4" t="s">
        <v>247</v>
      </c>
      <c r="BB82" s="4">
        <v>11</v>
      </c>
      <c r="BC82" s="8">
        <v>6.4444444444444446</v>
      </c>
      <c r="BD82" s="4">
        <v>4</v>
      </c>
      <c r="BE82" s="4">
        <v>1</v>
      </c>
      <c r="BF82" s="4">
        <v>6</v>
      </c>
      <c r="BG82" s="4">
        <v>0.53747605471157822</v>
      </c>
      <c r="BH82" s="14">
        <v>15</v>
      </c>
      <c r="BI82" s="24">
        <f t="shared" si="73"/>
        <v>1</v>
      </c>
      <c r="BJ82" s="24">
        <f t="shared" si="74"/>
        <v>-7</v>
      </c>
      <c r="BK82" t="str">
        <f t="shared" si="85"/>
        <v>0, no había déficit y la dejo con déficit</v>
      </c>
      <c r="BM82" s="4" t="s">
        <v>247</v>
      </c>
      <c r="BN82" s="4">
        <v>5</v>
      </c>
      <c r="BO82" s="8">
        <v>5.4444444444444446</v>
      </c>
      <c r="BP82" s="4">
        <v>1</v>
      </c>
      <c r="BQ82" s="4">
        <v>1</v>
      </c>
      <c r="BR82" s="4">
        <v>6</v>
      </c>
      <c r="BS82" s="4">
        <v>0.53747605471157822</v>
      </c>
      <c r="BT82" s="14">
        <v>15</v>
      </c>
      <c r="BU82" s="24">
        <f t="shared" si="75"/>
        <v>1</v>
      </c>
      <c r="BV82" s="24">
        <f t="shared" si="76"/>
        <v>-4</v>
      </c>
      <c r="BW82" t="str">
        <f t="shared" si="86"/>
        <v>-2, Déficit y resultado fue bueno</v>
      </c>
      <c r="BY82" s="4" t="s">
        <v>247</v>
      </c>
      <c r="BZ82" s="4">
        <v>2</v>
      </c>
      <c r="CA82" s="8">
        <v>3.4444444444444446</v>
      </c>
      <c r="CB82" s="4">
        <v>2</v>
      </c>
      <c r="CC82" s="4">
        <v>2</v>
      </c>
      <c r="CD82" s="4">
        <v>6</v>
      </c>
      <c r="CE82" s="4">
        <v>0.53747605471157822</v>
      </c>
      <c r="CF82" s="14">
        <v>15</v>
      </c>
      <c r="CG82" s="24">
        <f t="shared" si="77"/>
        <v>1</v>
      </c>
      <c r="CH82" s="24">
        <f t="shared" si="78"/>
        <v>0</v>
      </c>
      <c r="CI82" t="str">
        <f t="shared" si="87"/>
        <v>-2, Déficit y resultado fue bueno</v>
      </c>
      <c r="CK82" s="4" t="s">
        <v>247</v>
      </c>
      <c r="CL82" s="4">
        <v>2</v>
      </c>
      <c r="CM82" s="8">
        <v>5.5555555555555554</v>
      </c>
      <c r="CN82" s="4">
        <v>2</v>
      </c>
      <c r="CO82" s="4">
        <v>2</v>
      </c>
      <c r="CP82" s="4">
        <v>6</v>
      </c>
      <c r="CQ82" s="4">
        <v>0.53747605471157822</v>
      </c>
      <c r="CR82" s="14">
        <v>15</v>
      </c>
      <c r="CS82" s="24">
        <f t="shared" si="79"/>
        <v>1</v>
      </c>
      <c r="CT82" s="24">
        <f t="shared" si="80"/>
        <v>0</v>
      </c>
      <c r="CU82" t="str">
        <f t="shared" si="88"/>
        <v>-2, Déficit y resultado fue bueno</v>
      </c>
    </row>
    <row r="83" spans="1:99" ht="14.25" customHeight="1" x14ac:dyDescent="0.3">
      <c r="A83" s="4" t="s">
        <v>249</v>
      </c>
      <c r="B83" s="4">
        <v>2</v>
      </c>
      <c r="C83" s="8">
        <v>5.4444444444444446</v>
      </c>
      <c r="D83" s="4">
        <v>2</v>
      </c>
      <c r="E83" s="4">
        <v>2</v>
      </c>
      <c r="F83" s="4">
        <v>12</v>
      </c>
      <c r="G83" s="4">
        <v>0.52426836588405112</v>
      </c>
      <c r="H83" s="14">
        <v>19</v>
      </c>
      <c r="I83" s="24">
        <f t="shared" si="65"/>
        <v>1</v>
      </c>
      <c r="J83" s="24">
        <f t="shared" si="66"/>
        <v>0</v>
      </c>
      <c r="K83" s="5" t="str">
        <f t="shared" si="81"/>
        <v>1, Déficit y eliminé déficit</v>
      </c>
      <c r="L83" s="5"/>
      <c r="M83" s="5"/>
      <c r="N83" s="4" t="s">
        <v>249</v>
      </c>
      <c r="O83" s="4">
        <v>8</v>
      </c>
      <c r="P83" s="8">
        <v>5.333333333333333</v>
      </c>
      <c r="Q83" s="4">
        <v>7</v>
      </c>
      <c r="R83" s="4">
        <v>7</v>
      </c>
      <c r="S83" s="4">
        <v>8</v>
      </c>
      <c r="T83" s="4">
        <v>0.52426836588405112</v>
      </c>
      <c r="U83" s="14">
        <v>19</v>
      </c>
      <c r="V83" s="23">
        <f t="shared" si="67"/>
        <v>1</v>
      </c>
      <c r="W83" s="24">
        <f t="shared" si="68"/>
        <v>-1</v>
      </c>
      <c r="X83" s="5" t="str">
        <f t="shared" si="82"/>
        <v>-2, Déficit y resultado fue bueno</v>
      </c>
      <c r="Y83" s="5"/>
      <c r="Z83" s="5"/>
      <c r="AA83" s="4" t="s">
        <v>249</v>
      </c>
      <c r="AB83" s="4">
        <v>10</v>
      </c>
      <c r="AC83" s="8">
        <v>8.1111111111111107</v>
      </c>
      <c r="AD83" s="4">
        <v>6</v>
      </c>
      <c r="AE83" s="4">
        <v>10</v>
      </c>
      <c r="AF83" s="4">
        <v>10</v>
      </c>
      <c r="AG83" s="4">
        <v>0.52426836588405112</v>
      </c>
      <c r="AH83" s="14">
        <v>19</v>
      </c>
      <c r="AI83" s="24">
        <f t="shared" si="69"/>
        <v>1</v>
      </c>
      <c r="AJ83" s="24">
        <f t="shared" si="70"/>
        <v>-4</v>
      </c>
      <c r="AK83" t="str">
        <f t="shared" si="83"/>
        <v>-2,no había déficit y resultado fue bueno</v>
      </c>
      <c r="AN83" s="4" t="s">
        <v>249</v>
      </c>
      <c r="AO83" s="4">
        <v>2</v>
      </c>
      <c r="AP83" s="8">
        <v>7</v>
      </c>
      <c r="AQ83" s="4">
        <v>4</v>
      </c>
      <c r="AR83" s="4">
        <v>3</v>
      </c>
      <c r="AS83" s="4">
        <v>10</v>
      </c>
      <c r="AT83" s="4">
        <v>0.52426836588405112</v>
      </c>
      <c r="AU83" s="14">
        <v>19</v>
      </c>
      <c r="AV83" s="24">
        <f t="shared" si="71"/>
        <v>0</v>
      </c>
      <c r="AW83" s="24">
        <f t="shared" si="72"/>
        <v>2</v>
      </c>
      <c r="AX83" t="str">
        <f t="shared" si="84"/>
        <v>1, Déficit y eliminé déficit</v>
      </c>
      <c r="BA83" s="4" t="s">
        <v>249</v>
      </c>
      <c r="BB83" s="4">
        <v>4</v>
      </c>
      <c r="BC83" s="8">
        <v>5.5555555555555554</v>
      </c>
      <c r="BD83" s="4">
        <v>2</v>
      </c>
      <c r="BE83" s="4">
        <v>2</v>
      </c>
      <c r="BF83" s="4">
        <v>8</v>
      </c>
      <c r="BG83" s="4">
        <v>0.52426836588405112</v>
      </c>
      <c r="BH83" s="14">
        <v>19</v>
      </c>
      <c r="BI83" s="24">
        <f t="shared" si="73"/>
        <v>1</v>
      </c>
      <c r="BJ83" s="24">
        <f t="shared" si="74"/>
        <v>-2</v>
      </c>
      <c r="BK83" t="str">
        <f t="shared" si="85"/>
        <v>-2, Déficit y resultado fue bueno</v>
      </c>
      <c r="BM83" s="4" t="s">
        <v>249</v>
      </c>
      <c r="BN83" s="4">
        <v>11</v>
      </c>
      <c r="BO83" s="8">
        <v>7.5555555555555554</v>
      </c>
      <c r="BP83" s="4">
        <v>11</v>
      </c>
      <c r="BQ83" s="4">
        <v>10</v>
      </c>
      <c r="BR83" s="4">
        <v>8</v>
      </c>
      <c r="BS83" s="4">
        <v>0.52426836588405112</v>
      </c>
      <c r="BT83" s="14">
        <v>19</v>
      </c>
      <c r="BU83" s="24">
        <f t="shared" si="75"/>
        <v>1</v>
      </c>
      <c r="BV83" s="24">
        <f t="shared" si="76"/>
        <v>0</v>
      </c>
      <c r="BW83" t="str">
        <f t="shared" si="86"/>
        <v>0, no había déficit y la dejo con déficit</v>
      </c>
      <c r="BY83" s="4" t="s">
        <v>249</v>
      </c>
      <c r="BZ83" s="4">
        <v>5</v>
      </c>
      <c r="CA83" s="8">
        <v>5.5555555555555554</v>
      </c>
      <c r="CB83" s="4">
        <v>4</v>
      </c>
      <c r="CC83" s="4">
        <v>4</v>
      </c>
      <c r="CD83" s="4">
        <v>8</v>
      </c>
      <c r="CE83" s="4">
        <v>0.52426836588405112</v>
      </c>
      <c r="CF83" s="14">
        <v>19</v>
      </c>
      <c r="CG83" s="24">
        <f t="shared" si="77"/>
        <v>1</v>
      </c>
      <c r="CH83" s="24">
        <f t="shared" si="78"/>
        <v>-1</v>
      </c>
      <c r="CI83" t="str">
        <f t="shared" si="87"/>
        <v>-2, Déficit y resultado fue bueno</v>
      </c>
      <c r="CK83" s="4" t="s">
        <v>249</v>
      </c>
      <c r="CL83" s="4">
        <v>2</v>
      </c>
      <c r="CM83" s="8">
        <v>5.4444444444444446</v>
      </c>
      <c r="CN83" s="4">
        <v>1</v>
      </c>
      <c r="CO83" s="4">
        <v>1</v>
      </c>
      <c r="CP83" s="4">
        <v>8</v>
      </c>
      <c r="CQ83" s="4">
        <v>0.52426836588405112</v>
      </c>
      <c r="CR83" s="14">
        <v>19</v>
      </c>
      <c r="CS83" s="24">
        <f t="shared" si="79"/>
        <v>1</v>
      </c>
      <c r="CT83" s="24">
        <f t="shared" si="80"/>
        <v>-1</v>
      </c>
      <c r="CU83" t="str">
        <f t="shared" si="88"/>
        <v>-2, Déficit y resultado fue bueno</v>
      </c>
    </row>
    <row r="84" spans="1:99" ht="14.25" customHeight="1" x14ac:dyDescent="0.3">
      <c r="A84" s="4" t="s">
        <v>257</v>
      </c>
      <c r="B84" s="4">
        <v>15</v>
      </c>
      <c r="C84" s="8">
        <v>11</v>
      </c>
      <c r="D84" s="4">
        <v>14</v>
      </c>
      <c r="E84" s="4">
        <v>14</v>
      </c>
      <c r="F84" s="4">
        <v>9</v>
      </c>
      <c r="G84" s="4">
        <v>-0.85169148296274</v>
      </c>
      <c r="H84" s="14">
        <v>17</v>
      </c>
      <c r="I84" s="24">
        <f t="shared" ref="I84:I93" si="89">IF(D84&gt;=B84,1,0)</f>
        <v>0</v>
      </c>
      <c r="J84" s="24">
        <f t="shared" si="66"/>
        <v>-1</v>
      </c>
      <c r="K84" s="5" t="str">
        <f t="shared" si="81"/>
        <v>-2, Superávit y resultado fue bueno</v>
      </c>
      <c r="L84" s="5"/>
      <c r="M84" s="5"/>
      <c r="N84" s="4" t="s">
        <v>257</v>
      </c>
      <c r="O84" s="4">
        <v>3</v>
      </c>
      <c r="P84" s="8">
        <v>11.222222222222221</v>
      </c>
      <c r="Q84" s="4">
        <v>3</v>
      </c>
      <c r="R84" s="4">
        <v>5</v>
      </c>
      <c r="S84" s="4">
        <v>3</v>
      </c>
      <c r="T84" s="4">
        <v>-0.85169148296274</v>
      </c>
      <c r="U84" s="14">
        <v>17</v>
      </c>
      <c r="V84" s="23">
        <f t="shared" ref="V84:V93" si="90">IF(Q84&gt;=O84,1,0)</f>
        <v>1</v>
      </c>
      <c r="W84" s="24">
        <f t="shared" si="68"/>
        <v>0</v>
      </c>
      <c r="X84" s="5" t="str">
        <f t="shared" si="82"/>
        <v>-2, no había superávit y resultado fue bueno</v>
      </c>
      <c r="Y84" s="5"/>
      <c r="Z84" s="5"/>
      <c r="AA84" s="4" t="s">
        <v>257</v>
      </c>
      <c r="AB84" s="4">
        <v>15</v>
      </c>
      <c r="AC84" s="8">
        <v>10.333333333333334</v>
      </c>
      <c r="AD84" s="4">
        <v>13</v>
      </c>
      <c r="AE84" s="4">
        <v>15</v>
      </c>
      <c r="AF84" s="4">
        <v>3</v>
      </c>
      <c r="AG84" s="4">
        <v>-0.85169148296274</v>
      </c>
      <c r="AH84" s="14">
        <v>17</v>
      </c>
      <c r="AI84" s="24">
        <f t="shared" ref="AI84:AI93" si="91">IF(AD84&gt;=AB84,1,0)</f>
        <v>0</v>
      </c>
      <c r="AJ84" s="24">
        <f t="shared" si="70"/>
        <v>-2</v>
      </c>
      <c r="AK84" t="str">
        <f t="shared" si="83"/>
        <v>1, Superávit y eliminé superávit</v>
      </c>
      <c r="AN84" s="4" t="s">
        <v>257</v>
      </c>
      <c r="AO84" s="4">
        <v>10</v>
      </c>
      <c r="AP84" s="8">
        <v>13.555555555555555</v>
      </c>
      <c r="AQ84" s="4">
        <v>8</v>
      </c>
      <c r="AR84" s="4">
        <v>9</v>
      </c>
      <c r="AS84" s="4">
        <v>3</v>
      </c>
      <c r="AT84" s="4">
        <v>-0.85169148296274</v>
      </c>
      <c r="AU84" s="14">
        <v>17</v>
      </c>
      <c r="AV84" s="24">
        <f t="shared" ref="AV84:AV93" si="92">IF(AQ84&gt;=AO84,1,0)</f>
        <v>0</v>
      </c>
      <c r="AW84" s="24">
        <f t="shared" si="72"/>
        <v>-2</v>
      </c>
      <c r="AX84" t="str">
        <f t="shared" si="84"/>
        <v>1, Superávit y eliminé superávit</v>
      </c>
      <c r="BA84" s="4" t="s">
        <v>257</v>
      </c>
      <c r="BB84" s="4">
        <v>11</v>
      </c>
      <c r="BC84" s="8">
        <v>9.8888888888888893</v>
      </c>
      <c r="BD84" s="4">
        <v>10</v>
      </c>
      <c r="BE84" s="4">
        <v>9</v>
      </c>
      <c r="BF84" s="4">
        <v>11</v>
      </c>
      <c r="BG84" s="4">
        <v>-0.85169148296274</v>
      </c>
      <c r="BH84" s="14">
        <v>17</v>
      </c>
      <c r="BI84" s="24">
        <f t="shared" ref="BI84:BI93" si="93">IF(BD84&gt;=BB84,1,0)</f>
        <v>0</v>
      </c>
      <c r="BJ84" s="24">
        <f t="shared" si="74"/>
        <v>-1</v>
      </c>
      <c r="BK84" t="str">
        <f t="shared" si="85"/>
        <v>0, Superávit y no eliminé superávit</v>
      </c>
      <c r="BM84" s="4" t="s">
        <v>257</v>
      </c>
      <c r="BN84" s="4">
        <v>6</v>
      </c>
      <c r="BO84" s="8">
        <v>10.555555555555555</v>
      </c>
      <c r="BP84" s="4">
        <v>8</v>
      </c>
      <c r="BQ84" s="4">
        <v>9</v>
      </c>
      <c r="BR84" s="4">
        <v>6</v>
      </c>
      <c r="BS84" s="4">
        <v>-0.85169148296274</v>
      </c>
      <c r="BT84" s="14">
        <v>17</v>
      </c>
      <c r="BU84" s="24">
        <f t="shared" ref="BU84:BU93" si="94">IF(BP84&gt;=BN84,1,0)</f>
        <v>1</v>
      </c>
      <c r="BV84" s="24">
        <f t="shared" si="76"/>
        <v>2</v>
      </c>
      <c r="BW84" t="str">
        <f t="shared" si="86"/>
        <v>-2, no había superávit y resultado fue bueno</v>
      </c>
      <c r="BY84" s="4" t="s">
        <v>257</v>
      </c>
      <c r="BZ84" s="4">
        <v>13</v>
      </c>
      <c r="CA84" s="8">
        <v>11.333333333333334</v>
      </c>
      <c r="CB84" s="4">
        <v>11</v>
      </c>
      <c r="CC84" s="4">
        <v>11</v>
      </c>
      <c r="CD84" s="4">
        <v>13</v>
      </c>
      <c r="CE84" s="4">
        <v>-0.85169148296274</v>
      </c>
      <c r="CF84" s="14">
        <v>17</v>
      </c>
      <c r="CG84" s="24">
        <f t="shared" ref="CG84:CG93" si="95">IF(CB84&gt;=BZ84,1,0)</f>
        <v>0</v>
      </c>
      <c r="CH84" s="24">
        <f t="shared" si="78"/>
        <v>-2</v>
      </c>
      <c r="CI84" t="str">
        <f t="shared" si="87"/>
        <v>0, Superávit y no eliminé superávit</v>
      </c>
      <c r="CK84" s="4" t="s">
        <v>257</v>
      </c>
      <c r="CL84" s="4">
        <v>14</v>
      </c>
      <c r="CM84" s="8">
        <v>11</v>
      </c>
      <c r="CN84" s="4">
        <v>14</v>
      </c>
      <c r="CO84" s="4">
        <v>16</v>
      </c>
      <c r="CP84" s="4">
        <v>14</v>
      </c>
      <c r="CQ84" s="4">
        <v>-0.85169148296274</v>
      </c>
      <c r="CR84" s="14">
        <v>17</v>
      </c>
      <c r="CS84" s="24">
        <f t="shared" ref="CS84:CS93" si="96">IF(CN84&gt;=CL84,1,0)</f>
        <v>1</v>
      </c>
      <c r="CT84" s="24">
        <f t="shared" si="80"/>
        <v>0</v>
      </c>
      <c r="CU84" t="str">
        <f t="shared" si="88"/>
        <v>0, Superávit y no eliminé superávit</v>
      </c>
    </row>
    <row r="85" spans="1:99" ht="14.25" customHeight="1" x14ac:dyDescent="0.3">
      <c r="A85" s="4" t="s">
        <v>266</v>
      </c>
      <c r="B85" s="4">
        <v>13</v>
      </c>
      <c r="C85" s="8">
        <v>11.444444444444445</v>
      </c>
      <c r="D85" s="4">
        <v>12</v>
      </c>
      <c r="E85" s="4">
        <v>12</v>
      </c>
      <c r="F85" s="4">
        <v>13</v>
      </c>
      <c r="G85" s="4">
        <v>-0.88310324035056598</v>
      </c>
      <c r="H85" s="14">
        <v>15</v>
      </c>
      <c r="I85" s="24">
        <f t="shared" si="89"/>
        <v>0</v>
      </c>
      <c r="J85" s="24">
        <f t="shared" si="66"/>
        <v>-1</v>
      </c>
      <c r="K85" s="5" t="str">
        <f t="shared" si="81"/>
        <v>0, Superávit y no eliminé superávit</v>
      </c>
      <c r="L85" s="5"/>
      <c r="M85" s="5"/>
      <c r="N85" s="4" t="s">
        <v>266</v>
      </c>
      <c r="O85" s="4">
        <v>14</v>
      </c>
      <c r="P85" s="8">
        <v>11.333333333333334</v>
      </c>
      <c r="Q85" s="4">
        <v>13</v>
      </c>
      <c r="R85" s="4">
        <v>13</v>
      </c>
      <c r="S85" s="4">
        <v>8</v>
      </c>
      <c r="T85" s="4">
        <v>-0.88310324035056598</v>
      </c>
      <c r="U85" s="14">
        <v>15</v>
      </c>
      <c r="V85" s="23">
        <f t="shared" si="90"/>
        <v>0</v>
      </c>
      <c r="W85" s="24">
        <f t="shared" si="68"/>
        <v>-1</v>
      </c>
      <c r="X85" s="5" t="str">
        <f t="shared" si="82"/>
        <v>-2, Superávit y resultado fue bueno</v>
      </c>
      <c r="Y85" s="5"/>
      <c r="Z85" s="5"/>
      <c r="AA85" s="4" t="s">
        <v>266</v>
      </c>
      <c r="AB85" s="4">
        <v>5</v>
      </c>
      <c r="AC85" s="8">
        <v>9.2222222222222214</v>
      </c>
      <c r="AD85" s="4">
        <v>12</v>
      </c>
      <c r="AE85" s="4">
        <v>5</v>
      </c>
      <c r="AF85" s="4">
        <v>5</v>
      </c>
      <c r="AG85" s="4">
        <v>-0.88310324035056598</v>
      </c>
      <c r="AH85" s="14">
        <v>15</v>
      </c>
      <c r="AI85" s="24">
        <f t="shared" si="91"/>
        <v>1</v>
      </c>
      <c r="AJ85" s="24">
        <f t="shared" si="70"/>
        <v>7</v>
      </c>
      <c r="AK85" t="str">
        <f t="shared" si="83"/>
        <v>-2, no había superávit y resultado fue bueno</v>
      </c>
      <c r="AN85" s="4" t="s">
        <v>266</v>
      </c>
      <c r="AO85" s="4">
        <v>13</v>
      </c>
      <c r="AP85" s="8">
        <v>8.5555555555555554</v>
      </c>
      <c r="AQ85" s="4">
        <v>15</v>
      </c>
      <c r="AR85" s="4">
        <v>15</v>
      </c>
      <c r="AS85" s="4">
        <v>5</v>
      </c>
      <c r="AT85" s="4">
        <v>-0.88310324035056598</v>
      </c>
      <c r="AU85" s="14">
        <v>15</v>
      </c>
      <c r="AV85" s="24">
        <f t="shared" si="92"/>
        <v>1</v>
      </c>
      <c r="AW85" s="24">
        <f t="shared" si="72"/>
        <v>2</v>
      </c>
      <c r="AX85" t="str">
        <f t="shared" si="84"/>
        <v>1, Superávit y eliminé superávit</v>
      </c>
      <c r="BA85" s="4" t="s">
        <v>266</v>
      </c>
      <c r="BB85" s="4">
        <v>10</v>
      </c>
      <c r="BC85" s="8">
        <v>11.777777777777779</v>
      </c>
      <c r="BD85" s="4">
        <v>10</v>
      </c>
      <c r="BE85" s="4">
        <v>10</v>
      </c>
      <c r="BF85" s="4">
        <v>10</v>
      </c>
      <c r="BG85" s="4">
        <v>-0.88310324035056598</v>
      </c>
      <c r="BH85" s="14">
        <v>15</v>
      </c>
      <c r="BI85" s="24">
        <f t="shared" si="93"/>
        <v>1</v>
      </c>
      <c r="BJ85" s="24">
        <f t="shared" si="74"/>
        <v>0</v>
      </c>
      <c r="BK85" t="str">
        <f t="shared" si="85"/>
        <v>0, Superávit y no eliminé superávit</v>
      </c>
      <c r="BM85" s="4" t="s">
        <v>266</v>
      </c>
      <c r="BN85" s="4">
        <v>9</v>
      </c>
      <c r="BO85" s="8">
        <v>10.777777777777779</v>
      </c>
      <c r="BP85" s="4">
        <v>11</v>
      </c>
      <c r="BQ85" s="4">
        <v>12</v>
      </c>
      <c r="BR85" s="4">
        <v>12</v>
      </c>
      <c r="BS85" s="4">
        <v>-0.88310324035056598</v>
      </c>
      <c r="BT85" s="14">
        <v>15</v>
      </c>
      <c r="BU85" s="24">
        <f t="shared" si="94"/>
        <v>1</v>
      </c>
      <c r="BV85" s="24">
        <f t="shared" si="76"/>
        <v>2</v>
      </c>
      <c r="BW85" t="str">
        <f t="shared" si="86"/>
        <v>0, Superávit y no eliminé superávit</v>
      </c>
      <c r="BY85" s="4" t="s">
        <v>266</v>
      </c>
      <c r="BZ85" s="4">
        <v>10</v>
      </c>
      <c r="CA85" s="8">
        <v>11</v>
      </c>
      <c r="CB85" s="4">
        <v>10</v>
      </c>
      <c r="CC85" s="4">
        <v>10</v>
      </c>
      <c r="CD85" s="4">
        <v>10</v>
      </c>
      <c r="CE85" s="4">
        <v>-0.88310324035056598</v>
      </c>
      <c r="CF85" s="14">
        <v>15</v>
      </c>
      <c r="CG85" s="24">
        <f t="shared" si="95"/>
        <v>1</v>
      </c>
      <c r="CH85" s="24">
        <f t="shared" si="78"/>
        <v>0</v>
      </c>
      <c r="CI85" t="str">
        <f t="shared" si="87"/>
        <v>0, Superávit y no eliminé superávit</v>
      </c>
      <c r="CK85" s="4" t="s">
        <v>266</v>
      </c>
      <c r="CL85" s="4">
        <v>10</v>
      </c>
      <c r="CM85" s="8">
        <v>11.444444444444445</v>
      </c>
      <c r="CN85" s="4">
        <v>11</v>
      </c>
      <c r="CO85" s="4">
        <v>11</v>
      </c>
      <c r="CP85" s="4">
        <v>13</v>
      </c>
      <c r="CQ85" s="4">
        <v>-0.88310324035056598</v>
      </c>
      <c r="CR85" s="14">
        <v>15</v>
      </c>
      <c r="CS85" s="24">
        <f t="shared" si="96"/>
        <v>1</v>
      </c>
      <c r="CT85" s="24">
        <f t="shared" si="80"/>
        <v>1</v>
      </c>
      <c r="CU85" t="str">
        <f t="shared" si="88"/>
        <v>0, Superávit y no eliminé superávit</v>
      </c>
    </row>
    <row r="86" spans="1:99" ht="14.25" customHeight="1" x14ac:dyDescent="0.3">
      <c r="A86" s="4" t="s">
        <v>263</v>
      </c>
      <c r="B86" s="4">
        <v>9</v>
      </c>
      <c r="C86" s="8">
        <v>12</v>
      </c>
      <c r="D86" s="4">
        <v>9</v>
      </c>
      <c r="E86" s="4">
        <v>10</v>
      </c>
      <c r="F86" s="4">
        <v>9</v>
      </c>
      <c r="G86" s="4">
        <v>-0.90834372881365233</v>
      </c>
      <c r="H86" s="14">
        <v>15</v>
      </c>
      <c r="I86" s="24">
        <f t="shared" si="89"/>
        <v>1</v>
      </c>
      <c r="J86" s="24">
        <f t="shared" si="66"/>
        <v>0</v>
      </c>
      <c r="K86" s="5" t="str">
        <f t="shared" si="81"/>
        <v>0, Superávit y no eliminé superávit</v>
      </c>
      <c r="L86" s="5"/>
      <c r="M86" s="5"/>
      <c r="N86" s="4" t="s">
        <v>263</v>
      </c>
      <c r="O86" s="4">
        <v>12</v>
      </c>
      <c r="P86" s="8">
        <v>9.2222222222222214</v>
      </c>
      <c r="Q86" s="4">
        <v>12</v>
      </c>
      <c r="R86" s="4">
        <v>12</v>
      </c>
      <c r="S86" s="4">
        <v>12</v>
      </c>
      <c r="T86" s="4">
        <v>-0.90834372881365233</v>
      </c>
      <c r="U86" s="14">
        <v>15</v>
      </c>
      <c r="V86" s="23">
        <f t="shared" si="90"/>
        <v>1</v>
      </c>
      <c r="W86" s="24">
        <f t="shared" si="68"/>
        <v>0</v>
      </c>
      <c r="X86" s="5" t="str">
        <f t="shared" si="82"/>
        <v>0, Superávit y no eliminé superávit</v>
      </c>
      <c r="Y86" s="5"/>
      <c r="Z86" s="5"/>
      <c r="AA86" s="4" t="s">
        <v>263</v>
      </c>
      <c r="AB86" s="4">
        <v>14</v>
      </c>
      <c r="AC86" s="8">
        <v>11.333333333333334</v>
      </c>
      <c r="AD86" s="4">
        <v>11</v>
      </c>
      <c r="AE86" s="4">
        <v>14</v>
      </c>
      <c r="AF86" s="4">
        <v>3</v>
      </c>
      <c r="AG86" s="4">
        <v>-0.90834372881365233</v>
      </c>
      <c r="AH86" s="14">
        <v>15</v>
      </c>
      <c r="AI86" s="24">
        <f t="shared" si="91"/>
        <v>0</v>
      </c>
      <c r="AJ86" s="24">
        <f t="shared" si="70"/>
        <v>-3</v>
      </c>
      <c r="AK86" t="str">
        <f t="shared" si="83"/>
        <v>1, Superávit y eliminé superávit</v>
      </c>
      <c r="AN86" s="4" t="s">
        <v>263</v>
      </c>
      <c r="AO86" s="4">
        <v>15</v>
      </c>
      <c r="AP86" s="8">
        <v>11.444444444444445</v>
      </c>
      <c r="AQ86" s="4">
        <v>15</v>
      </c>
      <c r="AR86" s="4">
        <v>13</v>
      </c>
      <c r="AS86" s="4">
        <v>3</v>
      </c>
      <c r="AT86" s="4">
        <v>-0.90834372881365233</v>
      </c>
      <c r="AU86" s="14">
        <v>15</v>
      </c>
      <c r="AV86" s="24">
        <f t="shared" si="92"/>
        <v>1</v>
      </c>
      <c r="AW86" s="24">
        <f t="shared" si="72"/>
        <v>0</v>
      </c>
      <c r="AX86" t="str">
        <f t="shared" si="84"/>
        <v>1, Superávit y eliminé superávit</v>
      </c>
      <c r="BA86" s="4" t="s">
        <v>263</v>
      </c>
      <c r="BB86" s="4">
        <v>15</v>
      </c>
      <c r="BC86" s="8">
        <v>11.444444444444445</v>
      </c>
      <c r="BD86" s="4">
        <v>14</v>
      </c>
      <c r="BE86" s="4">
        <v>14</v>
      </c>
      <c r="BF86" s="4">
        <v>12</v>
      </c>
      <c r="BG86" s="4">
        <v>-0.90834372881365233</v>
      </c>
      <c r="BH86" s="14">
        <v>15</v>
      </c>
      <c r="BI86" s="24">
        <f t="shared" si="93"/>
        <v>0</v>
      </c>
      <c r="BJ86" s="24">
        <f t="shared" si="74"/>
        <v>-1</v>
      </c>
      <c r="BK86" t="str">
        <f t="shared" si="85"/>
        <v>-2, Superávit y resultado fue bueno</v>
      </c>
      <c r="BM86" s="4" t="s">
        <v>263</v>
      </c>
      <c r="BN86" s="4">
        <v>2</v>
      </c>
      <c r="BO86" s="8">
        <v>9.6666666666666661</v>
      </c>
      <c r="BP86" s="4">
        <v>6</v>
      </c>
      <c r="BQ86" s="4">
        <v>6</v>
      </c>
      <c r="BR86" s="4">
        <v>3</v>
      </c>
      <c r="BS86" s="4">
        <v>-0.90834372881365233</v>
      </c>
      <c r="BT86" s="14">
        <v>15</v>
      </c>
      <c r="BU86" s="24">
        <f t="shared" si="94"/>
        <v>1</v>
      </c>
      <c r="BV86" s="24">
        <f t="shared" si="76"/>
        <v>4</v>
      </c>
      <c r="BW86" t="str">
        <f t="shared" si="86"/>
        <v>-2, no había superávit y resultado fue bueno</v>
      </c>
      <c r="BY86" s="4" t="s">
        <v>263</v>
      </c>
      <c r="BZ86" s="4">
        <v>13</v>
      </c>
      <c r="CA86" s="8">
        <v>11.333333333333334</v>
      </c>
      <c r="CB86" s="4">
        <v>15</v>
      </c>
      <c r="CC86" s="4">
        <v>15</v>
      </c>
      <c r="CD86" s="4">
        <v>11</v>
      </c>
      <c r="CE86" s="4">
        <v>-0.90834372881365233</v>
      </c>
      <c r="CF86" s="14">
        <v>15</v>
      </c>
      <c r="CG86" s="24">
        <f t="shared" si="95"/>
        <v>1</v>
      </c>
      <c r="CH86" s="24">
        <f t="shared" si="78"/>
        <v>2</v>
      </c>
      <c r="CI86" t="str">
        <f t="shared" si="87"/>
        <v>-2, Superávit y resultado fue bueno</v>
      </c>
      <c r="CK86" s="4" t="s">
        <v>263</v>
      </c>
      <c r="CL86" s="4">
        <v>14</v>
      </c>
      <c r="CM86" s="8">
        <v>12</v>
      </c>
      <c r="CN86" s="4">
        <v>14</v>
      </c>
      <c r="CO86" s="4">
        <v>14</v>
      </c>
      <c r="CP86" s="4">
        <v>12</v>
      </c>
      <c r="CQ86" s="4">
        <v>-0.90834372881365233</v>
      </c>
      <c r="CR86" s="14">
        <v>15</v>
      </c>
      <c r="CS86" s="24">
        <f t="shared" si="96"/>
        <v>1</v>
      </c>
      <c r="CT86" s="24">
        <f t="shared" si="80"/>
        <v>0</v>
      </c>
      <c r="CU86" t="str">
        <f t="shared" si="88"/>
        <v>-2, Superávit y resultado fue bueno</v>
      </c>
    </row>
    <row r="87" spans="1:99" ht="14.25" customHeight="1" x14ac:dyDescent="0.3">
      <c r="A87" s="4" t="s">
        <v>261</v>
      </c>
      <c r="B87" s="4">
        <v>30</v>
      </c>
      <c r="C87" s="8">
        <v>24.333333333333332</v>
      </c>
      <c r="D87" s="4">
        <v>30</v>
      </c>
      <c r="E87" s="4">
        <v>30</v>
      </c>
      <c r="F87" s="4">
        <v>23</v>
      </c>
      <c r="G87" s="4">
        <v>-0.99095987605964864</v>
      </c>
      <c r="H87" s="14">
        <v>31</v>
      </c>
      <c r="I87" s="24">
        <f t="shared" si="89"/>
        <v>1</v>
      </c>
      <c r="J87" s="24">
        <f t="shared" si="66"/>
        <v>0</v>
      </c>
      <c r="K87" s="5" t="str">
        <f t="shared" si="81"/>
        <v>-2, Superávit y resultado fue bueno</v>
      </c>
      <c r="L87" s="5"/>
      <c r="M87" s="5"/>
      <c r="N87" s="4" t="s">
        <v>261</v>
      </c>
      <c r="O87" s="4">
        <v>28</v>
      </c>
      <c r="P87" s="8">
        <v>22.777777777777779</v>
      </c>
      <c r="Q87" s="4">
        <v>29</v>
      </c>
      <c r="R87" s="4">
        <v>30</v>
      </c>
      <c r="S87" s="4">
        <v>27</v>
      </c>
      <c r="T87" s="4">
        <v>-0.99095987605964864</v>
      </c>
      <c r="U87" s="14">
        <v>31</v>
      </c>
      <c r="V87" s="23">
        <f t="shared" si="90"/>
        <v>1</v>
      </c>
      <c r="W87" s="24">
        <f t="shared" si="68"/>
        <v>1</v>
      </c>
      <c r="X87" s="5" t="str">
        <f t="shared" si="82"/>
        <v>-2, Superávit y resultado fue bueno</v>
      </c>
      <c r="Y87" s="5"/>
      <c r="Z87" s="5"/>
      <c r="AA87" s="4" t="s">
        <v>261</v>
      </c>
      <c r="AB87" s="4">
        <v>17</v>
      </c>
      <c r="AC87" s="8">
        <v>21.333333333333332</v>
      </c>
      <c r="AD87" s="4">
        <v>24</v>
      </c>
      <c r="AE87" s="4">
        <v>25</v>
      </c>
      <c r="AF87" s="4">
        <v>17</v>
      </c>
      <c r="AG87" s="4">
        <v>-0.99095987605964864</v>
      </c>
      <c r="AH87" s="14">
        <v>31</v>
      </c>
      <c r="AI87" s="24">
        <f t="shared" si="91"/>
        <v>1</v>
      </c>
      <c r="AJ87" s="24">
        <f t="shared" si="70"/>
        <v>7</v>
      </c>
      <c r="AK87" t="str">
        <f t="shared" si="83"/>
        <v>0, Superávit y no eliminé superávit</v>
      </c>
      <c r="AN87" s="4" t="s">
        <v>261</v>
      </c>
      <c r="AO87" s="4">
        <v>31</v>
      </c>
      <c r="AP87" s="8">
        <v>23.222222222222221</v>
      </c>
      <c r="AQ87" s="4">
        <v>31</v>
      </c>
      <c r="AR87" s="4">
        <v>31</v>
      </c>
      <c r="AS87" s="4">
        <v>17</v>
      </c>
      <c r="AT87" s="4">
        <v>-0.99095987605964864</v>
      </c>
      <c r="AU87" s="14">
        <v>31</v>
      </c>
      <c r="AV87" s="24">
        <f t="shared" si="92"/>
        <v>1</v>
      </c>
      <c r="AW87" s="24">
        <f t="shared" si="72"/>
        <v>0</v>
      </c>
      <c r="AX87" t="str">
        <f t="shared" si="84"/>
        <v>-2, Superávit y resultado fue bueno</v>
      </c>
      <c r="BA87" s="4" t="s">
        <v>261</v>
      </c>
      <c r="BB87" s="4">
        <v>17</v>
      </c>
      <c r="BC87" s="8">
        <v>18.444444444444443</v>
      </c>
      <c r="BD87" s="4">
        <v>15</v>
      </c>
      <c r="BE87" s="4">
        <v>15</v>
      </c>
      <c r="BF87" s="4">
        <v>17</v>
      </c>
      <c r="BG87" s="4">
        <v>-0.99095987605964864</v>
      </c>
      <c r="BH87" s="14">
        <v>31</v>
      </c>
      <c r="BI87" s="24">
        <f t="shared" si="93"/>
        <v>0</v>
      </c>
      <c r="BJ87" s="24">
        <f t="shared" si="74"/>
        <v>-2</v>
      </c>
      <c r="BK87" t="str">
        <f t="shared" si="85"/>
        <v>0, Superávit y no eliminé superávit</v>
      </c>
      <c r="BM87" s="4" t="s">
        <v>261</v>
      </c>
      <c r="BN87" s="4">
        <v>30</v>
      </c>
      <c r="BO87" s="8">
        <v>23.888888888888889</v>
      </c>
      <c r="BP87" s="4">
        <v>30</v>
      </c>
      <c r="BQ87" s="4">
        <v>31</v>
      </c>
      <c r="BR87" s="4">
        <v>27</v>
      </c>
      <c r="BS87" s="4">
        <v>-0.99095987605964864</v>
      </c>
      <c r="BT87" s="14">
        <v>31</v>
      </c>
      <c r="BU87" s="24">
        <f t="shared" si="94"/>
        <v>1</v>
      </c>
      <c r="BV87" s="24">
        <f t="shared" si="76"/>
        <v>0</v>
      </c>
      <c r="BW87" t="str">
        <f t="shared" si="86"/>
        <v>-2, Superávit y resultado fue bueno</v>
      </c>
      <c r="BY87" s="4" t="s">
        <v>261</v>
      </c>
      <c r="BZ87" s="4">
        <v>23</v>
      </c>
      <c r="CA87" s="8">
        <v>22</v>
      </c>
      <c r="CB87" s="4">
        <v>30</v>
      </c>
      <c r="CC87" s="4">
        <v>30</v>
      </c>
      <c r="CD87" s="4">
        <v>23</v>
      </c>
      <c r="CE87" s="4">
        <v>-0.99095987605964864</v>
      </c>
      <c r="CF87" s="14">
        <v>31</v>
      </c>
      <c r="CG87" s="24">
        <f t="shared" si="95"/>
        <v>1</v>
      </c>
      <c r="CH87" s="24">
        <f t="shared" si="78"/>
        <v>7</v>
      </c>
      <c r="CI87" t="str">
        <f t="shared" si="87"/>
        <v>0, Superávit y no eliminé superávit</v>
      </c>
      <c r="CK87" s="4" t="s">
        <v>261</v>
      </c>
      <c r="CL87" s="4">
        <v>30</v>
      </c>
      <c r="CM87" s="8">
        <v>24.333333333333332</v>
      </c>
      <c r="CN87" s="4">
        <v>30</v>
      </c>
      <c r="CO87" s="4">
        <v>30</v>
      </c>
      <c r="CP87" s="4">
        <v>27</v>
      </c>
      <c r="CQ87" s="4">
        <v>-0.99095987605964864</v>
      </c>
      <c r="CR87" s="14">
        <v>31</v>
      </c>
      <c r="CS87" s="24">
        <f t="shared" si="96"/>
        <v>1</v>
      </c>
      <c r="CT87" s="24">
        <f t="shared" si="80"/>
        <v>0</v>
      </c>
      <c r="CU87" t="str">
        <f t="shared" si="88"/>
        <v>-2, Superávit y resultado fue bueno</v>
      </c>
    </row>
    <row r="88" spans="1:99" ht="14.25" customHeight="1" x14ac:dyDescent="0.3">
      <c r="A88" s="4" t="s">
        <v>260</v>
      </c>
      <c r="B88" s="4">
        <v>16</v>
      </c>
      <c r="C88" s="8">
        <v>11.444444444444445</v>
      </c>
      <c r="D88" s="4">
        <v>16</v>
      </c>
      <c r="E88" s="4">
        <v>16</v>
      </c>
      <c r="F88" s="4">
        <v>16</v>
      </c>
      <c r="G88" s="4">
        <v>-1.072806810743151</v>
      </c>
      <c r="H88" s="14">
        <v>19</v>
      </c>
      <c r="I88" s="24">
        <f t="shared" si="89"/>
        <v>1</v>
      </c>
      <c r="J88" s="24">
        <f t="shared" si="66"/>
        <v>0</v>
      </c>
      <c r="K88" s="5" t="str">
        <f t="shared" si="81"/>
        <v>0, Superávit y no eliminé superávit</v>
      </c>
      <c r="L88" s="5"/>
      <c r="M88" s="5"/>
      <c r="N88" s="4" t="s">
        <v>260</v>
      </c>
      <c r="O88" s="4">
        <v>11</v>
      </c>
      <c r="P88" s="8">
        <v>13.555555555555555</v>
      </c>
      <c r="Q88" s="4">
        <v>13</v>
      </c>
      <c r="R88" s="4">
        <v>15</v>
      </c>
      <c r="S88" s="4">
        <v>11</v>
      </c>
      <c r="T88" s="4">
        <v>-1.072806810743151</v>
      </c>
      <c r="U88" s="14">
        <v>19</v>
      </c>
      <c r="V88" s="23">
        <f t="shared" si="90"/>
        <v>1</v>
      </c>
      <c r="W88" s="24">
        <f t="shared" si="68"/>
        <v>2</v>
      </c>
      <c r="X88" s="5" t="str">
        <f t="shared" si="82"/>
        <v>0, Superávit y no eliminé superávit</v>
      </c>
      <c r="Y88" s="5"/>
      <c r="Z88" s="5"/>
      <c r="AA88" s="4" t="s">
        <v>260</v>
      </c>
      <c r="AB88" s="4">
        <v>18</v>
      </c>
      <c r="AC88" s="8">
        <v>15</v>
      </c>
      <c r="AD88" s="4">
        <v>15</v>
      </c>
      <c r="AE88" s="4">
        <v>9</v>
      </c>
      <c r="AF88" s="4">
        <v>16</v>
      </c>
      <c r="AG88" s="4">
        <v>-1.072806810743151</v>
      </c>
      <c r="AH88" s="14">
        <v>19</v>
      </c>
      <c r="AI88" s="24">
        <f t="shared" si="91"/>
        <v>0</v>
      </c>
      <c r="AJ88" s="24">
        <f t="shared" si="70"/>
        <v>-3</v>
      </c>
      <c r="AK88" t="str">
        <f t="shared" si="83"/>
        <v>-2, Superávit y resultado fue bueno</v>
      </c>
      <c r="AN88" s="4" t="s">
        <v>260</v>
      </c>
      <c r="AO88" s="4">
        <v>8</v>
      </c>
      <c r="AP88" s="8">
        <v>12.555555555555555</v>
      </c>
      <c r="AQ88" s="4">
        <v>8</v>
      </c>
      <c r="AR88" s="4">
        <v>8</v>
      </c>
      <c r="AS88" s="4">
        <v>16</v>
      </c>
      <c r="AT88" s="4">
        <v>-1.072806810743151</v>
      </c>
      <c r="AU88" s="14">
        <v>19</v>
      </c>
      <c r="AV88" s="24">
        <f t="shared" si="92"/>
        <v>1</v>
      </c>
      <c r="AW88" s="24">
        <f t="shared" si="72"/>
        <v>0</v>
      </c>
      <c r="AX88" t="str">
        <f t="shared" si="84"/>
        <v>0, no había superávit, y la deje con superávit</v>
      </c>
      <c r="BA88" s="4" t="s">
        <v>260</v>
      </c>
      <c r="BB88" s="4">
        <v>14</v>
      </c>
      <c r="BC88" s="8">
        <v>14.222222222222221</v>
      </c>
      <c r="BD88" s="4">
        <v>14</v>
      </c>
      <c r="BE88" s="4">
        <v>14</v>
      </c>
      <c r="BF88" s="4">
        <v>14</v>
      </c>
      <c r="BG88" s="4">
        <v>-1.072806810743151</v>
      </c>
      <c r="BH88" s="14">
        <v>19</v>
      </c>
      <c r="BI88" s="24">
        <f t="shared" si="93"/>
        <v>1</v>
      </c>
      <c r="BJ88" s="24">
        <f t="shared" si="74"/>
        <v>0</v>
      </c>
      <c r="BK88" t="str">
        <f t="shared" si="85"/>
        <v>0, Superávit y no eliminé superávit</v>
      </c>
      <c r="BM88" s="4" t="s">
        <v>260</v>
      </c>
      <c r="BN88" s="4">
        <v>13</v>
      </c>
      <c r="BO88" s="8">
        <v>12.777777777777779</v>
      </c>
      <c r="BP88" s="4">
        <v>12</v>
      </c>
      <c r="BQ88" s="4">
        <v>11</v>
      </c>
      <c r="BR88" s="4">
        <v>13</v>
      </c>
      <c r="BS88" s="4">
        <v>-1.072806810743151</v>
      </c>
      <c r="BT88" s="14">
        <v>19</v>
      </c>
      <c r="BU88" s="24">
        <f t="shared" si="94"/>
        <v>0</v>
      </c>
      <c r="BV88" s="24">
        <f t="shared" si="76"/>
        <v>-1</v>
      </c>
      <c r="BW88" t="str">
        <f t="shared" si="86"/>
        <v>0, Superávit y no eliminé superávit</v>
      </c>
      <c r="BY88" s="4" t="s">
        <v>260</v>
      </c>
      <c r="BZ88" s="4">
        <v>17</v>
      </c>
      <c r="CA88" s="8">
        <v>12.111111111111111</v>
      </c>
      <c r="CB88" s="4">
        <v>17</v>
      </c>
      <c r="CC88" s="4">
        <v>14</v>
      </c>
      <c r="CD88" s="4">
        <v>16</v>
      </c>
      <c r="CE88" s="4">
        <v>-1.072806810743151</v>
      </c>
      <c r="CF88" s="14">
        <v>19</v>
      </c>
      <c r="CG88" s="24">
        <f t="shared" si="95"/>
        <v>1</v>
      </c>
      <c r="CH88" s="24">
        <f t="shared" si="78"/>
        <v>0</v>
      </c>
      <c r="CI88" t="str">
        <f t="shared" si="87"/>
        <v>-2, Superávit y resultado fue bueno</v>
      </c>
      <c r="CK88" s="4" t="s">
        <v>260</v>
      </c>
      <c r="CL88" s="4">
        <v>3</v>
      </c>
      <c r="CM88" s="8">
        <v>11.444444444444445</v>
      </c>
      <c r="CN88" s="4">
        <v>3</v>
      </c>
      <c r="CO88" s="4">
        <v>4</v>
      </c>
      <c r="CP88" s="4">
        <v>4</v>
      </c>
      <c r="CQ88" s="4">
        <v>-1.072806810743151</v>
      </c>
      <c r="CR88" s="14">
        <v>19</v>
      </c>
      <c r="CS88" s="24">
        <f t="shared" si="96"/>
        <v>1</v>
      </c>
      <c r="CT88" s="24">
        <f t="shared" si="80"/>
        <v>0</v>
      </c>
      <c r="CU88" t="str">
        <f t="shared" si="88"/>
        <v>-2, no había superávit y resultado fue bueno</v>
      </c>
    </row>
    <row r="89" spans="1:99" ht="14.25" customHeight="1" x14ac:dyDescent="0.3">
      <c r="A89" s="4" t="s">
        <v>259</v>
      </c>
      <c r="B89" s="4">
        <v>16</v>
      </c>
      <c r="C89" s="8">
        <v>14.666666666666666</v>
      </c>
      <c r="D89" s="4">
        <v>19</v>
      </c>
      <c r="E89" s="4">
        <v>19</v>
      </c>
      <c r="F89" s="4">
        <v>10</v>
      </c>
      <c r="G89" s="4">
        <v>-1.1154133211974251</v>
      </c>
      <c r="H89" s="14">
        <v>19</v>
      </c>
      <c r="I89" s="24">
        <f t="shared" si="89"/>
        <v>1</v>
      </c>
      <c r="J89" s="24">
        <f t="shared" si="66"/>
        <v>3</v>
      </c>
      <c r="K89" s="5" t="str">
        <f t="shared" si="81"/>
        <v>-2, Superávit y resultado fue bueno</v>
      </c>
      <c r="L89" s="5"/>
      <c r="M89" s="5"/>
      <c r="N89" s="4" t="s">
        <v>259</v>
      </c>
      <c r="O89" s="4">
        <v>16</v>
      </c>
      <c r="P89" s="8">
        <v>10.333333333333334</v>
      </c>
      <c r="Q89" s="4">
        <v>14</v>
      </c>
      <c r="R89" s="4">
        <v>18</v>
      </c>
      <c r="S89" s="4">
        <v>8</v>
      </c>
      <c r="T89" s="4">
        <v>-1.1154133211974251</v>
      </c>
      <c r="U89" s="14">
        <v>19</v>
      </c>
      <c r="V89" s="23">
        <f t="shared" si="90"/>
        <v>0</v>
      </c>
      <c r="W89" s="24">
        <f t="shared" si="68"/>
        <v>-2</v>
      </c>
      <c r="X89" s="5" t="str">
        <f t="shared" si="82"/>
        <v>1, Superávit y eliminé superávit</v>
      </c>
      <c r="Y89" s="5"/>
      <c r="Z89" s="5"/>
      <c r="AA89" s="4" t="s">
        <v>259</v>
      </c>
      <c r="AB89" s="4">
        <v>14</v>
      </c>
      <c r="AC89" s="8">
        <v>12.555555555555555</v>
      </c>
      <c r="AD89" s="4">
        <v>15</v>
      </c>
      <c r="AE89" s="4">
        <v>17</v>
      </c>
      <c r="AF89" s="4">
        <v>14</v>
      </c>
      <c r="AG89" s="4">
        <v>-1.1154133211974251</v>
      </c>
      <c r="AH89" s="14">
        <v>19</v>
      </c>
      <c r="AI89" s="24">
        <f t="shared" si="91"/>
        <v>1</v>
      </c>
      <c r="AJ89" s="24">
        <f t="shared" si="70"/>
        <v>1</v>
      </c>
      <c r="AK89" t="str">
        <f t="shared" si="83"/>
        <v>0, Superávit y no eliminé superávit</v>
      </c>
      <c r="AN89" s="4" t="s">
        <v>259</v>
      </c>
      <c r="AO89" s="4">
        <v>7</v>
      </c>
      <c r="AP89" s="8">
        <v>13.111111111111111</v>
      </c>
      <c r="AQ89" s="4">
        <v>10</v>
      </c>
      <c r="AR89" s="4">
        <v>14</v>
      </c>
      <c r="AS89" s="4">
        <v>14</v>
      </c>
      <c r="AT89" s="4">
        <v>-1.1154133211974251</v>
      </c>
      <c r="AU89" s="14">
        <v>19</v>
      </c>
      <c r="AV89" s="24">
        <f t="shared" si="92"/>
        <v>1</v>
      </c>
      <c r="AW89" s="24">
        <f t="shared" si="72"/>
        <v>3</v>
      </c>
      <c r="AX89" t="str">
        <f t="shared" si="84"/>
        <v>0, no había superávit, y la deje con superávit</v>
      </c>
      <c r="BA89" s="4" t="s">
        <v>259</v>
      </c>
      <c r="BB89" s="4">
        <v>16</v>
      </c>
      <c r="BC89" s="8">
        <v>13.555555555555555</v>
      </c>
      <c r="BD89" s="4">
        <v>18</v>
      </c>
      <c r="BE89" s="4">
        <v>15</v>
      </c>
      <c r="BF89" s="4">
        <v>16</v>
      </c>
      <c r="BG89" s="4">
        <v>-1.1154133211974251</v>
      </c>
      <c r="BH89" s="14">
        <v>19</v>
      </c>
      <c r="BI89" s="24">
        <f t="shared" si="93"/>
        <v>1</v>
      </c>
      <c r="BJ89" s="24">
        <f t="shared" si="74"/>
        <v>2</v>
      </c>
      <c r="BK89" t="str">
        <f t="shared" si="85"/>
        <v>0, Superávit y no eliminé superávit</v>
      </c>
      <c r="BM89" s="4" t="s">
        <v>259</v>
      </c>
      <c r="BN89" s="4">
        <v>9</v>
      </c>
      <c r="BO89" s="8">
        <v>15.888888888888889</v>
      </c>
      <c r="BP89" s="4">
        <v>6</v>
      </c>
      <c r="BQ89" s="4">
        <v>12</v>
      </c>
      <c r="BR89" s="4">
        <v>8</v>
      </c>
      <c r="BS89" s="4">
        <v>-1.1154133211974251</v>
      </c>
      <c r="BT89" s="14">
        <v>19</v>
      </c>
      <c r="BU89" s="24">
        <f t="shared" si="94"/>
        <v>0</v>
      </c>
      <c r="BV89" s="24">
        <f t="shared" si="76"/>
        <v>-3</v>
      </c>
      <c r="BW89" t="str">
        <f t="shared" si="86"/>
        <v>1, no había superávit, pero el resultado fue mejor</v>
      </c>
      <c r="BY89" s="4" t="s">
        <v>259</v>
      </c>
      <c r="BZ89" s="4">
        <v>14</v>
      </c>
      <c r="CA89" s="8">
        <v>14.777777777777779</v>
      </c>
      <c r="CB89" s="4">
        <v>15</v>
      </c>
      <c r="CC89" s="4">
        <v>11</v>
      </c>
      <c r="CD89" s="4">
        <v>16</v>
      </c>
      <c r="CE89" s="4">
        <v>-1.1154133211974251</v>
      </c>
      <c r="CF89" s="14">
        <v>19</v>
      </c>
      <c r="CG89" s="24">
        <f t="shared" si="95"/>
        <v>1</v>
      </c>
      <c r="CH89" s="24">
        <f t="shared" si="78"/>
        <v>1</v>
      </c>
      <c r="CI89" t="str">
        <f t="shared" si="87"/>
        <v>0, Superávit y no eliminé superávit</v>
      </c>
      <c r="CK89" s="4" t="s">
        <v>259</v>
      </c>
      <c r="CL89" s="4">
        <v>15</v>
      </c>
      <c r="CM89" s="8">
        <v>14.666666666666666</v>
      </c>
      <c r="CN89" s="4">
        <v>17</v>
      </c>
      <c r="CO89" s="4">
        <v>17</v>
      </c>
      <c r="CP89" s="4">
        <v>8</v>
      </c>
      <c r="CQ89" s="4">
        <v>-1.1154133211974251</v>
      </c>
      <c r="CR89" s="14">
        <v>19</v>
      </c>
      <c r="CS89" s="24">
        <f t="shared" si="96"/>
        <v>1</v>
      </c>
      <c r="CT89" s="24">
        <f t="shared" si="80"/>
        <v>2</v>
      </c>
      <c r="CU89" t="str">
        <f t="shared" si="88"/>
        <v>1, Superávit y eliminé superávit</v>
      </c>
    </row>
    <row r="90" spans="1:99" ht="14.25" customHeight="1" x14ac:dyDescent="0.3">
      <c r="A90" s="4" t="s">
        <v>258</v>
      </c>
      <c r="B90" s="4">
        <v>6</v>
      </c>
      <c r="C90" s="8">
        <v>11.777777777777779</v>
      </c>
      <c r="D90" s="4">
        <v>12</v>
      </c>
      <c r="E90" s="4">
        <v>13</v>
      </c>
      <c r="F90" s="4">
        <v>7</v>
      </c>
      <c r="G90" s="4">
        <v>-1.12017317951397</v>
      </c>
      <c r="H90" s="14">
        <v>16</v>
      </c>
      <c r="I90" s="24">
        <f t="shared" si="89"/>
        <v>1</v>
      </c>
      <c r="J90" s="24">
        <f t="shared" si="66"/>
        <v>6</v>
      </c>
      <c r="K90" s="5" t="str">
        <f t="shared" si="81"/>
        <v>-2, no había superávit y resultado fue bueno</v>
      </c>
      <c r="L90" s="5"/>
      <c r="M90" s="5"/>
      <c r="N90" s="4" t="s">
        <v>258</v>
      </c>
      <c r="O90" s="4">
        <v>14</v>
      </c>
      <c r="P90" s="8">
        <v>10.777777777777779</v>
      </c>
      <c r="Q90" s="4">
        <v>14</v>
      </c>
      <c r="R90" s="4">
        <v>16</v>
      </c>
      <c r="S90" s="4">
        <v>13</v>
      </c>
      <c r="T90" s="4">
        <v>-1.12017317951397</v>
      </c>
      <c r="U90" s="14">
        <v>16</v>
      </c>
      <c r="V90" s="23">
        <f t="shared" si="90"/>
        <v>1</v>
      </c>
      <c r="W90" s="24">
        <f t="shared" si="68"/>
        <v>0</v>
      </c>
      <c r="X90" s="5" t="str">
        <f t="shared" si="82"/>
        <v>-2, Superávit y resultado fue bueno</v>
      </c>
      <c r="Y90" s="5"/>
      <c r="Z90" s="5"/>
      <c r="AA90" s="4" t="s">
        <v>258</v>
      </c>
      <c r="AB90" s="4">
        <v>10</v>
      </c>
      <c r="AC90" s="8">
        <v>8.6666666666666661</v>
      </c>
      <c r="AD90" s="4">
        <v>12</v>
      </c>
      <c r="AE90" s="4">
        <v>10</v>
      </c>
      <c r="AF90" s="4">
        <v>10</v>
      </c>
      <c r="AG90" s="4">
        <v>-1.12017317951397</v>
      </c>
      <c r="AH90" s="14">
        <v>16</v>
      </c>
      <c r="AI90" s="24">
        <f t="shared" si="91"/>
        <v>1</v>
      </c>
      <c r="AJ90" s="24">
        <f t="shared" si="70"/>
        <v>2</v>
      </c>
      <c r="AK90" t="str">
        <f t="shared" si="83"/>
        <v>0, Superávit y no eliminé superávit</v>
      </c>
      <c r="AN90" s="4" t="s">
        <v>258</v>
      </c>
      <c r="AO90" s="4">
        <v>6</v>
      </c>
      <c r="AP90" s="8">
        <v>7</v>
      </c>
      <c r="AQ90" s="4">
        <v>7</v>
      </c>
      <c r="AR90" s="4">
        <v>5</v>
      </c>
      <c r="AS90" s="4">
        <v>10</v>
      </c>
      <c r="AT90" s="4">
        <v>-1.12017317951397</v>
      </c>
      <c r="AU90" s="14">
        <v>16</v>
      </c>
      <c r="AV90" s="24">
        <f t="shared" si="92"/>
        <v>1</v>
      </c>
      <c r="AW90" s="24">
        <f t="shared" si="72"/>
        <v>1</v>
      </c>
      <c r="AX90" t="str">
        <f t="shared" si="84"/>
        <v>0, no había superávit, y la deje con superávit</v>
      </c>
      <c r="BA90" s="4" t="s">
        <v>258</v>
      </c>
      <c r="BB90" s="4">
        <v>4</v>
      </c>
      <c r="BC90" s="8">
        <v>8.8888888888888893</v>
      </c>
      <c r="BD90" s="4">
        <v>2</v>
      </c>
      <c r="BE90" s="4">
        <v>3</v>
      </c>
      <c r="BF90" s="4">
        <v>4</v>
      </c>
      <c r="BG90" s="4">
        <v>-1.12017317951397</v>
      </c>
      <c r="BH90" s="14">
        <v>16</v>
      </c>
      <c r="BI90" s="24">
        <f t="shared" si="93"/>
        <v>0</v>
      </c>
      <c r="BJ90" s="24">
        <f t="shared" si="74"/>
        <v>-2</v>
      </c>
      <c r="BK90" t="str">
        <f t="shared" si="85"/>
        <v>-2, no había superávit y resultado fue bueno</v>
      </c>
      <c r="BM90" s="4" t="s">
        <v>258</v>
      </c>
      <c r="BN90" s="4">
        <v>8</v>
      </c>
      <c r="BO90" s="8">
        <v>10.333333333333334</v>
      </c>
      <c r="BP90" s="4">
        <v>3</v>
      </c>
      <c r="BQ90" s="4">
        <v>7</v>
      </c>
      <c r="BR90" s="4">
        <v>8</v>
      </c>
      <c r="BS90" s="4">
        <v>-1.12017317951397</v>
      </c>
      <c r="BT90" s="14">
        <v>16</v>
      </c>
      <c r="BU90" s="24">
        <f t="shared" si="94"/>
        <v>0</v>
      </c>
      <c r="BV90" s="24">
        <f t="shared" si="76"/>
        <v>-5</v>
      </c>
      <c r="BW90" t="str">
        <f t="shared" si="86"/>
        <v>-1, no había superávit y deje la capacidad media</v>
      </c>
      <c r="BY90" s="4" t="s">
        <v>258</v>
      </c>
      <c r="BZ90" s="4">
        <v>16</v>
      </c>
      <c r="CA90" s="8">
        <v>12.777777777777779</v>
      </c>
      <c r="CB90" s="4">
        <v>13</v>
      </c>
      <c r="CC90" s="4">
        <v>14</v>
      </c>
      <c r="CD90" s="4">
        <v>11</v>
      </c>
      <c r="CE90" s="4">
        <v>-1.12017317951397</v>
      </c>
      <c r="CF90" s="14">
        <v>16</v>
      </c>
      <c r="CG90" s="24">
        <f t="shared" si="95"/>
        <v>0</v>
      </c>
      <c r="CH90" s="24">
        <f t="shared" si="78"/>
        <v>-3</v>
      </c>
      <c r="CI90" t="str">
        <f t="shared" si="87"/>
        <v>-2, Superávit y resultado fue bueno</v>
      </c>
      <c r="CK90" s="4" t="s">
        <v>258</v>
      </c>
      <c r="CL90" s="4">
        <v>14</v>
      </c>
      <c r="CM90" s="8">
        <v>11.777777777777779</v>
      </c>
      <c r="CN90" s="4">
        <v>15</v>
      </c>
      <c r="CO90" s="4">
        <v>15</v>
      </c>
      <c r="CP90" s="4">
        <v>13</v>
      </c>
      <c r="CQ90" s="4">
        <v>-1.12017317951397</v>
      </c>
      <c r="CR90" s="14">
        <v>16</v>
      </c>
      <c r="CS90" s="24">
        <f t="shared" si="96"/>
        <v>1</v>
      </c>
      <c r="CT90" s="24">
        <f t="shared" si="80"/>
        <v>1</v>
      </c>
      <c r="CU90" t="str">
        <f t="shared" si="88"/>
        <v>-2, Superávit y resultado fue bueno</v>
      </c>
    </row>
    <row r="91" spans="1:99" ht="14.25" customHeight="1" x14ac:dyDescent="0.3">
      <c r="A91" s="4" t="s">
        <v>264</v>
      </c>
      <c r="B91" s="4">
        <v>17</v>
      </c>
      <c r="C91" s="8">
        <v>14.333333333333334</v>
      </c>
      <c r="D91" s="4">
        <v>17</v>
      </c>
      <c r="E91" s="4">
        <v>17</v>
      </c>
      <c r="F91" s="4">
        <v>5</v>
      </c>
      <c r="G91" s="4">
        <v>-1.196962071035268</v>
      </c>
      <c r="H91" s="14">
        <v>19</v>
      </c>
      <c r="I91" s="24">
        <f t="shared" si="89"/>
        <v>1</v>
      </c>
      <c r="J91" s="24">
        <f t="shared" si="66"/>
        <v>0</v>
      </c>
      <c r="K91" s="5" t="str">
        <f t="shared" si="81"/>
        <v>1, Superávit y eliminé superávit</v>
      </c>
      <c r="L91" s="5"/>
      <c r="M91" s="5"/>
      <c r="N91" s="4" t="s">
        <v>264</v>
      </c>
      <c r="O91" s="4">
        <v>8</v>
      </c>
      <c r="P91" s="8">
        <v>13.111111111111111</v>
      </c>
      <c r="Q91" s="4">
        <v>11</v>
      </c>
      <c r="R91" s="4">
        <v>11</v>
      </c>
      <c r="S91" s="4">
        <v>8</v>
      </c>
      <c r="T91" s="4">
        <v>-1.196962071035268</v>
      </c>
      <c r="U91" s="14">
        <v>19</v>
      </c>
      <c r="V91" s="23">
        <f t="shared" si="90"/>
        <v>1</v>
      </c>
      <c r="W91" s="24">
        <f t="shared" si="68"/>
        <v>3</v>
      </c>
      <c r="X91" s="5" t="str">
        <f t="shared" si="82"/>
        <v>-2, no había superávit y resultado fue bueno</v>
      </c>
      <c r="Y91" s="5"/>
      <c r="Z91" s="5"/>
      <c r="AA91" s="4" t="s">
        <v>264</v>
      </c>
      <c r="AB91" s="4">
        <v>2</v>
      </c>
      <c r="AC91" s="8">
        <v>9.2222222222222214</v>
      </c>
      <c r="AD91" s="4">
        <v>15</v>
      </c>
      <c r="AE91" s="4">
        <v>4</v>
      </c>
      <c r="AF91" s="4">
        <v>14</v>
      </c>
      <c r="AG91" s="4">
        <v>-1.196962071035268</v>
      </c>
      <c r="AH91" s="14">
        <v>19</v>
      </c>
      <c r="AI91" s="24">
        <f t="shared" si="91"/>
        <v>1</v>
      </c>
      <c r="AJ91" s="24">
        <f t="shared" si="70"/>
        <v>13</v>
      </c>
      <c r="AK91" t="str">
        <f t="shared" si="83"/>
        <v>0, no había superávit, y la deje con superávit</v>
      </c>
      <c r="AN91" s="4" t="s">
        <v>264</v>
      </c>
      <c r="AO91" s="4">
        <v>12</v>
      </c>
      <c r="AP91" s="8">
        <v>11.111111111111111</v>
      </c>
      <c r="AQ91" s="4">
        <v>16</v>
      </c>
      <c r="AR91" s="4">
        <v>17</v>
      </c>
      <c r="AS91" s="4">
        <v>14</v>
      </c>
      <c r="AT91" s="4">
        <v>-1.196962071035268</v>
      </c>
      <c r="AU91" s="14">
        <v>19</v>
      </c>
      <c r="AV91" s="24">
        <f t="shared" si="92"/>
        <v>1</v>
      </c>
      <c r="AW91" s="24">
        <f t="shared" si="72"/>
        <v>4</v>
      </c>
      <c r="AX91" t="str">
        <f t="shared" si="84"/>
        <v>0, Superávit y no eliminé superávit</v>
      </c>
      <c r="BA91" s="4" t="s">
        <v>264</v>
      </c>
      <c r="BB91" s="4">
        <v>7</v>
      </c>
      <c r="BC91" s="8">
        <v>12.666666666666666</v>
      </c>
      <c r="BD91" s="4">
        <v>16</v>
      </c>
      <c r="BE91" s="4">
        <v>14</v>
      </c>
      <c r="BF91" s="4">
        <v>7</v>
      </c>
      <c r="BG91" s="4">
        <v>-1.196962071035268</v>
      </c>
      <c r="BH91" s="14">
        <v>19</v>
      </c>
      <c r="BI91" s="24">
        <f t="shared" si="93"/>
        <v>1</v>
      </c>
      <c r="BJ91" s="24">
        <f t="shared" si="74"/>
        <v>9</v>
      </c>
      <c r="BK91" t="str">
        <f t="shared" si="85"/>
        <v>-2, no había superávit y resultado fue bueno</v>
      </c>
      <c r="BM91" s="4" t="s">
        <v>264</v>
      </c>
      <c r="BN91" s="4">
        <v>15</v>
      </c>
      <c r="BO91" s="8">
        <v>13.777777777777779</v>
      </c>
      <c r="BP91" s="4">
        <v>18</v>
      </c>
      <c r="BQ91" s="4">
        <v>18</v>
      </c>
      <c r="BR91" s="4">
        <v>15</v>
      </c>
      <c r="BS91" s="4">
        <v>-1.196962071035268</v>
      </c>
      <c r="BT91" s="14">
        <v>19</v>
      </c>
      <c r="BU91" s="24">
        <f t="shared" si="94"/>
        <v>1</v>
      </c>
      <c r="BV91" s="24">
        <f t="shared" si="76"/>
        <v>3</v>
      </c>
      <c r="BW91" t="str">
        <f t="shared" si="86"/>
        <v>0, Superávit y no eliminé superávit</v>
      </c>
      <c r="BY91" s="4" t="s">
        <v>264</v>
      </c>
      <c r="BZ91" s="4">
        <v>15</v>
      </c>
      <c r="CA91" s="8">
        <v>15.666666666666666</v>
      </c>
      <c r="CB91" s="4">
        <v>14</v>
      </c>
      <c r="CC91" s="4">
        <v>15</v>
      </c>
      <c r="CD91" s="4">
        <v>15</v>
      </c>
      <c r="CE91" s="4">
        <v>-1.196962071035268</v>
      </c>
      <c r="CF91" s="14">
        <v>19</v>
      </c>
      <c r="CG91" s="24">
        <f t="shared" si="95"/>
        <v>0</v>
      </c>
      <c r="CH91" s="24">
        <f t="shared" si="78"/>
        <v>-1</v>
      </c>
      <c r="CI91" t="str">
        <f t="shared" si="87"/>
        <v>0, Superávit y no eliminé superávit</v>
      </c>
      <c r="CK91" s="4" t="s">
        <v>264</v>
      </c>
      <c r="CL91" s="4">
        <v>16</v>
      </c>
      <c r="CM91" s="8">
        <v>14.333333333333334</v>
      </c>
      <c r="CN91" s="4">
        <v>16</v>
      </c>
      <c r="CO91" s="4">
        <v>16</v>
      </c>
      <c r="CP91" s="4">
        <v>16</v>
      </c>
      <c r="CQ91" s="4">
        <v>-1.196962071035268</v>
      </c>
      <c r="CR91" s="14">
        <v>19</v>
      </c>
      <c r="CS91" s="24">
        <f t="shared" si="96"/>
        <v>1</v>
      </c>
      <c r="CT91" s="24">
        <f t="shared" si="80"/>
        <v>0</v>
      </c>
      <c r="CU91" t="str">
        <f t="shared" si="88"/>
        <v>0, Superávit y no eliminé superávit</v>
      </c>
    </row>
    <row r="92" spans="1:99" ht="14.25" customHeight="1" x14ac:dyDescent="0.3">
      <c r="A92" s="4" t="s">
        <v>265</v>
      </c>
      <c r="B92" s="4">
        <v>14</v>
      </c>
      <c r="C92" s="8">
        <v>12.222222222222221</v>
      </c>
      <c r="D92" s="4">
        <v>15</v>
      </c>
      <c r="E92" s="4">
        <v>15</v>
      </c>
      <c r="F92" s="4">
        <v>13</v>
      </c>
      <c r="G92" s="4">
        <v>-1.2097705883740471</v>
      </c>
      <c r="H92" s="14">
        <v>15</v>
      </c>
      <c r="I92" s="24">
        <f t="shared" si="89"/>
        <v>1</v>
      </c>
      <c r="J92" s="24">
        <f t="shared" si="66"/>
        <v>1</v>
      </c>
      <c r="K92" s="5" t="str">
        <f t="shared" si="81"/>
        <v>-2, Superávit y resultado fue bueno</v>
      </c>
      <c r="L92" s="5"/>
      <c r="M92" s="5"/>
      <c r="N92" s="4" t="s">
        <v>265</v>
      </c>
      <c r="O92" s="4">
        <v>14</v>
      </c>
      <c r="P92" s="8">
        <v>11.222222222222221</v>
      </c>
      <c r="Q92" s="4">
        <v>13</v>
      </c>
      <c r="R92" s="4">
        <v>14</v>
      </c>
      <c r="S92" s="4">
        <v>5</v>
      </c>
      <c r="T92" s="4">
        <v>-1.2097705883740471</v>
      </c>
      <c r="U92" s="14">
        <v>15</v>
      </c>
      <c r="V92" s="23">
        <f t="shared" si="90"/>
        <v>0</v>
      </c>
      <c r="W92" s="24">
        <f t="shared" si="68"/>
        <v>-1</v>
      </c>
      <c r="X92" s="5" t="str">
        <f t="shared" si="82"/>
        <v>1, Superávit y eliminé superávit</v>
      </c>
      <c r="Y92" s="5"/>
      <c r="Z92" s="5"/>
      <c r="AA92" s="4" t="s">
        <v>265</v>
      </c>
      <c r="AB92" s="4">
        <v>9</v>
      </c>
      <c r="AC92" s="8">
        <v>8.4444444444444446</v>
      </c>
      <c r="AD92" s="4">
        <v>12</v>
      </c>
      <c r="AE92" s="4">
        <v>10</v>
      </c>
      <c r="AF92" s="4">
        <v>11</v>
      </c>
      <c r="AG92" s="4">
        <v>-1.2097705883740471</v>
      </c>
      <c r="AH92" s="14">
        <v>15</v>
      </c>
      <c r="AI92" s="24">
        <f t="shared" si="91"/>
        <v>1</v>
      </c>
      <c r="AJ92" s="24">
        <f t="shared" si="70"/>
        <v>3</v>
      </c>
      <c r="AK92" t="str">
        <f t="shared" si="83"/>
        <v>0, Superávit y no eliminé superávit</v>
      </c>
      <c r="AN92" s="4" t="s">
        <v>265</v>
      </c>
      <c r="AO92" s="4">
        <v>4</v>
      </c>
      <c r="AP92" s="8">
        <v>7.333333333333333</v>
      </c>
      <c r="AQ92" s="4">
        <v>7</v>
      </c>
      <c r="AR92" s="4">
        <v>8</v>
      </c>
      <c r="AS92" s="4">
        <v>11</v>
      </c>
      <c r="AT92" s="4">
        <v>-1.2097705883740471</v>
      </c>
      <c r="AU92" s="14">
        <v>15</v>
      </c>
      <c r="AV92" s="24">
        <f t="shared" si="92"/>
        <v>1</v>
      </c>
      <c r="AW92" s="24">
        <f t="shared" si="72"/>
        <v>3</v>
      </c>
      <c r="AX92" t="str">
        <f t="shared" si="84"/>
        <v>0, no había superávit, y la deje con superávit</v>
      </c>
      <c r="BA92" s="4" t="s">
        <v>265</v>
      </c>
      <c r="BB92" s="4">
        <v>9</v>
      </c>
      <c r="BC92" s="8">
        <v>10.888888888888889</v>
      </c>
      <c r="BD92" s="4">
        <v>5</v>
      </c>
      <c r="BE92" s="4">
        <v>5</v>
      </c>
      <c r="BF92" s="4">
        <v>9</v>
      </c>
      <c r="BG92" s="4">
        <v>-1.2097705883740471</v>
      </c>
      <c r="BH92" s="14">
        <v>15</v>
      </c>
      <c r="BI92" s="24">
        <f t="shared" si="93"/>
        <v>0</v>
      </c>
      <c r="BJ92" s="24">
        <f t="shared" si="74"/>
        <v>-4</v>
      </c>
      <c r="BK92" t="str">
        <f t="shared" si="85"/>
        <v>0, Superávit y no eliminé superávit</v>
      </c>
      <c r="BM92" s="4" t="s">
        <v>265</v>
      </c>
      <c r="BN92" s="4">
        <v>6</v>
      </c>
      <c r="BO92" s="8">
        <v>10.555555555555555</v>
      </c>
      <c r="BP92" s="4">
        <v>11</v>
      </c>
      <c r="BQ92" s="4">
        <v>11</v>
      </c>
      <c r="BR92" s="4">
        <v>6</v>
      </c>
      <c r="BS92" s="4">
        <v>-1.2097705883740471</v>
      </c>
      <c r="BT92" s="14">
        <v>15</v>
      </c>
      <c r="BU92" s="24">
        <f t="shared" si="94"/>
        <v>1</v>
      </c>
      <c r="BV92" s="24">
        <f t="shared" si="76"/>
        <v>5</v>
      </c>
      <c r="BW92" t="str">
        <f t="shared" si="86"/>
        <v>-2, no había superávit y resultado fue bueno</v>
      </c>
      <c r="BY92" s="4" t="s">
        <v>265</v>
      </c>
      <c r="BZ92" s="4">
        <v>15</v>
      </c>
      <c r="CA92" s="8">
        <v>12.111111111111111</v>
      </c>
      <c r="CB92" s="4">
        <v>14</v>
      </c>
      <c r="CC92" s="4">
        <v>14</v>
      </c>
      <c r="CD92" s="4">
        <v>13</v>
      </c>
      <c r="CE92" s="4">
        <v>-1.2097705883740471</v>
      </c>
      <c r="CF92" s="14">
        <v>15</v>
      </c>
      <c r="CG92" s="24">
        <f t="shared" si="95"/>
        <v>0</v>
      </c>
      <c r="CH92" s="24">
        <f t="shared" si="78"/>
        <v>-1</v>
      </c>
      <c r="CI92" t="str">
        <f t="shared" si="87"/>
        <v>-2, Superávit y resultado fue bueno</v>
      </c>
      <c r="CK92" s="4" t="s">
        <v>265</v>
      </c>
      <c r="CL92" s="4">
        <v>13</v>
      </c>
      <c r="CM92" s="8">
        <v>12.222222222222221</v>
      </c>
      <c r="CN92" s="4">
        <v>12</v>
      </c>
      <c r="CO92" s="4">
        <v>12</v>
      </c>
      <c r="CP92" s="4">
        <v>13</v>
      </c>
      <c r="CQ92" s="4">
        <v>-1.2097705883740471</v>
      </c>
      <c r="CR92" s="14">
        <v>15</v>
      </c>
      <c r="CS92" s="24">
        <f t="shared" si="96"/>
        <v>0</v>
      </c>
      <c r="CT92" s="24">
        <f t="shared" si="80"/>
        <v>-1</v>
      </c>
      <c r="CU92" t="str">
        <f t="shared" si="88"/>
        <v>0, Superávit y no eliminé superávit</v>
      </c>
    </row>
    <row r="93" spans="1:99" ht="14.25" customHeight="1" x14ac:dyDescent="0.3">
      <c r="A93" s="4" t="s">
        <v>262</v>
      </c>
      <c r="B93" s="4">
        <v>26</v>
      </c>
      <c r="C93" s="8">
        <v>21.777777777777779</v>
      </c>
      <c r="D93" s="4">
        <v>26</v>
      </c>
      <c r="E93" s="4">
        <v>27</v>
      </c>
      <c r="F93" s="4">
        <v>14</v>
      </c>
      <c r="G93" s="4">
        <v>-1.679865001322572</v>
      </c>
      <c r="H93" s="14">
        <v>27</v>
      </c>
      <c r="I93" s="24">
        <f t="shared" si="89"/>
        <v>1</v>
      </c>
      <c r="J93" s="24">
        <f t="shared" si="66"/>
        <v>0</v>
      </c>
      <c r="K93" s="5" t="str">
        <f t="shared" si="81"/>
        <v>-2, Superávit y resultado fue bueno</v>
      </c>
      <c r="L93" s="5"/>
      <c r="M93" s="5"/>
      <c r="N93" s="4" t="s">
        <v>262</v>
      </c>
      <c r="O93" s="4">
        <v>25</v>
      </c>
      <c r="P93" s="8">
        <v>23.111111111111111</v>
      </c>
      <c r="Q93" s="4">
        <v>27</v>
      </c>
      <c r="R93" s="4">
        <v>27</v>
      </c>
      <c r="S93" s="4">
        <v>15</v>
      </c>
      <c r="T93" s="4">
        <v>-1.679865001322572</v>
      </c>
      <c r="U93" s="14">
        <v>27</v>
      </c>
      <c r="V93" s="23">
        <f t="shared" si="90"/>
        <v>1</v>
      </c>
      <c r="W93" s="24">
        <f t="shared" si="68"/>
        <v>2</v>
      </c>
      <c r="X93" s="5" t="str">
        <f t="shared" si="82"/>
        <v>-2, Superávit y resultado fue bueno</v>
      </c>
      <c r="Y93" s="5"/>
      <c r="Z93" s="5"/>
      <c r="AA93" s="4" t="s">
        <v>262</v>
      </c>
      <c r="AB93" s="4">
        <v>19</v>
      </c>
      <c r="AC93" s="8">
        <v>23.888888888888889</v>
      </c>
      <c r="AD93" s="4">
        <v>22</v>
      </c>
      <c r="AE93" s="4">
        <v>22</v>
      </c>
      <c r="AF93" s="4">
        <v>19</v>
      </c>
      <c r="AG93" s="4">
        <v>-1.679865001322572</v>
      </c>
      <c r="AH93" s="14">
        <v>27</v>
      </c>
      <c r="AI93" s="24">
        <f t="shared" si="91"/>
        <v>1</v>
      </c>
      <c r="AJ93" s="24">
        <f t="shared" si="70"/>
        <v>3</v>
      </c>
      <c r="AK93" t="str">
        <f t="shared" si="83"/>
        <v>0, Superávit y no eliminé superávit</v>
      </c>
      <c r="AN93" s="4" t="s">
        <v>262</v>
      </c>
      <c r="AO93" s="4">
        <v>26</v>
      </c>
      <c r="AP93" s="8">
        <v>24.111111111111111</v>
      </c>
      <c r="AQ93" s="4">
        <v>26</v>
      </c>
      <c r="AR93" s="4">
        <v>26</v>
      </c>
      <c r="AS93" s="4">
        <v>19</v>
      </c>
      <c r="AT93" s="4">
        <v>-1.679865001322572</v>
      </c>
      <c r="AU93" s="14">
        <v>27</v>
      </c>
      <c r="AV93" s="24">
        <f t="shared" si="92"/>
        <v>1</v>
      </c>
      <c r="AW93" s="24">
        <f t="shared" si="72"/>
        <v>0</v>
      </c>
      <c r="AX93" t="str">
        <f t="shared" si="84"/>
        <v>-2, Superávit y resultado fue bueno</v>
      </c>
      <c r="BA93" s="4" t="s">
        <v>262</v>
      </c>
      <c r="BB93" s="4">
        <v>26</v>
      </c>
      <c r="BC93" s="8">
        <v>24</v>
      </c>
      <c r="BD93" s="4">
        <v>24</v>
      </c>
      <c r="BE93" s="4">
        <v>24</v>
      </c>
      <c r="BF93" s="4">
        <v>23</v>
      </c>
      <c r="BG93" s="4">
        <v>-1.679865001322572</v>
      </c>
      <c r="BH93" s="14">
        <v>27</v>
      </c>
      <c r="BI93" s="24">
        <f t="shared" si="93"/>
        <v>0</v>
      </c>
      <c r="BJ93" s="24">
        <f t="shared" si="74"/>
        <v>-2</v>
      </c>
      <c r="BK93" t="str">
        <f t="shared" si="85"/>
        <v>-2, Superávit y resultado fue bueno</v>
      </c>
      <c r="BM93" s="4" t="s">
        <v>262</v>
      </c>
      <c r="BN93" s="4">
        <v>27</v>
      </c>
      <c r="BO93" s="8">
        <v>24.555555555555557</v>
      </c>
      <c r="BP93" s="4">
        <v>27</v>
      </c>
      <c r="BQ93" s="4">
        <v>27</v>
      </c>
      <c r="BR93" s="4">
        <v>19</v>
      </c>
      <c r="BS93" s="4">
        <v>-1.679865001322572</v>
      </c>
      <c r="BT93" s="14">
        <v>27</v>
      </c>
      <c r="BU93" s="24">
        <f t="shared" si="94"/>
        <v>1</v>
      </c>
      <c r="BV93" s="24">
        <f t="shared" si="76"/>
        <v>0</v>
      </c>
      <c r="BW93" t="str">
        <f t="shared" si="86"/>
        <v>-2, Superávit y resultado fue bueno</v>
      </c>
      <c r="BY93" s="4" t="s">
        <v>262</v>
      </c>
      <c r="BZ93" s="4">
        <v>13</v>
      </c>
      <c r="CA93" s="8">
        <v>18.777777777777779</v>
      </c>
      <c r="CB93" s="4">
        <v>15</v>
      </c>
      <c r="CC93" s="4">
        <v>15</v>
      </c>
      <c r="CD93" s="4">
        <v>13</v>
      </c>
      <c r="CE93" s="4">
        <v>-1.679865001322572</v>
      </c>
      <c r="CF93" s="14">
        <v>27</v>
      </c>
      <c r="CG93" s="24">
        <f t="shared" si="95"/>
        <v>1</v>
      </c>
      <c r="CH93" s="24">
        <f t="shared" si="78"/>
        <v>2</v>
      </c>
      <c r="CI93" t="str">
        <f t="shared" si="87"/>
        <v>-1, no había superávit y deje la capacidad media</v>
      </c>
      <c r="CK93" s="4" t="s">
        <v>262</v>
      </c>
      <c r="CL93" s="4">
        <v>27</v>
      </c>
      <c r="CM93" s="8">
        <v>21.777777777777779</v>
      </c>
      <c r="CN93" s="4">
        <v>27</v>
      </c>
      <c r="CO93" s="4">
        <v>27</v>
      </c>
      <c r="CP93" s="4">
        <v>24</v>
      </c>
      <c r="CQ93" s="4">
        <v>-1.679865001322572</v>
      </c>
      <c r="CR93" s="14">
        <v>27</v>
      </c>
      <c r="CS93" s="24">
        <f t="shared" si="96"/>
        <v>1</v>
      </c>
      <c r="CT93" s="24">
        <f t="shared" si="80"/>
        <v>0</v>
      </c>
      <c r="CU93" t="str">
        <f t="shared" si="88"/>
        <v>-2, Superávit y resultado fue bueno</v>
      </c>
    </row>
    <row r="94" spans="1:99" ht="14.25" customHeight="1" x14ac:dyDescent="0.3">
      <c r="A94" s="4" t="s">
        <v>267</v>
      </c>
      <c r="B94" s="4">
        <f>AVERAGE(B74:B83)</f>
        <v>3</v>
      </c>
      <c r="C94" s="8">
        <f>AVERAGE(C74:C83)</f>
        <v>5.2222222222222214</v>
      </c>
      <c r="D94" s="4">
        <f>AVERAGE(D74:D83)</f>
        <v>2.7</v>
      </c>
      <c r="E94" s="4">
        <f>AVERAGE(E74:E83)</f>
        <v>3.2</v>
      </c>
      <c r="F94" s="4">
        <f>AVERAGE(F74:F83)</f>
        <v>7.3</v>
      </c>
      <c r="K94" s="5"/>
      <c r="L94" s="5"/>
      <c r="M94" s="5"/>
      <c r="N94" s="4" t="s">
        <v>267</v>
      </c>
      <c r="O94" s="4">
        <f>AVERAGE(O74:O83)</f>
        <v>3.7</v>
      </c>
      <c r="P94" s="8">
        <f>AVERAGE(P74:P83)</f>
        <v>5.1888888888888891</v>
      </c>
      <c r="Q94" s="4">
        <f>AVERAGE(Q74:Q83)</f>
        <v>2.7</v>
      </c>
      <c r="R94" s="4">
        <f>AVERAGE(R74:R83)</f>
        <v>2.2999999999999998</v>
      </c>
      <c r="S94" s="4">
        <f>AVERAGE(S74:S83)</f>
        <v>7.2</v>
      </c>
      <c r="V94" s="9"/>
      <c r="X94" s="5"/>
      <c r="Y94" s="5"/>
      <c r="Z94" s="5"/>
      <c r="AA94" s="4" t="s">
        <v>267</v>
      </c>
      <c r="AB94" s="4">
        <f>AVERAGE(AB74:AB83)</f>
        <v>6.1</v>
      </c>
      <c r="AC94" s="8">
        <f>AVERAGE(AC74:AC83)</f>
        <v>5.3555555555555561</v>
      </c>
      <c r="AD94" s="4">
        <f>AVERAGE(AD74:AD83)</f>
        <v>5.2</v>
      </c>
      <c r="AE94" s="4">
        <f>AVERAGE(AE74:AE83)</f>
        <v>4.4000000000000004</v>
      </c>
      <c r="AF94" s="4">
        <f>AVERAGE(AF74:AF83)</f>
        <v>7.2</v>
      </c>
      <c r="AN94" s="4" t="s">
        <v>267</v>
      </c>
      <c r="AO94" s="4">
        <f>AVERAGE(AO74:AO83)</f>
        <v>5.0999999999999996</v>
      </c>
      <c r="AP94" s="8">
        <f>AVERAGE(AP74:AP83)</f>
        <v>4.9444444444444446</v>
      </c>
      <c r="AQ94" s="4">
        <f>AVERAGE(AQ74:AQ83)</f>
        <v>4.4000000000000004</v>
      </c>
      <c r="AR94" s="4">
        <f>AVERAGE(AR74:AR83)</f>
        <v>3.4</v>
      </c>
      <c r="AS94" s="4">
        <f>AVERAGE(AS74:AS83)</f>
        <v>7.2</v>
      </c>
      <c r="BA94" s="4" t="s">
        <v>267</v>
      </c>
      <c r="BB94" s="4">
        <f>AVERAGE(BB74:BB83)</f>
        <v>6</v>
      </c>
      <c r="BC94" s="8">
        <f>AVERAGE(BC74:BC83)</f>
        <v>6.0666666666666664</v>
      </c>
      <c r="BD94" s="4">
        <f>AVERAGE(BD74:BD83)</f>
        <v>3.6</v>
      </c>
      <c r="BE94" s="4">
        <f>AVERAGE(BE74:BE83)</f>
        <v>3.3</v>
      </c>
      <c r="BF94" s="4">
        <f>AVERAGE(BF74:BF83)</f>
        <v>6.6</v>
      </c>
      <c r="BM94" s="4" t="s">
        <v>267</v>
      </c>
      <c r="BN94" s="4">
        <f>AVERAGE(BN74:BN83)</f>
        <v>5.7</v>
      </c>
      <c r="BO94" s="8">
        <f>AVERAGE(BO74:BO83)</f>
        <v>4.7111111111111112</v>
      </c>
      <c r="BP94" s="4">
        <f>AVERAGE(BP74:BP83)</f>
        <v>4.5999999999999996</v>
      </c>
      <c r="BQ94" s="4">
        <f>AVERAGE(BQ74:BQ83)</f>
        <v>5.2</v>
      </c>
      <c r="BR94" s="4">
        <f>AVERAGE(BR74:BR83)</f>
        <v>6.5</v>
      </c>
      <c r="BY94" s="4" t="s">
        <v>267</v>
      </c>
      <c r="BZ94" s="4">
        <f>AVERAGE(BZ74:BZ83)</f>
        <v>5.7</v>
      </c>
      <c r="CA94" s="8">
        <f>AVERAGE(CA74:CA83)</f>
        <v>4.8666666666666663</v>
      </c>
      <c r="CB94" s="4">
        <f>AVERAGE(CB74:CB83)</f>
        <v>5.7</v>
      </c>
      <c r="CC94" s="4">
        <f>AVERAGE(CC74:CC83)</f>
        <v>5.8</v>
      </c>
      <c r="CD94" s="4">
        <f>AVERAGE(CD74:CD83)</f>
        <v>6.5</v>
      </c>
      <c r="CK94" s="4" t="s">
        <v>267</v>
      </c>
      <c r="CL94" s="4">
        <f>AVERAGE(CL74:CL83)</f>
        <v>5.5</v>
      </c>
      <c r="CM94" s="8">
        <f>AVERAGE(CM74:CM83)</f>
        <v>5.2222222222222214</v>
      </c>
      <c r="CN94" s="4">
        <f>AVERAGE(CN74:CN83)</f>
        <v>5</v>
      </c>
      <c r="CO94" s="4">
        <f>AVERAGE(CO74:CO83)</f>
        <v>4.9000000000000004</v>
      </c>
      <c r="CP94" s="4">
        <f>AVERAGE(CP74:CP83)</f>
        <v>6.7</v>
      </c>
    </row>
    <row r="95" spans="1:99" ht="14.25" customHeight="1" x14ac:dyDescent="0.3">
      <c r="A95" s="4" t="s">
        <v>268</v>
      </c>
      <c r="B95" s="4">
        <f>AVERAGE(B84:B93)</f>
        <v>16.2</v>
      </c>
      <c r="C95" s="8">
        <f>AVERAGE(C84:C93)</f>
        <v>14.499999999999996</v>
      </c>
      <c r="D95" s="4">
        <f>AVERAGE(D84:D93)</f>
        <v>17</v>
      </c>
      <c r="E95" s="4">
        <f>AVERAGE(E84:E93)</f>
        <v>17.3</v>
      </c>
      <c r="F95" s="4">
        <f>AVERAGE(F84:F93)</f>
        <v>11.9</v>
      </c>
      <c r="K95" s="5"/>
      <c r="L95" s="5"/>
      <c r="M95" s="5"/>
      <c r="N95" s="4" t="s">
        <v>268</v>
      </c>
      <c r="O95" s="4">
        <f>AVERAGE(O84:O93)</f>
        <v>14.5</v>
      </c>
      <c r="P95" s="8">
        <f>AVERAGE(P84:P93)</f>
        <v>13.666666666666668</v>
      </c>
      <c r="Q95" s="4">
        <f>AVERAGE(Q84:Q93)</f>
        <v>14.9</v>
      </c>
      <c r="R95" s="4">
        <f>AVERAGE(R84:R93)</f>
        <v>16.100000000000001</v>
      </c>
      <c r="S95" s="4">
        <f>AVERAGE(S84:S93)</f>
        <v>11</v>
      </c>
      <c r="V95" s="9"/>
      <c r="X95" s="5"/>
      <c r="Y95" s="5"/>
      <c r="Z95" s="5"/>
      <c r="AA95" s="4" t="s">
        <v>268</v>
      </c>
      <c r="AB95" s="4">
        <f>AVERAGE(AB84:AB93)</f>
        <v>12.3</v>
      </c>
      <c r="AC95" s="8">
        <f>AVERAGE(AC84:AC93)</f>
        <v>13.000000000000004</v>
      </c>
      <c r="AD95" s="4">
        <f>AVERAGE(AD84:AD93)</f>
        <v>15.1</v>
      </c>
      <c r="AE95" s="4">
        <f>AVERAGE(AE84:AE93)</f>
        <v>13.1</v>
      </c>
      <c r="AF95" s="4">
        <f>AVERAGE(AF84:AF93)</f>
        <v>11.2</v>
      </c>
      <c r="AN95" s="4" t="s">
        <v>268</v>
      </c>
      <c r="AO95" s="4">
        <f>AVERAGE(AO84:AO93)</f>
        <v>13.2</v>
      </c>
      <c r="AP95" s="8">
        <f>AVERAGE(AP84:AP93)</f>
        <v>13.2</v>
      </c>
      <c r="AQ95" s="4">
        <f>AVERAGE(AQ84:AQ93)</f>
        <v>14.3</v>
      </c>
      <c r="AR95" s="4">
        <f>AVERAGE(AR84:AR93)</f>
        <v>14.6</v>
      </c>
      <c r="AS95" s="4">
        <f>AVERAGE(AS84:AS93)</f>
        <v>11.2</v>
      </c>
      <c r="BA95" s="4" t="s">
        <v>268</v>
      </c>
      <c r="BB95" s="4">
        <f>AVERAGE(BB84:BB93)</f>
        <v>12.9</v>
      </c>
      <c r="BC95" s="8">
        <f>AVERAGE(BC84:BC93)</f>
        <v>13.577777777777778</v>
      </c>
      <c r="BD95" s="4">
        <f>AVERAGE(BD84:BD93)</f>
        <v>12.8</v>
      </c>
      <c r="BE95" s="4">
        <f>AVERAGE(BE84:BE93)</f>
        <v>12.3</v>
      </c>
      <c r="BF95" s="4">
        <f>AVERAGE(BF84:BF93)</f>
        <v>12.3</v>
      </c>
      <c r="BM95" s="4" t="s">
        <v>268</v>
      </c>
      <c r="BN95" s="4">
        <f>AVERAGE(BN84:BN93)</f>
        <v>12.5</v>
      </c>
      <c r="BO95" s="8">
        <f>AVERAGE(BO84:BO93)</f>
        <v>14.277777777777777</v>
      </c>
      <c r="BP95" s="4">
        <f>AVERAGE(BP84:BP93)</f>
        <v>13.2</v>
      </c>
      <c r="BQ95" s="4">
        <f>AVERAGE(BQ84:BQ93)</f>
        <v>14.4</v>
      </c>
      <c r="BR95" s="4">
        <f>AVERAGE(BR84:BR93)</f>
        <v>11.7</v>
      </c>
      <c r="BY95" s="4" t="s">
        <v>268</v>
      </c>
      <c r="BZ95" s="4">
        <f>AVERAGE(BZ84:BZ93)</f>
        <v>14.9</v>
      </c>
      <c r="CA95" s="8">
        <f>AVERAGE(CA84:CA93)</f>
        <v>14.188888888888892</v>
      </c>
      <c r="CB95" s="4">
        <f>AVERAGE(CB84:CB93)</f>
        <v>15.4</v>
      </c>
      <c r="CC95" s="4">
        <f>AVERAGE(CC84:CC93)</f>
        <v>14.9</v>
      </c>
      <c r="CD95" s="4">
        <f>AVERAGE(CD84:CD93)</f>
        <v>14.1</v>
      </c>
      <c r="CK95" s="4" t="s">
        <v>268</v>
      </c>
      <c r="CL95" s="4">
        <f>AVERAGE(CL84:CL93)</f>
        <v>15.6</v>
      </c>
      <c r="CM95" s="8">
        <f>AVERAGE(CM84:CM93)</f>
        <v>14.499999999999996</v>
      </c>
      <c r="CN95" s="4">
        <f>AVERAGE(CN84:CN93)</f>
        <v>15.9</v>
      </c>
      <c r="CO95" s="4">
        <f>AVERAGE(CO84:CO93)</f>
        <v>16.2</v>
      </c>
      <c r="CP95" s="4">
        <f>AVERAGE(CP84:CP93)</f>
        <v>14.4</v>
      </c>
    </row>
    <row r="96" spans="1:99" ht="14.25" customHeight="1" x14ac:dyDescent="0.3">
      <c r="A96" s="4" t="s">
        <v>269</v>
      </c>
      <c r="B96" s="4">
        <f>SKEW(B74:B83)</f>
        <v>1.4052626514404793</v>
      </c>
      <c r="C96" s="4"/>
      <c r="D96" s="4"/>
      <c r="E96" s="4"/>
      <c r="F96" s="4">
        <f>SKEW(F74:F83)</f>
        <v>1.5617883635207057</v>
      </c>
      <c r="K96" s="5"/>
      <c r="L96" s="5"/>
      <c r="M96" s="5"/>
      <c r="N96" s="4" t="s">
        <v>269</v>
      </c>
      <c r="O96" s="4">
        <f>SKEW(O74:O83)</f>
        <v>1.6075182799452155</v>
      </c>
      <c r="P96" s="4"/>
      <c r="Q96" s="4"/>
      <c r="R96" s="4"/>
      <c r="S96" s="4">
        <f>SKEW(S74:S83)</f>
        <v>0.70759334176193811</v>
      </c>
      <c r="X96" s="5"/>
      <c r="Y96" s="5"/>
      <c r="Z96" s="5"/>
      <c r="AA96" s="4" t="s">
        <v>269</v>
      </c>
      <c r="AB96" s="4">
        <f>SKEW(AB74:AB83)</f>
        <v>-0.18115823158250052</v>
      </c>
      <c r="AC96" s="4"/>
      <c r="AD96" s="4"/>
      <c r="AE96" s="4"/>
      <c r="AF96" s="4">
        <f>SKEW(AF74:AF83)</f>
        <v>1.1506227072070052</v>
      </c>
      <c r="AN96" s="4" t="s">
        <v>269</v>
      </c>
      <c r="AO96" s="4">
        <f>SKEW(AO74:AO83)</f>
        <v>0.57292980820884731</v>
      </c>
      <c r="AP96" s="4"/>
      <c r="AQ96" s="4"/>
      <c r="AR96" s="4"/>
      <c r="AS96" s="4">
        <f>SKEW(AS74:AS83)</f>
        <v>1.1506227072070052</v>
      </c>
      <c r="BA96" s="4" t="s">
        <v>269</v>
      </c>
      <c r="BB96" s="4">
        <f>SKEW(BB74:BB83)</f>
        <v>9.2426231406088299E-2</v>
      </c>
      <c r="BC96" s="4"/>
      <c r="BD96" s="4"/>
      <c r="BE96" s="4"/>
      <c r="BF96" s="4">
        <f>SKEW(BF74:BF83)</f>
        <v>0.11090339346573688</v>
      </c>
      <c r="BM96" s="4" t="s">
        <v>269</v>
      </c>
      <c r="BN96" s="4">
        <f>SKEW(BN74:BN83)</f>
        <v>0.19798301359606518</v>
      </c>
      <c r="BO96" s="4"/>
      <c r="BP96" s="4"/>
      <c r="BQ96" s="4"/>
      <c r="BR96" s="4">
        <f>SKEW(BR74:BR83)</f>
        <v>0.45396684302428808</v>
      </c>
      <c r="BY96" s="4" t="s">
        <v>269</v>
      </c>
      <c r="BZ96" s="4">
        <f>SKEW(BZ74:BZ83)</f>
        <v>0.58813774515247708</v>
      </c>
      <c r="CA96" s="4"/>
      <c r="CB96" s="4"/>
      <c r="CC96" s="4"/>
      <c r="CD96" s="4">
        <f>SKEW(CD74:CD83)</f>
        <v>0.45396684302428808</v>
      </c>
      <c r="CK96" s="4" t="s">
        <v>269</v>
      </c>
      <c r="CL96" s="4">
        <f>SKEW(CL74:CL83)</f>
        <v>0.86767814140948862</v>
      </c>
      <c r="CM96" s="4"/>
      <c r="CN96" s="4"/>
      <c r="CO96" s="4"/>
      <c r="CP96" s="4">
        <f>SKEW(CP74:CP83)</f>
        <v>-0.23424278964210296</v>
      </c>
    </row>
    <row r="97" spans="1:94" ht="14.25" customHeight="1" x14ac:dyDescent="0.3">
      <c r="A97" s="4" t="s">
        <v>270</v>
      </c>
      <c r="B97" s="4">
        <f>SKEW(B84:B93)</f>
        <v>0.79550107335082287</v>
      </c>
      <c r="C97" s="4"/>
      <c r="D97" s="4"/>
      <c r="E97" s="4"/>
      <c r="F97" s="4">
        <f>SKEW(F84:F93)</f>
        <v>0.96141356439402215</v>
      </c>
      <c r="K97" s="5"/>
      <c r="L97" s="5"/>
      <c r="M97" s="5"/>
      <c r="N97" s="4" t="s">
        <v>270</v>
      </c>
      <c r="O97" s="4">
        <f>SKEW(O84:O93)</f>
        <v>0.61372097335019193</v>
      </c>
      <c r="P97" s="4"/>
      <c r="Q97" s="4"/>
      <c r="R97" s="4"/>
      <c r="S97" s="4">
        <f>SKEW(S84:S93)</f>
        <v>1.5516669055254786</v>
      </c>
      <c r="X97" s="5"/>
      <c r="Y97" s="5"/>
      <c r="Z97" s="5"/>
      <c r="AA97" s="4" t="s">
        <v>270</v>
      </c>
      <c r="AB97" s="4">
        <f>SKEW(AB84:AB93)</f>
        <v>-0.69827251603355278</v>
      </c>
      <c r="AC97" s="4"/>
      <c r="AD97" s="4"/>
      <c r="AE97" s="4"/>
      <c r="AF97" s="4">
        <f>SKEW(AF84:AF93)</f>
        <v>-0.36051038495013182</v>
      </c>
      <c r="AN97" s="4" t="s">
        <v>270</v>
      </c>
      <c r="AO97" s="4">
        <f>SKEW(AO84:AO93)</f>
        <v>1.2572581843930644</v>
      </c>
      <c r="AP97" s="4"/>
      <c r="AQ97" s="4"/>
      <c r="AR97" s="4"/>
      <c r="AS97" s="4">
        <f>SKEW(AS84:AS93)</f>
        <v>-0.36051038495013182</v>
      </c>
      <c r="BA97" s="4" t="s">
        <v>270</v>
      </c>
      <c r="BB97" s="4">
        <f>SKEW(BB84:BB93)</f>
        <v>0.79415426216157481</v>
      </c>
      <c r="BC97" s="4"/>
      <c r="BD97" s="4"/>
      <c r="BE97" s="4"/>
      <c r="BF97" s="4">
        <f>SKEW(BF84:BF93)</f>
        <v>0.52403239815974323</v>
      </c>
      <c r="BM97" s="4" t="s">
        <v>270</v>
      </c>
      <c r="BN97" s="4">
        <f>SKEW(BN84:BN93)</f>
        <v>1.1647943195765336</v>
      </c>
      <c r="BO97" s="4"/>
      <c r="BP97" s="4"/>
      <c r="BQ97" s="4"/>
      <c r="BR97" s="4">
        <f>SKEW(BR84:BR93)</f>
        <v>1.0658561422069743</v>
      </c>
      <c r="BY97" s="4" t="s">
        <v>270</v>
      </c>
      <c r="BZ97" s="4">
        <f>SKEW(BZ84:BZ93)</f>
        <v>1.3675901363094816</v>
      </c>
      <c r="CA97" s="4"/>
      <c r="CB97" s="4"/>
      <c r="CC97" s="4"/>
      <c r="CD97" s="4">
        <f>SKEW(CD84:CD93)</f>
        <v>1.5396348874443175</v>
      </c>
      <c r="CK97" s="4" t="s">
        <v>270</v>
      </c>
      <c r="CL97" s="4">
        <f>SKEW(CL84:CL93)</f>
        <v>0.67135492509072126</v>
      </c>
      <c r="CM97" s="4"/>
      <c r="CN97" s="4"/>
      <c r="CO97" s="4"/>
      <c r="CP97" s="4">
        <f>SKEW(CP84:CP93)</f>
        <v>0.65794082909739771</v>
      </c>
    </row>
    <row r="98" spans="1:94" ht="14.25" customHeight="1" x14ac:dyDescent="0.3">
      <c r="A98" s="4" t="s">
        <v>271</v>
      </c>
      <c r="B98" s="4">
        <v>45.19073420130632</v>
      </c>
      <c r="C98" s="5"/>
      <c r="D98" s="5"/>
      <c r="K98" s="5"/>
      <c r="L98" s="5"/>
      <c r="M98" s="5"/>
      <c r="N98" s="4" t="s">
        <v>271</v>
      </c>
      <c r="O98" s="4">
        <v>37.585350031634668</v>
      </c>
      <c r="X98" s="5"/>
      <c r="Y98" s="5"/>
      <c r="Z98" s="5"/>
      <c r="AA98" s="4" t="s">
        <v>271</v>
      </c>
      <c r="AB98" s="4">
        <v>9.8937668284417111</v>
      </c>
      <c r="AN98" s="4" t="s">
        <v>271</v>
      </c>
      <c r="AO98" s="4">
        <v>24.22714578922092</v>
      </c>
      <c r="BA98" s="4" t="s">
        <v>271</v>
      </c>
      <c r="BB98" s="4">
        <v>12.924285667603231</v>
      </c>
      <c r="BM98" s="4" t="s">
        <v>271</v>
      </c>
      <c r="BN98" s="4">
        <v>14.5398070630867</v>
      </c>
      <c r="BY98" s="4" t="s">
        <v>271</v>
      </c>
      <c r="BZ98" s="4">
        <v>14.67748783253921</v>
      </c>
      <c r="CK98" s="4" t="s">
        <v>271</v>
      </c>
      <c r="CL98" s="4">
        <v>20.175882756635499</v>
      </c>
    </row>
    <row r="99" spans="1:94" ht="14.25" customHeight="1" x14ac:dyDescent="0.3">
      <c r="A99" s="4" t="s">
        <v>272</v>
      </c>
      <c r="B99" s="4">
        <v>15</v>
      </c>
      <c r="C99" s="5"/>
      <c r="D99" s="5"/>
      <c r="K99" s="5"/>
      <c r="L99" s="5"/>
      <c r="M99" s="5"/>
      <c r="N99" s="4" t="s">
        <v>272</v>
      </c>
      <c r="O99" s="4">
        <v>12</v>
      </c>
      <c r="X99" s="5"/>
      <c r="Y99" s="5"/>
      <c r="Z99" s="5"/>
      <c r="AA99" s="4" t="s">
        <v>272</v>
      </c>
      <c r="AB99" s="4">
        <v>9</v>
      </c>
      <c r="AN99" s="4" t="s">
        <v>272</v>
      </c>
      <c r="AO99" s="4">
        <v>9</v>
      </c>
      <c r="BA99" s="4" t="s">
        <v>272</v>
      </c>
      <c r="BB99" s="4">
        <v>9</v>
      </c>
      <c r="BM99" s="4" t="s">
        <v>272</v>
      </c>
      <c r="BN99" s="4">
        <v>10</v>
      </c>
      <c r="BY99" s="4" t="s">
        <v>272</v>
      </c>
      <c r="BZ99" s="4">
        <v>11</v>
      </c>
      <c r="CK99" s="4" t="s">
        <v>272</v>
      </c>
      <c r="CL99" s="4">
        <v>12</v>
      </c>
    </row>
    <row r="100" spans="1:94" ht="14.25" customHeight="1" x14ac:dyDescent="0.3">
      <c r="A100" s="11" t="s">
        <v>273</v>
      </c>
      <c r="B100" s="4">
        <f>B99*2</f>
        <v>30</v>
      </c>
      <c r="C100" s="5"/>
      <c r="D100" s="5"/>
      <c r="K100" s="12"/>
      <c r="L100" s="12"/>
      <c r="M100" s="12"/>
      <c r="N100" s="11" t="s">
        <v>273</v>
      </c>
      <c r="O100" s="4">
        <f>O99*2</f>
        <v>24</v>
      </c>
      <c r="X100" s="12"/>
      <c r="Y100" s="12"/>
      <c r="Z100" s="12"/>
      <c r="AA100" s="11" t="s">
        <v>273</v>
      </c>
      <c r="AB100" s="4">
        <f>AB99*2</f>
        <v>18</v>
      </c>
      <c r="AN100" s="11" t="s">
        <v>273</v>
      </c>
      <c r="AO100" s="4">
        <f>AO99*2</f>
        <v>18</v>
      </c>
      <c r="BA100" s="11" t="s">
        <v>273</v>
      </c>
      <c r="BB100" s="4">
        <f>BB99*2</f>
        <v>18</v>
      </c>
      <c r="BM100" s="11" t="s">
        <v>273</v>
      </c>
      <c r="BN100" s="4">
        <f>BN99*2</f>
        <v>20</v>
      </c>
      <c r="BY100" s="11" t="s">
        <v>273</v>
      </c>
      <c r="BZ100" s="4">
        <f>BZ99*2</f>
        <v>22</v>
      </c>
      <c r="CK100" s="11" t="s">
        <v>273</v>
      </c>
      <c r="CL100" s="4">
        <f>CL99*2</f>
        <v>24</v>
      </c>
    </row>
    <row r="101" spans="1:94" ht="14.25" customHeight="1" x14ac:dyDescent="0.3"/>
    <row r="102" spans="1:94" ht="14.25" customHeight="1" x14ac:dyDescent="0.3"/>
    <row r="103" spans="1:94" ht="14.25" customHeight="1" x14ac:dyDescent="0.3">
      <c r="AC103" s="5"/>
      <c r="AD103" s="5"/>
      <c r="AE103" s="5"/>
      <c r="AF103" s="5"/>
      <c r="AP103" s="5"/>
      <c r="AQ103" s="5"/>
      <c r="AR103" s="5"/>
      <c r="AS103" s="5"/>
    </row>
    <row r="104" spans="1:94" ht="14.25" customHeight="1" x14ac:dyDescent="0.3">
      <c r="C104" s="5"/>
      <c r="D104" s="5"/>
      <c r="E104" s="5"/>
      <c r="F104" s="5"/>
      <c r="AC104" s="5"/>
      <c r="AD104" s="5"/>
      <c r="AE104" s="5"/>
      <c r="AF104" s="5"/>
      <c r="BC104" s="5"/>
      <c r="BD104" s="5"/>
      <c r="BE104" s="5"/>
      <c r="BF104" s="5"/>
      <c r="BO104" s="5"/>
      <c r="BP104" s="5"/>
      <c r="BQ104" s="5"/>
      <c r="BR104" s="5"/>
      <c r="CA104" s="5"/>
      <c r="CB104" s="5"/>
      <c r="CC104" s="5"/>
      <c r="CD104" s="5"/>
    </row>
    <row r="105" spans="1:94" ht="14.25" customHeight="1" x14ac:dyDescent="0.3">
      <c r="A105" s="4" t="s">
        <v>292</v>
      </c>
      <c r="K105" s="5"/>
      <c r="L105" s="5"/>
      <c r="M105" s="5"/>
      <c r="N105" s="4" t="s">
        <v>293</v>
      </c>
      <c r="P105" s="5"/>
      <c r="Q105" s="5"/>
      <c r="R105" s="5"/>
      <c r="S105" s="5"/>
      <c r="X105" s="5"/>
      <c r="Y105" s="5"/>
      <c r="Z105" s="5"/>
      <c r="AA105" s="4" t="s">
        <v>294</v>
      </c>
      <c r="AN105" s="4" t="s">
        <v>295</v>
      </c>
      <c r="BA105" s="4" t="s">
        <v>296</v>
      </c>
      <c r="BM105" s="4" t="s">
        <v>297</v>
      </c>
      <c r="BY105" s="4" t="s">
        <v>298</v>
      </c>
    </row>
    <row r="106" spans="1:94" ht="14.25" customHeight="1" x14ac:dyDescent="0.3">
      <c r="A106" s="4" t="s">
        <v>232</v>
      </c>
      <c r="B106" s="4" t="s">
        <v>5</v>
      </c>
      <c r="C106" s="4" t="s">
        <v>242</v>
      </c>
      <c r="D106" s="7" t="s">
        <v>234</v>
      </c>
      <c r="E106" s="7" t="s">
        <v>235</v>
      </c>
      <c r="F106" s="4" t="s">
        <v>236</v>
      </c>
      <c r="G106" s="4" t="s">
        <v>237</v>
      </c>
      <c r="H106" s="4" t="s">
        <v>12</v>
      </c>
      <c r="I106" s="6" t="s">
        <v>238</v>
      </c>
      <c r="J106" s="36" t="s">
        <v>239</v>
      </c>
      <c r="K106" s="41" t="s">
        <v>359</v>
      </c>
      <c r="L106" s="5"/>
      <c r="M106" s="5"/>
      <c r="N106" s="4" t="s">
        <v>232</v>
      </c>
      <c r="O106" s="4" t="s">
        <v>5</v>
      </c>
      <c r="P106" s="4" t="s">
        <v>243</v>
      </c>
      <c r="Q106" s="7" t="s">
        <v>234</v>
      </c>
      <c r="R106" s="7" t="s">
        <v>235</v>
      </c>
      <c r="S106" s="4" t="s">
        <v>236</v>
      </c>
      <c r="T106" s="4" t="s">
        <v>237</v>
      </c>
      <c r="U106" s="4" t="s">
        <v>12</v>
      </c>
      <c r="V106" s="6" t="s">
        <v>238</v>
      </c>
      <c r="W106" s="36" t="s">
        <v>239</v>
      </c>
      <c r="X106" s="41" t="s">
        <v>359</v>
      </c>
      <c r="Y106" s="5"/>
      <c r="Z106" s="5"/>
      <c r="AA106" s="4" t="s">
        <v>232</v>
      </c>
      <c r="AB106" s="4" t="s">
        <v>5</v>
      </c>
      <c r="AC106" s="4" t="s">
        <v>245</v>
      </c>
      <c r="AD106" s="7" t="s">
        <v>234</v>
      </c>
      <c r="AE106" s="7" t="s">
        <v>235</v>
      </c>
      <c r="AF106" s="4" t="s">
        <v>236</v>
      </c>
      <c r="AG106" s="4" t="s">
        <v>237</v>
      </c>
      <c r="AH106" s="4" t="s">
        <v>12</v>
      </c>
      <c r="AI106" s="6" t="s">
        <v>238</v>
      </c>
      <c r="AJ106" s="36" t="s">
        <v>239</v>
      </c>
      <c r="AK106" s="42" t="s">
        <v>359</v>
      </c>
      <c r="AN106" s="4" t="s">
        <v>232</v>
      </c>
      <c r="AO106" s="4" t="s">
        <v>5</v>
      </c>
      <c r="AP106" s="4" t="s">
        <v>246</v>
      </c>
      <c r="AQ106" s="7" t="s">
        <v>234</v>
      </c>
      <c r="AR106" s="7" t="s">
        <v>235</v>
      </c>
      <c r="AS106" s="4" t="s">
        <v>236</v>
      </c>
      <c r="AT106" s="4" t="s">
        <v>237</v>
      </c>
      <c r="AU106" s="4" t="s">
        <v>12</v>
      </c>
      <c r="AV106" s="6" t="s">
        <v>238</v>
      </c>
      <c r="AW106" s="36" t="s">
        <v>239</v>
      </c>
      <c r="AX106" s="41" t="s">
        <v>359</v>
      </c>
      <c r="AY106" s="5"/>
      <c r="AZ106" s="5"/>
      <c r="BA106" s="4" t="s">
        <v>232</v>
      </c>
      <c r="BB106" s="4" t="s">
        <v>5</v>
      </c>
      <c r="BC106" s="4" t="s">
        <v>233</v>
      </c>
      <c r="BD106" s="7" t="s">
        <v>234</v>
      </c>
      <c r="BE106" s="7" t="s">
        <v>235</v>
      </c>
      <c r="BF106" s="4" t="s">
        <v>236</v>
      </c>
      <c r="BG106" s="4" t="s">
        <v>237</v>
      </c>
      <c r="BH106" s="4" t="s">
        <v>12</v>
      </c>
      <c r="BI106" s="6" t="s">
        <v>238</v>
      </c>
      <c r="BJ106" s="36" t="s">
        <v>239</v>
      </c>
      <c r="BK106" s="42" t="s">
        <v>359</v>
      </c>
      <c r="BM106" s="4" t="s">
        <v>232</v>
      </c>
      <c r="BN106" s="4" t="s">
        <v>5</v>
      </c>
      <c r="BO106" s="4" t="s">
        <v>240</v>
      </c>
      <c r="BP106" s="7" t="s">
        <v>234</v>
      </c>
      <c r="BQ106" s="7" t="s">
        <v>235</v>
      </c>
      <c r="BR106" s="4" t="s">
        <v>236</v>
      </c>
      <c r="BS106" s="4" t="s">
        <v>237</v>
      </c>
      <c r="BT106" s="4" t="s">
        <v>12</v>
      </c>
      <c r="BU106" s="6" t="s">
        <v>238</v>
      </c>
      <c r="BV106" s="36" t="s">
        <v>239</v>
      </c>
      <c r="BW106" s="42" t="s">
        <v>359</v>
      </c>
      <c r="BY106" s="4" t="s">
        <v>232</v>
      </c>
      <c r="BZ106" s="4" t="s">
        <v>5</v>
      </c>
      <c r="CA106" s="4" t="s">
        <v>241</v>
      </c>
      <c r="CB106" s="7" t="s">
        <v>234</v>
      </c>
      <c r="CC106" s="7" t="s">
        <v>235</v>
      </c>
      <c r="CD106" s="4" t="s">
        <v>236</v>
      </c>
      <c r="CE106" s="4" t="s">
        <v>237</v>
      </c>
      <c r="CF106" s="4" t="s">
        <v>12</v>
      </c>
      <c r="CG106" s="6" t="s">
        <v>238</v>
      </c>
      <c r="CH106" s="36" t="s">
        <v>239</v>
      </c>
      <c r="CI106" s="42" t="s">
        <v>359</v>
      </c>
    </row>
    <row r="107" spans="1:94" ht="14.25" customHeight="1" x14ac:dyDescent="0.3">
      <c r="A107" s="4" t="s">
        <v>253</v>
      </c>
      <c r="B107" s="4">
        <v>7</v>
      </c>
      <c r="C107" s="8">
        <v>6.1111111111111107</v>
      </c>
      <c r="D107" s="4">
        <v>6</v>
      </c>
      <c r="E107" s="4">
        <v>6</v>
      </c>
      <c r="F107" s="4">
        <v>7</v>
      </c>
      <c r="G107" s="4">
        <v>1.1425292918330761</v>
      </c>
      <c r="H107" s="14">
        <v>15</v>
      </c>
      <c r="I107" s="23">
        <f t="shared" ref="I107:I116" si="97">IF(D107&lt;=B107,1,0)</f>
        <v>1</v>
      </c>
      <c r="J107" s="24">
        <f t="shared" ref="J107:J126" si="98">D107-B107</f>
        <v>-1</v>
      </c>
      <c r="K107" s="5" t="str">
        <f>IF(G107&gt;0,
    IF(OR(B107&lt;=TRUNC(H107/2,0),B107=0),
        IF(F107=TRUNC(H107/2,0),
            "-1, Déficit y dejo la capacidad media",
            IF(AND(F107&gt;TRUNC(H107/2,0), F107&gt;B107),
                "1, Déficit y eliminé déficit",
                IF(AND(F107&lt;TRUNC(H107/2,0), F107&lt;B107),
                    "0, Déficit y no elimine déficit",
                    "-2, Déficit y resultado fue bueno")
            )
        ),
        IF(AND(F107&gt;TRUNC(H107/2,0), F107&gt;B107),
            "1, no había déficit, pero resultado fue mejor",
            IF(AND(F107&lt;TRUNC(H107/2,0),F107&lt;B107),
                "0, no había déficit y la dejo con déficit",
                IF(F107=TRUNC(H107/2,0),
                    "-1, no había déficit y dejo la capacidad media",
                    "-2,no había déficit y resultado fue bueno")
            )
        )
    ),
    IF(G107&lt;0,
        IF(B107&gt;TRUNC(H107/2,0),
            IF(F107=TRUNC(H107/2,0),
                "-1, Superávit y deje la capacidad media",
                IF(AND(F107&gt;TRUNC(H107/2,0), F107&gt;=B107),
                    "0, Superávit y no eliminé superávit",
                    IF(AND(F107&lt;TRUNC(H107/2,0),F107&lt;B107),
                        "1, Superávit y eliminé superávit",
                        "-2, Superávit y resultado fue bueno"
                    )
                )
            ),
            IF(AND(B107&lt;=TRUNC(H107/2,0),B107&gt;=0),
                IF(F107=TRUNC(H107/2,0),
                    "-1, no había superávit y deje la capacidad media",
                    IF(AND(F107&gt;TRUNC(H107/2,0), F107&gt;=B107),
                        "0, no había superávit, y la deje con superávit",
                        IF(AND(F107&lt;TRUNC(H107/2,0),F107&lt;B107),
                            "1, no había superávit, pero el resultado fue mejor",
                            "-2, no había superávit y resultado fue bueno"
                        )
                    )
                )
            )
        )
    )
)</f>
        <v>-1, Déficit y dejo la capacidad media</v>
      </c>
      <c r="L107" s="5"/>
      <c r="M107" s="5"/>
      <c r="N107" s="4" t="s">
        <v>253</v>
      </c>
      <c r="O107" s="4">
        <v>5</v>
      </c>
      <c r="P107" s="8">
        <v>4.2222222222222223</v>
      </c>
      <c r="Q107" s="4">
        <v>6</v>
      </c>
      <c r="R107" s="4">
        <v>4</v>
      </c>
      <c r="S107" s="4">
        <v>7</v>
      </c>
      <c r="T107" s="4">
        <v>1.1425292918330761</v>
      </c>
      <c r="U107" s="14">
        <v>15</v>
      </c>
      <c r="V107" s="24">
        <f t="shared" ref="V107:V116" si="99">IF(Q107&lt;=O107,1,0)</f>
        <v>0</v>
      </c>
      <c r="W107" s="24">
        <f t="shared" ref="W107:W126" si="100">Q107-O107</f>
        <v>1</v>
      </c>
      <c r="X107" s="5" t="str">
        <f>IF(T107&gt;0,
    IF(OR(O107&lt;=TRUNC(U107/2,0),O107=0),
        IF(S107=TRUNC(U107/2,0),
            "-1, Déficit y dejo la capacidad media",
            IF(AND(S107&gt;TRUNC(U107/2,0), S107&gt;O107),
                "1, Déficit y eliminé déficit",
                IF(AND(S107&lt;TRUNC(U107/2,0), S107&lt;O107),
                    "0, Déficit y no elimine déficit",
                    "-2, Déficit y resultado fue bueno")
            )
        ),
        IF(AND(S107&gt;TRUNC(U107/2,0), S107&gt;O107),
            "1, no había déficit, pero resultado fue mejor",
            IF(AND(S107&lt;TRUNC(U107/2,0),S107&lt;O107),
                "0, no había déficit y la dejo con déficit",
                IF(S107=TRUNC(U107/2,0),
                    "-1, no había déficit y dejo la capacidad media",
                    "-2,no había déficit y resultado fue bueno")
            )
        )
    ),
    IF(T107&lt;0,
        IF(O107&gt;TRUNC(U107/2,0),
            IF(S107=TRUNC(U107/2,0),
                "-1, Superávit y deje la capacidad media",
                IF(AND(S107&gt;TRUNC(U107/2,0), S107&gt;=O107),
                    "0, Superávit y no eliminé superávit",
                    IF(AND(S107&lt;TRUNC(U107/2,0),S107&lt;O107),
                        "1, Superávit y eliminé superávit",
                        "-2, Superávit y resultado fue bueno"
                    )
                )
            ),
            IF(AND(O107&lt;=TRUNC(U107/2,0),O107&gt;=0),
                IF(S107=TRUNC(U107/2,0),
                    "-1, no había superávit y deje la capacidad media",
                    IF(AND(S107&gt;TRUNC(U107/2,0), S107&gt;=O107),
                        "0, no había superávit, y la deje con superávit",
                        IF(AND(S107&lt;TRUNC(U107/2,0),S107&lt;O107),
                            "1, no había superávit, pero el resultado fue mejor",
                            "-2, no había superávit y resultado fue bueno"
                        )
                    )
                )
            )
        )
    )
)</f>
        <v>-1, Déficit y dejo la capacidad media</v>
      </c>
      <c r="Y107" s="5"/>
      <c r="Z107" s="5"/>
      <c r="AA107" s="4" t="s">
        <v>253</v>
      </c>
      <c r="AB107" s="4">
        <v>2</v>
      </c>
      <c r="AC107" s="8">
        <v>4.666666666666667</v>
      </c>
      <c r="AD107" s="4">
        <v>1</v>
      </c>
      <c r="AE107" s="4">
        <v>1</v>
      </c>
      <c r="AF107" s="4">
        <v>8</v>
      </c>
      <c r="AG107" s="4">
        <v>1.1425292918330761</v>
      </c>
      <c r="AH107" s="14">
        <v>15</v>
      </c>
      <c r="AI107" s="24">
        <f t="shared" ref="AI107:AI116" si="101">IF(AD107&lt;=AB107,1,0)</f>
        <v>1</v>
      </c>
      <c r="AJ107" s="24">
        <f t="shared" ref="AJ107:AJ126" si="102">AD107-AB107</f>
        <v>-1</v>
      </c>
      <c r="AK107" t="str">
        <f>IF(AG107&gt;0,
    IF(OR(AB107&lt;=TRUNC(AH107/2,0),AB107=0),
        IF(AF107=TRUNC(AH107/2,0),
            "-1, Déficit y dejo la capacidad media",
            IF(AND(AF107&gt;TRUNC(AH107/2,0), AF107&gt;AB107),
                "1, Déficit y eliminé déficit",
                IF(AND(AF107&lt;TRUNC(AH107/2,0), AF107&lt;AB107),
                    "0, Déficit y no elimine déficit",
                    "-2, Déficit y resultado fue bueno")
            )
        ),
        IF(AND(AF107&gt;TRUNC(AH107/2,0), AF107&gt;AB107),
            "1, no había déficit, pero resultado fue mejor",
            IF(AND(AF107&lt;TRUNC(AH107/2,0),AF107&lt;AB107),
                "0, no había déficit y la dejo con déficit",
                IF(AF107=TRUNC(AH107/2,0),
                    "-1, no había déficit y dejo la capacidad media",
                    "-2,no había déficit y resultado fue bueno")
            )
        )
    ),
    IF(AG107&lt;0,
        IF(AB107&gt;TRUNC(AH107/2,0),
            IF(AF107=TRUNC(AH107/2,0),
                "-1, Superávit y deje la capacidad media",
                IF(AND(AF107&gt;TRUNC(AH107/2,0), AF107&gt;=AB107),
                    "0, Superávit y no eliminé superávit",
                    IF(AND(AF107&lt;TRUNC(AH107/2,0),AF107&lt;AB107),
                        "1, Superávit y eliminé superávit",
                        "-2, Superávit y resultado fue bueno"
                    )
                )
            ),
            IF(AND(AB107&lt;=TRUNC(AH107/2,0),AB107&gt;=0),
                IF(AF107=TRUNC(AH107/2,0),
                    "-1, no había superávit y deje la capacidad media",
                    IF(AND(AF107&gt;TRUNC(AH107/2,0), AF107&gt;=AB107),
                        "0, no había superávit, y la deje con superávit",
                        IF(AND(AF107&lt;TRUNC(AH107/2,0),AF107&lt;AB107),
                            "1, no había superávit, pero el resultado fue mejor",
                            "-2, no había superávit y resultado fue bueno"
                        )
                    )
                )
            )
        )
    )
)</f>
        <v>1, Déficit y eliminé déficit</v>
      </c>
      <c r="AN107" s="4" t="s">
        <v>253</v>
      </c>
      <c r="AO107" s="4">
        <v>8</v>
      </c>
      <c r="AP107" s="8">
        <v>6.1111111111111107</v>
      </c>
      <c r="AQ107" s="4">
        <v>5</v>
      </c>
      <c r="AR107" s="4">
        <v>1</v>
      </c>
      <c r="AS107" s="4">
        <v>7</v>
      </c>
      <c r="AT107" s="4">
        <v>1.1425292918330761</v>
      </c>
      <c r="AU107" s="14">
        <v>15</v>
      </c>
      <c r="AV107" s="24">
        <f t="shared" ref="AV107:AV116" si="103">IF(AQ107&lt;=AO107,1,0)</f>
        <v>1</v>
      </c>
      <c r="AW107" s="24">
        <f t="shared" ref="AW107:AW126" si="104">AQ107-AO107</f>
        <v>-3</v>
      </c>
      <c r="AX107" t="str">
        <f>IF(AT107&gt;0,
    IF(OR(AO107&lt;=TRUNC(AU107/2,0),AO107=0),
        IF(AS107=TRUNC(AU107/2,0),
            "-1, Déficit y dejo la capacidad media",
            IF(AND(AS107&gt;TRUNC(AU107/2,0), AS107&gt;AO107),
                "1, Déficit y eliminé déficit",
                IF(AND(AS107&lt;TRUNC(AU107/2,0), AS107&lt;AO107),
                    "0, Déficit y no elimine déficit",
                    "-2, Déficit y resultado fue bueno")
            )
        ),
        IF(AND(AS107&gt;TRUNC(AU107/2,0), AS107&gt;AO107),
            "1, no había déficit, pero resultado fue mejor",
            IF(AND(AS107&lt;TRUNC(AU107/2,0),AS107&lt;AO107),
                "0, no había déficit y la dejo con déficit",
                IF(AS107=TRUNC(AU107/2,0),
                    "-1, no había déficit y dejo la capacidad media",
                    "-2,no había déficit y resultado fue bueno")
            )
        )
    ),
    IF(AT107&lt;0,
        IF(AO107&gt;TRUNC(AU107/2,0),
            IF(AS107=TRUNC(AU107/2,0),
                "-1, Superávit y deje la capacidad media",
                IF(AND(AS107&gt;TRUNC(AU107/2,0), AS107&gt;=AO107),
                    "0, Superávit y no eliminé superávit",
                    IF(AND(AS107&lt;TRUNC(AU107/2,0),AS107&lt;AO107),
                        "1, Superávit y eliminé superávit",
                        "-2, Superávit y resultado fue bueno"
                    )
                )
            ),
            IF(AND(AO107&lt;=TRUNC(AU107/2,0),AO107&gt;=0),
                IF(AS107=TRUNC(AU107/2,0),
                    "-1, no había superávit y deje la capacidad media",
                    IF(AND(AS107&gt;TRUNC(AU107/2,0), AS107&gt;=AO107),
                        "0, no había superávit, y la deje con superávit",
                        IF(AND(AS107&lt;TRUNC(AU107/2,0),AS107&lt;AO107),
                            "1, no había superávit, pero el resultado fue mejor",
                            "-2, no había superávit y resultado fue bueno"
                        )
                    )
                )
            )
        )
    )
)</f>
        <v>-1, no había déficit y dejo la capacidad media</v>
      </c>
      <c r="BA107" s="4" t="s">
        <v>253</v>
      </c>
      <c r="BB107" s="4">
        <v>2</v>
      </c>
      <c r="BC107" s="8">
        <v>4.666666666666667</v>
      </c>
      <c r="BD107" s="4">
        <v>3</v>
      </c>
      <c r="BE107" s="4">
        <v>3</v>
      </c>
      <c r="BF107" s="4">
        <v>7</v>
      </c>
      <c r="BG107" s="4">
        <v>1.1425292918330761</v>
      </c>
      <c r="BH107" s="14">
        <v>15</v>
      </c>
      <c r="BI107" s="24">
        <f t="shared" ref="BI107:BI116" si="105">IF(BD107&lt;=BB107,1,0)</f>
        <v>0</v>
      </c>
      <c r="BJ107" s="24">
        <f t="shared" ref="BJ107:BJ126" si="106">BD107-BB107</f>
        <v>1</v>
      </c>
      <c r="BK107" t="str">
        <f>IF(BG107&gt;0,
    IF(OR(BB107&lt;=TRUNC(BH107/2,0),BB107=0),
        IF(BF107=TRUNC(BH107/2,0),
            "-1, Déficit y dejo la capacidad media",
            IF(AND(BF107&gt;TRUNC(BH107/2,0), BF107&gt;BB107),
                "1, Déficit y eliminé déficit",
                IF(AND(BF107&lt;TRUNC(BH107/2,0), BF107&lt;BB107),
                    "0, Déficit y no elimine déficit",
                    "-2, Déficit y resultado fue bueno")
            )
        ),
        IF(AND(BF107&gt;TRUNC(BH107/2,0), BF107&gt;BB107),
            "1, no había déficit, pero resultado fue mejor",
            IF(AND(BF107&lt;TRUNC(BH107/2,0),BF107&lt;BB107),
                "0, no había déficit y la dejo con déficit",
                IF(BF107=TRUNC(BH107/2,0),
                    "-1, no había déficit y dejo la capacidad media",
                    "-2,no había déficit y resultado fue bueno")
            )
        )
    ),
    IF(BG107&lt;0,
        IF(BB107&gt;TRUNC(BH107/2,0),
            IF(BF107=TRUNC(BH107/2,0),
                "-1, Superávit y deje la capacidad media",
                IF(AND(BF107&gt;TRUNC(BH107/2,0), BF107&gt;=BB107),
                    "0, Superávit y no eliminé superávit",
                    IF(AND(BF107&lt;TRUNC(BH107/2,0),BF107&lt;BB107),
                        "1, Superávit y eliminé superávit",
                        "-2, Superávit y resultado fue bueno"
                    )
                )
            ),
            IF(AND(BB107&lt;=TRUNC(BH107/2,0),BB107&gt;=0),
                IF(BF107=TRUNC(BH107/2,0),
                    "-1, no había superávit y deje la capacidad media",
                    IF(AND(BF107&gt;TRUNC(BH107/2,0), BF107&gt;=BB107),
                        "0, no había superávit, y la deje con superávit",
                        IF(AND(BF107&lt;TRUNC(BH107/2,0),BF107&lt;BB107),
                            "1, no había superávit, pero el resultado fue mejor",
                            "-2, no había superávit y resultado fue bueno"
                        )
                    )
                )
            )
        )
    )
)</f>
        <v>-1, Déficit y dejo la capacidad media</v>
      </c>
      <c r="BM107" s="4" t="s">
        <v>253</v>
      </c>
      <c r="BN107" s="4">
        <v>1</v>
      </c>
      <c r="BO107" s="8">
        <v>5.5555555555555554</v>
      </c>
      <c r="BP107" s="4">
        <v>2</v>
      </c>
      <c r="BQ107" s="4">
        <v>2</v>
      </c>
      <c r="BR107" s="4">
        <v>7</v>
      </c>
      <c r="BS107" s="4">
        <v>1.1425292918330761</v>
      </c>
      <c r="BT107" s="14">
        <v>15</v>
      </c>
      <c r="BU107" s="24">
        <f t="shared" ref="BU107:BU116" si="107">IF(BP107&lt;=BN107,1,0)</f>
        <v>0</v>
      </c>
      <c r="BV107" s="24">
        <f t="shared" ref="BV107:BV126" si="108">BP107-BN107</f>
        <v>1</v>
      </c>
      <c r="BW107" t="str">
        <f>IF(BS107&gt;0,
    IF(OR(BN107&lt;=TRUNC(BT107/2,0),BN107=0),
        IF(BR107=TRUNC(BT107/2,0),
            "-1, Déficit y dejo la capacidad media",
            IF(AND(BR107&gt;TRUNC(BT107/2,0), BR107&gt;BN107),
                "1, Déficit y eliminé déficit",
                IF(AND(BR107&lt;TRUNC(BT107/2,0), BR107&lt;BN107),
                    "0, Déficit y no elimine déficit",
                    "-2, Déficit y resultado fue bueno")
            )
        ),
        IF(AND(BR107&gt;TRUNC(BT107/2,0), BR107&gt;BN107),
            "1, no había déficit, pero resultado fue mejor",
            IF(AND(BR107&lt;TRUNC(BT107/2,0),BR107&lt;BN107),
                "0, no había déficit y la dejo con déficit",
                IF(BR107=TRUNC(BT107/2,0),
                    "-1, no había déficit y dejo la capacidad media",
                    "-2,no había déficit y resultado fue bueno")
            )
        )
    ),
    IF(BS107&lt;0,
        IF(BN107&gt;TRUNC(BT107/2,0),
            IF(BR107=TRUNC(BT107/2,0),
                "-1, Superávit y deje la capacidad media",
                IF(AND(BR107&gt;TRUNC(BT107/2,0), BR107&gt;=BN107),
                    "0, Superávit y no eliminé superávit",
                    IF(AND(BR107&lt;TRUNC(BT107/2,0),BR107&lt;BN107),
                        "1, Superávit y eliminé superávit",
                        "-2, Superávit y resultado fue bueno"
                    )
                )
            ),
            IF(AND(BN107&lt;=TRUNC(BT107/2,0),BN107&gt;=0),
                IF(BR107=TRUNC(BT107/2,0),
                    "-1, no había superávit y deje la capacidad media",
                    IF(AND(BR107&gt;TRUNC(BT107/2,0), BR107&gt;=BN107),
                        "0, no había superávit, y la deje con superávit",
                        IF(AND(BR107&lt;TRUNC(BT107/2,0),BR107&lt;BN107),
                            "1, no había superávit, pero el resultado fue mejor",
                            "-2, no había superávit y resultado fue bueno"
                        )
                    )
                )
            )
        )
    )
)</f>
        <v>-1, Déficit y dejo la capacidad media</v>
      </c>
      <c r="BY107" s="4" t="s">
        <v>253</v>
      </c>
      <c r="BZ107" s="4">
        <v>4</v>
      </c>
      <c r="CA107" s="8">
        <v>4</v>
      </c>
      <c r="CB107" s="4">
        <v>4</v>
      </c>
      <c r="CC107" s="4">
        <v>4</v>
      </c>
      <c r="CD107" s="4">
        <v>8</v>
      </c>
      <c r="CE107" s="4">
        <v>1.1425292918330761</v>
      </c>
      <c r="CF107" s="14">
        <v>15</v>
      </c>
      <c r="CG107" s="24">
        <f t="shared" ref="CG107:CG116" si="109">IF(CB107&lt;=BZ107,1,0)</f>
        <v>1</v>
      </c>
      <c r="CH107" s="24">
        <f t="shared" ref="CH107:CH126" si="110">CB107-BZ107</f>
        <v>0</v>
      </c>
      <c r="CI107" t="str">
        <f>IF(CE107&gt;0,
    IF(OR(BZ107&lt;=TRUNC(CF107/2,0),BZ107=0),
        IF(CD107=TRUNC(CF107/2,0),
            "-1, Déficit y dejo la capacidad media",
            IF(AND(CD107&gt;TRUNC(CF107/2,0), CD107&gt;BZ107),
                "1, Déficit y eliminé déficit",
                IF(AND(CD107&lt;TRUNC(CF107/2,0), CD107&lt;BZ107),
                    "0, Déficit y no elimine déficit",
                    "-2, Déficit y resultado fue bueno")
            )
        ),
        IF(AND(CD107&gt;TRUNC(CF107/2,0), CD107&gt;BZ107),
            "1, no había déficit, pero resultado fue mejor",
            IF(AND(CD107&lt;TRUNC(CF107/2,0),CD107&lt;BZ107),
                "0, no había déficit y la dejo con déficit",
                IF(CD107=TRUNC(CF107/2,0),
                    "-1, no había déficit y dejo la capacidad media",
                    "-2,no había déficit y resultado fue bueno")
            )
        )
    ),
    IF(CE107&lt;0,
        IF(BZ107&gt;TRUNC(CF107/2,0),
            IF(CD107=TRUNC(CF107/2,0),
                "-1, Superávit y deje la capacidad media",
                IF(AND(CD107&gt;TRUNC(CF107/2,0), CD107&gt;=BZ107),
                    "0, Superávit y no eliminé superávit",
                    IF(AND(CD107&lt;TRUNC(CF107/2,0),CD107&lt;BZ107),
                        "1, Superávit y eliminé superávit",
                        "-2, Superávit y resultado fue bueno"
                    )
                )
            ),
            IF(AND(BZ107&lt;=TRUNC(CF107/2,0),BZ107&gt;=0),
                IF(CD107=TRUNC(CF107/2,0),
                    "-1, no había superávit y deje la capacidad media",
                    IF(AND(CD107&gt;TRUNC(CF107/2,0), CD107&gt;=BZ107),
                        "0, no había superávit, y la deje con superávit",
                        IF(AND(CD107&lt;TRUNC(CF107/2,0),CD107&lt;BZ107),
                            "1, no había superávit, pero el resultado fue mejor",
                            "-2, no había superávit y resultado fue bueno"
                        )
                    )
                )
            )
        )
    )
)</f>
        <v>1, Déficit y eliminé déficit</v>
      </c>
    </row>
    <row r="108" spans="1:94" ht="14.25" customHeight="1" x14ac:dyDescent="0.3">
      <c r="A108" s="4" t="s">
        <v>254</v>
      </c>
      <c r="B108" s="4">
        <v>8</v>
      </c>
      <c r="C108" s="8">
        <v>3.5555555555555554</v>
      </c>
      <c r="D108" s="4">
        <v>3</v>
      </c>
      <c r="E108" s="4">
        <v>1</v>
      </c>
      <c r="F108" s="4">
        <v>8</v>
      </c>
      <c r="G108" s="4">
        <v>0.80154659127182082</v>
      </c>
      <c r="H108" s="14">
        <v>19</v>
      </c>
      <c r="I108" s="23">
        <f t="shared" si="97"/>
        <v>1</v>
      </c>
      <c r="J108" s="24">
        <f t="shared" si="98"/>
        <v>-5</v>
      </c>
      <c r="K108" s="5" t="str">
        <f t="shared" ref="K108:K126" si="111">IF(G108&gt;0,
    IF(OR(B108&lt;=TRUNC(H108/2,0),B108=0),
        IF(F108=TRUNC(H108/2,0),
            "-1, Déficit y dejo la capacidad media",
            IF(AND(F108&gt;TRUNC(H108/2,0), F108&gt;B108),
                "1, Déficit y eliminé déficit",
                IF(AND(F108&lt;TRUNC(H108/2,0), F108&lt;B108),
                    "0, Déficit y no elimine déficit",
                    "-2, Déficit y resultado fue bueno")
            )
        ),
        IF(AND(F108&gt;TRUNC(H108/2,0), F108&gt;B108),
            "1, no había déficit, pero resultado fue mejor",
            IF(AND(F108&lt;TRUNC(H108/2,0),F108&lt;B108),
                "0, no había déficit y la dejo con déficit",
                IF(F108=TRUNC(H108/2,0),
                    "-1, no había déficit y dejo la capacidad media",
                    "-2,no había déficit y resultado fue bueno")
            )
        )
    ),
    IF(G108&lt;0,
        IF(B108&gt;TRUNC(H108/2,0),
            IF(F108=TRUNC(H108/2,0),
                "-1, Superávit y deje la capacidad media",
                IF(AND(F108&gt;TRUNC(H108/2,0), F108&gt;=B108),
                    "0, Superávit y no eliminé superávit",
                    IF(AND(F108&lt;TRUNC(H108/2,0),F108&lt;B108),
                        "1, Superávit y eliminé superávit",
                        "-2, Superávit y resultado fue bueno"
                    )
                )
            ),
            IF(AND(B108&lt;=TRUNC(H108/2,0),B108&gt;=0),
                IF(F108=TRUNC(H108/2,0),
                    "-1, no había superávit y deje la capacidad media",
                    IF(AND(F108&gt;TRUNC(H108/2,0), F108&gt;=B108),
                        "0, no había superávit, y la deje con superávit",
                        IF(AND(F108&lt;TRUNC(H108/2,0),F108&lt;B108),
                            "1, no había superávit, pero el resultado fue mejor",
                            "-2, no había superávit y resultado fue bueno"
                        )
                    )
                )
            )
        )
    )
)</f>
        <v>-2, Déficit y resultado fue bueno</v>
      </c>
      <c r="L108" s="5"/>
      <c r="M108" s="5"/>
      <c r="N108" s="4" t="s">
        <v>254</v>
      </c>
      <c r="O108" s="4">
        <v>5</v>
      </c>
      <c r="P108" s="8">
        <v>3.3333333333333335</v>
      </c>
      <c r="Q108" s="4">
        <v>1</v>
      </c>
      <c r="R108" s="4">
        <v>0</v>
      </c>
      <c r="S108" s="4">
        <v>12</v>
      </c>
      <c r="T108" s="4">
        <v>0.80154659127182082</v>
      </c>
      <c r="U108" s="14">
        <v>19</v>
      </c>
      <c r="V108" s="24">
        <f t="shared" si="99"/>
        <v>1</v>
      </c>
      <c r="W108" s="24">
        <f t="shared" si="100"/>
        <v>-4</v>
      </c>
      <c r="X108" s="5" t="str">
        <f t="shared" ref="X108:X126" si="112">IF(T108&gt;0,
    IF(OR(O108&lt;=TRUNC(U108/2,0),O108=0),
        IF(S108=TRUNC(U108/2,0),
            "-1, Déficit y dejo la capacidad media",
            IF(AND(S108&gt;TRUNC(U108/2,0), S108&gt;O108),
                "1, Déficit y eliminé déficit",
                IF(AND(S108&lt;TRUNC(U108/2,0), S108&lt;O108),
                    "0, Déficit y no elimine déficit",
                    "-2, Déficit y resultado fue bueno")
            )
        ),
        IF(AND(S108&gt;TRUNC(U108/2,0), S108&gt;O108),
            "1, no había déficit, pero resultado fue mejor",
            IF(AND(S108&lt;TRUNC(U108/2,0),S108&lt;O108),
                "0, no había déficit y la dejo con déficit",
                IF(S108=TRUNC(U108/2,0),
                    "-1, no había déficit y dejo la capacidad media",
                    "-2,no había déficit y resultado fue bueno")
            )
        )
    ),
    IF(T108&lt;0,
        IF(O108&gt;TRUNC(U108/2,0),
            IF(S108=TRUNC(U108/2,0),
                "-1, Superávit y deje la capacidad media",
                IF(AND(S108&gt;TRUNC(U108/2,0), S108&gt;=O108),
                    "0, Superávit y no eliminé superávit",
                    IF(AND(S108&lt;TRUNC(U108/2,0),S108&lt;O108),
                        "1, Superávit y eliminé superávit",
                        "-2, Superávit y resultado fue bueno"
                    )
                )
            ),
            IF(AND(O108&lt;=TRUNC(U108/2,0),O108&gt;=0),
                IF(S108=TRUNC(U108/2,0),
                    "-1, no había superávit y deje la capacidad media",
                    IF(AND(S108&gt;TRUNC(U108/2,0), S108&gt;=O108),
                        "0, no había superávit, y la deje con superávit",
                        IF(AND(S108&lt;TRUNC(U108/2,0),S108&lt;O108),
                            "1, no había superávit, pero el resultado fue mejor",
                            "-2, no había superávit y resultado fue bueno"
                        )
                    )
                )
            )
        )
    )
)</f>
        <v>1, Déficit y eliminé déficit</v>
      </c>
      <c r="Y108" s="5"/>
      <c r="Z108" s="5"/>
      <c r="AA108" s="4" t="s">
        <v>254</v>
      </c>
      <c r="AB108" s="4">
        <v>1</v>
      </c>
      <c r="AC108" s="8">
        <v>5.2222222222222223</v>
      </c>
      <c r="AD108" s="4">
        <v>0</v>
      </c>
      <c r="AE108" s="4">
        <v>0</v>
      </c>
      <c r="AF108" s="4">
        <v>8</v>
      </c>
      <c r="AG108" s="4">
        <v>0.80154659127182082</v>
      </c>
      <c r="AH108" s="14">
        <v>19</v>
      </c>
      <c r="AI108" s="24">
        <f t="shared" si="101"/>
        <v>1</v>
      </c>
      <c r="AJ108" s="24">
        <f t="shared" si="102"/>
        <v>-1</v>
      </c>
      <c r="AK108" t="str">
        <f t="shared" ref="AK108:AK126" si="113">IF(AG108&gt;0,
    IF(OR(AB108&lt;=TRUNC(AH108/2,0),AB108=0),
        IF(AF108=TRUNC(AH108/2,0),
            "-1, Déficit y dejo la capacidad media",
            IF(AND(AF108&gt;TRUNC(AH108/2,0), AF108&gt;AB108),
                "1, Déficit y eliminé déficit",
                IF(AND(AF108&lt;TRUNC(AH108/2,0), AF108&lt;AB108),
                    "0, Déficit y no elimine déficit",
                    "-2, Déficit y resultado fue bueno")
            )
        ),
        IF(AND(AF108&gt;TRUNC(AH108/2,0), AF108&gt;AB108),
            "1, no había déficit, pero resultado fue mejor",
            IF(AND(AF108&lt;TRUNC(AH108/2,0),AF108&lt;AB108),
                "0, no había déficit y la dejo con déficit",
                IF(AF108=TRUNC(AH108/2,0),
                    "-1, no había déficit y dejo la capacidad media",
                    "-2,no había déficit y resultado fue bueno")
            )
        )
    ),
    IF(AG108&lt;0,
        IF(AB108&gt;TRUNC(AH108/2,0),
            IF(AF108=TRUNC(AH108/2,0),
                "-1, Superávit y deje la capacidad media",
                IF(AND(AF108&gt;TRUNC(AH108/2,0), AF108&gt;=AB108),
                    "0, Superávit y no eliminé superávit",
                    IF(AND(AF108&lt;TRUNC(AH108/2,0),AF108&lt;AB108),
                        "1, Superávit y eliminé superávit",
                        "-2, Superávit y resultado fue bueno"
                    )
                )
            ),
            IF(AND(AB108&lt;=TRUNC(AH108/2,0),AB108&gt;=0),
                IF(AF108=TRUNC(AH108/2,0),
                    "-1, no había superávit y deje la capacidad media",
                    IF(AND(AF108&gt;TRUNC(AH108/2,0), AF108&gt;=AB108),
                        "0, no había superávit, y la deje con superávit",
                        IF(AND(AF108&lt;TRUNC(AH108/2,0),AF108&lt;AB108),
                            "1, no había superávit, pero el resultado fue mejor",
                            "-2, no había superávit y resultado fue bueno"
                        )
                    )
                )
            )
        )
    )
)</f>
        <v>-2, Déficit y resultado fue bueno</v>
      </c>
      <c r="AN108" s="4" t="s">
        <v>254</v>
      </c>
      <c r="AO108" s="4">
        <v>1</v>
      </c>
      <c r="AP108" s="8">
        <v>6.5555555555555554</v>
      </c>
      <c r="AQ108" s="4">
        <v>0</v>
      </c>
      <c r="AR108" s="4">
        <v>0</v>
      </c>
      <c r="AS108" s="4">
        <v>8</v>
      </c>
      <c r="AT108" s="4">
        <v>0.80154659127182082</v>
      </c>
      <c r="AU108" s="14">
        <v>19</v>
      </c>
      <c r="AV108" s="24">
        <f t="shared" si="103"/>
        <v>1</v>
      </c>
      <c r="AW108" s="24">
        <f t="shared" si="104"/>
        <v>-1</v>
      </c>
      <c r="AX108" t="str">
        <f t="shared" ref="AX108:AX126" si="114">IF(AT108&gt;0,
    IF(OR(AO108&lt;=TRUNC(AU108/2,0),AO108=0),
        IF(AS108=TRUNC(AU108/2,0),
            "-1, Déficit y dejo la capacidad media",
            IF(AND(AS108&gt;TRUNC(AU108/2,0), AS108&gt;AO108),
                "1, Déficit y eliminé déficit",
                IF(AND(AS108&lt;TRUNC(AU108/2,0), AS108&lt;AO108),
                    "0, Déficit y no elimine déficit",
                    "-2, Déficit y resultado fue bueno")
            )
        ),
        IF(AND(AS108&gt;TRUNC(AU108/2,0), AS108&gt;AO108),
            "1, no había déficit, pero resultado fue mejor",
            IF(AND(AS108&lt;TRUNC(AU108/2,0),AS108&lt;AO108),
                "0, no había déficit y la dejo con déficit",
                IF(AS108=TRUNC(AU108/2,0),
                    "-1, no había déficit y dejo la capacidad media",
                    "-2,no había déficit y resultado fue bueno")
            )
        )
    ),
    IF(AT108&lt;0,
        IF(AO108&gt;TRUNC(AU108/2,0),
            IF(AS108=TRUNC(AU108/2,0),
                "-1, Superávit y deje la capacidad media",
                IF(AND(AS108&gt;TRUNC(AU108/2,0), AS108&gt;=AO108),
                    "0, Superávit y no eliminé superávit",
                    IF(AND(AS108&lt;TRUNC(AU108/2,0),AS108&lt;AO108),
                        "1, Superávit y eliminé superávit",
                        "-2, Superávit y resultado fue bueno"
                    )
                )
            ),
            IF(AND(AO108&lt;=TRUNC(AU108/2,0),AO108&gt;=0),
                IF(AS108=TRUNC(AU108/2,0),
                    "-1, no había superávit y deje la capacidad media",
                    IF(AND(AS108&gt;TRUNC(AU108/2,0), AS108&gt;=AO108),
                        "0, no había superávit, y la deje con superávit",
                        IF(AND(AS108&lt;TRUNC(AU108/2,0),AS108&lt;AO108),
                            "1, no había superávit, pero el resultado fue mejor",
                            "-2, no había superávit y resultado fue bueno"
                        )
                    )
                )
            )
        )
    )
)</f>
        <v>-2, Déficit y resultado fue bueno</v>
      </c>
      <c r="BA108" s="4" t="s">
        <v>254</v>
      </c>
      <c r="BB108" s="4">
        <v>13</v>
      </c>
      <c r="BC108" s="8">
        <v>6.1111111111111107</v>
      </c>
      <c r="BD108" s="4">
        <v>13</v>
      </c>
      <c r="BE108" s="4">
        <v>12</v>
      </c>
      <c r="BF108" s="4">
        <v>8</v>
      </c>
      <c r="BG108" s="4">
        <v>0.80154659127182082</v>
      </c>
      <c r="BH108" s="14">
        <v>19</v>
      </c>
      <c r="BI108" s="24">
        <f t="shared" si="105"/>
        <v>1</v>
      </c>
      <c r="BJ108" s="24">
        <f t="shared" si="106"/>
        <v>0</v>
      </c>
      <c r="BK108" t="str">
        <f t="shared" ref="BK108:BK126" si="115">IF(BG108&gt;0,
    IF(OR(BB108&lt;=TRUNC(BH108/2,0),BB108=0),
        IF(BF108=TRUNC(BH108/2,0),
            "-1, Déficit y dejo la capacidad media",
            IF(AND(BF108&gt;TRUNC(BH108/2,0), BF108&gt;BB108),
                "1, Déficit y eliminé déficit",
                IF(AND(BF108&lt;TRUNC(BH108/2,0), BF108&lt;BB108),
                    "0, Déficit y no elimine déficit",
                    "-2, Déficit y resultado fue bueno")
            )
        ),
        IF(AND(BF108&gt;TRUNC(BH108/2,0), BF108&gt;BB108),
            "1, no había déficit, pero resultado fue mejor",
            IF(AND(BF108&lt;TRUNC(BH108/2,0),BF108&lt;BB108),
                "0, no había déficit y la dejo con déficit",
                IF(BF108=TRUNC(BH108/2,0),
                    "-1, no había déficit y dejo la capacidad media",
                    "-2,no había déficit y resultado fue bueno")
            )
        )
    ),
    IF(BG108&lt;0,
        IF(BB108&gt;TRUNC(BH108/2,0),
            IF(BF108=TRUNC(BH108/2,0),
                "-1, Superávit y deje la capacidad media",
                IF(AND(BF108&gt;TRUNC(BH108/2,0), BF108&gt;=BB108),
                    "0, Superávit y no eliminé superávit",
                    IF(AND(BF108&lt;TRUNC(BH108/2,0),BF108&lt;BB108),
                        "1, Superávit y eliminé superávit",
                        "-2, Superávit y resultado fue bueno"
                    )
                )
            ),
            IF(AND(BB108&lt;=TRUNC(BH108/2,0),BB108&gt;=0),
                IF(BF108=TRUNC(BH108/2,0),
                    "-1, no había superávit y deje la capacidad media",
                    IF(AND(BF108&gt;TRUNC(BH108/2,0), BF108&gt;=BB108),
                        "0, no había superávit, y la deje con superávit",
                        IF(AND(BF108&lt;TRUNC(BH108/2,0),BF108&lt;BB108),
                            "1, no había superávit, pero el resultado fue mejor",
                            "-2, no había superávit y resultado fue bueno"
                        )
                    )
                )
            )
        )
    )
)</f>
        <v>0, no había déficit y la dejo con déficit</v>
      </c>
      <c r="BM108" s="4" t="s">
        <v>254</v>
      </c>
      <c r="BN108" s="4">
        <v>5</v>
      </c>
      <c r="BO108" s="8">
        <v>5.8888888888888893</v>
      </c>
      <c r="BP108" s="4">
        <v>9</v>
      </c>
      <c r="BQ108" s="4">
        <v>10</v>
      </c>
      <c r="BR108" s="4">
        <v>8</v>
      </c>
      <c r="BS108" s="4">
        <v>0.80154659127182082</v>
      </c>
      <c r="BT108" s="14">
        <v>19</v>
      </c>
      <c r="BU108" s="24">
        <f t="shared" si="107"/>
        <v>0</v>
      </c>
      <c r="BV108" s="24">
        <f t="shared" si="108"/>
        <v>4</v>
      </c>
      <c r="BW108" t="str">
        <f t="shared" ref="BW108:BW126" si="116">IF(BS108&gt;0,
    IF(OR(BN108&lt;=TRUNC(BT108/2,0),BN108=0),
        IF(BR108=TRUNC(BT108/2,0),
            "-1, Déficit y dejo la capacidad media",
            IF(AND(BR108&gt;TRUNC(BT108/2,0), BR108&gt;BN108),
                "1, Déficit y eliminé déficit",
                IF(AND(BR108&lt;TRUNC(BT108/2,0), BR108&lt;BN108),
                    "0, Déficit y no elimine déficit",
                    "-2, Déficit y resultado fue bueno")
            )
        ),
        IF(AND(BR108&gt;TRUNC(BT108/2,0), BR108&gt;BN108),
            "1, no había déficit, pero resultado fue mejor",
            IF(AND(BR108&lt;TRUNC(BT108/2,0),BR108&lt;BN108),
                "0, no había déficit y la dejo con déficit",
                IF(BR108=TRUNC(BT108/2,0),
                    "-1, no había déficit y dejo la capacidad media",
                    "-2,no había déficit y resultado fue bueno")
            )
        )
    ),
    IF(BS108&lt;0,
        IF(BN108&gt;TRUNC(BT108/2,0),
            IF(BR108=TRUNC(BT108/2,0),
                "-1, Superávit y deje la capacidad media",
                IF(AND(BR108&gt;TRUNC(BT108/2,0), BR108&gt;=BN108),
                    "0, Superávit y no eliminé superávit",
                    IF(AND(BR108&lt;TRUNC(BT108/2,0),BR108&lt;BN108),
                        "1, Superávit y eliminé superávit",
                        "-2, Superávit y resultado fue bueno"
                    )
                )
            ),
            IF(AND(BN108&lt;=TRUNC(BT108/2,0),BN108&gt;=0),
                IF(BR108=TRUNC(BT108/2,0),
                    "-1, no había superávit y deje la capacidad media",
                    IF(AND(BR108&gt;TRUNC(BT108/2,0), BR108&gt;=BN108),
                        "0, no había superávit, y la deje con superávit",
                        IF(AND(BR108&lt;TRUNC(BT108/2,0),BR108&lt;BN108),
                            "1, no había superávit, pero el resultado fue mejor",
                            "-2, no había superávit y resultado fue bueno"
                        )
                    )
                )
            )
        )
    )
)</f>
        <v>-2, Déficit y resultado fue bueno</v>
      </c>
      <c r="BY108" s="4" t="s">
        <v>254</v>
      </c>
      <c r="BZ108" s="4">
        <v>12</v>
      </c>
      <c r="CA108" s="8">
        <v>7.333333333333333</v>
      </c>
      <c r="CB108" s="4">
        <v>13</v>
      </c>
      <c r="CC108" s="4">
        <v>12</v>
      </c>
      <c r="CD108" s="4">
        <v>8</v>
      </c>
      <c r="CE108" s="4">
        <v>0.80154659127182082</v>
      </c>
      <c r="CF108" s="14">
        <v>19</v>
      </c>
      <c r="CG108" s="24">
        <f t="shared" si="109"/>
        <v>0</v>
      </c>
      <c r="CH108" s="24">
        <f t="shared" si="110"/>
        <v>1</v>
      </c>
      <c r="CI108" t="str">
        <f t="shared" ref="CI108:CI126" si="117">IF(CE108&gt;0,
    IF(OR(BZ108&lt;=TRUNC(CF108/2,0),BZ108=0),
        IF(CD108=TRUNC(CF108/2,0),
            "-1, Déficit y dejo la capacidad media",
            IF(AND(CD108&gt;TRUNC(CF108/2,0), CD108&gt;BZ108),
                "1, Déficit y eliminé déficit",
                IF(AND(CD108&lt;TRUNC(CF108/2,0), CD108&lt;BZ108),
                    "0, Déficit y no elimine déficit",
                    "-2, Déficit y resultado fue bueno")
            )
        ),
        IF(AND(CD108&gt;TRUNC(CF108/2,0), CD108&gt;BZ108),
            "1, no había déficit, pero resultado fue mejor",
            IF(AND(CD108&lt;TRUNC(CF108/2,0),CD108&lt;BZ108),
                "0, no había déficit y la dejo con déficit",
                IF(CD108=TRUNC(CF108/2,0),
                    "-1, no había déficit y dejo la capacidad media",
                    "-2,no había déficit y resultado fue bueno")
            )
        )
    ),
    IF(CE108&lt;0,
        IF(BZ108&gt;TRUNC(CF108/2,0),
            IF(CD108=TRUNC(CF108/2,0),
                "-1, Superávit y deje la capacidad media",
                IF(AND(CD108&gt;TRUNC(CF108/2,0), CD108&gt;=BZ108),
                    "0, Superávit y no eliminé superávit",
                    IF(AND(CD108&lt;TRUNC(CF108/2,0),CD108&lt;BZ108),
                        "1, Superávit y eliminé superávit",
                        "-2, Superávit y resultado fue bueno"
                    )
                )
            ),
            IF(AND(BZ108&lt;=TRUNC(CF108/2,0),BZ108&gt;=0),
                IF(CD108=TRUNC(CF108/2,0),
                    "-1, no había superávit y deje la capacidad media",
                    IF(AND(CD108&gt;TRUNC(CF108/2,0), CD108&gt;=BZ108),
                        "0, no había superávit, y la deje con superávit",
                        IF(AND(CD108&lt;TRUNC(CF108/2,0),CD108&lt;BZ108),
                            "1, no había superávit, pero el resultado fue mejor",
                            "-2, no había superávit y resultado fue bueno"
                        )
                    )
                )
            )
        )
    )
)</f>
        <v>0, no había déficit y la dejo con déficit</v>
      </c>
    </row>
    <row r="109" spans="1:94" ht="14.25" customHeight="1" x14ac:dyDescent="0.3">
      <c r="A109" s="4" t="s">
        <v>255</v>
      </c>
      <c r="B109" s="4">
        <v>2</v>
      </c>
      <c r="C109" s="8">
        <v>3.2222222222222223</v>
      </c>
      <c r="D109" s="4">
        <v>1</v>
      </c>
      <c r="E109" s="4">
        <v>1</v>
      </c>
      <c r="F109" s="4">
        <v>6</v>
      </c>
      <c r="G109" s="4">
        <v>0.75176560751023358</v>
      </c>
      <c r="H109" s="14">
        <v>15</v>
      </c>
      <c r="I109" s="23">
        <f t="shared" si="97"/>
        <v>1</v>
      </c>
      <c r="J109" s="24">
        <f t="shared" si="98"/>
        <v>-1</v>
      </c>
      <c r="K109" s="5" t="str">
        <f t="shared" si="111"/>
        <v>-2, Déficit y resultado fue bueno</v>
      </c>
      <c r="L109" s="5"/>
      <c r="M109" s="5"/>
      <c r="N109" s="4" t="s">
        <v>255</v>
      </c>
      <c r="O109" s="4">
        <v>5</v>
      </c>
      <c r="P109" s="8">
        <v>2.8888888888888888</v>
      </c>
      <c r="Q109" s="4">
        <v>1</v>
      </c>
      <c r="R109" s="4">
        <v>1</v>
      </c>
      <c r="S109" s="4">
        <v>6</v>
      </c>
      <c r="T109" s="4">
        <v>0.75176560751023358</v>
      </c>
      <c r="U109" s="14">
        <v>15</v>
      </c>
      <c r="V109" s="24">
        <f t="shared" si="99"/>
        <v>1</v>
      </c>
      <c r="W109" s="24">
        <f t="shared" si="100"/>
        <v>-4</v>
      </c>
      <c r="X109" s="5" t="str">
        <f t="shared" si="112"/>
        <v>-2, Déficit y resultado fue bueno</v>
      </c>
      <c r="Y109" s="5"/>
      <c r="Z109" s="5"/>
      <c r="AA109" s="4" t="s">
        <v>255</v>
      </c>
      <c r="AB109" s="4">
        <v>1</v>
      </c>
      <c r="AC109" s="8">
        <v>2.6666666666666665</v>
      </c>
      <c r="AD109" s="4">
        <v>2</v>
      </c>
      <c r="AE109" s="4">
        <v>1</v>
      </c>
      <c r="AF109" s="4">
        <v>6</v>
      </c>
      <c r="AG109" s="4">
        <v>0.75176560751023358</v>
      </c>
      <c r="AH109" s="14">
        <v>15</v>
      </c>
      <c r="AI109" s="24">
        <f t="shared" si="101"/>
        <v>0</v>
      </c>
      <c r="AJ109" s="24">
        <f t="shared" si="102"/>
        <v>1</v>
      </c>
      <c r="AK109" t="str">
        <f t="shared" si="113"/>
        <v>-2, Déficit y resultado fue bueno</v>
      </c>
      <c r="AN109" s="4" t="s">
        <v>255</v>
      </c>
      <c r="AO109" s="4">
        <v>1</v>
      </c>
      <c r="AP109" s="8">
        <v>4.333333333333333</v>
      </c>
      <c r="AQ109" s="4">
        <v>1</v>
      </c>
      <c r="AR109" s="4">
        <v>1</v>
      </c>
      <c r="AS109" s="4">
        <v>6</v>
      </c>
      <c r="AT109" s="4">
        <v>0.75176560751023358</v>
      </c>
      <c r="AU109" s="14">
        <v>15</v>
      </c>
      <c r="AV109" s="24">
        <f t="shared" si="103"/>
        <v>1</v>
      </c>
      <c r="AW109" s="24">
        <f t="shared" si="104"/>
        <v>0</v>
      </c>
      <c r="AX109" t="str">
        <f t="shared" si="114"/>
        <v>-2, Déficit y resultado fue bueno</v>
      </c>
      <c r="BA109" s="4" t="s">
        <v>255</v>
      </c>
      <c r="BB109" s="4">
        <v>6</v>
      </c>
      <c r="BC109" s="8">
        <v>2.1111111111111112</v>
      </c>
      <c r="BD109" s="4">
        <v>4</v>
      </c>
      <c r="BE109" s="4">
        <v>2</v>
      </c>
      <c r="BF109" s="4">
        <v>10</v>
      </c>
      <c r="BG109" s="4">
        <v>0.75176560751023358</v>
      </c>
      <c r="BH109" s="14">
        <v>15</v>
      </c>
      <c r="BI109" s="24">
        <f t="shared" si="105"/>
        <v>1</v>
      </c>
      <c r="BJ109" s="24">
        <f t="shared" si="106"/>
        <v>-2</v>
      </c>
      <c r="BK109" t="str">
        <f t="shared" si="115"/>
        <v>1, Déficit y eliminé déficit</v>
      </c>
      <c r="BM109" s="4" t="s">
        <v>255</v>
      </c>
      <c r="BN109" s="4">
        <v>7</v>
      </c>
      <c r="BO109" s="8">
        <v>2.4444444444444446</v>
      </c>
      <c r="BP109" s="4">
        <v>8</v>
      </c>
      <c r="BQ109" s="4">
        <v>8</v>
      </c>
      <c r="BR109" s="4">
        <v>7</v>
      </c>
      <c r="BS109" s="4">
        <v>0.75176560751023358</v>
      </c>
      <c r="BT109" s="14">
        <v>15</v>
      </c>
      <c r="BU109" s="24">
        <f t="shared" si="107"/>
        <v>0</v>
      </c>
      <c r="BV109" s="24">
        <f t="shared" si="108"/>
        <v>1</v>
      </c>
      <c r="BW109" t="str">
        <f t="shared" si="116"/>
        <v>-1, Déficit y dejo la capacidad media</v>
      </c>
      <c r="BY109" s="4" t="s">
        <v>255</v>
      </c>
      <c r="BZ109" s="4">
        <v>3</v>
      </c>
      <c r="CA109" s="8">
        <v>4.4444444444444446</v>
      </c>
      <c r="CB109" s="4">
        <v>3</v>
      </c>
      <c r="CC109" s="4">
        <v>3</v>
      </c>
      <c r="CD109" s="4">
        <v>6</v>
      </c>
      <c r="CE109" s="4">
        <v>0.75176560751023358</v>
      </c>
      <c r="CF109" s="14">
        <v>15</v>
      </c>
      <c r="CG109" s="24">
        <f t="shared" si="109"/>
        <v>1</v>
      </c>
      <c r="CH109" s="24">
        <f t="shared" si="110"/>
        <v>0</v>
      </c>
      <c r="CI109" t="str">
        <f t="shared" si="117"/>
        <v>-2, Déficit y resultado fue bueno</v>
      </c>
    </row>
    <row r="110" spans="1:94" ht="14.25" customHeight="1" x14ac:dyDescent="0.3">
      <c r="A110" s="4" t="s">
        <v>256</v>
      </c>
      <c r="B110" s="4">
        <v>1</v>
      </c>
      <c r="C110" s="8">
        <v>4.7777777777777777</v>
      </c>
      <c r="D110" s="4">
        <v>13</v>
      </c>
      <c r="E110" s="4">
        <v>13</v>
      </c>
      <c r="F110" s="4">
        <v>9</v>
      </c>
      <c r="G110" s="4">
        <v>0.70267762112263932</v>
      </c>
      <c r="H110" s="14">
        <v>17</v>
      </c>
      <c r="I110" s="23">
        <f t="shared" si="97"/>
        <v>0</v>
      </c>
      <c r="J110" s="24">
        <f t="shared" si="98"/>
        <v>12</v>
      </c>
      <c r="K110" s="5" t="str">
        <f t="shared" si="111"/>
        <v>1, Déficit y eliminé déficit</v>
      </c>
      <c r="L110" s="5"/>
      <c r="M110" s="5"/>
      <c r="N110" s="4" t="s">
        <v>256</v>
      </c>
      <c r="O110" s="4">
        <v>5</v>
      </c>
      <c r="P110" s="8">
        <v>5.8888888888888893</v>
      </c>
      <c r="Q110" s="4">
        <v>2</v>
      </c>
      <c r="R110" s="4">
        <v>3</v>
      </c>
      <c r="S110" s="4">
        <v>8</v>
      </c>
      <c r="T110" s="4">
        <v>0.70267762112263932</v>
      </c>
      <c r="U110" s="14">
        <v>17</v>
      </c>
      <c r="V110" s="24">
        <f t="shared" si="99"/>
        <v>1</v>
      </c>
      <c r="W110" s="24">
        <f t="shared" si="100"/>
        <v>-3</v>
      </c>
      <c r="X110" s="5" t="str">
        <f t="shared" si="112"/>
        <v>-1, Déficit y dejo la capacidad media</v>
      </c>
      <c r="Y110" s="5"/>
      <c r="Z110" s="5"/>
      <c r="AA110" s="4" t="s">
        <v>256</v>
      </c>
      <c r="AB110" s="4">
        <v>2</v>
      </c>
      <c r="AC110" s="8">
        <v>5</v>
      </c>
      <c r="AD110" s="4">
        <v>1</v>
      </c>
      <c r="AE110" s="4">
        <v>0</v>
      </c>
      <c r="AF110" s="4">
        <v>7</v>
      </c>
      <c r="AG110" s="4">
        <v>0.70267762112263932</v>
      </c>
      <c r="AH110" s="14">
        <v>17</v>
      </c>
      <c r="AI110" s="24">
        <f t="shared" si="101"/>
        <v>1</v>
      </c>
      <c r="AJ110" s="24">
        <f t="shared" si="102"/>
        <v>-1</v>
      </c>
      <c r="AK110" t="str">
        <f t="shared" si="113"/>
        <v>-2, Déficit y resultado fue bueno</v>
      </c>
      <c r="AN110" s="4" t="s">
        <v>256</v>
      </c>
      <c r="AO110" s="4">
        <v>12</v>
      </c>
      <c r="AP110" s="8">
        <v>6.7777777777777777</v>
      </c>
      <c r="AQ110" s="4">
        <v>9</v>
      </c>
      <c r="AR110" s="4">
        <v>6</v>
      </c>
      <c r="AS110" s="4">
        <v>7</v>
      </c>
      <c r="AT110" s="4">
        <v>0.70267762112263932</v>
      </c>
      <c r="AU110" s="14">
        <v>17</v>
      </c>
      <c r="AV110" s="24">
        <f t="shared" si="103"/>
        <v>1</v>
      </c>
      <c r="AW110" s="24">
        <f t="shared" si="104"/>
        <v>-3</v>
      </c>
      <c r="AX110" t="str">
        <f t="shared" si="114"/>
        <v>0, no había déficit y la dejo con déficit</v>
      </c>
      <c r="BA110" s="4" t="s">
        <v>256</v>
      </c>
      <c r="BB110" s="4">
        <v>4</v>
      </c>
      <c r="BC110" s="8">
        <v>4.666666666666667</v>
      </c>
      <c r="BD110" s="4">
        <v>3</v>
      </c>
      <c r="BE110" s="4">
        <v>1</v>
      </c>
      <c r="BF110" s="4">
        <v>11</v>
      </c>
      <c r="BG110" s="4">
        <v>0.70267762112263932</v>
      </c>
      <c r="BH110" s="14">
        <v>17</v>
      </c>
      <c r="BI110" s="24">
        <f t="shared" si="105"/>
        <v>1</v>
      </c>
      <c r="BJ110" s="24">
        <f t="shared" si="106"/>
        <v>-1</v>
      </c>
      <c r="BK110" t="str">
        <f t="shared" si="115"/>
        <v>1, Déficit y eliminé déficit</v>
      </c>
      <c r="BM110" s="4" t="s">
        <v>256</v>
      </c>
      <c r="BN110" s="4">
        <v>9</v>
      </c>
      <c r="BO110" s="8">
        <v>5.1111111111111107</v>
      </c>
      <c r="BP110" s="4">
        <v>6</v>
      </c>
      <c r="BQ110" s="4">
        <v>7</v>
      </c>
      <c r="BR110" s="4">
        <v>7</v>
      </c>
      <c r="BS110" s="4">
        <v>0.70267762112263932</v>
      </c>
      <c r="BT110" s="14">
        <v>17</v>
      </c>
      <c r="BU110" s="24">
        <f t="shared" si="107"/>
        <v>1</v>
      </c>
      <c r="BV110" s="24">
        <f t="shared" si="108"/>
        <v>-3</v>
      </c>
      <c r="BW110" t="str">
        <f t="shared" si="116"/>
        <v>0, no había déficit y la dejo con déficit</v>
      </c>
      <c r="BY110" s="4" t="s">
        <v>256</v>
      </c>
      <c r="BZ110" s="4">
        <v>6</v>
      </c>
      <c r="CA110" s="8">
        <v>3.5555555555555554</v>
      </c>
      <c r="CB110" s="4">
        <v>4</v>
      </c>
      <c r="CC110" s="4">
        <v>7</v>
      </c>
      <c r="CD110" s="4">
        <v>7</v>
      </c>
      <c r="CE110" s="4">
        <v>0.70267762112263932</v>
      </c>
      <c r="CF110" s="14">
        <v>17</v>
      </c>
      <c r="CG110" s="24">
        <f t="shared" si="109"/>
        <v>1</v>
      </c>
      <c r="CH110" s="24">
        <f t="shared" si="110"/>
        <v>-2</v>
      </c>
      <c r="CI110" t="str">
        <f t="shared" si="117"/>
        <v>-2, Déficit y resultado fue bueno</v>
      </c>
    </row>
    <row r="111" spans="1:94" ht="14.25" customHeight="1" x14ac:dyDescent="0.3">
      <c r="A111" s="4" t="s">
        <v>252</v>
      </c>
      <c r="B111" s="4">
        <v>14</v>
      </c>
      <c r="C111" s="8">
        <v>6.7777777777777777</v>
      </c>
      <c r="D111" s="4">
        <v>10</v>
      </c>
      <c r="E111" s="4">
        <v>10</v>
      </c>
      <c r="F111" s="4">
        <v>6</v>
      </c>
      <c r="G111" s="4">
        <v>0.70256358269933272</v>
      </c>
      <c r="H111" s="14">
        <v>15</v>
      </c>
      <c r="I111" s="23">
        <f t="shared" si="97"/>
        <v>1</v>
      </c>
      <c r="J111" s="24">
        <f t="shared" si="98"/>
        <v>-4</v>
      </c>
      <c r="K111" s="5" t="str">
        <f t="shared" si="111"/>
        <v>0, no había déficit y la dejo con déficit</v>
      </c>
      <c r="L111" s="5"/>
      <c r="M111" s="5"/>
      <c r="N111" s="4" t="s">
        <v>252</v>
      </c>
      <c r="O111" s="4">
        <v>5</v>
      </c>
      <c r="P111" s="8">
        <v>4.2222222222222223</v>
      </c>
      <c r="Q111" s="4">
        <v>8</v>
      </c>
      <c r="R111" s="4">
        <v>8</v>
      </c>
      <c r="S111" s="4">
        <v>8</v>
      </c>
      <c r="T111" s="4">
        <v>0.70256358269933272</v>
      </c>
      <c r="U111" s="14">
        <v>15</v>
      </c>
      <c r="V111" s="24">
        <f t="shared" si="99"/>
        <v>0</v>
      </c>
      <c r="W111" s="24">
        <f t="shared" si="100"/>
        <v>3</v>
      </c>
      <c r="X111" s="5" t="str">
        <f t="shared" si="112"/>
        <v>1, Déficit y eliminé déficit</v>
      </c>
      <c r="Y111" s="5"/>
      <c r="Z111" s="5"/>
      <c r="AA111" s="4" t="s">
        <v>252</v>
      </c>
      <c r="AB111" s="4">
        <v>7</v>
      </c>
      <c r="AC111" s="8">
        <v>6.2222222222222223</v>
      </c>
      <c r="AD111" s="4">
        <v>8</v>
      </c>
      <c r="AE111" s="4">
        <v>7</v>
      </c>
      <c r="AF111" s="4">
        <v>6</v>
      </c>
      <c r="AG111" s="4">
        <v>0.70256358269933272</v>
      </c>
      <c r="AH111" s="14">
        <v>15</v>
      </c>
      <c r="AI111" s="24">
        <f t="shared" si="101"/>
        <v>0</v>
      </c>
      <c r="AJ111" s="24">
        <f t="shared" si="102"/>
        <v>1</v>
      </c>
      <c r="AK111" t="str">
        <f t="shared" si="113"/>
        <v>0, Déficit y no elimine déficit</v>
      </c>
      <c r="AN111" s="4" t="s">
        <v>252</v>
      </c>
      <c r="AO111" s="4">
        <v>13</v>
      </c>
      <c r="AP111" s="8">
        <v>8.1111111111111107</v>
      </c>
      <c r="AQ111" s="4">
        <v>8</v>
      </c>
      <c r="AR111" s="4">
        <v>7</v>
      </c>
      <c r="AS111" s="4">
        <v>6</v>
      </c>
      <c r="AT111" s="4">
        <v>0.70256358269933272</v>
      </c>
      <c r="AU111" s="14">
        <v>15</v>
      </c>
      <c r="AV111" s="24">
        <f t="shared" si="103"/>
        <v>1</v>
      </c>
      <c r="AW111" s="24">
        <f t="shared" si="104"/>
        <v>-5</v>
      </c>
      <c r="AX111" t="str">
        <f t="shared" si="114"/>
        <v>0, no había déficit y la dejo con déficit</v>
      </c>
      <c r="BA111" s="4" t="s">
        <v>252</v>
      </c>
      <c r="BB111" s="4">
        <v>4</v>
      </c>
      <c r="BC111" s="8">
        <v>5.5555555555555554</v>
      </c>
      <c r="BD111" s="4">
        <v>4</v>
      </c>
      <c r="BE111" s="4">
        <v>5</v>
      </c>
      <c r="BF111" s="4">
        <v>6</v>
      </c>
      <c r="BG111" s="4">
        <v>0.70256358269933272</v>
      </c>
      <c r="BH111" s="14">
        <v>15</v>
      </c>
      <c r="BI111" s="24">
        <f t="shared" si="105"/>
        <v>1</v>
      </c>
      <c r="BJ111" s="24">
        <f t="shared" si="106"/>
        <v>0</v>
      </c>
      <c r="BK111" t="str">
        <f t="shared" si="115"/>
        <v>-2, Déficit y resultado fue bueno</v>
      </c>
      <c r="BM111" s="4" t="s">
        <v>252</v>
      </c>
      <c r="BN111" s="4">
        <v>4</v>
      </c>
      <c r="BO111" s="8">
        <v>6.666666666666667</v>
      </c>
      <c r="BP111" s="4">
        <v>3</v>
      </c>
      <c r="BQ111" s="4">
        <v>3</v>
      </c>
      <c r="BR111" s="4">
        <v>6</v>
      </c>
      <c r="BS111" s="4">
        <v>0.70256358269933272</v>
      </c>
      <c r="BT111" s="14">
        <v>15</v>
      </c>
      <c r="BU111" s="24">
        <f t="shared" si="107"/>
        <v>1</v>
      </c>
      <c r="BV111" s="24">
        <f t="shared" si="108"/>
        <v>-1</v>
      </c>
      <c r="BW111" t="str">
        <f t="shared" si="116"/>
        <v>-2, Déficit y resultado fue bueno</v>
      </c>
      <c r="BY111" s="4" t="s">
        <v>252</v>
      </c>
      <c r="BZ111" s="4">
        <v>3</v>
      </c>
      <c r="CA111" s="8">
        <v>6.5555555555555554</v>
      </c>
      <c r="CB111" s="4">
        <v>4</v>
      </c>
      <c r="CC111" s="4">
        <v>4</v>
      </c>
      <c r="CD111" s="4">
        <v>6</v>
      </c>
      <c r="CE111" s="4">
        <v>0.70256358269933272</v>
      </c>
      <c r="CF111" s="14">
        <v>15</v>
      </c>
      <c r="CG111" s="24">
        <f t="shared" si="109"/>
        <v>0</v>
      </c>
      <c r="CH111" s="24">
        <f t="shared" si="110"/>
        <v>1</v>
      </c>
      <c r="CI111" t="str">
        <f t="shared" si="117"/>
        <v>-2, Déficit y resultado fue bueno</v>
      </c>
    </row>
    <row r="112" spans="1:94" ht="14.25" customHeight="1" x14ac:dyDescent="0.3">
      <c r="A112" s="4" t="s">
        <v>250</v>
      </c>
      <c r="B112" s="4">
        <v>4</v>
      </c>
      <c r="C112" s="8">
        <v>3.8888888888888888</v>
      </c>
      <c r="D112" s="4">
        <v>2</v>
      </c>
      <c r="E112" s="4">
        <v>2</v>
      </c>
      <c r="F112" s="4">
        <v>9</v>
      </c>
      <c r="G112" s="4">
        <v>0.67691586229508371</v>
      </c>
      <c r="H112" s="14">
        <v>15</v>
      </c>
      <c r="I112" s="23">
        <f t="shared" si="97"/>
        <v>1</v>
      </c>
      <c r="J112" s="24">
        <f t="shared" si="98"/>
        <v>-2</v>
      </c>
      <c r="K112" s="5" t="str">
        <f t="shared" si="111"/>
        <v>1, Déficit y eliminé déficit</v>
      </c>
      <c r="L112" s="5"/>
      <c r="M112" s="5"/>
      <c r="N112" s="4" t="s">
        <v>250</v>
      </c>
      <c r="O112" s="4">
        <v>5</v>
      </c>
      <c r="P112" s="8">
        <v>6.8888888888888893</v>
      </c>
      <c r="Q112" s="4">
        <v>6</v>
      </c>
      <c r="R112" s="4">
        <v>6</v>
      </c>
      <c r="S112" s="4">
        <v>6</v>
      </c>
      <c r="T112" s="4">
        <v>0.67691586229508371</v>
      </c>
      <c r="U112" s="14">
        <v>15</v>
      </c>
      <c r="V112" s="24">
        <f t="shared" si="99"/>
        <v>0</v>
      </c>
      <c r="W112" s="24">
        <f t="shared" si="100"/>
        <v>1</v>
      </c>
      <c r="X112" s="5" t="str">
        <f t="shared" si="112"/>
        <v>-2, Déficit y resultado fue bueno</v>
      </c>
      <c r="Y112" s="5"/>
      <c r="Z112" s="5"/>
      <c r="AA112" s="4" t="s">
        <v>250</v>
      </c>
      <c r="AB112" s="4">
        <v>0</v>
      </c>
      <c r="AC112" s="8">
        <v>1.5555555555555556</v>
      </c>
      <c r="AD112" s="4">
        <v>0</v>
      </c>
      <c r="AE112" s="4">
        <v>0</v>
      </c>
      <c r="AF112" s="4">
        <v>6</v>
      </c>
      <c r="AG112" s="4">
        <v>0.67691586229508371</v>
      </c>
      <c r="AH112" s="14">
        <v>15</v>
      </c>
      <c r="AI112" s="24">
        <f t="shared" si="101"/>
        <v>1</v>
      </c>
      <c r="AJ112" s="24">
        <f t="shared" si="102"/>
        <v>0</v>
      </c>
      <c r="AK112" t="str">
        <f t="shared" si="113"/>
        <v>-2, Déficit y resultado fue bueno</v>
      </c>
      <c r="AN112" s="4" t="s">
        <v>250</v>
      </c>
      <c r="AO112" s="4">
        <v>1</v>
      </c>
      <c r="AP112" s="8">
        <v>3.1111111111111112</v>
      </c>
      <c r="AQ112" s="4">
        <v>3</v>
      </c>
      <c r="AR112" s="4">
        <v>3</v>
      </c>
      <c r="AS112" s="4">
        <v>6</v>
      </c>
      <c r="AT112" s="4">
        <v>0.67691586229508371</v>
      </c>
      <c r="AU112" s="14">
        <v>15</v>
      </c>
      <c r="AV112" s="24">
        <f t="shared" si="103"/>
        <v>0</v>
      </c>
      <c r="AW112" s="24">
        <f t="shared" si="104"/>
        <v>2</v>
      </c>
      <c r="AX112" t="str">
        <f t="shared" si="114"/>
        <v>-2, Déficit y resultado fue bueno</v>
      </c>
      <c r="BA112" s="4" t="s">
        <v>250</v>
      </c>
      <c r="BB112" s="4">
        <v>8</v>
      </c>
      <c r="BC112" s="8">
        <v>5.1111111111111107</v>
      </c>
      <c r="BD112" s="4">
        <v>9</v>
      </c>
      <c r="BE112" s="4">
        <v>8</v>
      </c>
      <c r="BF112" s="4">
        <v>8</v>
      </c>
      <c r="BG112" s="4">
        <v>0.67691586229508371</v>
      </c>
      <c r="BH112" s="14">
        <v>15</v>
      </c>
      <c r="BI112" s="24">
        <f t="shared" si="105"/>
        <v>0</v>
      </c>
      <c r="BJ112" s="24">
        <f t="shared" si="106"/>
        <v>1</v>
      </c>
      <c r="BK112" t="str">
        <f t="shared" si="115"/>
        <v>-2,no había déficit y resultado fue bueno</v>
      </c>
      <c r="BM112" s="4" t="s">
        <v>250</v>
      </c>
      <c r="BN112" s="4">
        <v>6</v>
      </c>
      <c r="BO112" s="8">
        <v>5.333333333333333</v>
      </c>
      <c r="BP112" s="4">
        <v>6</v>
      </c>
      <c r="BQ112" s="4">
        <v>6</v>
      </c>
      <c r="BR112" s="4">
        <v>6</v>
      </c>
      <c r="BS112" s="4">
        <v>0.67691586229508371</v>
      </c>
      <c r="BT112" s="14">
        <v>15</v>
      </c>
      <c r="BU112" s="24">
        <f t="shared" si="107"/>
        <v>1</v>
      </c>
      <c r="BV112" s="24">
        <f t="shared" si="108"/>
        <v>0</v>
      </c>
      <c r="BW112" t="str">
        <f t="shared" si="116"/>
        <v>-2, Déficit y resultado fue bueno</v>
      </c>
      <c r="BY112" s="4" t="s">
        <v>250</v>
      </c>
      <c r="BZ112" s="4">
        <v>7</v>
      </c>
      <c r="CA112" s="8">
        <v>5.4444444444444446</v>
      </c>
      <c r="CB112" s="4">
        <v>7</v>
      </c>
      <c r="CC112" s="4">
        <v>7</v>
      </c>
      <c r="CD112" s="4">
        <v>7</v>
      </c>
      <c r="CE112" s="4">
        <v>0.67691586229508371</v>
      </c>
      <c r="CF112" s="14">
        <v>15</v>
      </c>
      <c r="CG112" s="24">
        <f t="shared" si="109"/>
        <v>1</v>
      </c>
      <c r="CH112" s="24">
        <f t="shared" si="110"/>
        <v>0</v>
      </c>
      <c r="CI112" t="str">
        <f t="shared" si="117"/>
        <v>-1, Déficit y dejo la capacidad media</v>
      </c>
    </row>
    <row r="113" spans="1:87" ht="14.25" customHeight="1" x14ac:dyDescent="0.3">
      <c r="A113" s="4" t="s">
        <v>251</v>
      </c>
      <c r="B113" s="4">
        <v>10</v>
      </c>
      <c r="C113" s="8">
        <v>10</v>
      </c>
      <c r="D113" s="4">
        <v>5</v>
      </c>
      <c r="E113" s="4">
        <v>2</v>
      </c>
      <c r="F113" s="4">
        <v>10</v>
      </c>
      <c r="G113" s="4">
        <v>0.655473679459604</v>
      </c>
      <c r="H113" s="14">
        <v>15</v>
      </c>
      <c r="I113" s="23">
        <f t="shared" si="97"/>
        <v>1</v>
      </c>
      <c r="J113" s="24">
        <f t="shared" si="98"/>
        <v>-5</v>
      </c>
      <c r="K113" s="5" t="str">
        <f t="shared" si="111"/>
        <v>-2,no había déficit y resultado fue bueno</v>
      </c>
      <c r="L113" s="5"/>
      <c r="M113" s="5"/>
      <c r="N113" s="4" t="s">
        <v>251</v>
      </c>
      <c r="O113" s="4">
        <v>5</v>
      </c>
      <c r="P113" s="8">
        <v>6.2222222222222223</v>
      </c>
      <c r="Q113" s="4">
        <v>2</v>
      </c>
      <c r="R113" s="4">
        <v>1</v>
      </c>
      <c r="S113" s="4">
        <v>6</v>
      </c>
      <c r="T113" s="4">
        <v>0.655473679459604</v>
      </c>
      <c r="U113" s="14">
        <v>15</v>
      </c>
      <c r="V113" s="24">
        <f t="shared" si="99"/>
        <v>1</v>
      </c>
      <c r="W113" s="24">
        <f t="shared" si="100"/>
        <v>-3</v>
      </c>
      <c r="X113" s="5" t="str">
        <f t="shared" si="112"/>
        <v>-2, Déficit y resultado fue bueno</v>
      </c>
      <c r="Y113" s="5"/>
      <c r="Z113" s="5"/>
      <c r="AA113" s="4" t="s">
        <v>251</v>
      </c>
      <c r="AB113" s="4">
        <v>14</v>
      </c>
      <c r="AC113" s="8">
        <v>8.3333333333333339</v>
      </c>
      <c r="AD113" s="4">
        <v>10</v>
      </c>
      <c r="AE113" s="4">
        <v>11</v>
      </c>
      <c r="AF113" s="4">
        <v>6</v>
      </c>
      <c r="AG113" s="4">
        <v>0.655473679459604</v>
      </c>
      <c r="AH113" s="14">
        <v>15</v>
      </c>
      <c r="AI113" s="24">
        <f t="shared" si="101"/>
        <v>1</v>
      </c>
      <c r="AJ113" s="24">
        <f t="shared" si="102"/>
        <v>-4</v>
      </c>
      <c r="AK113" t="str">
        <f t="shared" si="113"/>
        <v>0, no había déficit y la dejo con déficit</v>
      </c>
      <c r="AN113" s="4" t="s">
        <v>251</v>
      </c>
      <c r="AO113" s="4">
        <v>8</v>
      </c>
      <c r="AP113" s="8">
        <v>9.2222222222222214</v>
      </c>
      <c r="AQ113" s="4">
        <v>4</v>
      </c>
      <c r="AR113" s="4">
        <v>5</v>
      </c>
      <c r="AS113" s="4">
        <v>6</v>
      </c>
      <c r="AT113" s="4">
        <v>0.655473679459604</v>
      </c>
      <c r="AU113" s="14">
        <v>15</v>
      </c>
      <c r="AV113" s="24">
        <f t="shared" si="103"/>
        <v>1</v>
      </c>
      <c r="AW113" s="24">
        <f t="shared" si="104"/>
        <v>-4</v>
      </c>
      <c r="AX113" t="str">
        <f t="shared" si="114"/>
        <v>0, no había déficit y la dejo con déficit</v>
      </c>
      <c r="BA113" s="4" t="s">
        <v>251</v>
      </c>
      <c r="BB113" s="4">
        <v>7</v>
      </c>
      <c r="BC113" s="8">
        <v>3.3333333333333335</v>
      </c>
      <c r="BD113" s="4">
        <v>8</v>
      </c>
      <c r="BE113" s="4">
        <v>8</v>
      </c>
      <c r="BF113" s="4">
        <v>7</v>
      </c>
      <c r="BG113" s="4">
        <v>0.655473679459604</v>
      </c>
      <c r="BH113" s="14">
        <v>15</v>
      </c>
      <c r="BI113" s="24">
        <f t="shared" si="105"/>
        <v>0</v>
      </c>
      <c r="BJ113" s="24">
        <f t="shared" si="106"/>
        <v>1</v>
      </c>
      <c r="BK113" t="str">
        <f t="shared" si="115"/>
        <v>-1, Déficit y dejo la capacidad media</v>
      </c>
      <c r="BM113" s="4" t="s">
        <v>251</v>
      </c>
      <c r="BN113" s="4">
        <v>6</v>
      </c>
      <c r="BO113" s="8">
        <v>4.2222222222222223</v>
      </c>
      <c r="BP113" s="4">
        <v>7</v>
      </c>
      <c r="BQ113" s="4">
        <v>7</v>
      </c>
      <c r="BR113" s="4">
        <v>6</v>
      </c>
      <c r="BS113" s="4">
        <v>0.655473679459604</v>
      </c>
      <c r="BT113" s="14">
        <v>15</v>
      </c>
      <c r="BU113" s="24">
        <f t="shared" si="107"/>
        <v>0</v>
      </c>
      <c r="BV113" s="24">
        <f t="shared" si="108"/>
        <v>1</v>
      </c>
      <c r="BW113" t="str">
        <f t="shared" si="116"/>
        <v>-2, Déficit y resultado fue bueno</v>
      </c>
      <c r="BY113" s="4" t="s">
        <v>251</v>
      </c>
      <c r="BZ113" s="4">
        <v>4</v>
      </c>
      <c r="CA113" s="8">
        <v>4.666666666666667</v>
      </c>
      <c r="CB113" s="4">
        <v>3</v>
      </c>
      <c r="CC113" s="4">
        <v>4</v>
      </c>
      <c r="CD113" s="4">
        <v>6</v>
      </c>
      <c r="CE113" s="4">
        <v>0.655473679459604</v>
      </c>
      <c r="CF113" s="14">
        <v>15</v>
      </c>
      <c r="CG113" s="24">
        <f t="shared" si="109"/>
        <v>1</v>
      </c>
      <c r="CH113" s="24">
        <f t="shared" si="110"/>
        <v>-1</v>
      </c>
      <c r="CI113" t="str">
        <f t="shared" si="117"/>
        <v>-2, Déficit y resultado fue bueno</v>
      </c>
    </row>
    <row r="114" spans="1:87" ht="14.25" customHeight="1" x14ac:dyDescent="0.3">
      <c r="A114" s="4" t="s">
        <v>248</v>
      </c>
      <c r="B114" s="4">
        <v>8</v>
      </c>
      <c r="C114" s="8">
        <v>3.6666666666666665</v>
      </c>
      <c r="D114" s="4">
        <v>11</v>
      </c>
      <c r="E114" s="4">
        <v>11</v>
      </c>
      <c r="F114" s="4">
        <v>8</v>
      </c>
      <c r="G114" s="4">
        <v>0.62268266964537045</v>
      </c>
      <c r="H114" s="14">
        <v>15</v>
      </c>
      <c r="I114" s="23">
        <f t="shared" si="97"/>
        <v>0</v>
      </c>
      <c r="J114" s="24">
        <f t="shared" si="98"/>
        <v>3</v>
      </c>
      <c r="K114" s="5" t="str">
        <f t="shared" si="111"/>
        <v>-2,no había déficit y resultado fue bueno</v>
      </c>
      <c r="L114" s="5"/>
      <c r="M114" s="5"/>
      <c r="N114" s="4" t="s">
        <v>248</v>
      </c>
      <c r="O114" s="4">
        <v>6</v>
      </c>
      <c r="P114" s="8">
        <v>6.4444444444444446</v>
      </c>
      <c r="Q114" s="4">
        <v>1</v>
      </c>
      <c r="R114" s="4">
        <v>0</v>
      </c>
      <c r="S114" s="4">
        <v>5</v>
      </c>
      <c r="T114" s="4">
        <v>0.62268266964537045</v>
      </c>
      <c r="U114" s="14">
        <v>15</v>
      </c>
      <c r="V114" s="24">
        <f t="shared" si="99"/>
        <v>1</v>
      </c>
      <c r="W114" s="24">
        <f t="shared" si="100"/>
        <v>-5</v>
      </c>
      <c r="X114" s="5" t="str">
        <f t="shared" si="112"/>
        <v>0, Déficit y no elimine déficit</v>
      </c>
      <c r="Y114" s="5"/>
      <c r="Z114" s="5"/>
      <c r="AA114" s="4" t="s">
        <v>248</v>
      </c>
      <c r="AB114" s="4">
        <v>1</v>
      </c>
      <c r="AC114" s="8">
        <v>3.4444444444444446</v>
      </c>
      <c r="AD114" s="4">
        <v>0</v>
      </c>
      <c r="AE114" s="4">
        <v>0</v>
      </c>
      <c r="AF114" s="4">
        <v>5</v>
      </c>
      <c r="AG114" s="4">
        <v>0.62268266964537045</v>
      </c>
      <c r="AH114" s="14">
        <v>15</v>
      </c>
      <c r="AI114" s="24">
        <f t="shared" si="101"/>
        <v>1</v>
      </c>
      <c r="AJ114" s="24">
        <f t="shared" si="102"/>
        <v>-1</v>
      </c>
      <c r="AK114" t="str">
        <f t="shared" si="113"/>
        <v>-2, Déficit y resultado fue bueno</v>
      </c>
      <c r="AN114" s="4" t="s">
        <v>248</v>
      </c>
      <c r="AO114" s="4">
        <v>1</v>
      </c>
      <c r="AP114" s="8">
        <v>4.4444444444444446</v>
      </c>
      <c r="AQ114" s="4">
        <v>0</v>
      </c>
      <c r="AR114" s="4">
        <v>0</v>
      </c>
      <c r="AS114" s="4">
        <v>5</v>
      </c>
      <c r="AT114" s="4">
        <v>0.62268266964537045</v>
      </c>
      <c r="AU114" s="14">
        <v>15</v>
      </c>
      <c r="AV114" s="24">
        <f t="shared" si="103"/>
        <v>1</v>
      </c>
      <c r="AW114" s="24">
        <f t="shared" si="104"/>
        <v>-1</v>
      </c>
      <c r="AX114" t="str">
        <f t="shared" si="114"/>
        <v>-2, Déficit y resultado fue bueno</v>
      </c>
      <c r="BA114" s="4" t="s">
        <v>248</v>
      </c>
      <c r="BB114" s="4">
        <v>0</v>
      </c>
      <c r="BC114" s="8">
        <v>2.5555555555555554</v>
      </c>
      <c r="BD114" s="4">
        <v>1</v>
      </c>
      <c r="BE114" s="4">
        <v>1</v>
      </c>
      <c r="BF114" s="4">
        <v>5</v>
      </c>
      <c r="BG114" s="4">
        <v>0.62268266964537045</v>
      </c>
      <c r="BH114" s="14">
        <v>15</v>
      </c>
      <c r="BI114" s="24">
        <f t="shared" si="105"/>
        <v>0</v>
      </c>
      <c r="BJ114" s="24">
        <f t="shared" si="106"/>
        <v>1</v>
      </c>
      <c r="BK114" t="str">
        <f t="shared" si="115"/>
        <v>-2, Déficit y resultado fue bueno</v>
      </c>
      <c r="BM114" s="4" t="s">
        <v>248</v>
      </c>
      <c r="BN114" s="4">
        <v>5</v>
      </c>
      <c r="BO114" s="8">
        <v>4.4444444444444446</v>
      </c>
      <c r="BP114" s="4">
        <v>5</v>
      </c>
      <c r="BQ114" s="4">
        <v>5</v>
      </c>
      <c r="BR114" s="4">
        <v>5</v>
      </c>
      <c r="BS114" s="4">
        <v>0.62268266964537045</v>
      </c>
      <c r="BT114" s="14">
        <v>15</v>
      </c>
      <c r="BU114" s="24">
        <f t="shared" si="107"/>
        <v>1</v>
      </c>
      <c r="BV114" s="24">
        <f t="shared" si="108"/>
        <v>0</v>
      </c>
      <c r="BW114" t="str">
        <f t="shared" si="116"/>
        <v>-2, Déficit y resultado fue bueno</v>
      </c>
      <c r="BY114" s="4" t="s">
        <v>248</v>
      </c>
      <c r="BZ114" s="4">
        <v>5</v>
      </c>
      <c r="CA114" s="8">
        <v>5.2222222222222223</v>
      </c>
      <c r="CB114" s="4">
        <v>7</v>
      </c>
      <c r="CC114" s="4">
        <v>7</v>
      </c>
      <c r="CD114" s="4">
        <v>5</v>
      </c>
      <c r="CE114" s="4">
        <v>0.62268266964537045</v>
      </c>
      <c r="CF114" s="14">
        <v>15</v>
      </c>
      <c r="CG114" s="24">
        <f t="shared" si="109"/>
        <v>0</v>
      </c>
      <c r="CH114" s="24">
        <f t="shared" si="110"/>
        <v>2</v>
      </c>
      <c r="CI114" t="str">
        <f t="shared" si="117"/>
        <v>-2, Déficit y resultado fue bueno</v>
      </c>
    </row>
    <row r="115" spans="1:87" ht="14.25" customHeight="1" x14ac:dyDescent="0.3">
      <c r="A115" s="4" t="s">
        <v>247</v>
      </c>
      <c r="B115" s="4">
        <v>12</v>
      </c>
      <c r="C115" s="8">
        <v>4.5555555555555554</v>
      </c>
      <c r="D115" s="4">
        <v>0</v>
      </c>
      <c r="E115" s="4">
        <v>0</v>
      </c>
      <c r="F115" s="4">
        <v>7</v>
      </c>
      <c r="G115" s="4">
        <v>0.53747605471157822</v>
      </c>
      <c r="H115" s="14">
        <v>15</v>
      </c>
      <c r="I115" s="23">
        <f t="shared" si="97"/>
        <v>1</v>
      </c>
      <c r="J115" s="24">
        <f t="shared" si="98"/>
        <v>-12</v>
      </c>
      <c r="K115" s="5" t="str">
        <f t="shared" si="111"/>
        <v>-1, no había déficit y dejo la capacidad media</v>
      </c>
      <c r="L115" s="5"/>
      <c r="M115" s="5"/>
      <c r="N115" s="4" t="s">
        <v>247</v>
      </c>
      <c r="O115" s="4">
        <v>5</v>
      </c>
      <c r="P115" s="8">
        <v>5.333333333333333</v>
      </c>
      <c r="Q115" s="4">
        <v>0</v>
      </c>
      <c r="R115" s="4">
        <v>0</v>
      </c>
      <c r="S115" s="4">
        <v>6</v>
      </c>
      <c r="T115" s="4">
        <v>0.53747605471157822</v>
      </c>
      <c r="U115" s="14">
        <v>15</v>
      </c>
      <c r="V115" s="24">
        <f t="shared" si="99"/>
        <v>1</v>
      </c>
      <c r="W115" s="24">
        <f t="shared" si="100"/>
        <v>-5</v>
      </c>
      <c r="X115" s="5" t="str">
        <f t="shared" si="112"/>
        <v>-2, Déficit y resultado fue bueno</v>
      </c>
      <c r="Y115" s="5"/>
      <c r="Z115" s="5"/>
      <c r="AA115" s="4" t="s">
        <v>247</v>
      </c>
      <c r="AB115" s="4">
        <v>0</v>
      </c>
      <c r="AC115" s="8">
        <v>5.333333333333333</v>
      </c>
      <c r="AD115" s="4">
        <v>0</v>
      </c>
      <c r="AE115" s="4">
        <v>0</v>
      </c>
      <c r="AF115" s="4">
        <v>6</v>
      </c>
      <c r="AG115" s="4">
        <v>0.53747605471157822</v>
      </c>
      <c r="AH115" s="14">
        <v>15</v>
      </c>
      <c r="AI115" s="24">
        <f t="shared" si="101"/>
        <v>1</v>
      </c>
      <c r="AJ115" s="24">
        <f t="shared" si="102"/>
        <v>0</v>
      </c>
      <c r="AK115" t="str">
        <f t="shared" si="113"/>
        <v>-2, Déficit y resultado fue bueno</v>
      </c>
      <c r="AN115" s="4" t="s">
        <v>247</v>
      </c>
      <c r="AO115" s="4">
        <v>7</v>
      </c>
      <c r="AP115" s="8">
        <v>6.4444444444444446</v>
      </c>
      <c r="AQ115" s="4">
        <v>0</v>
      </c>
      <c r="AR115" s="4">
        <v>0</v>
      </c>
      <c r="AS115" s="4">
        <v>6</v>
      </c>
      <c r="AT115" s="4">
        <v>0.53747605471157822</v>
      </c>
      <c r="AU115" s="14">
        <v>15</v>
      </c>
      <c r="AV115" s="24">
        <f t="shared" si="103"/>
        <v>1</v>
      </c>
      <c r="AW115" s="24">
        <f t="shared" si="104"/>
        <v>-7</v>
      </c>
      <c r="AX115" t="str">
        <f t="shared" si="114"/>
        <v>0, Déficit y no elimine déficit</v>
      </c>
      <c r="BA115" s="4" t="s">
        <v>247</v>
      </c>
      <c r="BB115" s="4">
        <v>6</v>
      </c>
      <c r="BC115" s="8">
        <v>5.4444444444444446</v>
      </c>
      <c r="BD115" s="4">
        <v>4</v>
      </c>
      <c r="BE115" s="4">
        <v>4</v>
      </c>
      <c r="BF115" s="4">
        <v>6</v>
      </c>
      <c r="BG115" s="4">
        <v>0.53747605471157822</v>
      </c>
      <c r="BH115" s="14">
        <v>15</v>
      </c>
      <c r="BI115" s="24">
        <f t="shared" si="105"/>
        <v>1</v>
      </c>
      <c r="BJ115" s="24">
        <f t="shared" si="106"/>
        <v>-2</v>
      </c>
      <c r="BK115" t="str">
        <f t="shared" si="115"/>
        <v>-2, Déficit y resultado fue bueno</v>
      </c>
      <c r="BM115" s="4" t="s">
        <v>247</v>
      </c>
      <c r="BN115" s="4">
        <v>1</v>
      </c>
      <c r="BO115" s="8">
        <v>3.4444444444444446</v>
      </c>
      <c r="BP115" s="4">
        <v>0</v>
      </c>
      <c r="BQ115" s="4">
        <v>0</v>
      </c>
      <c r="BR115" s="4">
        <v>6</v>
      </c>
      <c r="BS115" s="4">
        <v>0.53747605471157822</v>
      </c>
      <c r="BT115" s="14">
        <v>15</v>
      </c>
      <c r="BU115" s="24">
        <f t="shared" si="107"/>
        <v>1</v>
      </c>
      <c r="BV115" s="24">
        <f t="shared" si="108"/>
        <v>-1</v>
      </c>
      <c r="BW115" t="str">
        <f t="shared" si="116"/>
        <v>-2, Déficit y resultado fue bueno</v>
      </c>
      <c r="BY115" s="4" t="s">
        <v>247</v>
      </c>
      <c r="BZ115" s="4">
        <v>12</v>
      </c>
      <c r="CA115" s="8">
        <v>5.5555555555555554</v>
      </c>
      <c r="CB115" s="4">
        <v>13</v>
      </c>
      <c r="CC115" s="4">
        <v>13</v>
      </c>
      <c r="CD115" s="4">
        <v>7</v>
      </c>
      <c r="CE115" s="4">
        <v>0.53747605471157822</v>
      </c>
      <c r="CF115" s="14">
        <v>15</v>
      </c>
      <c r="CG115" s="24">
        <f t="shared" si="109"/>
        <v>0</v>
      </c>
      <c r="CH115" s="24">
        <f t="shared" si="110"/>
        <v>1</v>
      </c>
      <c r="CI115" t="str">
        <f t="shared" si="117"/>
        <v>-1, no había déficit y dejo la capacidad media</v>
      </c>
    </row>
    <row r="116" spans="1:87" ht="14.25" customHeight="1" x14ac:dyDescent="0.3">
      <c r="A116" s="4" t="s">
        <v>249</v>
      </c>
      <c r="B116" s="4">
        <v>12</v>
      </c>
      <c r="C116" s="8">
        <v>5.333333333333333</v>
      </c>
      <c r="D116" s="4">
        <v>11</v>
      </c>
      <c r="E116" s="4">
        <v>11</v>
      </c>
      <c r="F116" s="4">
        <v>8</v>
      </c>
      <c r="G116" s="4">
        <v>0.52426836588405112</v>
      </c>
      <c r="H116" s="14">
        <v>19</v>
      </c>
      <c r="I116" s="23">
        <f t="shared" si="97"/>
        <v>1</v>
      </c>
      <c r="J116" s="24">
        <f t="shared" si="98"/>
        <v>-1</v>
      </c>
      <c r="K116" s="5" t="str">
        <f t="shared" si="111"/>
        <v>0, no había déficit y la dejo con déficit</v>
      </c>
      <c r="L116" s="5"/>
      <c r="M116" s="5"/>
      <c r="N116" s="4" t="s">
        <v>249</v>
      </c>
      <c r="O116" s="4">
        <v>6</v>
      </c>
      <c r="P116" s="8">
        <v>8.1111111111111107</v>
      </c>
      <c r="Q116" s="4">
        <v>8</v>
      </c>
      <c r="R116" s="4">
        <v>8</v>
      </c>
      <c r="S116" s="4">
        <v>8</v>
      </c>
      <c r="T116" s="4">
        <v>0.52426836588405112</v>
      </c>
      <c r="U116" s="14">
        <v>19</v>
      </c>
      <c r="V116" s="24">
        <f t="shared" si="99"/>
        <v>0</v>
      </c>
      <c r="W116" s="24">
        <f t="shared" si="100"/>
        <v>2</v>
      </c>
      <c r="X116" s="5" t="str">
        <f t="shared" si="112"/>
        <v>-2, Déficit y resultado fue bueno</v>
      </c>
      <c r="Y116" s="5"/>
      <c r="Z116" s="5"/>
      <c r="AA116" s="4" t="s">
        <v>249</v>
      </c>
      <c r="AB116" s="4">
        <v>5</v>
      </c>
      <c r="AC116" s="8">
        <v>7</v>
      </c>
      <c r="AD116" s="4">
        <v>3</v>
      </c>
      <c r="AE116" s="4">
        <v>3</v>
      </c>
      <c r="AF116" s="4">
        <v>9</v>
      </c>
      <c r="AG116" s="4">
        <v>0.52426836588405112</v>
      </c>
      <c r="AH116" s="14">
        <v>19</v>
      </c>
      <c r="AI116" s="24">
        <f t="shared" si="101"/>
        <v>1</v>
      </c>
      <c r="AJ116" s="24">
        <f t="shared" si="102"/>
        <v>-2</v>
      </c>
      <c r="AK116" t="str">
        <f t="shared" si="113"/>
        <v>-1, Déficit y dejo la capacidad media</v>
      </c>
      <c r="AN116" s="4" t="s">
        <v>249</v>
      </c>
      <c r="AO116" s="4">
        <v>5</v>
      </c>
      <c r="AP116" s="8">
        <v>5.5555555555555554</v>
      </c>
      <c r="AQ116" s="4">
        <v>3</v>
      </c>
      <c r="AR116" s="4">
        <v>1</v>
      </c>
      <c r="AS116" s="4">
        <v>12</v>
      </c>
      <c r="AT116" s="4">
        <v>0.52426836588405112</v>
      </c>
      <c r="AU116" s="14">
        <v>19</v>
      </c>
      <c r="AV116" s="24">
        <f t="shared" si="103"/>
        <v>1</v>
      </c>
      <c r="AW116" s="24">
        <f t="shared" si="104"/>
        <v>-2</v>
      </c>
      <c r="AX116" t="str">
        <f t="shared" si="114"/>
        <v>1, Déficit y eliminé déficit</v>
      </c>
      <c r="BA116" s="4" t="s">
        <v>249</v>
      </c>
      <c r="BB116" s="4">
        <v>7</v>
      </c>
      <c r="BC116" s="8">
        <v>7.5555555555555554</v>
      </c>
      <c r="BD116" s="4">
        <v>7</v>
      </c>
      <c r="BE116" s="4">
        <v>7</v>
      </c>
      <c r="BF116" s="4">
        <v>8</v>
      </c>
      <c r="BG116" s="4">
        <v>0.52426836588405112</v>
      </c>
      <c r="BH116" s="14">
        <v>19</v>
      </c>
      <c r="BI116" s="24">
        <f t="shared" si="105"/>
        <v>1</v>
      </c>
      <c r="BJ116" s="24">
        <f t="shared" si="106"/>
        <v>0</v>
      </c>
      <c r="BK116" t="str">
        <f t="shared" si="115"/>
        <v>-2, Déficit y resultado fue bueno</v>
      </c>
      <c r="BM116" s="4" t="s">
        <v>249</v>
      </c>
      <c r="BN116" s="4">
        <v>8</v>
      </c>
      <c r="BO116" s="8">
        <v>5.5555555555555554</v>
      </c>
      <c r="BP116" s="4">
        <v>8</v>
      </c>
      <c r="BQ116" s="4">
        <v>8</v>
      </c>
      <c r="BR116" s="4">
        <v>8</v>
      </c>
      <c r="BS116" s="4">
        <v>0.52426836588405112</v>
      </c>
      <c r="BT116" s="14">
        <v>19</v>
      </c>
      <c r="BU116" s="24">
        <f t="shared" si="107"/>
        <v>1</v>
      </c>
      <c r="BV116" s="24">
        <f t="shared" si="108"/>
        <v>0</v>
      </c>
      <c r="BW116" t="str">
        <f t="shared" si="116"/>
        <v>-2, Déficit y resultado fue bueno</v>
      </c>
      <c r="BY116" s="4" t="s">
        <v>249</v>
      </c>
      <c r="BZ116" s="4">
        <v>6</v>
      </c>
      <c r="CA116" s="8">
        <v>5.4444444444444446</v>
      </c>
      <c r="CB116" s="4">
        <v>6</v>
      </c>
      <c r="CC116" s="4">
        <v>6</v>
      </c>
      <c r="CD116" s="4">
        <v>8</v>
      </c>
      <c r="CE116" s="4">
        <v>0.52426836588405112</v>
      </c>
      <c r="CF116" s="14">
        <v>19</v>
      </c>
      <c r="CG116" s="24">
        <f t="shared" si="109"/>
        <v>1</v>
      </c>
      <c r="CH116" s="24">
        <f t="shared" si="110"/>
        <v>0</v>
      </c>
      <c r="CI116" t="str">
        <f t="shared" si="117"/>
        <v>-2, Déficit y resultado fue bueno</v>
      </c>
    </row>
    <row r="117" spans="1:87" ht="14.25" customHeight="1" x14ac:dyDescent="0.3">
      <c r="A117" s="4" t="s">
        <v>257</v>
      </c>
      <c r="B117" s="4">
        <v>12</v>
      </c>
      <c r="C117" s="8">
        <v>11.222222222222221</v>
      </c>
      <c r="D117" s="4">
        <v>13</v>
      </c>
      <c r="E117" s="4">
        <v>14</v>
      </c>
      <c r="F117" s="4">
        <v>14</v>
      </c>
      <c r="G117" s="4">
        <v>-0.85169148296274</v>
      </c>
      <c r="H117" s="14">
        <v>17</v>
      </c>
      <c r="I117" s="23">
        <f t="shared" ref="I117:I126" si="118">IF(D117&gt;=B117,1,0)</f>
        <v>1</v>
      </c>
      <c r="J117" s="24">
        <f t="shared" si="98"/>
        <v>1</v>
      </c>
      <c r="K117" s="5" t="str">
        <f t="shared" si="111"/>
        <v>0, Superávit y no eliminé superávit</v>
      </c>
      <c r="L117" s="5"/>
      <c r="M117" s="5"/>
      <c r="N117" s="4" t="s">
        <v>257</v>
      </c>
      <c r="O117" s="4">
        <v>13</v>
      </c>
      <c r="P117" s="8">
        <v>10.333333333333334</v>
      </c>
      <c r="Q117" s="4">
        <v>14</v>
      </c>
      <c r="R117" s="4">
        <v>15</v>
      </c>
      <c r="S117" s="4">
        <v>13</v>
      </c>
      <c r="T117" s="4">
        <v>-0.85169148296274</v>
      </c>
      <c r="U117" s="14">
        <v>17</v>
      </c>
      <c r="V117" s="24">
        <f t="shared" ref="V117:V126" si="119">IF(Q117&gt;=O117,1,0)</f>
        <v>1</v>
      </c>
      <c r="W117" s="24">
        <f t="shared" si="100"/>
        <v>1</v>
      </c>
      <c r="X117" s="5" t="str">
        <f t="shared" si="112"/>
        <v>0, Superávit y no eliminé superávit</v>
      </c>
      <c r="Y117" s="5"/>
      <c r="Z117" s="5"/>
      <c r="AA117" s="4" t="s">
        <v>257</v>
      </c>
      <c r="AB117" s="4">
        <v>17</v>
      </c>
      <c r="AC117" s="8">
        <v>13.555555555555555</v>
      </c>
      <c r="AD117" s="4">
        <v>17</v>
      </c>
      <c r="AE117" s="4">
        <v>16</v>
      </c>
      <c r="AF117" s="4">
        <v>10</v>
      </c>
      <c r="AG117" s="4">
        <v>-0.85169148296274</v>
      </c>
      <c r="AH117" s="14">
        <v>17</v>
      </c>
      <c r="AI117" s="24">
        <f t="shared" ref="AI117:AI126" si="120">IF(AD117&gt;=AB117,1,0)</f>
        <v>1</v>
      </c>
      <c r="AJ117" s="24">
        <f t="shared" si="102"/>
        <v>0</v>
      </c>
      <c r="AK117" t="str">
        <f t="shared" si="113"/>
        <v>-2, Superávit y resultado fue bueno</v>
      </c>
      <c r="AN117" s="4" t="s">
        <v>257</v>
      </c>
      <c r="AO117" s="4">
        <v>11</v>
      </c>
      <c r="AP117" s="8">
        <v>9.8888888888888893</v>
      </c>
      <c r="AQ117" s="4">
        <v>14</v>
      </c>
      <c r="AR117" s="4">
        <v>16</v>
      </c>
      <c r="AS117" s="4">
        <v>11</v>
      </c>
      <c r="AT117" s="4">
        <v>-0.85169148296274</v>
      </c>
      <c r="AU117" s="14">
        <v>17</v>
      </c>
      <c r="AV117" s="24">
        <f t="shared" ref="AV117:AV126" si="121">IF(AQ117&gt;=AO117,1,0)</f>
        <v>1</v>
      </c>
      <c r="AW117" s="24">
        <f t="shared" si="104"/>
        <v>3</v>
      </c>
      <c r="AX117" t="str">
        <f t="shared" si="114"/>
        <v>0, Superávit y no eliminé superávit</v>
      </c>
      <c r="BA117" s="4" t="s">
        <v>257</v>
      </c>
      <c r="BB117" s="4">
        <v>14</v>
      </c>
      <c r="BC117" s="8">
        <v>10.555555555555555</v>
      </c>
      <c r="BD117" s="4">
        <v>13</v>
      </c>
      <c r="BE117" s="4">
        <v>14</v>
      </c>
      <c r="BF117" s="4">
        <v>14</v>
      </c>
      <c r="BG117" s="4">
        <v>-0.85169148296274</v>
      </c>
      <c r="BH117" s="14">
        <v>17</v>
      </c>
      <c r="BI117" s="24">
        <f t="shared" ref="BI117:BI126" si="122">IF(BD117&gt;=BB117,1,0)</f>
        <v>0</v>
      </c>
      <c r="BJ117" s="24">
        <f t="shared" si="106"/>
        <v>-1</v>
      </c>
      <c r="BK117" t="str">
        <f t="shared" si="115"/>
        <v>0, Superávit y no eliminé superávit</v>
      </c>
      <c r="BM117" s="4" t="s">
        <v>257</v>
      </c>
      <c r="BN117" s="4">
        <v>14</v>
      </c>
      <c r="BO117" s="8">
        <v>11.333333333333334</v>
      </c>
      <c r="BP117" s="4">
        <v>16</v>
      </c>
      <c r="BQ117" s="4">
        <v>16</v>
      </c>
      <c r="BR117" s="4">
        <v>14</v>
      </c>
      <c r="BS117" s="4">
        <v>-0.85169148296274</v>
      </c>
      <c r="BT117" s="14">
        <v>17</v>
      </c>
      <c r="BU117" s="24">
        <f t="shared" ref="BU117:BU126" si="123">IF(BP117&gt;=BN117,1,0)</f>
        <v>1</v>
      </c>
      <c r="BV117" s="24">
        <f t="shared" si="108"/>
        <v>2</v>
      </c>
      <c r="BW117" t="str">
        <f t="shared" si="116"/>
        <v>0, Superávit y no eliminé superávit</v>
      </c>
      <c r="BY117" s="4" t="s">
        <v>257</v>
      </c>
      <c r="BZ117" s="4">
        <v>7</v>
      </c>
      <c r="CA117" s="8">
        <v>11</v>
      </c>
      <c r="CB117" s="4">
        <v>4</v>
      </c>
      <c r="CC117" s="4">
        <v>4</v>
      </c>
      <c r="CD117" s="4">
        <v>14</v>
      </c>
      <c r="CE117" s="4">
        <v>-0.85169148296274</v>
      </c>
      <c r="CF117" s="14">
        <v>17</v>
      </c>
      <c r="CG117" s="24">
        <f t="shared" ref="CG117:CG126" si="124">IF(CB117&gt;=BZ117,1,0)</f>
        <v>0</v>
      </c>
      <c r="CH117" s="24">
        <f t="shared" si="110"/>
        <v>-3</v>
      </c>
      <c r="CI117" t="str">
        <f t="shared" si="117"/>
        <v>0, no había superávit, y la deje con superávit</v>
      </c>
    </row>
    <row r="118" spans="1:87" ht="14.25" customHeight="1" x14ac:dyDescent="0.3">
      <c r="A118" s="4" t="s">
        <v>266</v>
      </c>
      <c r="B118" s="4">
        <v>14</v>
      </c>
      <c r="C118" s="8">
        <v>11.333333333333334</v>
      </c>
      <c r="D118" s="4">
        <v>14</v>
      </c>
      <c r="E118" s="4">
        <v>13</v>
      </c>
      <c r="F118" s="4">
        <v>13</v>
      </c>
      <c r="G118" s="4">
        <v>-0.88310324035056598</v>
      </c>
      <c r="H118" s="14">
        <v>15</v>
      </c>
      <c r="I118" s="23">
        <f t="shared" si="118"/>
        <v>1</v>
      </c>
      <c r="J118" s="24">
        <f t="shared" si="98"/>
        <v>0</v>
      </c>
      <c r="K118" s="5" t="str">
        <f t="shared" si="111"/>
        <v>-2, Superávit y resultado fue bueno</v>
      </c>
      <c r="L118" s="5"/>
      <c r="M118" s="5"/>
      <c r="N118" s="4" t="s">
        <v>266</v>
      </c>
      <c r="O118" s="4">
        <v>12</v>
      </c>
      <c r="P118" s="8">
        <v>9.2222222222222214</v>
      </c>
      <c r="Q118" s="4">
        <v>7</v>
      </c>
      <c r="R118" s="4">
        <v>9</v>
      </c>
      <c r="S118" s="4">
        <v>12</v>
      </c>
      <c r="T118" s="4">
        <v>-0.88310324035056598</v>
      </c>
      <c r="U118" s="14">
        <v>15</v>
      </c>
      <c r="V118" s="24">
        <f t="shared" si="119"/>
        <v>0</v>
      </c>
      <c r="W118" s="24">
        <f t="shared" si="100"/>
        <v>-5</v>
      </c>
      <c r="X118" s="5" t="str">
        <f t="shared" si="112"/>
        <v>0, Superávit y no eliminé superávit</v>
      </c>
      <c r="Y118" s="5"/>
      <c r="Z118" s="5"/>
      <c r="AA118" s="4" t="s">
        <v>266</v>
      </c>
      <c r="AB118" s="4">
        <v>10</v>
      </c>
      <c r="AC118" s="8">
        <v>8.5555555555555554</v>
      </c>
      <c r="AD118" s="4">
        <v>10</v>
      </c>
      <c r="AE118" s="4">
        <v>11</v>
      </c>
      <c r="AF118" s="4">
        <v>13</v>
      </c>
      <c r="AG118" s="4">
        <v>-0.88310324035056598</v>
      </c>
      <c r="AH118" s="14">
        <v>15</v>
      </c>
      <c r="AI118" s="24">
        <f t="shared" si="120"/>
        <v>1</v>
      </c>
      <c r="AJ118" s="24">
        <f t="shared" si="102"/>
        <v>0</v>
      </c>
      <c r="AK118" t="str">
        <f t="shared" si="113"/>
        <v>0, Superávit y no eliminé superávit</v>
      </c>
      <c r="AN118" s="4" t="s">
        <v>266</v>
      </c>
      <c r="AO118" s="4">
        <v>15</v>
      </c>
      <c r="AP118" s="8">
        <v>11.777777777777779</v>
      </c>
      <c r="AQ118" s="4">
        <v>14</v>
      </c>
      <c r="AR118" s="4">
        <v>15</v>
      </c>
      <c r="AS118" s="4">
        <v>2</v>
      </c>
      <c r="AT118" s="4">
        <v>-0.88310324035056598</v>
      </c>
      <c r="AU118" s="14">
        <v>15</v>
      </c>
      <c r="AV118" s="24">
        <f t="shared" si="121"/>
        <v>0</v>
      </c>
      <c r="AW118" s="24">
        <f t="shared" si="104"/>
        <v>-1</v>
      </c>
      <c r="AX118" t="str">
        <f t="shared" si="114"/>
        <v>1, Superávit y eliminé superávit</v>
      </c>
      <c r="BA118" s="4" t="s">
        <v>266</v>
      </c>
      <c r="BB118" s="4">
        <v>15</v>
      </c>
      <c r="BC118" s="8">
        <v>10.777777777777779</v>
      </c>
      <c r="BD118" s="4">
        <v>14</v>
      </c>
      <c r="BE118" s="4">
        <v>13</v>
      </c>
      <c r="BF118" s="4">
        <v>3</v>
      </c>
      <c r="BG118" s="4">
        <v>-0.88310324035056598</v>
      </c>
      <c r="BH118" s="14">
        <v>15</v>
      </c>
      <c r="BI118" s="24">
        <f t="shared" si="122"/>
        <v>0</v>
      </c>
      <c r="BJ118" s="24">
        <f t="shared" si="106"/>
        <v>-1</v>
      </c>
      <c r="BK118" t="str">
        <f t="shared" si="115"/>
        <v>1, Superávit y eliminé superávit</v>
      </c>
      <c r="BM118" s="4" t="s">
        <v>266</v>
      </c>
      <c r="BN118" s="4">
        <v>12</v>
      </c>
      <c r="BO118" s="8">
        <v>11</v>
      </c>
      <c r="BP118" s="4">
        <v>12</v>
      </c>
      <c r="BQ118" s="4">
        <v>11</v>
      </c>
      <c r="BR118" s="4">
        <v>12</v>
      </c>
      <c r="BS118" s="4">
        <v>-0.88310324035056598</v>
      </c>
      <c r="BT118" s="14">
        <v>15</v>
      </c>
      <c r="BU118" s="24">
        <f t="shared" si="123"/>
        <v>1</v>
      </c>
      <c r="BV118" s="24">
        <f t="shared" si="108"/>
        <v>0</v>
      </c>
      <c r="BW118" t="str">
        <f t="shared" si="116"/>
        <v>0, Superávit y no eliminé superávit</v>
      </c>
      <c r="BY118" s="4" t="s">
        <v>266</v>
      </c>
      <c r="BZ118" s="4">
        <v>12</v>
      </c>
      <c r="CA118" s="8">
        <v>11.444444444444445</v>
      </c>
      <c r="CB118" s="4">
        <v>11</v>
      </c>
      <c r="CC118" s="4">
        <v>11</v>
      </c>
      <c r="CD118" s="4">
        <v>12</v>
      </c>
      <c r="CE118" s="4">
        <v>-0.88310324035056598</v>
      </c>
      <c r="CF118" s="14">
        <v>15</v>
      </c>
      <c r="CG118" s="24">
        <f t="shared" si="124"/>
        <v>0</v>
      </c>
      <c r="CH118" s="24">
        <f t="shared" si="110"/>
        <v>-1</v>
      </c>
      <c r="CI118" t="str">
        <f t="shared" si="117"/>
        <v>0, Superávit y no eliminé superávit</v>
      </c>
    </row>
    <row r="119" spans="1:87" ht="14.25" customHeight="1" x14ac:dyDescent="0.3">
      <c r="A119" s="4" t="s">
        <v>263</v>
      </c>
      <c r="B119" s="4">
        <v>13</v>
      </c>
      <c r="C119" s="8">
        <v>9.2222222222222214</v>
      </c>
      <c r="D119" s="4">
        <v>14</v>
      </c>
      <c r="E119" s="4">
        <v>14</v>
      </c>
      <c r="F119" s="4">
        <v>3</v>
      </c>
      <c r="G119" s="4">
        <v>-0.90834372881365233</v>
      </c>
      <c r="H119" s="14">
        <v>15</v>
      </c>
      <c r="I119" s="23">
        <f t="shared" si="118"/>
        <v>1</v>
      </c>
      <c r="J119" s="24">
        <f t="shared" si="98"/>
        <v>1</v>
      </c>
      <c r="K119" s="5" t="str">
        <f t="shared" si="111"/>
        <v>1, Superávit y eliminé superávit</v>
      </c>
      <c r="L119" s="5"/>
      <c r="M119" s="5"/>
      <c r="N119" s="4" t="s">
        <v>263</v>
      </c>
      <c r="O119" s="4">
        <v>11</v>
      </c>
      <c r="P119" s="8">
        <v>11.333333333333334</v>
      </c>
      <c r="Q119" s="4">
        <v>12</v>
      </c>
      <c r="R119" s="4">
        <v>12</v>
      </c>
      <c r="S119" s="4">
        <v>3</v>
      </c>
      <c r="T119" s="4">
        <v>-0.90834372881365233</v>
      </c>
      <c r="U119" s="14">
        <v>15</v>
      </c>
      <c r="V119" s="24">
        <f t="shared" si="119"/>
        <v>1</v>
      </c>
      <c r="W119" s="24">
        <f t="shared" si="100"/>
        <v>1</v>
      </c>
      <c r="X119" s="5" t="str">
        <f t="shared" si="112"/>
        <v>1, Superávit y eliminé superávit</v>
      </c>
      <c r="Y119" s="5"/>
      <c r="Z119" s="5"/>
      <c r="AA119" s="4" t="s">
        <v>263</v>
      </c>
      <c r="AB119" s="4">
        <v>15</v>
      </c>
      <c r="AC119" s="8">
        <v>11.444444444444445</v>
      </c>
      <c r="AD119" s="4">
        <v>13</v>
      </c>
      <c r="AE119" s="4">
        <v>14</v>
      </c>
      <c r="AF119" s="4">
        <v>3</v>
      </c>
      <c r="AG119" s="4">
        <v>-0.90834372881365233</v>
      </c>
      <c r="AH119" s="14">
        <v>15</v>
      </c>
      <c r="AI119" s="24">
        <f t="shared" si="120"/>
        <v>0</v>
      </c>
      <c r="AJ119" s="24">
        <f t="shared" si="102"/>
        <v>-2</v>
      </c>
      <c r="AK119" t="str">
        <f t="shared" si="113"/>
        <v>1, Superávit y eliminé superávit</v>
      </c>
      <c r="AN119" s="4" t="s">
        <v>263</v>
      </c>
      <c r="AO119" s="4">
        <v>14</v>
      </c>
      <c r="AP119" s="8">
        <v>11.444444444444445</v>
      </c>
      <c r="AQ119" s="4">
        <v>8</v>
      </c>
      <c r="AR119" s="4">
        <v>12</v>
      </c>
      <c r="AS119" s="4">
        <v>12</v>
      </c>
      <c r="AT119" s="4">
        <v>-0.90834372881365233</v>
      </c>
      <c r="AU119" s="14">
        <v>15</v>
      </c>
      <c r="AV119" s="24">
        <f t="shared" si="121"/>
        <v>0</v>
      </c>
      <c r="AW119" s="24">
        <f t="shared" si="104"/>
        <v>-6</v>
      </c>
      <c r="AX119" t="str">
        <f t="shared" si="114"/>
        <v>-2, Superávit y resultado fue bueno</v>
      </c>
      <c r="BA119" s="4" t="s">
        <v>263</v>
      </c>
      <c r="BB119" s="4">
        <v>9</v>
      </c>
      <c r="BC119" s="8">
        <v>9.6666666666666661</v>
      </c>
      <c r="BD119" s="4">
        <v>10</v>
      </c>
      <c r="BE119" s="4">
        <v>11</v>
      </c>
      <c r="BF119" s="4">
        <v>9</v>
      </c>
      <c r="BG119" s="4">
        <v>-0.90834372881365233</v>
      </c>
      <c r="BH119" s="14">
        <v>15</v>
      </c>
      <c r="BI119" s="24">
        <f t="shared" si="122"/>
        <v>1</v>
      </c>
      <c r="BJ119" s="24">
        <f t="shared" si="106"/>
        <v>1</v>
      </c>
      <c r="BK119" t="str">
        <f t="shared" si="115"/>
        <v>0, Superávit y no eliminé superávit</v>
      </c>
      <c r="BM119" s="4" t="s">
        <v>263</v>
      </c>
      <c r="BN119" s="4">
        <v>5</v>
      </c>
      <c r="BO119" s="8">
        <v>11.333333333333334</v>
      </c>
      <c r="BP119" s="4">
        <v>3</v>
      </c>
      <c r="BQ119" s="4">
        <v>3</v>
      </c>
      <c r="BR119" s="4">
        <v>5</v>
      </c>
      <c r="BS119" s="4">
        <v>-0.90834372881365233</v>
      </c>
      <c r="BT119" s="14">
        <v>15</v>
      </c>
      <c r="BU119" s="24">
        <f t="shared" si="123"/>
        <v>0</v>
      </c>
      <c r="BV119" s="24">
        <f t="shared" si="108"/>
        <v>-2</v>
      </c>
      <c r="BW119" t="str">
        <f t="shared" si="116"/>
        <v>-2, no había superávit y resultado fue bueno</v>
      </c>
      <c r="BY119" s="4" t="s">
        <v>263</v>
      </c>
      <c r="BZ119" s="4">
        <v>15</v>
      </c>
      <c r="CA119" s="8">
        <v>12</v>
      </c>
      <c r="CB119" s="4">
        <v>15</v>
      </c>
      <c r="CC119" s="4">
        <v>15</v>
      </c>
      <c r="CD119" s="4">
        <v>12</v>
      </c>
      <c r="CE119" s="4">
        <v>-0.90834372881365233</v>
      </c>
      <c r="CF119" s="14">
        <v>15</v>
      </c>
      <c r="CG119" s="24">
        <f t="shared" si="124"/>
        <v>1</v>
      </c>
      <c r="CH119" s="24">
        <f t="shared" si="110"/>
        <v>0</v>
      </c>
      <c r="CI119" t="str">
        <f t="shared" si="117"/>
        <v>-2, Superávit y resultado fue bueno</v>
      </c>
    </row>
    <row r="120" spans="1:87" ht="14.25" customHeight="1" x14ac:dyDescent="0.3">
      <c r="A120" s="4" t="s">
        <v>261</v>
      </c>
      <c r="B120" s="4">
        <v>29</v>
      </c>
      <c r="C120" s="8">
        <v>22.777777777777779</v>
      </c>
      <c r="D120" s="4">
        <v>29</v>
      </c>
      <c r="E120" s="4">
        <v>28</v>
      </c>
      <c r="F120" s="4">
        <v>27</v>
      </c>
      <c r="G120" s="4">
        <v>-0.99095987605964864</v>
      </c>
      <c r="H120" s="14">
        <v>31</v>
      </c>
      <c r="I120" s="23">
        <f t="shared" si="118"/>
        <v>1</v>
      </c>
      <c r="J120" s="24">
        <f t="shared" si="98"/>
        <v>0</v>
      </c>
      <c r="K120" s="5" t="str">
        <f t="shared" si="111"/>
        <v>-2, Superávit y resultado fue bueno</v>
      </c>
      <c r="L120" s="5"/>
      <c r="M120" s="5"/>
      <c r="N120" s="4" t="s">
        <v>261</v>
      </c>
      <c r="O120" s="4">
        <v>24</v>
      </c>
      <c r="P120" s="8">
        <v>21.333333333333332</v>
      </c>
      <c r="Q120" s="4">
        <v>29</v>
      </c>
      <c r="R120" s="4">
        <v>30</v>
      </c>
      <c r="S120" s="4">
        <v>24</v>
      </c>
      <c r="T120" s="4">
        <v>-0.99095987605964864</v>
      </c>
      <c r="U120" s="14">
        <v>31</v>
      </c>
      <c r="V120" s="24">
        <f t="shared" si="119"/>
        <v>1</v>
      </c>
      <c r="W120" s="24">
        <f t="shared" si="100"/>
        <v>5</v>
      </c>
      <c r="X120" s="5" t="str">
        <f t="shared" si="112"/>
        <v>0, Superávit y no eliminé superávit</v>
      </c>
      <c r="Y120" s="5"/>
      <c r="Z120" s="5"/>
      <c r="AA120" s="4" t="s">
        <v>261</v>
      </c>
      <c r="AB120" s="4">
        <v>28</v>
      </c>
      <c r="AC120" s="8">
        <v>23.222222222222221</v>
      </c>
      <c r="AD120" s="4">
        <v>29</v>
      </c>
      <c r="AE120" s="4">
        <v>29</v>
      </c>
      <c r="AF120" s="4">
        <v>25</v>
      </c>
      <c r="AG120" s="4">
        <v>-0.99095987605964864</v>
      </c>
      <c r="AH120" s="14">
        <v>31</v>
      </c>
      <c r="AI120" s="24">
        <f t="shared" si="120"/>
        <v>1</v>
      </c>
      <c r="AJ120" s="24">
        <f t="shared" si="102"/>
        <v>1</v>
      </c>
      <c r="AK120" t="str">
        <f t="shared" si="113"/>
        <v>-2, Superávit y resultado fue bueno</v>
      </c>
      <c r="AN120" s="4" t="s">
        <v>261</v>
      </c>
      <c r="AO120" s="4">
        <v>10</v>
      </c>
      <c r="AP120" s="8">
        <v>18.444444444444443</v>
      </c>
      <c r="AQ120" s="4">
        <v>15</v>
      </c>
      <c r="AR120" s="4">
        <v>13</v>
      </c>
      <c r="AS120" s="4">
        <v>23</v>
      </c>
      <c r="AT120" s="4">
        <v>-0.99095987605964864</v>
      </c>
      <c r="AU120" s="14">
        <v>31</v>
      </c>
      <c r="AV120" s="24">
        <f t="shared" si="121"/>
        <v>1</v>
      </c>
      <c r="AW120" s="24">
        <f t="shared" si="104"/>
        <v>5</v>
      </c>
      <c r="AX120" t="str">
        <f t="shared" si="114"/>
        <v>0, no había superávit, y la deje con superávit</v>
      </c>
      <c r="BA120" s="4" t="s">
        <v>261</v>
      </c>
      <c r="BB120" s="4">
        <v>28</v>
      </c>
      <c r="BC120" s="8">
        <v>23.888888888888889</v>
      </c>
      <c r="BD120" s="4">
        <v>29</v>
      </c>
      <c r="BE120" s="4">
        <v>29</v>
      </c>
      <c r="BF120" s="4">
        <v>27</v>
      </c>
      <c r="BG120" s="4">
        <v>-0.99095987605964864</v>
      </c>
      <c r="BH120" s="14">
        <v>31</v>
      </c>
      <c r="BI120" s="24">
        <f t="shared" si="122"/>
        <v>1</v>
      </c>
      <c r="BJ120" s="24">
        <f t="shared" si="106"/>
        <v>1</v>
      </c>
      <c r="BK120" t="str">
        <f t="shared" si="115"/>
        <v>-2, Superávit y resultado fue bueno</v>
      </c>
      <c r="BM120" s="4" t="s">
        <v>261</v>
      </c>
      <c r="BN120" s="4">
        <v>27</v>
      </c>
      <c r="BO120" s="8">
        <v>22</v>
      </c>
      <c r="BP120" s="4">
        <v>25</v>
      </c>
      <c r="BQ120" s="4">
        <v>25</v>
      </c>
      <c r="BR120" s="4">
        <v>27</v>
      </c>
      <c r="BS120" s="4">
        <v>-0.99095987605964864</v>
      </c>
      <c r="BT120" s="14">
        <v>31</v>
      </c>
      <c r="BU120" s="24">
        <f t="shared" si="123"/>
        <v>0</v>
      </c>
      <c r="BV120" s="24">
        <f t="shared" si="108"/>
        <v>-2</v>
      </c>
      <c r="BW120" t="str">
        <f t="shared" si="116"/>
        <v>0, Superávit y no eliminé superávit</v>
      </c>
      <c r="BY120" s="4" t="s">
        <v>261</v>
      </c>
      <c r="BZ120" s="4">
        <v>29</v>
      </c>
      <c r="CA120" s="8">
        <v>24.333333333333332</v>
      </c>
      <c r="CB120" s="4">
        <v>29</v>
      </c>
      <c r="CC120" s="4">
        <v>29</v>
      </c>
      <c r="CD120" s="4">
        <v>24</v>
      </c>
      <c r="CE120" s="4">
        <v>-0.99095987605964864</v>
      </c>
      <c r="CF120" s="14">
        <v>31</v>
      </c>
      <c r="CG120" s="24">
        <f t="shared" si="124"/>
        <v>1</v>
      </c>
      <c r="CH120" s="24">
        <f t="shared" si="110"/>
        <v>0</v>
      </c>
      <c r="CI120" t="str">
        <f t="shared" si="117"/>
        <v>-2, Superávit y resultado fue bueno</v>
      </c>
    </row>
    <row r="121" spans="1:87" ht="14.25" customHeight="1" x14ac:dyDescent="0.3">
      <c r="A121" s="4" t="s">
        <v>260</v>
      </c>
      <c r="B121" s="4">
        <v>13</v>
      </c>
      <c r="C121" s="8">
        <v>13.555555555555555</v>
      </c>
      <c r="D121" s="4">
        <v>13</v>
      </c>
      <c r="E121" s="4">
        <v>15</v>
      </c>
      <c r="F121" s="4">
        <v>13</v>
      </c>
      <c r="G121" s="4">
        <v>-1.072806810743151</v>
      </c>
      <c r="H121" s="14">
        <v>19</v>
      </c>
      <c r="I121" s="23">
        <f t="shared" si="118"/>
        <v>1</v>
      </c>
      <c r="J121" s="24">
        <f t="shared" si="98"/>
        <v>0</v>
      </c>
      <c r="K121" s="5" t="str">
        <f t="shared" si="111"/>
        <v>0, Superávit y no eliminé superávit</v>
      </c>
      <c r="L121" s="5"/>
      <c r="M121" s="5"/>
      <c r="N121" s="4" t="s">
        <v>260</v>
      </c>
      <c r="O121" s="4">
        <v>15</v>
      </c>
      <c r="P121" s="8">
        <v>15</v>
      </c>
      <c r="Q121" s="4">
        <v>7</v>
      </c>
      <c r="R121" s="4">
        <v>8</v>
      </c>
      <c r="S121" s="4">
        <v>15</v>
      </c>
      <c r="T121" s="4">
        <v>-1.072806810743151</v>
      </c>
      <c r="U121" s="14">
        <v>19</v>
      </c>
      <c r="V121" s="24">
        <f t="shared" si="119"/>
        <v>0</v>
      </c>
      <c r="W121" s="24">
        <f t="shared" si="100"/>
        <v>-8</v>
      </c>
      <c r="X121" s="5" t="str">
        <f t="shared" si="112"/>
        <v>0, Superávit y no eliminé superávit</v>
      </c>
      <c r="Y121" s="5"/>
      <c r="Z121" s="5"/>
      <c r="AA121" s="4" t="s">
        <v>260</v>
      </c>
      <c r="AB121" s="4">
        <v>8</v>
      </c>
      <c r="AC121" s="8">
        <v>12.555555555555555</v>
      </c>
      <c r="AD121" s="4">
        <v>15</v>
      </c>
      <c r="AE121" s="4">
        <v>15</v>
      </c>
      <c r="AF121" s="4">
        <v>8</v>
      </c>
      <c r="AG121" s="4">
        <v>-1.072806810743151</v>
      </c>
      <c r="AH121" s="14">
        <v>19</v>
      </c>
      <c r="AI121" s="24">
        <f t="shared" si="120"/>
        <v>1</v>
      </c>
      <c r="AJ121" s="24">
        <f t="shared" si="102"/>
        <v>7</v>
      </c>
      <c r="AK121" t="str">
        <f t="shared" si="113"/>
        <v>-2, no había superávit y resultado fue bueno</v>
      </c>
      <c r="AN121" s="4" t="s">
        <v>260</v>
      </c>
      <c r="AO121" s="4">
        <v>16</v>
      </c>
      <c r="AP121" s="8">
        <v>14.222222222222221</v>
      </c>
      <c r="AQ121" s="4">
        <v>16</v>
      </c>
      <c r="AR121" s="4">
        <v>14</v>
      </c>
      <c r="AS121" s="4">
        <v>16</v>
      </c>
      <c r="AT121" s="4">
        <v>-1.072806810743151</v>
      </c>
      <c r="AU121" s="14">
        <v>19</v>
      </c>
      <c r="AV121" s="24">
        <f t="shared" si="121"/>
        <v>1</v>
      </c>
      <c r="AW121" s="24">
        <f t="shared" si="104"/>
        <v>0</v>
      </c>
      <c r="AX121" t="str">
        <f t="shared" si="114"/>
        <v>0, Superávit y no eliminé superávit</v>
      </c>
      <c r="BA121" s="4" t="s">
        <v>260</v>
      </c>
      <c r="BB121" s="4">
        <v>14</v>
      </c>
      <c r="BC121" s="8">
        <v>12.777777777777779</v>
      </c>
      <c r="BD121" s="4">
        <v>15</v>
      </c>
      <c r="BE121" s="4">
        <v>16</v>
      </c>
      <c r="BF121" s="4">
        <v>14</v>
      </c>
      <c r="BG121" s="4">
        <v>-1.072806810743151</v>
      </c>
      <c r="BH121" s="14">
        <v>19</v>
      </c>
      <c r="BI121" s="24">
        <f t="shared" si="122"/>
        <v>1</v>
      </c>
      <c r="BJ121" s="24">
        <f t="shared" si="106"/>
        <v>1</v>
      </c>
      <c r="BK121" t="str">
        <f t="shared" si="115"/>
        <v>0, Superávit y no eliminé superávit</v>
      </c>
      <c r="BM121" s="4" t="s">
        <v>260</v>
      </c>
      <c r="BN121" s="4">
        <v>11</v>
      </c>
      <c r="BO121" s="8">
        <v>12.111111111111111</v>
      </c>
      <c r="BP121" s="4">
        <v>9</v>
      </c>
      <c r="BQ121" s="4">
        <v>9</v>
      </c>
      <c r="BR121" s="4">
        <v>16</v>
      </c>
      <c r="BS121" s="4">
        <v>-1.072806810743151</v>
      </c>
      <c r="BT121" s="14">
        <v>19</v>
      </c>
      <c r="BU121" s="24">
        <f t="shared" si="123"/>
        <v>0</v>
      </c>
      <c r="BV121" s="24">
        <f t="shared" si="108"/>
        <v>-2</v>
      </c>
      <c r="BW121" t="str">
        <f t="shared" si="116"/>
        <v>0, Superávit y no eliminé superávit</v>
      </c>
      <c r="BY121" s="4" t="s">
        <v>260</v>
      </c>
      <c r="BZ121" s="4">
        <v>4</v>
      </c>
      <c r="CA121" s="8">
        <v>11.444444444444445</v>
      </c>
      <c r="CB121" s="4">
        <v>3</v>
      </c>
      <c r="CC121" s="4">
        <v>1</v>
      </c>
      <c r="CD121" s="4">
        <v>6</v>
      </c>
      <c r="CE121" s="4">
        <v>-1.072806810743151</v>
      </c>
      <c r="CF121" s="14">
        <v>19</v>
      </c>
      <c r="CG121" s="24">
        <f t="shared" si="124"/>
        <v>0</v>
      </c>
      <c r="CH121" s="24">
        <f t="shared" si="110"/>
        <v>-1</v>
      </c>
      <c r="CI121" t="str">
        <f t="shared" si="117"/>
        <v>-2, no había superávit y resultado fue bueno</v>
      </c>
    </row>
    <row r="122" spans="1:87" ht="14.25" customHeight="1" x14ac:dyDescent="0.3">
      <c r="A122" s="4" t="s">
        <v>259</v>
      </c>
      <c r="B122" s="4">
        <v>3</v>
      </c>
      <c r="C122" s="8">
        <v>10.333333333333334</v>
      </c>
      <c r="D122" s="4">
        <v>2</v>
      </c>
      <c r="E122" s="4">
        <v>2</v>
      </c>
      <c r="F122" s="4">
        <v>16</v>
      </c>
      <c r="G122" s="4">
        <v>-1.1154133211974251</v>
      </c>
      <c r="H122" s="14">
        <v>19</v>
      </c>
      <c r="I122" s="23">
        <f t="shared" si="118"/>
        <v>0</v>
      </c>
      <c r="J122" s="24">
        <f t="shared" si="98"/>
        <v>-1</v>
      </c>
      <c r="K122" s="5" t="str">
        <f t="shared" si="111"/>
        <v>0, no había superávit, y la deje con superávit</v>
      </c>
      <c r="L122" s="5"/>
      <c r="M122" s="5"/>
      <c r="N122" s="4" t="s">
        <v>259</v>
      </c>
      <c r="O122" s="4">
        <v>15</v>
      </c>
      <c r="P122" s="8">
        <v>12.555555555555555</v>
      </c>
      <c r="Q122" s="4">
        <v>6</v>
      </c>
      <c r="R122" s="4">
        <v>6</v>
      </c>
      <c r="S122" s="4">
        <v>3</v>
      </c>
      <c r="T122" s="4">
        <v>-1.1154133211974251</v>
      </c>
      <c r="U122" s="14">
        <v>19</v>
      </c>
      <c r="V122" s="24">
        <f t="shared" si="119"/>
        <v>0</v>
      </c>
      <c r="W122" s="24">
        <f t="shared" si="100"/>
        <v>-9</v>
      </c>
      <c r="X122" s="5" t="str">
        <f t="shared" si="112"/>
        <v>1, Superávit y eliminé superávit</v>
      </c>
      <c r="Y122" s="5"/>
      <c r="Z122" s="5"/>
      <c r="AA122" s="4" t="s">
        <v>259</v>
      </c>
      <c r="AB122" s="4">
        <v>18</v>
      </c>
      <c r="AC122" s="8">
        <v>13.111111111111111</v>
      </c>
      <c r="AD122" s="4">
        <v>18</v>
      </c>
      <c r="AE122" s="4">
        <v>18</v>
      </c>
      <c r="AF122" s="4">
        <v>3</v>
      </c>
      <c r="AG122" s="4">
        <v>-1.1154133211974251</v>
      </c>
      <c r="AH122" s="14">
        <v>19</v>
      </c>
      <c r="AI122" s="24">
        <f t="shared" si="120"/>
        <v>1</v>
      </c>
      <c r="AJ122" s="24">
        <f t="shared" si="102"/>
        <v>0</v>
      </c>
      <c r="AK122" t="str">
        <f t="shared" si="113"/>
        <v>1, Superávit y eliminé superávit</v>
      </c>
      <c r="AN122" s="4" t="s">
        <v>259</v>
      </c>
      <c r="AO122" s="4">
        <v>16</v>
      </c>
      <c r="AP122" s="8">
        <v>13.555555555555555</v>
      </c>
      <c r="AQ122" s="4">
        <v>15</v>
      </c>
      <c r="AR122" s="4">
        <v>15</v>
      </c>
      <c r="AS122" s="4">
        <v>16</v>
      </c>
      <c r="AT122" s="4">
        <v>-1.1154133211974251</v>
      </c>
      <c r="AU122" s="14">
        <v>19</v>
      </c>
      <c r="AV122" s="24">
        <f t="shared" si="121"/>
        <v>0</v>
      </c>
      <c r="AW122" s="24">
        <f t="shared" si="104"/>
        <v>-1</v>
      </c>
      <c r="AX122" t="str">
        <f t="shared" si="114"/>
        <v>0, Superávit y no eliminé superávit</v>
      </c>
      <c r="BA122" s="4" t="s">
        <v>259</v>
      </c>
      <c r="BB122" s="4">
        <v>19</v>
      </c>
      <c r="BC122" s="8">
        <v>15.888888888888889</v>
      </c>
      <c r="BD122" s="4">
        <v>18</v>
      </c>
      <c r="BE122" s="4">
        <v>17</v>
      </c>
      <c r="BF122" s="4">
        <v>10</v>
      </c>
      <c r="BG122" s="4">
        <v>-1.1154133211974251</v>
      </c>
      <c r="BH122" s="14">
        <v>19</v>
      </c>
      <c r="BI122" s="24">
        <f t="shared" si="122"/>
        <v>0</v>
      </c>
      <c r="BJ122" s="24">
        <f t="shared" si="106"/>
        <v>-1</v>
      </c>
      <c r="BK122" t="str">
        <f t="shared" si="115"/>
        <v>-2, Superávit y resultado fue bueno</v>
      </c>
      <c r="BM122" s="4" t="s">
        <v>259</v>
      </c>
      <c r="BN122" s="4">
        <v>13</v>
      </c>
      <c r="BO122" s="8">
        <v>14.777777777777779</v>
      </c>
      <c r="BP122" s="4">
        <v>14</v>
      </c>
      <c r="BQ122" s="4">
        <v>12</v>
      </c>
      <c r="BR122" s="4">
        <v>5</v>
      </c>
      <c r="BS122" s="4">
        <v>-1.1154133211974251</v>
      </c>
      <c r="BT122" s="14">
        <v>19</v>
      </c>
      <c r="BU122" s="24">
        <f t="shared" si="123"/>
        <v>1</v>
      </c>
      <c r="BV122" s="24">
        <f t="shared" si="108"/>
        <v>1</v>
      </c>
      <c r="BW122" t="str">
        <f t="shared" si="116"/>
        <v>1, Superávit y eliminé superávit</v>
      </c>
      <c r="BY122" s="4" t="s">
        <v>259</v>
      </c>
      <c r="BZ122" s="4">
        <v>15</v>
      </c>
      <c r="CA122" s="8">
        <v>14.666666666666666</v>
      </c>
      <c r="CB122" s="4">
        <v>17</v>
      </c>
      <c r="CC122" s="4">
        <v>16</v>
      </c>
      <c r="CD122" s="4">
        <v>15</v>
      </c>
      <c r="CE122" s="4">
        <v>-1.1154133211974251</v>
      </c>
      <c r="CF122" s="14">
        <v>19</v>
      </c>
      <c r="CG122" s="24">
        <f t="shared" si="124"/>
        <v>1</v>
      </c>
      <c r="CH122" s="24">
        <f t="shared" si="110"/>
        <v>2</v>
      </c>
      <c r="CI122" t="str">
        <f t="shared" si="117"/>
        <v>0, Superávit y no eliminé superávit</v>
      </c>
    </row>
    <row r="123" spans="1:87" ht="14.25" customHeight="1" x14ac:dyDescent="0.3">
      <c r="A123" s="4" t="s">
        <v>258</v>
      </c>
      <c r="B123" s="4">
        <v>9</v>
      </c>
      <c r="C123" s="8">
        <v>10.777777777777779</v>
      </c>
      <c r="D123" s="4">
        <v>6</v>
      </c>
      <c r="E123" s="4">
        <v>7</v>
      </c>
      <c r="F123" s="4">
        <v>9</v>
      </c>
      <c r="G123" s="4">
        <v>-1.12017317951397</v>
      </c>
      <c r="H123" s="14">
        <v>16</v>
      </c>
      <c r="I123" s="23">
        <f t="shared" si="118"/>
        <v>0</v>
      </c>
      <c r="J123" s="24">
        <f t="shared" si="98"/>
        <v>-3</v>
      </c>
      <c r="K123" s="5" t="str">
        <f t="shared" si="111"/>
        <v>0, Superávit y no eliminé superávit</v>
      </c>
      <c r="L123" s="5"/>
      <c r="M123" s="5"/>
      <c r="N123" s="4" t="s">
        <v>258</v>
      </c>
      <c r="O123" s="4">
        <v>12</v>
      </c>
      <c r="P123" s="8">
        <v>8.6666666666666661</v>
      </c>
      <c r="Q123" s="4">
        <v>13</v>
      </c>
      <c r="R123" s="4">
        <v>12</v>
      </c>
      <c r="S123" s="4">
        <v>12</v>
      </c>
      <c r="T123" s="4">
        <v>-1.12017317951397</v>
      </c>
      <c r="U123" s="14">
        <v>16</v>
      </c>
      <c r="V123" s="24">
        <f t="shared" si="119"/>
        <v>1</v>
      </c>
      <c r="W123" s="24">
        <f t="shared" si="100"/>
        <v>1</v>
      </c>
      <c r="X123" s="5" t="str">
        <f t="shared" si="112"/>
        <v>0, Superávit y no eliminé superávit</v>
      </c>
      <c r="Y123" s="5"/>
      <c r="Z123" s="5"/>
      <c r="AA123" s="4" t="s">
        <v>258</v>
      </c>
      <c r="AB123" s="4">
        <v>9</v>
      </c>
      <c r="AC123" s="8">
        <v>7</v>
      </c>
      <c r="AD123" s="4">
        <v>8</v>
      </c>
      <c r="AE123" s="4">
        <v>7</v>
      </c>
      <c r="AF123" s="4">
        <v>9</v>
      </c>
      <c r="AG123" s="4">
        <v>-1.12017317951397</v>
      </c>
      <c r="AH123" s="14">
        <v>16</v>
      </c>
      <c r="AI123" s="24">
        <f t="shared" si="120"/>
        <v>0</v>
      </c>
      <c r="AJ123" s="24">
        <f t="shared" si="102"/>
        <v>-1</v>
      </c>
      <c r="AK123" t="str">
        <f t="shared" si="113"/>
        <v>0, Superávit y no eliminé superávit</v>
      </c>
      <c r="AN123" s="4" t="s">
        <v>258</v>
      </c>
      <c r="AO123" s="4">
        <v>12</v>
      </c>
      <c r="AP123" s="8">
        <v>8.8888888888888893</v>
      </c>
      <c r="AQ123" s="4">
        <v>12</v>
      </c>
      <c r="AR123" s="4">
        <v>14</v>
      </c>
      <c r="AS123" s="4">
        <v>13</v>
      </c>
      <c r="AT123" s="4">
        <v>-1.12017317951397</v>
      </c>
      <c r="AU123" s="14">
        <v>16</v>
      </c>
      <c r="AV123" s="24">
        <f t="shared" si="121"/>
        <v>1</v>
      </c>
      <c r="AW123" s="24">
        <f t="shared" si="104"/>
        <v>0</v>
      </c>
      <c r="AX123" t="str">
        <f t="shared" si="114"/>
        <v>0, Superávit y no eliminé superávit</v>
      </c>
      <c r="BA123" s="4" t="s">
        <v>258</v>
      </c>
      <c r="BB123" s="4">
        <v>9</v>
      </c>
      <c r="BC123" s="8">
        <v>10.333333333333334</v>
      </c>
      <c r="BD123" s="4">
        <v>9</v>
      </c>
      <c r="BE123" s="4">
        <v>8</v>
      </c>
      <c r="BF123" s="4">
        <v>9</v>
      </c>
      <c r="BG123" s="4">
        <v>-1.12017317951397</v>
      </c>
      <c r="BH123" s="14">
        <v>16</v>
      </c>
      <c r="BI123" s="24">
        <f t="shared" si="122"/>
        <v>1</v>
      </c>
      <c r="BJ123" s="24">
        <f t="shared" si="106"/>
        <v>0</v>
      </c>
      <c r="BK123" t="str">
        <f t="shared" si="115"/>
        <v>0, Superávit y no eliminé superávit</v>
      </c>
      <c r="BM123" s="4" t="s">
        <v>258</v>
      </c>
      <c r="BN123" s="4">
        <v>16</v>
      </c>
      <c r="BO123" s="8">
        <v>12.777777777777779</v>
      </c>
      <c r="BP123" s="4">
        <v>14</v>
      </c>
      <c r="BQ123" s="4">
        <v>15</v>
      </c>
      <c r="BR123" s="4">
        <v>13</v>
      </c>
      <c r="BS123" s="4">
        <v>-1.12017317951397</v>
      </c>
      <c r="BT123" s="14">
        <v>16</v>
      </c>
      <c r="BU123" s="24">
        <f t="shared" si="123"/>
        <v>0</v>
      </c>
      <c r="BV123" s="24">
        <f t="shared" si="108"/>
        <v>-2</v>
      </c>
      <c r="BW123" t="str">
        <f t="shared" si="116"/>
        <v>-2, Superávit y resultado fue bueno</v>
      </c>
      <c r="BY123" s="4" t="s">
        <v>258</v>
      </c>
      <c r="BZ123" s="4">
        <v>12</v>
      </c>
      <c r="CA123" s="8">
        <v>11.777777777777779</v>
      </c>
      <c r="CB123" s="4">
        <v>12</v>
      </c>
      <c r="CC123" s="4">
        <v>12</v>
      </c>
      <c r="CD123" s="4">
        <v>12</v>
      </c>
      <c r="CE123" s="4">
        <v>-1.12017317951397</v>
      </c>
      <c r="CF123" s="14">
        <v>16</v>
      </c>
      <c r="CG123" s="24">
        <f t="shared" si="124"/>
        <v>1</v>
      </c>
      <c r="CH123" s="24">
        <f t="shared" si="110"/>
        <v>0</v>
      </c>
      <c r="CI123" t="str">
        <f t="shared" si="117"/>
        <v>0, Superávit y no eliminé superávit</v>
      </c>
    </row>
    <row r="124" spans="1:87" ht="14.25" customHeight="1" x14ac:dyDescent="0.3">
      <c r="A124" s="4" t="s">
        <v>264</v>
      </c>
      <c r="B124" s="4">
        <v>18</v>
      </c>
      <c r="C124" s="8">
        <v>13.111111111111111</v>
      </c>
      <c r="D124" s="4">
        <v>7</v>
      </c>
      <c r="E124" s="4">
        <v>8</v>
      </c>
      <c r="F124" s="4">
        <v>16</v>
      </c>
      <c r="G124" s="4">
        <v>-1.196962071035268</v>
      </c>
      <c r="H124" s="14">
        <v>19</v>
      </c>
      <c r="I124" s="23">
        <f t="shared" si="118"/>
        <v>0</v>
      </c>
      <c r="J124" s="24">
        <f t="shared" si="98"/>
        <v>-11</v>
      </c>
      <c r="K124" s="5" t="str">
        <f t="shared" si="111"/>
        <v>-2, Superávit y resultado fue bueno</v>
      </c>
      <c r="L124" s="5"/>
      <c r="M124" s="5"/>
      <c r="N124" s="4" t="s">
        <v>264</v>
      </c>
      <c r="O124" s="4">
        <v>15</v>
      </c>
      <c r="P124" s="8">
        <v>9.2222222222222214</v>
      </c>
      <c r="Q124" s="4">
        <v>12</v>
      </c>
      <c r="R124" s="4">
        <v>11</v>
      </c>
      <c r="S124" s="4">
        <v>15</v>
      </c>
      <c r="T124" s="4">
        <v>-1.196962071035268</v>
      </c>
      <c r="U124" s="14">
        <v>19</v>
      </c>
      <c r="V124" s="24">
        <f t="shared" si="119"/>
        <v>0</v>
      </c>
      <c r="W124" s="24">
        <f t="shared" si="100"/>
        <v>-3</v>
      </c>
      <c r="X124" s="5" t="str">
        <f t="shared" si="112"/>
        <v>0, Superávit y no eliminé superávit</v>
      </c>
      <c r="Y124" s="5"/>
      <c r="Z124" s="5"/>
      <c r="AA124" s="4" t="s">
        <v>264</v>
      </c>
      <c r="AB124" s="4">
        <v>8</v>
      </c>
      <c r="AC124" s="8">
        <v>11.111111111111111</v>
      </c>
      <c r="AD124" s="4">
        <v>12</v>
      </c>
      <c r="AE124" s="4">
        <v>17</v>
      </c>
      <c r="AF124" s="4">
        <v>8</v>
      </c>
      <c r="AG124" s="4">
        <v>-1.196962071035268</v>
      </c>
      <c r="AH124" s="14">
        <v>19</v>
      </c>
      <c r="AI124" s="24">
        <f t="shared" si="120"/>
        <v>1</v>
      </c>
      <c r="AJ124" s="24">
        <f t="shared" si="102"/>
        <v>4</v>
      </c>
      <c r="AK124" t="str">
        <f t="shared" si="113"/>
        <v>-2, no había superávit y resultado fue bueno</v>
      </c>
      <c r="AN124" s="4" t="s">
        <v>264</v>
      </c>
      <c r="AO124" s="4">
        <v>13</v>
      </c>
      <c r="AP124" s="8">
        <v>12.666666666666666</v>
      </c>
      <c r="AQ124" s="4">
        <v>14</v>
      </c>
      <c r="AR124" s="4">
        <v>19</v>
      </c>
      <c r="AS124" s="4">
        <v>13</v>
      </c>
      <c r="AT124" s="4">
        <v>-1.196962071035268</v>
      </c>
      <c r="AU124" s="14">
        <v>19</v>
      </c>
      <c r="AV124" s="24">
        <f t="shared" si="121"/>
        <v>1</v>
      </c>
      <c r="AW124" s="24">
        <f t="shared" si="104"/>
        <v>1</v>
      </c>
      <c r="AX124" t="str">
        <f t="shared" si="114"/>
        <v>0, Superávit y no eliminé superávit</v>
      </c>
      <c r="BA124" s="4" t="s">
        <v>264</v>
      </c>
      <c r="BB124" s="4">
        <v>17</v>
      </c>
      <c r="BC124" s="8">
        <v>13.777777777777779</v>
      </c>
      <c r="BD124" s="4">
        <v>17</v>
      </c>
      <c r="BE124" s="4">
        <v>18</v>
      </c>
      <c r="BF124" s="4">
        <v>14</v>
      </c>
      <c r="BG124" s="4">
        <v>-1.196962071035268</v>
      </c>
      <c r="BH124" s="14">
        <v>19</v>
      </c>
      <c r="BI124" s="24">
        <f t="shared" si="122"/>
        <v>1</v>
      </c>
      <c r="BJ124" s="24">
        <f t="shared" si="106"/>
        <v>0</v>
      </c>
      <c r="BK124" t="str">
        <f t="shared" si="115"/>
        <v>-2, Superávit y resultado fue bueno</v>
      </c>
      <c r="BM124" s="4" t="s">
        <v>264</v>
      </c>
      <c r="BN124" s="4">
        <v>19</v>
      </c>
      <c r="BO124" s="8">
        <v>15.666666666666666</v>
      </c>
      <c r="BP124" s="4">
        <v>12</v>
      </c>
      <c r="BQ124" s="4">
        <v>13</v>
      </c>
      <c r="BR124" s="4">
        <v>15</v>
      </c>
      <c r="BS124" s="4">
        <v>-1.196962071035268</v>
      </c>
      <c r="BT124" s="14">
        <v>19</v>
      </c>
      <c r="BU124" s="24">
        <f t="shared" si="123"/>
        <v>0</v>
      </c>
      <c r="BV124" s="24">
        <f t="shared" si="108"/>
        <v>-7</v>
      </c>
      <c r="BW124" t="str">
        <f t="shared" si="116"/>
        <v>-2, Superávit y resultado fue bueno</v>
      </c>
      <c r="BY124" s="4" t="s">
        <v>264</v>
      </c>
      <c r="BZ124" s="4">
        <v>18</v>
      </c>
      <c r="CA124" s="8">
        <v>14.333333333333334</v>
      </c>
      <c r="CB124" s="4">
        <v>18</v>
      </c>
      <c r="CC124" s="4">
        <v>18</v>
      </c>
      <c r="CD124" s="4">
        <v>16</v>
      </c>
      <c r="CE124" s="4">
        <v>-1.196962071035268</v>
      </c>
      <c r="CF124" s="14">
        <v>19</v>
      </c>
      <c r="CG124" s="24">
        <f t="shared" si="124"/>
        <v>1</v>
      </c>
      <c r="CH124" s="24">
        <f t="shared" si="110"/>
        <v>0</v>
      </c>
      <c r="CI124" t="str">
        <f t="shared" si="117"/>
        <v>-2, Superávit y resultado fue bueno</v>
      </c>
    </row>
    <row r="125" spans="1:87" ht="14.25" customHeight="1" x14ac:dyDescent="0.3">
      <c r="A125" s="4" t="s">
        <v>265</v>
      </c>
      <c r="B125" s="4">
        <v>10</v>
      </c>
      <c r="C125" s="8">
        <v>11.222222222222221</v>
      </c>
      <c r="D125" s="4">
        <v>15</v>
      </c>
      <c r="E125" s="4">
        <v>15</v>
      </c>
      <c r="F125" s="4">
        <v>10</v>
      </c>
      <c r="G125" s="4">
        <v>-1.2097705883740471</v>
      </c>
      <c r="H125" s="14">
        <v>15</v>
      </c>
      <c r="I125" s="23">
        <f t="shared" si="118"/>
        <v>1</v>
      </c>
      <c r="J125" s="24">
        <f t="shared" si="98"/>
        <v>5</v>
      </c>
      <c r="K125" s="5" t="str">
        <f t="shared" si="111"/>
        <v>0, Superávit y no eliminé superávit</v>
      </c>
      <c r="L125" s="5"/>
      <c r="M125" s="5"/>
      <c r="N125" s="4" t="s">
        <v>265</v>
      </c>
      <c r="O125" s="4">
        <v>12</v>
      </c>
      <c r="P125" s="8">
        <v>8.4444444444444446</v>
      </c>
      <c r="Q125" s="4">
        <v>1</v>
      </c>
      <c r="R125" s="4">
        <v>5</v>
      </c>
      <c r="S125" s="4">
        <v>12</v>
      </c>
      <c r="T125" s="4">
        <v>-1.2097705883740471</v>
      </c>
      <c r="U125" s="14">
        <v>15</v>
      </c>
      <c r="V125" s="24">
        <f t="shared" si="119"/>
        <v>0</v>
      </c>
      <c r="W125" s="24">
        <f t="shared" si="100"/>
        <v>-11</v>
      </c>
      <c r="X125" s="5" t="str">
        <f t="shared" si="112"/>
        <v>0, Superávit y no eliminé superávit</v>
      </c>
      <c r="Y125" s="5"/>
      <c r="Z125" s="5"/>
      <c r="AA125" s="4" t="s">
        <v>265</v>
      </c>
      <c r="AB125" s="4">
        <v>11</v>
      </c>
      <c r="AC125" s="8">
        <v>7.333333333333333</v>
      </c>
      <c r="AD125" s="4">
        <v>14</v>
      </c>
      <c r="AE125" s="4">
        <v>14</v>
      </c>
      <c r="AF125" s="4">
        <v>11</v>
      </c>
      <c r="AG125" s="4">
        <v>-1.2097705883740471</v>
      </c>
      <c r="AH125" s="14">
        <v>15</v>
      </c>
      <c r="AI125" s="24">
        <f t="shared" si="120"/>
        <v>1</v>
      </c>
      <c r="AJ125" s="24">
        <f t="shared" si="102"/>
        <v>3</v>
      </c>
      <c r="AK125" t="str">
        <f t="shared" si="113"/>
        <v>0, Superávit y no eliminé superávit</v>
      </c>
      <c r="AN125" s="4" t="s">
        <v>265</v>
      </c>
      <c r="AO125" s="4">
        <v>14</v>
      </c>
      <c r="AP125" s="8">
        <v>10.888888888888889</v>
      </c>
      <c r="AQ125" s="4">
        <v>14</v>
      </c>
      <c r="AR125" s="4">
        <v>13</v>
      </c>
      <c r="AS125" s="4">
        <v>13</v>
      </c>
      <c r="AT125" s="4">
        <v>-1.2097705883740471</v>
      </c>
      <c r="AU125" s="14">
        <v>15</v>
      </c>
      <c r="AV125" s="24">
        <f t="shared" si="121"/>
        <v>1</v>
      </c>
      <c r="AW125" s="24">
        <f t="shared" si="104"/>
        <v>0</v>
      </c>
      <c r="AX125" t="str">
        <f t="shared" si="114"/>
        <v>-2, Superávit y resultado fue bueno</v>
      </c>
      <c r="BA125" s="4" t="s">
        <v>265</v>
      </c>
      <c r="BB125" s="4">
        <v>10</v>
      </c>
      <c r="BC125" s="8">
        <v>10.555555555555555</v>
      </c>
      <c r="BD125" s="4">
        <v>10</v>
      </c>
      <c r="BE125" s="4">
        <v>10</v>
      </c>
      <c r="BF125" s="4">
        <v>13</v>
      </c>
      <c r="BG125" s="4">
        <v>-1.2097705883740471</v>
      </c>
      <c r="BH125" s="14">
        <v>15</v>
      </c>
      <c r="BI125" s="24">
        <f t="shared" si="122"/>
        <v>1</v>
      </c>
      <c r="BJ125" s="24">
        <f t="shared" si="106"/>
        <v>0</v>
      </c>
      <c r="BK125" t="str">
        <f t="shared" si="115"/>
        <v>0, Superávit y no eliminé superávit</v>
      </c>
      <c r="BM125" s="4" t="s">
        <v>265</v>
      </c>
      <c r="BN125" s="4">
        <v>11</v>
      </c>
      <c r="BO125" s="8">
        <v>12.111111111111111</v>
      </c>
      <c r="BP125" s="4">
        <v>13</v>
      </c>
      <c r="BQ125" s="4">
        <v>10</v>
      </c>
      <c r="BR125" s="4">
        <v>13</v>
      </c>
      <c r="BS125" s="4">
        <v>-1.2097705883740471</v>
      </c>
      <c r="BT125" s="14">
        <v>15</v>
      </c>
      <c r="BU125" s="24">
        <f t="shared" si="123"/>
        <v>1</v>
      </c>
      <c r="BV125" s="24">
        <f t="shared" si="108"/>
        <v>2</v>
      </c>
      <c r="BW125" t="str">
        <f t="shared" si="116"/>
        <v>0, Superávit y no eliminé superávit</v>
      </c>
      <c r="BY125" s="4" t="s">
        <v>265</v>
      </c>
      <c r="BZ125" s="4">
        <v>15</v>
      </c>
      <c r="CA125" s="8">
        <v>12.222222222222221</v>
      </c>
      <c r="CB125" s="4">
        <v>14</v>
      </c>
      <c r="CC125" s="4">
        <v>13</v>
      </c>
      <c r="CD125" s="4">
        <v>13</v>
      </c>
      <c r="CE125" s="4">
        <v>-1.2097705883740471</v>
      </c>
      <c r="CF125" s="14">
        <v>15</v>
      </c>
      <c r="CG125" s="24">
        <f t="shared" si="124"/>
        <v>0</v>
      </c>
      <c r="CH125" s="24">
        <f t="shared" si="110"/>
        <v>-1</v>
      </c>
      <c r="CI125" t="str">
        <f t="shared" si="117"/>
        <v>-2, Superávit y resultado fue bueno</v>
      </c>
    </row>
    <row r="126" spans="1:87" ht="14.25" customHeight="1" x14ac:dyDescent="0.3">
      <c r="A126" s="4" t="s">
        <v>262</v>
      </c>
      <c r="B126" s="4">
        <v>24</v>
      </c>
      <c r="C126" s="8">
        <v>23.111111111111111</v>
      </c>
      <c r="D126" s="4">
        <v>26</v>
      </c>
      <c r="E126" s="4">
        <v>27</v>
      </c>
      <c r="F126" s="4">
        <v>24</v>
      </c>
      <c r="G126" s="4">
        <v>-1.679865001322572</v>
      </c>
      <c r="H126" s="14">
        <v>27</v>
      </c>
      <c r="I126" s="23">
        <f t="shared" si="118"/>
        <v>1</v>
      </c>
      <c r="J126" s="24">
        <f t="shared" si="98"/>
        <v>2</v>
      </c>
      <c r="K126" s="5" t="str">
        <f t="shared" si="111"/>
        <v>0, Superávit y no eliminé superávit</v>
      </c>
      <c r="L126" s="5"/>
      <c r="M126" s="5"/>
      <c r="N126" s="4" t="s">
        <v>262</v>
      </c>
      <c r="O126" s="4">
        <v>22</v>
      </c>
      <c r="P126" s="8">
        <v>23.888888888888889</v>
      </c>
      <c r="Q126" s="4">
        <v>24</v>
      </c>
      <c r="R126" s="4">
        <v>24</v>
      </c>
      <c r="S126" s="4">
        <v>22</v>
      </c>
      <c r="T126" s="4">
        <v>-1.679865001322572</v>
      </c>
      <c r="U126" s="14">
        <v>27</v>
      </c>
      <c r="V126" s="24">
        <f t="shared" si="119"/>
        <v>1</v>
      </c>
      <c r="W126" s="24">
        <f t="shared" si="100"/>
        <v>2</v>
      </c>
      <c r="X126" s="5" t="str">
        <f t="shared" si="112"/>
        <v>0, Superávit y no eliminé superávit</v>
      </c>
      <c r="Y126" s="5"/>
      <c r="Z126" s="5"/>
      <c r="AA126" s="4" t="s">
        <v>262</v>
      </c>
      <c r="AB126" s="4">
        <v>21</v>
      </c>
      <c r="AC126" s="8">
        <v>24.111111111111111</v>
      </c>
      <c r="AD126" s="4">
        <v>22</v>
      </c>
      <c r="AE126" s="4">
        <v>22</v>
      </c>
      <c r="AF126" s="4">
        <v>21</v>
      </c>
      <c r="AG126" s="4">
        <v>-1.679865001322572</v>
      </c>
      <c r="AH126" s="14">
        <v>27</v>
      </c>
      <c r="AI126" s="24">
        <f t="shared" si="120"/>
        <v>1</v>
      </c>
      <c r="AJ126" s="24">
        <f t="shared" si="102"/>
        <v>1</v>
      </c>
      <c r="AK126" t="str">
        <f t="shared" si="113"/>
        <v>0, Superávit y no eliminé superávit</v>
      </c>
      <c r="AN126" s="4" t="s">
        <v>262</v>
      </c>
      <c r="AO126" s="4">
        <v>26</v>
      </c>
      <c r="AP126" s="8">
        <v>24</v>
      </c>
      <c r="AQ126" s="4">
        <v>27</v>
      </c>
      <c r="AR126" s="4">
        <v>27</v>
      </c>
      <c r="AS126" s="4">
        <v>16</v>
      </c>
      <c r="AT126" s="4">
        <v>-1.679865001322572</v>
      </c>
      <c r="AU126" s="14">
        <v>27</v>
      </c>
      <c r="AV126" s="24">
        <f t="shared" si="121"/>
        <v>1</v>
      </c>
      <c r="AW126" s="24">
        <f t="shared" si="104"/>
        <v>1</v>
      </c>
      <c r="AX126" t="str">
        <f t="shared" si="114"/>
        <v>-2, Superávit y resultado fue bueno</v>
      </c>
      <c r="BA126" s="4" t="s">
        <v>262</v>
      </c>
      <c r="BB126" s="4">
        <v>21</v>
      </c>
      <c r="BC126" s="8">
        <v>24.555555555555557</v>
      </c>
      <c r="BD126" s="4">
        <v>20</v>
      </c>
      <c r="BE126" s="4">
        <v>23</v>
      </c>
      <c r="BF126" s="4">
        <v>24</v>
      </c>
      <c r="BG126" s="4">
        <v>-1.679865001322572</v>
      </c>
      <c r="BH126" s="14">
        <v>27</v>
      </c>
      <c r="BI126" s="24">
        <f t="shared" si="122"/>
        <v>0</v>
      </c>
      <c r="BJ126" s="24">
        <f t="shared" si="106"/>
        <v>-1</v>
      </c>
      <c r="BK126" t="str">
        <f t="shared" si="115"/>
        <v>0, Superávit y no eliminé superávit</v>
      </c>
      <c r="BM126" s="4" t="s">
        <v>262</v>
      </c>
      <c r="BN126" s="4">
        <v>25</v>
      </c>
      <c r="BO126" s="8">
        <v>18.777777777777779</v>
      </c>
      <c r="BP126" s="4">
        <v>21</v>
      </c>
      <c r="BQ126" s="4">
        <v>22</v>
      </c>
      <c r="BR126" s="4">
        <v>19</v>
      </c>
      <c r="BS126" s="4">
        <v>-1.679865001322572</v>
      </c>
      <c r="BT126" s="14">
        <v>27</v>
      </c>
      <c r="BU126" s="24">
        <f t="shared" si="123"/>
        <v>0</v>
      </c>
      <c r="BV126" s="24">
        <f t="shared" si="108"/>
        <v>-4</v>
      </c>
      <c r="BW126" t="str">
        <f t="shared" si="116"/>
        <v>-2, Superávit y resultado fue bueno</v>
      </c>
      <c r="BY126" s="4" t="s">
        <v>262</v>
      </c>
      <c r="BZ126" s="4">
        <v>26</v>
      </c>
      <c r="CA126" s="8">
        <v>21.777777777777779</v>
      </c>
      <c r="CB126" s="4">
        <v>27</v>
      </c>
      <c r="CC126" s="4">
        <v>27</v>
      </c>
      <c r="CD126" s="4">
        <v>23</v>
      </c>
      <c r="CE126" s="4">
        <v>-1.679865001322572</v>
      </c>
      <c r="CF126" s="14">
        <v>27</v>
      </c>
      <c r="CG126" s="24">
        <f t="shared" si="124"/>
        <v>1</v>
      </c>
      <c r="CH126" s="24">
        <f t="shared" si="110"/>
        <v>1</v>
      </c>
      <c r="CI126" t="str">
        <f t="shared" si="117"/>
        <v>-2, Superávit y resultado fue bueno</v>
      </c>
    </row>
    <row r="127" spans="1:87" ht="14.25" customHeight="1" x14ac:dyDescent="0.3">
      <c r="A127" s="4" t="s">
        <v>267</v>
      </c>
      <c r="B127" s="4">
        <f>AVERAGE(B107:B116)</f>
        <v>7.8</v>
      </c>
      <c r="C127" s="8">
        <f>AVERAGE(C107:C116)</f>
        <v>5.1888888888888891</v>
      </c>
      <c r="D127" s="4">
        <f>AVERAGE(D107:D116)</f>
        <v>6.2</v>
      </c>
      <c r="E127" s="4">
        <f>AVERAGE(E107:E116)</f>
        <v>5.7</v>
      </c>
      <c r="F127" s="4">
        <f>AVERAGE(F107:F116)</f>
        <v>7.8</v>
      </c>
      <c r="I127" s="9"/>
      <c r="K127" s="5"/>
      <c r="L127" s="5"/>
      <c r="M127" s="5"/>
      <c r="N127" s="4" t="s">
        <v>267</v>
      </c>
      <c r="O127" s="4">
        <f>AVERAGE(O107:O116)</f>
        <v>5.2</v>
      </c>
      <c r="P127" s="8">
        <f>AVERAGE(P107:P116)</f>
        <v>5.3555555555555561</v>
      </c>
      <c r="Q127" s="4">
        <f>AVERAGE(Q107:Q116)</f>
        <v>3.5</v>
      </c>
      <c r="R127" s="4">
        <f>AVERAGE(R107:R116)</f>
        <v>3.1</v>
      </c>
      <c r="S127" s="4">
        <f>AVERAGE(S107:S116)</f>
        <v>7.2</v>
      </c>
      <c r="X127" s="5"/>
      <c r="Y127" s="5"/>
      <c r="Z127" s="5"/>
      <c r="AA127" s="4" t="s">
        <v>267</v>
      </c>
      <c r="AB127" s="4">
        <f>AVERAGE(AB107:AB116)</f>
        <v>3.3</v>
      </c>
      <c r="AC127" s="8">
        <f>AVERAGE(AC107:AC116)</f>
        <v>4.9444444444444446</v>
      </c>
      <c r="AD127" s="4">
        <f>AVERAGE(AD107:AD116)</f>
        <v>2.5</v>
      </c>
      <c r="AE127" s="4">
        <f>AVERAGE(AE107:AE116)</f>
        <v>2.2999999999999998</v>
      </c>
      <c r="AF127" s="4">
        <f>AVERAGE(AF107:AF116)</f>
        <v>6.7</v>
      </c>
      <c r="AN127" s="4" t="s">
        <v>267</v>
      </c>
      <c r="AO127" s="4">
        <f>AVERAGE(AO107:AO116)</f>
        <v>5.7</v>
      </c>
      <c r="AP127" s="8">
        <f>AVERAGE(AP107:AP116)</f>
        <v>6.0666666666666664</v>
      </c>
      <c r="AQ127" s="4">
        <f>AVERAGE(AQ107:AQ116)</f>
        <v>3.3</v>
      </c>
      <c r="AR127" s="4">
        <f>AVERAGE(AR107:AR116)</f>
        <v>2.4</v>
      </c>
      <c r="AS127" s="4">
        <f>AVERAGE(AS107:AS116)</f>
        <v>6.9</v>
      </c>
      <c r="BA127" s="4" t="s">
        <v>267</v>
      </c>
      <c r="BB127" s="4">
        <f>AVERAGE(BB107:BB116)</f>
        <v>5.7</v>
      </c>
      <c r="BC127" s="8">
        <f>AVERAGE(BC107:BC116)</f>
        <v>4.7111111111111112</v>
      </c>
      <c r="BD127" s="4">
        <f>AVERAGE(BD107:BD116)</f>
        <v>5.6</v>
      </c>
      <c r="BE127" s="4">
        <f>AVERAGE(BE107:BE116)</f>
        <v>5.0999999999999996</v>
      </c>
      <c r="BF127" s="4">
        <f>AVERAGE(BF107:BF116)</f>
        <v>7.6</v>
      </c>
      <c r="BM127" s="4" t="s">
        <v>267</v>
      </c>
      <c r="BN127" s="4">
        <f>AVERAGE(BN107:BN116)</f>
        <v>5.2</v>
      </c>
      <c r="BO127" s="8">
        <f>AVERAGE(BO107:BO116)</f>
        <v>4.8666666666666663</v>
      </c>
      <c r="BP127" s="4">
        <f>AVERAGE(BP107:BP116)</f>
        <v>5.4</v>
      </c>
      <c r="BQ127" s="4">
        <f>AVERAGE(BQ107:BQ116)</f>
        <v>5.6</v>
      </c>
      <c r="BR127" s="4">
        <f>AVERAGE(BR107:BR116)</f>
        <v>6.6</v>
      </c>
      <c r="BY127" s="4" t="s">
        <v>267</v>
      </c>
      <c r="BZ127" s="4">
        <f>AVERAGE(BZ107:BZ116)</f>
        <v>6.2</v>
      </c>
      <c r="CA127" s="8">
        <f>AVERAGE(CA107:CA116)</f>
        <v>5.2222222222222214</v>
      </c>
      <c r="CB127" s="4">
        <f>AVERAGE(CB107:CB116)</f>
        <v>6.4</v>
      </c>
      <c r="CC127" s="4">
        <f>AVERAGE(CC107:CC116)</f>
        <v>6.7</v>
      </c>
      <c r="CD127" s="4">
        <f>AVERAGE(CD107:CD116)</f>
        <v>6.8</v>
      </c>
    </row>
    <row r="128" spans="1:87" ht="14.25" customHeight="1" x14ac:dyDescent="0.3">
      <c r="A128" s="4" t="s">
        <v>268</v>
      </c>
      <c r="B128" s="4">
        <f>AVERAGE(B117:B126)</f>
        <v>14.5</v>
      </c>
      <c r="C128" s="8">
        <f>AVERAGE(C117:C126)</f>
        <v>13.666666666666668</v>
      </c>
      <c r="D128" s="4">
        <f>AVERAGE(D117:D126)</f>
        <v>13.9</v>
      </c>
      <c r="E128" s="4">
        <f>AVERAGE(E117:E126)</f>
        <v>14.3</v>
      </c>
      <c r="F128" s="4">
        <f>AVERAGE(F117:F126)</f>
        <v>14.5</v>
      </c>
      <c r="I128" s="9"/>
      <c r="K128" s="5"/>
      <c r="L128" s="5"/>
      <c r="M128" s="5"/>
      <c r="N128" s="4" t="s">
        <v>268</v>
      </c>
      <c r="O128" s="4">
        <f>AVERAGE(O117:O126)</f>
        <v>15.1</v>
      </c>
      <c r="P128" s="8">
        <f>AVERAGE(P117:P126)</f>
        <v>13.000000000000004</v>
      </c>
      <c r="Q128" s="4">
        <f>AVERAGE(Q117:Q126)</f>
        <v>12.5</v>
      </c>
      <c r="R128" s="4">
        <f>AVERAGE(R117:R126)</f>
        <v>13.2</v>
      </c>
      <c r="S128" s="4">
        <f>AVERAGE(S117:S126)</f>
        <v>13.1</v>
      </c>
      <c r="X128" s="5"/>
      <c r="Y128" s="5"/>
      <c r="Z128" s="5"/>
      <c r="AA128" s="4" t="s">
        <v>268</v>
      </c>
      <c r="AB128" s="4">
        <f>AVERAGE(AB117:AB126)</f>
        <v>14.5</v>
      </c>
      <c r="AC128" s="8">
        <f>AVERAGE(AC117:AC126)</f>
        <v>13.2</v>
      </c>
      <c r="AD128" s="4">
        <f>AVERAGE(AD117:AD126)</f>
        <v>15.8</v>
      </c>
      <c r="AE128" s="4">
        <f>AVERAGE(AE117:AE126)</f>
        <v>16.3</v>
      </c>
      <c r="AF128" s="4">
        <f>AVERAGE(AF117:AF126)</f>
        <v>11.1</v>
      </c>
      <c r="AN128" s="4" t="s">
        <v>268</v>
      </c>
      <c r="AO128" s="4">
        <f>AVERAGE(AO117:AO126)</f>
        <v>14.7</v>
      </c>
      <c r="AP128" s="8">
        <f>AVERAGE(AP117:AP126)</f>
        <v>13.577777777777778</v>
      </c>
      <c r="AQ128" s="4">
        <f>AVERAGE(AQ117:AQ126)</f>
        <v>14.9</v>
      </c>
      <c r="AR128" s="4">
        <f>AVERAGE(AR117:AR126)</f>
        <v>15.8</v>
      </c>
      <c r="AS128" s="4">
        <f>AVERAGE(AS117:AS126)</f>
        <v>13.5</v>
      </c>
      <c r="BA128" s="4" t="s">
        <v>268</v>
      </c>
      <c r="BB128" s="4">
        <f>AVERAGE(BB117:BB126)</f>
        <v>15.6</v>
      </c>
      <c r="BC128" s="8">
        <f>AVERAGE(BC117:BC126)</f>
        <v>14.277777777777777</v>
      </c>
      <c r="BD128" s="4">
        <f>AVERAGE(BD117:BD126)</f>
        <v>15.5</v>
      </c>
      <c r="BE128" s="4">
        <f>AVERAGE(BE117:BE126)</f>
        <v>15.9</v>
      </c>
      <c r="BF128" s="4">
        <f>AVERAGE(BF117:BF126)</f>
        <v>13.7</v>
      </c>
      <c r="BM128" s="4" t="s">
        <v>268</v>
      </c>
      <c r="BN128" s="4">
        <f>AVERAGE(BN117:BN126)</f>
        <v>15.3</v>
      </c>
      <c r="BO128" s="8">
        <f>AVERAGE(BO117:BO126)</f>
        <v>14.188888888888892</v>
      </c>
      <c r="BP128" s="4">
        <f>AVERAGE(BP117:BP126)</f>
        <v>13.9</v>
      </c>
      <c r="BQ128" s="4">
        <f>AVERAGE(BQ117:BQ126)</f>
        <v>13.6</v>
      </c>
      <c r="BR128" s="4">
        <f>AVERAGE(BR117:BR126)</f>
        <v>13.9</v>
      </c>
      <c r="BY128" s="4" t="s">
        <v>268</v>
      </c>
      <c r="BZ128" s="4">
        <f>AVERAGE(BZ117:BZ126)</f>
        <v>15.3</v>
      </c>
      <c r="CA128" s="8">
        <f>AVERAGE(CA117:CA126)</f>
        <v>14.499999999999996</v>
      </c>
      <c r="CB128" s="4">
        <f>AVERAGE(CB117:CB126)</f>
        <v>15</v>
      </c>
      <c r="CC128" s="4">
        <f>AVERAGE(CC117:CC126)</f>
        <v>14.6</v>
      </c>
      <c r="CD128" s="4">
        <f>AVERAGE(CD117:CD126)</f>
        <v>14.7</v>
      </c>
    </row>
    <row r="129" spans="1:82" ht="14.25" customHeight="1" x14ac:dyDescent="0.3">
      <c r="A129" s="4" t="s">
        <v>269</v>
      </c>
      <c r="B129" s="4">
        <f>SKEW(B107:B116)</f>
        <v>-0.27503952159149642</v>
      </c>
      <c r="C129" s="4"/>
      <c r="D129" s="4"/>
      <c r="E129" s="4"/>
      <c r="F129" s="4">
        <f>SKEW(F107:F116)</f>
        <v>8.7640906766856166E-2</v>
      </c>
      <c r="K129" s="5"/>
      <c r="L129" s="5"/>
      <c r="M129" s="5"/>
      <c r="N129" s="4" t="s">
        <v>269</v>
      </c>
      <c r="O129" s="4">
        <f>SKEW(O107:O116)</f>
        <v>1.7787811838447123</v>
      </c>
      <c r="P129" s="4"/>
      <c r="Q129" s="4"/>
      <c r="R129" s="4"/>
      <c r="S129" s="4">
        <f>SKEW(S107:S116)</f>
        <v>1.6694127816741928</v>
      </c>
      <c r="X129" s="5"/>
      <c r="Y129" s="5"/>
      <c r="Z129" s="5"/>
      <c r="AA129" s="4" t="s">
        <v>269</v>
      </c>
      <c r="AB129" s="4">
        <f>SKEW(AB107:AB116)</f>
        <v>1.9397390483333099</v>
      </c>
      <c r="AC129" s="4"/>
      <c r="AD129" s="4"/>
      <c r="AE129" s="4"/>
      <c r="AF129" s="4">
        <f>SKEW(AF107:AF116)</f>
        <v>0.70544301426348643</v>
      </c>
      <c r="AN129" s="4" t="s">
        <v>269</v>
      </c>
      <c r="AO129" s="4">
        <f>SKEW(AO107:AO116)</f>
        <v>0.34662787174003656</v>
      </c>
      <c r="AP129" s="4"/>
      <c r="AQ129" s="4"/>
      <c r="AR129" s="4"/>
      <c r="AS129" s="4">
        <f>SKEW(AS107:AS116)</f>
        <v>2.2458965504713095</v>
      </c>
      <c r="BA129" s="4" t="s">
        <v>269</v>
      </c>
      <c r="BB129" s="4">
        <f>SKEW(BB107:BB116)</f>
        <v>0.49216893316098514</v>
      </c>
      <c r="BC129" s="4"/>
      <c r="BD129" s="4"/>
      <c r="BE129" s="4"/>
      <c r="BF129" s="4">
        <f>SKEW(BF107:BF116)</f>
        <v>0.60675110720549563</v>
      </c>
      <c r="BM129" s="4" t="s">
        <v>269</v>
      </c>
      <c r="BN129" s="4">
        <f>SKEW(BN107:BN116)</f>
        <v>-0.48974038468458736</v>
      </c>
      <c r="BO129" s="4"/>
      <c r="BP129" s="4"/>
      <c r="BQ129" s="4"/>
      <c r="BR129" s="4">
        <f>SKEW(BR107:BR116)</f>
        <v>0.11090339346573688</v>
      </c>
      <c r="BY129" s="4" t="s">
        <v>269</v>
      </c>
      <c r="BZ129" s="4">
        <f>SKEW(BZ107:BZ116)</f>
        <v>1.139932752351007</v>
      </c>
      <c r="CA129" s="4"/>
      <c r="CB129" s="4"/>
      <c r="CC129" s="4"/>
      <c r="CD129" s="4">
        <f>SKEW(CD107:CD116)</f>
        <v>-0.27231914153020825</v>
      </c>
    </row>
    <row r="130" spans="1:82" ht="14.25" customHeight="1" x14ac:dyDescent="0.3">
      <c r="A130" s="4" t="s">
        <v>270</v>
      </c>
      <c r="B130" s="4">
        <f>SKEW(B117:B126)</f>
        <v>0.70663699440023009</v>
      </c>
      <c r="C130" s="4"/>
      <c r="D130" s="4"/>
      <c r="E130" s="4"/>
      <c r="F130" s="4">
        <f>SKEW(F117:F126)</f>
        <v>0.42146019956917152</v>
      </c>
      <c r="H130" s="35"/>
      <c r="I130" s="35"/>
      <c r="K130" s="5"/>
      <c r="L130" s="5"/>
      <c r="M130" s="5"/>
      <c r="N130" s="4" t="s">
        <v>270</v>
      </c>
      <c r="O130" s="4">
        <f>SKEW(O117:O126)</f>
        <v>1.3801213964968317</v>
      </c>
      <c r="P130" s="4"/>
      <c r="Q130" s="4"/>
      <c r="R130" s="4"/>
      <c r="S130" s="4">
        <f>SKEW(S117:S126)</f>
        <v>-2.2741077909183685E-2</v>
      </c>
      <c r="X130" s="5"/>
      <c r="Y130" s="5"/>
      <c r="Z130" s="5"/>
      <c r="AA130" s="4" t="s">
        <v>270</v>
      </c>
      <c r="AB130" s="4">
        <f>SKEW(AB117:AB126)</f>
        <v>0.94470447154977888</v>
      </c>
      <c r="AC130" s="4"/>
      <c r="AD130" s="4"/>
      <c r="AE130" s="4"/>
      <c r="AF130" s="4">
        <f>SKEW(AF117:AF126)</f>
        <v>0.99079400257586836</v>
      </c>
      <c r="AN130" s="4" t="s">
        <v>270</v>
      </c>
      <c r="AO130" s="4">
        <f>SKEW(AO117:AO126)</f>
        <v>1.9998798948105021</v>
      </c>
      <c r="AP130" s="4"/>
      <c r="AQ130" s="4"/>
      <c r="AR130" s="4"/>
      <c r="AS130" s="4">
        <f>SKEW(AS117:AS126)</f>
        <v>-0.60155700451163818</v>
      </c>
      <c r="BA130" s="4" t="s">
        <v>270</v>
      </c>
      <c r="BB130" s="4">
        <f>SKEW(BB117:BB126)</f>
        <v>0.88084357431258242</v>
      </c>
      <c r="BC130" s="19"/>
      <c r="BD130" s="19"/>
      <c r="BE130" s="19"/>
      <c r="BF130" s="19">
        <f>SKEW(BF117:BF126)</f>
        <v>0.75524356650978186</v>
      </c>
      <c r="BM130" s="4" t="s">
        <v>270</v>
      </c>
      <c r="BN130" s="4">
        <f>SKEW(BN117:BN126)</f>
        <v>0.5788521523567598</v>
      </c>
      <c r="BO130" s="4"/>
      <c r="BP130" s="4"/>
      <c r="BQ130" s="4"/>
      <c r="BR130" s="4">
        <f>SKEW(BR117:BR126)</f>
        <v>0.51922817010409739</v>
      </c>
      <c r="BY130" s="4" t="s">
        <v>270</v>
      </c>
      <c r="BZ130" s="4">
        <f>SKEW(BZ117:BZ126)</f>
        <v>0.5343951598759259</v>
      </c>
      <c r="CA130" s="19"/>
      <c r="CB130" s="19"/>
      <c r="CC130" s="19"/>
      <c r="CD130" s="19">
        <f>SKEW(CD117:CD126)</f>
        <v>0.59287304759201864</v>
      </c>
    </row>
    <row r="131" spans="1:82" ht="14.25" customHeight="1" x14ac:dyDescent="0.3">
      <c r="A131" s="4" t="s">
        <v>271</v>
      </c>
      <c r="B131" s="4">
        <v>7.2754170439936923</v>
      </c>
      <c r="C131" s="5"/>
      <c r="D131" s="5"/>
      <c r="G131" s="35"/>
      <c r="H131" s="35"/>
      <c r="I131" s="35"/>
      <c r="K131" s="5"/>
      <c r="L131" s="5"/>
      <c r="M131" s="5"/>
      <c r="N131" s="4" t="s">
        <v>271</v>
      </c>
      <c r="O131" s="4">
        <v>17.091108486035289</v>
      </c>
      <c r="X131" s="5"/>
      <c r="Y131" s="5"/>
      <c r="Z131" s="5"/>
      <c r="AA131" s="4" t="s">
        <v>271</v>
      </c>
      <c r="AB131" s="4">
        <v>43.576547187556017</v>
      </c>
      <c r="AN131" s="4" t="s">
        <v>271</v>
      </c>
      <c r="AO131" s="4">
        <v>19.789513066722321</v>
      </c>
      <c r="BA131" s="4" t="s">
        <v>271</v>
      </c>
      <c r="BB131" s="4">
        <v>19.062484846712842</v>
      </c>
      <c r="BM131" s="4" t="s">
        <v>271</v>
      </c>
      <c r="BN131" s="4">
        <v>18.089095743773431</v>
      </c>
      <c r="BY131" s="4" t="s">
        <v>271</v>
      </c>
      <c r="BZ131" s="4">
        <v>12.464933293167769</v>
      </c>
    </row>
    <row r="132" spans="1:82" ht="14.25" customHeight="1" x14ac:dyDescent="0.3">
      <c r="A132" s="4" t="s">
        <v>272</v>
      </c>
      <c r="B132" s="4">
        <v>7</v>
      </c>
      <c r="C132" s="5"/>
      <c r="D132" s="5"/>
      <c r="G132" s="35"/>
      <c r="H132" s="35"/>
      <c r="I132" s="35"/>
      <c r="K132" s="5"/>
      <c r="L132" s="5"/>
      <c r="M132" s="5"/>
      <c r="N132" s="4" t="s">
        <v>272</v>
      </c>
      <c r="O132" s="4">
        <v>9</v>
      </c>
      <c r="X132" s="5"/>
      <c r="Y132" s="5"/>
      <c r="Z132" s="5"/>
      <c r="AA132" s="4" t="s">
        <v>272</v>
      </c>
      <c r="AB132" s="4">
        <v>11</v>
      </c>
      <c r="AN132" s="4" t="s">
        <v>272</v>
      </c>
      <c r="AO132" s="4">
        <v>10</v>
      </c>
      <c r="BA132" s="4" t="s">
        <v>272</v>
      </c>
      <c r="BB132" s="4">
        <v>9</v>
      </c>
      <c r="BM132" s="4" t="s">
        <v>272</v>
      </c>
      <c r="BN132" s="4">
        <v>7</v>
      </c>
      <c r="BY132" s="4" t="s">
        <v>272</v>
      </c>
      <c r="BZ132" s="4">
        <v>10</v>
      </c>
    </row>
    <row r="133" spans="1:82" ht="14.25" customHeight="1" x14ac:dyDescent="0.3">
      <c r="A133" s="11" t="s">
        <v>273</v>
      </c>
      <c r="B133" s="4">
        <f>B132*2</f>
        <v>14</v>
      </c>
      <c r="C133" s="5"/>
      <c r="D133" s="5"/>
      <c r="K133" s="12"/>
      <c r="L133" s="12"/>
      <c r="M133" s="12"/>
      <c r="N133" s="11" t="s">
        <v>273</v>
      </c>
      <c r="O133" s="4">
        <f>O132*2</f>
        <v>18</v>
      </c>
      <c r="X133" s="12"/>
      <c r="Y133" s="12"/>
      <c r="Z133" s="12"/>
      <c r="AA133" s="11" t="s">
        <v>273</v>
      </c>
      <c r="AB133" s="4">
        <f>AB132*2</f>
        <v>22</v>
      </c>
      <c r="AN133" s="11" t="s">
        <v>273</v>
      </c>
      <c r="AO133" s="4">
        <f>AO132*2</f>
        <v>20</v>
      </c>
      <c r="BA133" s="11" t="s">
        <v>273</v>
      </c>
      <c r="BB133" s="4">
        <f>BB132*2</f>
        <v>18</v>
      </c>
      <c r="BM133" s="11" t="s">
        <v>273</v>
      </c>
      <c r="BN133" s="4">
        <f>BN132*2</f>
        <v>14</v>
      </c>
      <c r="BY133" s="11" t="s">
        <v>273</v>
      </c>
      <c r="BZ133" s="4">
        <f>BZ132*2</f>
        <v>20</v>
      </c>
    </row>
    <row r="134" spans="1:82" ht="14.25" customHeight="1" x14ac:dyDescent="0.3"/>
    <row r="135" spans="1:82" ht="14.25" customHeight="1" x14ac:dyDescent="0.3"/>
    <row r="136" spans="1:82" ht="14.25" customHeight="1" x14ac:dyDescent="0.3"/>
    <row r="137" spans="1:82" ht="14.25" customHeight="1" x14ac:dyDescent="0.3"/>
    <row r="138" spans="1:82" ht="14.25" customHeight="1" x14ac:dyDescent="0.3">
      <c r="B138" s="35" t="s">
        <v>299</v>
      </c>
      <c r="J138" s="35" t="s">
        <v>300</v>
      </c>
      <c r="U138" s="35" t="s">
        <v>301</v>
      </c>
      <c r="AF138" s="35" t="s">
        <v>302</v>
      </c>
      <c r="AN138" s="35" t="s">
        <v>303</v>
      </c>
      <c r="AV138" s="35" t="s">
        <v>304</v>
      </c>
      <c r="BG138" s="35" t="s">
        <v>305</v>
      </c>
    </row>
    <row r="139" spans="1:82" ht="14.25" customHeight="1" x14ac:dyDescent="0.3">
      <c r="B139" s="4" t="s">
        <v>232</v>
      </c>
      <c r="C139" s="4"/>
      <c r="D139" s="4"/>
      <c r="E139" s="4"/>
      <c r="F139" s="11" t="s">
        <v>306</v>
      </c>
      <c r="G139" s="4" t="s">
        <v>237</v>
      </c>
      <c r="H139" s="4" t="s">
        <v>12</v>
      </c>
      <c r="J139" s="4" t="s">
        <v>232</v>
      </c>
      <c r="K139" s="11"/>
      <c r="L139" s="11"/>
      <c r="M139" s="11"/>
      <c r="N139" s="11" t="s">
        <v>306</v>
      </c>
      <c r="O139" s="4" t="s">
        <v>237</v>
      </c>
      <c r="P139" s="4"/>
      <c r="Q139" s="4"/>
      <c r="R139" s="4"/>
      <c r="S139" s="4" t="s">
        <v>12</v>
      </c>
      <c r="U139" s="4" t="s">
        <v>232</v>
      </c>
      <c r="V139" s="11" t="s">
        <v>306</v>
      </c>
      <c r="W139" s="4" t="s">
        <v>237</v>
      </c>
      <c r="X139" s="4"/>
      <c r="Y139" s="4"/>
      <c r="Z139" s="4"/>
      <c r="AA139" s="4" t="s">
        <v>12</v>
      </c>
      <c r="AF139" s="4" t="s">
        <v>232</v>
      </c>
      <c r="AG139" s="11" t="s">
        <v>306</v>
      </c>
      <c r="AH139" s="4" t="s">
        <v>237</v>
      </c>
      <c r="AI139" s="4" t="s">
        <v>12</v>
      </c>
      <c r="AN139" s="4" t="s">
        <v>232</v>
      </c>
      <c r="AO139" s="11" t="s">
        <v>306</v>
      </c>
      <c r="AP139" s="11"/>
      <c r="AQ139" s="11"/>
      <c r="AR139" s="11"/>
      <c r="AS139" s="4" t="s">
        <v>237</v>
      </c>
      <c r="AT139" s="4" t="s">
        <v>12</v>
      </c>
      <c r="AV139" s="4" t="s">
        <v>232</v>
      </c>
      <c r="AW139" s="11" t="s">
        <v>306</v>
      </c>
      <c r="AX139" s="11"/>
      <c r="AY139" s="11"/>
      <c r="AZ139" s="11"/>
      <c r="BA139" s="4" t="s">
        <v>237</v>
      </c>
      <c r="BB139" s="4" t="s">
        <v>12</v>
      </c>
      <c r="BG139" s="4" t="s">
        <v>232</v>
      </c>
      <c r="BH139" s="11" t="s">
        <v>306</v>
      </c>
      <c r="BI139" s="4" t="s">
        <v>237</v>
      </c>
      <c r="BJ139" s="4" t="s">
        <v>12</v>
      </c>
      <c r="BK139" s="5"/>
      <c r="BL139" s="5"/>
    </row>
    <row r="140" spans="1:82" ht="14.25" customHeight="1" x14ac:dyDescent="0.3">
      <c r="B140" s="4" t="s">
        <v>247</v>
      </c>
      <c r="C140" s="4"/>
      <c r="D140" s="4"/>
      <c r="E140" s="4"/>
      <c r="F140" s="4">
        <f t="shared" ref="F140:F159" si="125">AVERAGE(AS8,AF41,S74,F107)</f>
        <v>7.75</v>
      </c>
      <c r="G140" s="4">
        <v>0.53747605471157822</v>
      </c>
      <c r="H140" s="4">
        <v>15</v>
      </c>
      <c r="J140" s="4" t="s">
        <v>247</v>
      </c>
      <c r="K140" s="4"/>
      <c r="L140" s="4"/>
      <c r="M140" s="4"/>
      <c r="N140" s="4">
        <f t="shared" ref="N140:N159" si="126">AVERAGE(BF8,AS41,AF74,S107)</f>
        <v>7</v>
      </c>
      <c r="O140" s="4">
        <v>0.53747605471157822</v>
      </c>
      <c r="P140" s="4"/>
      <c r="Q140" s="4"/>
      <c r="R140" s="4"/>
      <c r="S140" s="4">
        <v>15</v>
      </c>
      <c r="U140" s="4" t="s">
        <v>247</v>
      </c>
      <c r="V140" s="4">
        <f t="shared" ref="V140:V159" si="127">AVERAGE(BR8,BF41,AS74,AF107)</f>
        <v>7.5</v>
      </c>
      <c r="W140" s="4">
        <v>0.53747605471157822</v>
      </c>
      <c r="X140" s="4"/>
      <c r="Y140" s="4"/>
      <c r="Z140" s="4"/>
      <c r="AA140" s="4">
        <v>15</v>
      </c>
      <c r="AF140" s="4" t="s">
        <v>247</v>
      </c>
      <c r="AG140" s="4">
        <f t="shared" ref="AG140:AG159" si="128">AVERAGE(CD8,BR41,BF74,AS107)</f>
        <v>7.25</v>
      </c>
      <c r="AH140" s="4">
        <v>0.53747605471157822</v>
      </c>
      <c r="AI140" s="4">
        <v>15</v>
      </c>
      <c r="AN140" s="4" t="s">
        <v>247</v>
      </c>
      <c r="AO140" s="4">
        <f t="shared" ref="AO140:AO159" si="129">AVERAGE(F8,CP8,CD41,BR74,BF107)</f>
        <v>7</v>
      </c>
      <c r="AP140" s="4"/>
      <c r="AQ140" s="4"/>
      <c r="AR140" s="4"/>
      <c r="AS140" s="4">
        <v>0.53747605471157822</v>
      </c>
      <c r="AT140" s="4">
        <v>15</v>
      </c>
      <c r="AV140" s="4" t="s">
        <v>247</v>
      </c>
      <c r="AW140" s="4">
        <f t="shared" ref="AW140:AW159" si="130">AVERAGE(S8,F41,CP41,CD74,BR107)</f>
        <v>7</v>
      </c>
      <c r="AX140" s="4"/>
      <c r="AY140" s="4"/>
      <c r="AZ140" s="4"/>
      <c r="BA140" s="4">
        <v>0.53747605471157822</v>
      </c>
      <c r="BB140" s="4">
        <v>15</v>
      </c>
      <c r="BG140" s="4">
        <v>1</v>
      </c>
      <c r="BH140" s="4">
        <f t="shared" ref="BH140:BH159" si="131">AVERAGE(AF8,S41,F74,CP74,CD107)</f>
        <v>7.2</v>
      </c>
      <c r="BI140" s="4">
        <v>0.53747605471157822</v>
      </c>
      <c r="BJ140" s="4">
        <v>15</v>
      </c>
      <c r="BK140" s="5"/>
      <c r="BL140" s="5"/>
      <c r="BN140" s="4" t="s">
        <v>307</v>
      </c>
      <c r="BO140" s="4"/>
      <c r="BP140" s="4"/>
      <c r="BQ140" s="4"/>
      <c r="BR140" s="4">
        <f>F160+N160+V160+AG160+AO160+AW160+BH160</f>
        <v>148.12501408792275</v>
      </c>
    </row>
    <row r="141" spans="1:82" ht="14.25" customHeight="1" x14ac:dyDescent="0.3">
      <c r="B141" s="4" t="s">
        <v>248</v>
      </c>
      <c r="C141" s="4"/>
      <c r="D141" s="4"/>
      <c r="E141" s="4"/>
      <c r="F141" s="4">
        <f t="shared" si="125"/>
        <v>8</v>
      </c>
      <c r="G141" s="4">
        <v>0.62268266964537045</v>
      </c>
      <c r="H141" s="4">
        <v>15</v>
      </c>
      <c r="J141" s="4" t="s">
        <v>248</v>
      </c>
      <c r="K141" s="4"/>
      <c r="L141" s="4"/>
      <c r="M141" s="4"/>
      <c r="N141" s="4">
        <f t="shared" si="126"/>
        <v>9</v>
      </c>
      <c r="O141" s="4">
        <v>0.62268266964537045</v>
      </c>
      <c r="P141" s="4"/>
      <c r="Q141" s="4"/>
      <c r="R141" s="4"/>
      <c r="S141" s="4">
        <v>15</v>
      </c>
      <c r="U141" s="4" t="s">
        <v>248</v>
      </c>
      <c r="V141" s="4">
        <f t="shared" si="127"/>
        <v>9</v>
      </c>
      <c r="W141" s="4">
        <v>0.62268266964537045</v>
      </c>
      <c r="X141" s="4"/>
      <c r="Y141" s="4"/>
      <c r="Z141" s="4"/>
      <c r="AA141" s="4">
        <v>15</v>
      </c>
      <c r="AF141" s="4" t="s">
        <v>248</v>
      </c>
      <c r="AG141" s="4">
        <f t="shared" si="128"/>
        <v>9</v>
      </c>
      <c r="AH141" s="4">
        <v>0.62268266964537045</v>
      </c>
      <c r="AI141" s="4">
        <v>15</v>
      </c>
      <c r="AN141" s="4" t="s">
        <v>248</v>
      </c>
      <c r="AO141" s="4">
        <f t="shared" si="129"/>
        <v>8.8000000000000007</v>
      </c>
      <c r="AP141" s="4"/>
      <c r="AQ141" s="4"/>
      <c r="AR141" s="4"/>
      <c r="AS141" s="4">
        <v>0.62268266964537045</v>
      </c>
      <c r="AT141" s="4">
        <v>15</v>
      </c>
      <c r="AV141" s="4" t="s">
        <v>248</v>
      </c>
      <c r="AW141" s="4">
        <f t="shared" si="130"/>
        <v>8.6</v>
      </c>
      <c r="AX141" s="4"/>
      <c r="AY141" s="4"/>
      <c r="AZ141" s="4"/>
      <c r="BA141" s="4">
        <v>0.62268266964537045</v>
      </c>
      <c r="BB141" s="4">
        <v>15</v>
      </c>
      <c r="BG141" s="4">
        <v>2</v>
      </c>
      <c r="BH141" s="4">
        <f t="shared" si="131"/>
        <v>9.6</v>
      </c>
      <c r="BI141" s="4">
        <v>0.62268266964537045</v>
      </c>
      <c r="BJ141" s="4">
        <v>15</v>
      </c>
      <c r="BK141" s="5"/>
      <c r="BL141" s="5"/>
      <c r="BN141" s="4" t="s">
        <v>308</v>
      </c>
      <c r="BO141" s="4"/>
      <c r="BP141" s="4"/>
      <c r="BQ141" s="4"/>
      <c r="BR141" s="4">
        <f>F161+N161+V161+AG161+AO161+AW161+BH161</f>
        <v>68.850000000000009</v>
      </c>
    </row>
    <row r="142" spans="1:82" ht="14.25" customHeight="1" x14ac:dyDescent="0.3">
      <c r="B142" s="4" t="s">
        <v>249</v>
      </c>
      <c r="C142" s="4"/>
      <c r="D142" s="4"/>
      <c r="E142" s="4"/>
      <c r="F142" s="4">
        <f t="shared" si="125"/>
        <v>6.5</v>
      </c>
      <c r="G142" s="4">
        <v>0.52426836588405112</v>
      </c>
      <c r="H142" s="4">
        <v>19</v>
      </c>
      <c r="J142" s="4" t="s">
        <v>249</v>
      </c>
      <c r="K142" s="4"/>
      <c r="L142" s="4"/>
      <c r="M142" s="4"/>
      <c r="N142" s="4">
        <f t="shared" si="126"/>
        <v>6.25</v>
      </c>
      <c r="O142" s="4">
        <v>0.52426836588405112</v>
      </c>
      <c r="P142" s="4"/>
      <c r="Q142" s="4"/>
      <c r="R142" s="4"/>
      <c r="S142" s="4">
        <v>19</v>
      </c>
      <c r="U142" s="4" t="s">
        <v>249</v>
      </c>
      <c r="V142" s="4">
        <f t="shared" si="127"/>
        <v>6.25</v>
      </c>
      <c r="W142" s="4">
        <v>0.52426836588405112</v>
      </c>
      <c r="X142" s="4"/>
      <c r="Y142" s="4"/>
      <c r="Z142" s="4"/>
      <c r="AA142" s="4">
        <v>19</v>
      </c>
      <c r="AF142" s="4" t="s">
        <v>249</v>
      </c>
      <c r="AG142" s="4">
        <f t="shared" si="128"/>
        <v>6.5</v>
      </c>
      <c r="AH142" s="4">
        <v>0.52426836588405112</v>
      </c>
      <c r="AI142" s="4">
        <v>19</v>
      </c>
      <c r="AN142" s="4" t="s">
        <v>249</v>
      </c>
      <c r="AO142" s="4">
        <f t="shared" si="129"/>
        <v>6.8</v>
      </c>
      <c r="AP142" s="4"/>
      <c r="AQ142" s="4"/>
      <c r="AR142" s="4"/>
      <c r="AS142" s="4">
        <v>0.52426836588405112</v>
      </c>
      <c r="AT142" s="4">
        <v>19</v>
      </c>
      <c r="AV142" s="4" t="s">
        <v>249</v>
      </c>
      <c r="AW142" s="4">
        <f t="shared" si="130"/>
        <v>6.2</v>
      </c>
      <c r="AX142" s="4"/>
      <c r="AY142" s="4"/>
      <c r="AZ142" s="4"/>
      <c r="BA142" s="4">
        <v>0.52426836588405112</v>
      </c>
      <c r="BB142" s="4">
        <v>19</v>
      </c>
      <c r="BG142" s="4">
        <v>3</v>
      </c>
      <c r="BH142" s="4">
        <f t="shared" si="131"/>
        <v>6</v>
      </c>
      <c r="BI142" s="4">
        <v>0.52426836588405112</v>
      </c>
      <c r="BJ142" s="4">
        <v>19</v>
      </c>
      <c r="BK142" s="5"/>
      <c r="BL142" s="5"/>
    </row>
    <row r="143" spans="1:82" ht="14.25" customHeight="1" x14ac:dyDescent="0.3">
      <c r="B143" s="4" t="s">
        <v>250</v>
      </c>
      <c r="C143" s="4"/>
      <c r="D143" s="4"/>
      <c r="E143" s="4"/>
      <c r="F143" s="4">
        <f t="shared" si="125"/>
        <v>7.5</v>
      </c>
      <c r="G143" s="4">
        <v>0.67691586229508371</v>
      </c>
      <c r="H143" s="4">
        <v>15</v>
      </c>
      <c r="J143" s="4" t="s">
        <v>250</v>
      </c>
      <c r="K143" s="4"/>
      <c r="L143" s="4"/>
      <c r="M143" s="4"/>
      <c r="N143" s="4">
        <f t="shared" si="126"/>
        <v>8.25</v>
      </c>
      <c r="O143" s="4">
        <v>0.67691586229508371</v>
      </c>
      <c r="P143" s="4"/>
      <c r="Q143" s="4"/>
      <c r="R143" s="4"/>
      <c r="S143" s="4">
        <v>15</v>
      </c>
      <c r="U143" s="4" t="s">
        <v>250</v>
      </c>
      <c r="V143" s="4">
        <f t="shared" si="127"/>
        <v>10</v>
      </c>
      <c r="W143" s="4">
        <v>0.67691586229508371</v>
      </c>
      <c r="X143" s="4"/>
      <c r="Y143" s="4"/>
      <c r="Z143" s="4"/>
      <c r="AA143" s="4">
        <v>15</v>
      </c>
      <c r="AF143" s="4" t="s">
        <v>250</v>
      </c>
      <c r="AG143" s="4">
        <f t="shared" si="128"/>
        <v>8</v>
      </c>
      <c r="AH143" s="4">
        <v>0.67691586229508371</v>
      </c>
      <c r="AI143" s="4">
        <v>15</v>
      </c>
      <c r="AN143" s="4" t="s">
        <v>250</v>
      </c>
      <c r="AO143" s="4">
        <f t="shared" si="129"/>
        <v>8.6</v>
      </c>
      <c r="AP143" s="4"/>
      <c r="AQ143" s="4"/>
      <c r="AR143" s="4"/>
      <c r="AS143" s="4">
        <v>0.67691586229508371</v>
      </c>
      <c r="AT143" s="4">
        <v>15</v>
      </c>
      <c r="AV143" s="4" t="s">
        <v>250</v>
      </c>
      <c r="AW143" s="4">
        <f t="shared" si="130"/>
        <v>7.8</v>
      </c>
      <c r="AX143" s="4"/>
      <c r="AY143" s="4"/>
      <c r="AZ143" s="4"/>
      <c r="BA143" s="4">
        <v>0.67691586229508371</v>
      </c>
      <c r="BB143" s="4">
        <v>15</v>
      </c>
      <c r="BG143" s="4">
        <v>4</v>
      </c>
      <c r="BH143" s="4">
        <f t="shared" si="131"/>
        <v>7.2</v>
      </c>
      <c r="BI143" s="4">
        <v>0.67691586229508371</v>
      </c>
      <c r="BJ143" s="4">
        <v>15</v>
      </c>
      <c r="BK143" s="5"/>
      <c r="BL143" s="5"/>
      <c r="BN143" s="35" t="s">
        <v>309</v>
      </c>
    </row>
    <row r="144" spans="1:82" ht="14.25" customHeight="1" x14ac:dyDescent="0.3">
      <c r="B144" s="4" t="s">
        <v>251</v>
      </c>
      <c r="C144" s="4"/>
      <c r="D144" s="4"/>
      <c r="E144" s="4"/>
      <c r="F144" s="4">
        <f t="shared" si="125"/>
        <v>7</v>
      </c>
      <c r="G144" s="4">
        <v>0.655473679459604</v>
      </c>
      <c r="H144" s="4">
        <v>15</v>
      </c>
      <c r="J144" s="4" t="s">
        <v>251</v>
      </c>
      <c r="K144" s="4"/>
      <c r="L144" s="4"/>
      <c r="M144" s="4"/>
      <c r="N144" s="4">
        <f t="shared" si="126"/>
        <v>6.5</v>
      </c>
      <c r="O144" s="4">
        <v>0.655473679459604</v>
      </c>
      <c r="P144" s="4"/>
      <c r="Q144" s="4"/>
      <c r="R144" s="4"/>
      <c r="S144" s="4">
        <v>15</v>
      </c>
      <c r="U144" s="4" t="s">
        <v>251</v>
      </c>
      <c r="V144" s="4">
        <f t="shared" si="127"/>
        <v>7</v>
      </c>
      <c r="W144" s="4">
        <v>0.655473679459604</v>
      </c>
      <c r="X144" s="4"/>
      <c r="Y144" s="4"/>
      <c r="Z144" s="4"/>
      <c r="AA144" s="4">
        <v>15</v>
      </c>
      <c r="AF144" s="4" t="s">
        <v>251</v>
      </c>
      <c r="AG144" s="4">
        <f t="shared" si="128"/>
        <v>6.75</v>
      </c>
      <c r="AH144" s="4">
        <v>0.655473679459604</v>
      </c>
      <c r="AI144" s="4">
        <v>15</v>
      </c>
      <c r="AN144" s="4" t="s">
        <v>251</v>
      </c>
      <c r="AO144" s="4">
        <f t="shared" si="129"/>
        <v>6.4</v>
      </c>
      <c r="AP144" s="4"/>
      <c r="AQ144" s="4"/>
      <c r="AR144" s="4"/>
      <c r="AS144" s="4">
        <v>0.655473679459604</v>
      </c>
      <c r="AT144" s="4">
        <v>15</v>
      </c>
      <c r="AV144" s="4" t="s">
        <v>251</v>
      </c>
      <c r="AW144" s="4">
        <f t="shared" si="130"/>
        <v>6.6</v>
      </c>
      <c r="AX144" s="4"/>
      <c r="AY144" s="4"/>
      <c r="AZ144" s="4"/>
      <c r="BA144" s="4">
        <v>0.655473679459604</v>
      </c>
      <c r="BB144" s="4">
        <v>15</v>
      </c>
      <c r="BG144" s="4">
        <v>5</v>
      </c>
      <c r="BH144" s="4">
        <f t="shared" si="131"/>
        <v>6.6</v>
      </c>
      <c r="BI144" s="4">
        <v>0.655473679459604</v>
      </c>
      <c r="BJ144" s="4">
        <v>15</v>
      </c>
      <c r="BK144" s="5"/>
      <c r="BL144" s="5"/>
      <c r="BN144" s="35" t="s">
        <v>310</v>
      </c>
    </row>
    <row r="145" spans="2:66" ht="14.25" customHeight="1" x14ac:dyDescent="0.3">
      <c r="B145" s="4" t="s">
        <v>252</v>
      </c>
      <c r="C145" s="4"/>
      <c r="D145" s="4"/>
      <c r="E145" s="4"/>
      <c r="F145" s="4">
        <f t="shared" si="125"/>
        <v>7</v>
      </c>
      <c r="G145" s="4">
        <v>0.70256358269933272</v>
      </c>
      <c r="H145" s="4">
        <v>15</v>
      </c>
      <c r="J145" s="4" t="s">
        <v>252</v>
      </c>
      <c r="K145" s="4"/>
      <c r="L145" s="4"/>
      <c r="M145" s="4"/>
      <c r="N145" s="4">
        <f t="shared" si="126"/>
        <v>6</v>
      </c>
      <c r="O145" s="4">
        <v>0.70256358269933272</v>
      </c>
      <c r="P145" s="4"/>
      <c r="Q145" s="4"/>
      <c r="R145" s="4"/>
      <c r="S145" s="4">
        <v>15</v>
      </c>
      <c r="U145" s="4" t="s">
        <v>252</v>
      </c>
      <c r="V145" s="4">
        <f t="shared" si="127"/>
        <v>6.5</v>
      </c>
      <c r="W145" s="4">
        <v>0.70256358269933272</v>
      </c>
      <c r="X145" s="4"/>
      <c r="Y145" s="4"/>
      <c r="Z145" s="4"/>
      <c r="AA145" s="4">
        <v>15</v>
      </c>
      <c r="AF145" s="4" t="s">
        <v>252</v>
      </c>
      <c r="AG145" s="4">
        <f t="shared" si="128"/>
        <v>6.5</v>
      </c>
      <c r="AH145" s="4">
        <v>0.70256358269933272</v>
      </c>
      <c r="AI145" s="4">
        <v>15</v>
      </c>
      <c r="AN145" s="4" t="s">
        <v>252</v>
      </c>
      <c r="AO145" s="4">
        <f t="shared" si="129"/>
        <v>6.4</v>
      </c>
      <c r="AP145" s="4"/>
      <c r="AQ145" s="4"/>
      <c r="AR145" s="4"/>
      <c r="AS145" s="4">
        <v>0.70256358269933272</v>
      </c>
      <c r="AT145" s="4">
        <v>15</v>
      </c>
      <c r="AV145" s="4" t="s">
        <v>252</v>
      </c>
      <c r="AW145" s="4">
        <f t="shared" si="130"/>
        <v>6</v>
      </c>
      <c r="AX145" s="4"/>
      <c r="AY145" s="4"/>
      <c r="AZ145" s="4"/>
      <c r="BA145" s="4">
        <v>0.70256358269933272</v>
      </c>
      <c r="BB145" s="4">
        <v>15</v>
      </c>
      <c r="BG145" s="4">
        <v>6</v>
      </c>
      <c r="BH145" s="4">
        <f t="shared" si="131"/>
        <v>6.2</v>
      </c>
      <c r="BI145" s="4">
        <v>0.70256358269933272</v>
      </c>
      <c r="BJ145" s="4">
        <v>15</v>
      </c>
      <c r="BK145" s="5"/>
      <c r="BL145" s="5"/>
      <c r="BN145" s="35" t="s">
        <v>311</v>
      </c>
    </row>
    <row r="146" spans="2:66" ht="14.25" customHeight="1" x14ac:dyDescent="0.3">
      <c r="B146" s="4" t="s">
        <v>253</v>
      </c>
      <c r="C146" s="4"/>
      <c r="D146" s="4"/>
      <c r="E146" s="4"/>
      <c r="F146" s="4">
        <f t="shared" si="125"/>
        <v>7</v>
      </c>
      <c r="G146" s="4">
        <v>1.1425292918330761</v>
      </c>
      <c r="H146" s="4">
        <v>15</v>
      </c>
      <c r="J146" s="4" t="s">
        <v>253</v>
      </c>
      <c r="K146" s="4"/>
      <c r="L146" s="4"/>
      <c r="M146" s="4"/>
      <c r="N146" s="4">
        <f t="shared" si="126"/>
        <v>6.25</v>
      </c>
      <c r="O146" s="4">
        <v>1.1425292918330761</v>
      </c>
      <c r="P146" s="4"/>
      <c r="Q146" s="4"/>
      <c r="R146" s="4"/>
      <c r="S146" s="4">
        <v>15</v>
      </c>
      <c r="U146" s="4" t="s">
        <v>253</v>
      </c>
      <c r="V146" s="4">
        <f t="shared" si="127"/>
        <v>6</v>
      </c>
      <c r="W146" s="4">
        <v>1.1425292918330761</v>
      </c>
      <c r="X146" s="4"/>
      <c r="Y146" s="4"/>
      <c r="Z146" s="4"/>
      <c r="AA146" s="4">
        <v>15</v>
      </c>
      <c r="AF146" s="4" t="s">
        <v>253</v>
      </c>
      <c r="AG146" s="4">
        <f t="shared" si="128"/>
        <v>7.5</v>
      </c>
      <c r="AH146" s="4">
        <v>1.1425292918330761</v>
      </c>
      <c r="AI146" s="4">
        <v>15</v>
      </c>
      <c r="AN146" s="4" t="s">
        <v>253</v>
      </c>
      <c r="AO146" s="4">
        <f t="shared" si="129"/>
        <v>7.8</v>
      </c>
      <c r="AP146" s="4"/>
      <c r="AQ146" s="4"/>
      <c r="AR146" s="4"/>
      <c r="AS146" s="4">
        <v>1.1425292918330761</v>
      </c>
      <c r="AT146" s="4">
        <v>15</v>
      </c>
      <c r="AV146" s="4" t="s">
        <v>253</v>
      </c>
      <c r="AW146" s="4">
        <f t="shared" si="130"/>
        <v>6</v>
      </c>
      <c r="AX146" s="4"/>
      <c r="AY146" s="4"/>
      <c r="AZ146" s="4"/>
      <c r="BA146" s="4">
        <v>1.1425292918330761</v>
      </c>
      <c r="BB146" s="4">
        <v>15</v>
      </c>
      <c r="BG146" s="4">
        <v>7</v>
      </c>
      <c r="BH146" s="4">
        <f t="shared" si="131"/>
        <v>6.2</v>
      </c>
      <c r="BI146" s="4">
        <v>1.1425292918330761</v>
      </c>
      <c r="BJ146" s="4">
        <v>15</v>
      </c>
      <c r="BK146" s="5"/>
      <c r="BL146" s="5"/>
    </row>
    <row r="147" spans="2:66" ht="14.25" customHeight="1" x14ac:dyDescent="0.3">
      <c r="B147" s="4" t="s">
        <v>254</v>
      </c>
      <c r="C147" s="4"/>
      <c r="D147" s="4"/>
      <c r="E147" s="4"/>
      <c r="F147" s="4">
        <f t="shared" si="125"/>
        <v>5.75</v>
      </c>
      <c r="G147" s="4">
        <v>0.80154659127182082</v>
      </c>
      <c r="H147" s="4">
        <v>19</v>
      </c>
      <c r="J147" s="4" t="s">
        <v>254</v>
      </c>
      <c r="K147" s="4"/>
      <c r="L147" s="4"/>
      <c r="M147" s="4"/>
      <c r="N147" s="4">
        <f t="shared" si="126"/>
        <v>5</v>
      </c>
      <c r="O147" s="4">
        <v>0.80154659127182082</v>
      </c>
      <c r="P147" s="4"/>
      <c r="Q147" s="4"/>
      <c r="R147" s="4"/>
      <c r="S147" s="4">
        <v>19</v>
      </c>
      <c r="U147" s="4" t="s">
        <v>254</v>
      </c>
      <c r="V147" s="4">
        <f t="shared" si="127"/>
        <v>5</v>
      </c>
      <c r="W147" s="4">
        <v>0.80154659127182082</v>
      </c>
      <c r="X147" s="4"/>
      <c r="Y147" s="4"/>
      <c r="Z147" s="4"/>
      <c r="AA147" s="4">
        <v>19</v>
      </c>
      <c r="AF147" s="4" t="s">
        <v>254</v>
      </c>
      <c r="AG147" s="4">
        <f t="shared" si="128"/>
        <v>6.25</v>
      </c>
      <c r="AH147" s="4">
        <v>0.80154659127182082</v>
      </c>
      <c r="AI147" s="4">
        <v>19</v>
      </c>
      <c r="AN147" s="4" t="s">
        <v>254</v>
      </c>
      <c r="AO147" s="4">
        <f t="shared" si="129"/>
        <v>5</v>
      </c>
      <c r="AP147" s="4"/>
      <c r="AQ147" s="4"/>
      <c r="AR147" s="4"/>
      <c r="AS147" s="4">
        <v>0.80154659127182082</v>
      </c>
      <c r="AT147" s="4">
        <v>19</v>
      </c>
      <c r="AV147" s="4" t="s">
        <v>254</v>
      </c>
      <c r="AW147" s="4">
        <f t="shared" si="130"/>
        <v>5</v>
      </c>
      <c r="AX147" s="4"/>
      <c r="AY147" s="4"/>
      <c r="AZ147" s="4"/>
      <c r="BA147" s="4">
        <v>0.80154659127182082</v>
      </c>
      <c r="BB147" s="4">
        <v>19</v>
      </c>
      <c r="BG147" s="4">
        <v>8</v>
      </c>
      <c r="BH147" s="4">
        <f t="shared" si="131"/>
        <v>5</v>
      </c>
      <c r="BI147" s="4">
        <v>0.80154659127182082</v>
      </c>
      <c r="BJ147" s="4">
        <v>19</v>
      </c>
      <c r="BK147" s="5"/>
      <c r="BL147" s="5"/>
    </row>
    <row r="148" spans="2:66" ht="14.25" customHeight="1" x14ac:dyDescent="0.3">
      <c r="B148" s="4" t="s">
        <v>255</v>
      </c>
      <c r="C148" s="4"/>
      <c r="D148" s="4"/>
      <c r="E148" s="4"/>
      <c r="F148" s="4">
        <f t="shared" si="125"/>
        <v>6.25</v>
      </c>
      <c r="G148" s="4">
        <v>0.75176560751023358</v>
      </c>
      <c r="H148" s="4">
        <v>15</v>
      </c>
      <c r="J148" s="4" t="s">
        <v>255</v>
      </c>
      <c r="K148" s="4"/>
      <c r="L148" s="4"/>
      <c r="M148" s="4"/>
      <c r="N148" s="4">
        <f t="shared" si="126"/>
        <v>6</v>
      </c>
      <c r="O148" s="4">
        <v>0.75176560751023358</v>
      </c>
      <c r="P148" s="4"/>
      <c r="Q148" s="4"/>
      <c r="R148" s="4"/>
      <c r="S148" s="4">
        <v>15</v>
      </c>
      <c r="U148" s="4" t="s">
        <v>255</v>
      </c>
      <c r="V148" s="4">
        <f t="shared" si="127"/>
        <v>6.5</v>
      </c>
      <c r="W148" s="4">
        <v>0.75176560751023358</v>
      </c>
      <c r="X148" s="4"/>
      <c r="Y148" s="4"/>
      <c r="Z148" s="4"/>
      <c r="AA148" s="4">
        <v>15</v>
      </c>
      <c r="AF148" s="4" t="s">
        <v>255</v>
      </c>
      <c r="AG148" s="4">
        <f t="shared" si="128"/>
        <v>6</v>
      </c>
      <c r="AH148" s="4">
        <v>0.75176560751023358</v>
      </c>
      <c r="AI148" s="4">
        <v>15</v>
      </c>
      <c r="AN148" s="4" t="s">
        <v>255</v>
      </c>
      <c r="AO148" s="4">
        <f t="shared" si="129"/>
        <v>6</v>
      </c>
      <c r="AP148" s="4"/>
      <c r="AQ148" s="4"/>
      <c r="AR148" s="4"/>
      <c r="AS148" s="4">
        <v>0.75176560751023358</v>
      </c>
      <c r="AT148" s="4">
        <v>15</v>
      </c>
      <c r="AV148" s="4" t="s">
        <v>255</v>
      </c>
      <c r="AW148" s="4">
        <f t="shared" si="130"/>
        <v>6</v>
      </c>
      <c r="AX148" s="4"/>
      <c r="AY148" s="4"/>
      <c r="AZ148" s="4"/>
      <c r="BA148" s="4">
        <v>0.75176560751023358</v>
      </c>
      <c r="BB148" s="4">
        <v>15</v>
      </c>
      <c r="BG148" s="4">
        <v>9</v>
      </c>
      <c r="BH148" s="4">
        <f t="shared" si="131"/>
        <v>6.2</v>
      </c>
      <c r="BI148" s="4">
        <v>0.75176560751023358</v>
      </c>
      <c r="BJ148" s="4">
        <v>15</v>
      </c>
      <c r="BK148" s="5"/>
      <c r="BL148" s="5"/>
    </row>
    <row r="149" spans="2:66" ht="14.25" customHeight="1" x14ac:dyDescent="0.3">
      <c r="B149" s="4" t="s">
        <v>256</v>
      </c>
      <c r="C149" s="4"/>
      <c r="D149" s="4"/>
      <c r="E149" s="4"/>
      <c r="F149" s="4">
        <f t="shared" si="125"/>
        <v>8.25</v>
      </c>
      <c r="G149" s="4">
        <v>0.70267762112263932</v>
      </c>
      <c r="H149" s="4">
        <v>17</v>
      </c>
      <c r="J149" s="4" t="s">
        <v>256</v>
      </c>
      <c r="K149" s="4"/>
      <c r="L149" s="4"/>
      <c r="M149" s="4"/>
      <c r="N149" s="4">
        <f t="shared" si="126"/>
        <v>10.25</v>
      </c>
      <c r="O149" s="4">
        <v>0.70267762112263932</v>
      </c>
      <c r="P149" s="4"/>
      <c r="Q149" s="4"/>
      <c r="R149" s="4"/>
      <c r="S149" s="4">
        <v>17</v>
      </c>
      <c r="U149" s="4" t="s">
        <v>256</v>
      </c>
      <c r="V149" s="4">
        <f t="shared" si="127"/>
        <v>8.75</v>
      </c>
      <c r="W149" s="4">
        <v>0.70267762112263932</v>
      </c>
      <c r="X149" s="4"/>
      <c r="Y149" s="4"/>
      <c r="Z149" s="4"/>
      <c r="AA149" s="4">
        <v>17</v>
      </c>
      <c r="AF149" s="4" t="s">
        <v>256</v>
      </c>
      <c r="AG149" s="4">
        <f t="shared" si="128"/>
        <v>9.5</v>
      </c>
      <c r="AH149" s="4">
        <v>0.70267762112263932</v>
      </c>
      <c r="AI149" s="4">
        <v>17</v>
      </c>
      <c r="AN149" s="4" t="s">
        <v>256</v>
      </c>
      <c r="AO149" s="4">
        <f t="shared" si="129"/>
        <v>8.1999999999999993</v>
      </c>
      <c r="AP149" s="4"/>
      <c r="AQ149" s="4"/>
      <c r="AR149" s="4"/>
      <c r="AS149" s="4">
        <v>0.70267762112263932</v>
      </c>
      <c r="AT149" s="4">
        <v>17</v>
      </c>
      <c r="AV149" s="4" t="s">
        <v>256</v>
      </c>
      <c r="AW149" s="4">
        <f t="shared" si="130"/>
        <v>8</v>
      </c>
      <c r="AX149" s="4"/>
      <c r="AY149" s="4"/>
      <c r="AZ149" s="4"/>
      <c r="BA149" s="4">
        <v>0.70267762112263932</v>
      </c>
      <c r="BB149" s="4">
        <v>17</v>
      </c>
      <c r="BG149" s="4">
        <v>10</v>
      </c>
      <c r="BH149" s="4">
        <f t="shared" si="131"/>
        <v>8.8000000000000007</v>
      </c>
      <c r="BI149" s="4">
        <v>0.70267762112263932</v>
      </c>
      <c r="BJ149" s="4">
        <v>17</v>
      </c>
      <c r="BK149" s="5"/>
      <c r="BL149" s="5"/>
    </row>
    <row r="150" spans="2:66" ht="14.25" customHeight="1" x14ac:dyDescent="0.3">
      <c r="B150" s="4" t="s">
        <v>257</v>
      </c>
      <c r="C150" s="4"/>
      <c r="D150" s="4"/>
      <c r="E150" s="4"/>
      <c r="F150" s="4">
        <f t="shared" si="125"/>
        <v>10.5</v>
      </c>
      <c r="G150" s="4">
        <v>-0.85169148296274</v>
      </c>
      <c r="H150" s="4">
        <v>17</v>
      </c>
      <c r="J150" s="4" t="s">
        <v>257</v>
      </c>
      <c r="K150" s="4"/>
      <c r="L150" s="4"/>
      <c r="M150" s="4"/>
      <c r="N150" s="4">
        <f t="shared" si="126"/>
        <v>7.25</v>
      </c>
      <c r="O150" s="4">
        <v>-0.85169148296274</v>
      </c>
      <c r="P150" s="4"/>
      <c r="Q150" s="4"/>
      <c r="R150" s="4"/>
      <c r="S150" s="4">
        <v>17</v>
      </c>
      <c r="U150" s="4" t="s">
        <v>257</v>
      </c>
      <c r="V150" s="4">
        <f t="shared" si="127"/>
        <v>9.5</v>
      </c>
      <c r="W150" s="4">
        <v>-0.85169148296274</v>
      </c>
      <c r="X150" s="4"/>
      <c r="Y150" s="4"/>
      <c r="Z150" s="4"/>
      <c r="AA150" s="4">
        <v>17</v>
      </c>
      <c r="AF150" s="4" t="s">
        <v>257</v>
      </c>
      <c r="AG150" s="4">
        <f t="shared" si="128"/>
        <v>9.25</v>
      </c>
      <c r="AH150" s="4">
        <v>-0.85169148296274</v>
      </c>
      <c r="AI150" s="4">
        <v>17</v>
      </c>
      <c r="AN150" s="4" t="s">
        <v>257</v>
      </c>
      <c r="AO150" s="4">
        <f t="shared" si="129"/>
        <v>10</v>
      </c>
      <c r="AP150" s="4"/>
      <c r="AQ150" s="4"/>
      <c r="AR150" s="4"/>
      <c r="AS150" s="4">
        <v>-0.85169148296274</v>
      </c>
      <c r="AT150" s="4">
        <v>17</v>
      </c>
      <c r="AV150" s="4" t="s">
        <v>257</v>
      </c>
      <c r="AW150" s="4">
        <f t="shared" si="130"/>
        <v>13</v>
      </c>
      <c r="AX150" s="4"/>
      <c r="AY150" s="4"/>
      <c r="AZ150" s="4"/>
      <c r="BA150" s="4">
        <v>-0.85169148296274</v>
      </c>
      <c r="BB150" s="4">
        <v>17</v>
      </c>
      <c r="BG150" s="4">
        <v>11</v>
      </c>
      <c r="BH150" s="4">
        <f t="shared" si="131"/>
        <v>12.2</v>
      </c>
      <c r="BI150" s="4">
        <v>-0.85169148296274</v>
      </c>
      <c r="BJ150" s="4">
        <v>17</v>
      </c>
      <c r="BK150" s="5"/>
      <c r="BL150" s="5"/>
    </row>
    <row r="151" spans="2:66" ht="14.25" customHeight="1" x14ac:dyDescent="0.3">
      <c r="B151" s="4" t="s">
        <v>258</v>
      </c>
      <c r="C151" s="4"/>
      <c r="D151" s="4"/>
      <c r="E151" s="4"/>
      <c r="F151" s="4">
        <f t="shared" si="125"/>
        <v>10</v>
      </c>
      <c r="G151" s="4">
        <v>-1.12017317951397</v>
      </c>
      <c r="H151" s="4">
        <v>16</v>
      </c>
      <c r="J151" s="4" t="s">
        <v>258</v>
      </c>
      <c r="K151" s="4"/>
      <c r="L151" s="4"/>
      <c r="M151" s="4"/>
      <c r="N151" s="4">
        <f t="shared" si="126"/>
        <v>6.75</v>
      </c>
      <c r="O151" s="4">
        <v>-1.12017317951397</v>
      </c>
      <c r="P151" s="4"/>
      <c r="Q151" s="4"/>
      <c r="R151" s="4"/>
      <c r="S151" s="4">
        <v>16</v>
      </c>
      <c r="U151" s="4" t="s">
        <v>258</v>
      </c>
      <c r="V151" s="4">
        <f t="shared" si="127"/>
        <v>7.75</v>
      </c>
      <c r="W151" s="4">
        <v>-1.12017317951397</v>
      </c>
      <c r="X151" s="4"/>
      <c r="Y151" s="4"/>
      <c r="Z151" s="4"/>
      <c r="AA151" s="4">
        <v>16</v>
      </c>
      <c r="AF151" s="4" t="s">
        <v>258</v>
      </c>
      <c r="AG151" s="4">
        <f t="shared" si="128"/>
        <v>9</v>
      </c>
      <c r="AH151" s="4">
        <v>-1.12017317951397</v>
      </c>
      <c r="AI151" s="4">
        <v>16</v>
      </c>
      <c r="AN151" s="4" t="s">
        <v>258</v>
      </c>
      <c r="AO151" s="4">
        <f t="shared" si="129"/>
        <v>9.8000000000000007</v>
      </c>
      <c r="AP151" s="4"/>
      <c r="AQ151" s="4"/>
      <c r="AR151" s="4"/>
      <c r="AS151" s="4">
        <v>-1.12017317951397</v>
      </c>
      <c r="AT151" s="4">
        <v>16</v>
      </c>
      <c r="AV151" s="4" t="s">
        <v>258</v>
      </c>
      <c r="AW151" s="4">
        <f t="shared" si="130"/>
        <v>11.4</v>
      </c>
      <c r="AX151" s="4"/>
      <c r="AY151" s="4"/>
      <c r="AZ151" s="4"/>
      <c r="BA151" s="4">
        <v>-1.12017317951397</v>
      </c>
      <c r="BB151" s="4">
        <v>16</v>
      </c>
      <c r="BG151" s="4">
        <v>12</v>
      </c>
      <c r="BH151" s="4">
        <f t="shared" si="131"/>
        <v>12.6</v>
      </c>
      <c r="BI151" s="4">
        <v>-1.12017317951397</v>
      </c>
      <c r="BJ151" s="4">
        <v>16</v>
      </c>
      <c r="BK151" s="5"/>
      <c r="BL151" s="5"/>
    </row>
    <row r="152" spans="2:66" ht="14.25" customHeight="1" x14ac:dyDescent="0.3">
      <c r="B152" s="4" t="s">
        <v>259</v>
      </c>
      <c r="C152" s="4"/>
      <c r="D152" s="4"/>
      <c r="E152" s="4"/>
      <c r="F152" s="4">
        <f t="shared" si="125"/>
        <v>6.25</v>
      </c>
      <c r="G152" s="4">
        <v>-1.1154133211974251</v>
      </c>
      <c r="H152" s="4">
        <v>19</v>
      </c>
      <c r="J152" s="4" t="s">
        <v>259</v>
      </c>
      <c r="K152" s="4"/>
      <c r="L152" s="4"/>
      <c r="M152" s="4"/>
      <c r="N152" s="4">
        <f t="shared" si="126"/>
        <v>4.25</v>
      </c>
      <c r="O152" s="4">
        <v>-1.1154133211974251</v>
      </c>
      <c r="P152" s="4"/>
      <c r="Q152" s="4"/>
      <c r="R152" s="4"/>
      <c r="S152" s="4">
        <v>19</v>
      </c>
      <c r="U152" s="4" t="s">
        <v>259</v>
      </c>
      <c r="V152" s="4">
        <f t="shared" si="127"/>
        <v>5.25</v>
      </c>
      <c r="W152" s="4">
        <v>-1.1154133211974251</v>
      </c>
      <c r="X152" s="4"/>
      <c r="Y152" s="4"/>
      <c r="Z152" s="4"/>
      <c r="AA152" s="4">
        <v>19</v>
      </c>
      <c r="AF152" s="4" t="s">
        <v>259</v>
      </c>
      <c r="AG152" s="4">
        <f t="shared" si="128"/>
        <v>11.25</v>
      </c>
      <c r="AH152" s="4">
        <v>-1.1154133211974251</v>
      </c>
      <c r="AI152" s="4">
        <v>19</v>
      </c>
      <c r="AN152" s="4" t="s">
        <v>259</v>
      </c>
      <c r="AO152" s="4">
        <f t="shared" si="129"/>
        <v>5</v>
      </c>
      <c r="AP152" s="4"/>
      <c r="AQ152" s="4"/>
      <c r="AR152" s="4"/>
      <c r="AS152" s="4">
        <v>-1.1154133211974251</v>
      </c>
      <c r="AT152" s="4">
        <v>19</v>
      </c>
      <c r="AV152" s="4" t="s">
        <v>259</v>
      </c>
      <c r="AW152" s="4">
        <f t="shared" si="130"/>
        <v>7.6</v>
      </c>
      <c r="AX152" s="4"/>
      <c r="AY152" s="4"/>
      <c r="AZ152" s="4"/>
      <c r="BA152" s="4">
        <v>-1.1154133211974251</v>
      </c>
      <c r="BB152" s="4">
        <v>19</v>
      </c>
      <c r="BG152" s="4">
        <v>13</v>
      </c>
      <c r="BH152" s="4">
        <f t="shared" si="131"/>
        <v>9.4</v>
      </c>
      <c r="BI152" s="4">
        <v>-1.1154133211974251</v>
      </c>
      <c r="BJ152" s="4">
        <v>19</v>
      </c>
      <c r="BK152" s="5"/>
      <c r="BL152" s="5"/>
    </row>
    <row r="153" spans="2:66" ht="14.25" customHeight="1" x14ac:dyDescent="0.3">
      <c r="B153" s="4" t="s">
        <v>260</v>
      </c>
      <c r="C153" s="4"/>
      <c r="D153" s="4"/>
      <c r="E153" s="4"/>
      <c r="F153" s="4">
        <f t="shared" si="125"/>
        <v>21.5</v>
      </c>
      <c r="G153" s="4">
        <v>-1.072806810743151</v>
      </c>
      <c r="H153" s="4">
        <v>19</v>
      </c>
      <c r="J153" s="4" t="s">
        <v>260</v>
      </c>
      <c r="K153" s="4"/>
      <c r="L153" s="4"/>
      <c r="M153" s="4"/>
      <c r="N153" s="4">
        <f t="shared" si="126"/>
        <v>23.5</v>
      </c>
      <c r="O153" s="4">
        <v>-1.072806810743151</v>
      </c>
      <c r="P153" s="4"/>
      <c r="Q153" s="4"/>
      <c r="R153" s="4"/>
      <c r="S153" s="4">
        <v>19</v>
      </c>
      <c r="U153" s="4" t="s">
        <v>260</v>
      </c>
      <c r="V153" s="4">
        <f t="shared" si="127"/>
        <v>18.5</v>
      </c>
      <c r="W153" s="4">
        <v>-1.072806810743151</v>
      </c>
      <c r="X153" s="4"/>
      <c r="Y153" s="4"/>
      <c r="Z153" s="4"/>
      <c r="AA153" s="4">
        <v>19</v>
      </c>
      <c r="AF153" s="4" t="s">
        <v>260</v>
      </c>
      <c r="AG153" s="4">
        <f t="shared" si="128"/>
        <v>21.25</v>
      </c>
      <c r="AH153" s="4">
        <v>-1.072806810743151</v>
      </c>
      <c r="AI153" s="4">
        <v>19</v>
      </c>
      <c r="AN153" s="4" t="s">
        <v>260</v>
      </c>
      <c r="AO153" s="4">
        <f t="shared" si="129"/>
        <v>25</v>
      </c>
      <c r="AP153" s="4"/>
      <c r="AQ153" s="4"/>
      <c r="AR153" s="4"/>
      <c r="AS153" s="4">
        <v>-1.072806810743151</v>
      </c>
      <c r="AT153" s="4">
        <v>19</v>
      </c>
      <c r="AV153" s="4" t="s">
        <v>260</v>
      </c>
      <c r="AW153" s="4">
        <f t="shared" si="130"/>
        <v>20.2</v>
      </c>
      <c r="AX153" s="4"/>
      <c r="AY153" s="4"/>
      <c r="AZ153" s="4"/>
      <c r="BA153" s="4">
        <v>-1.072806810743151</v>
      </c>
      <c r="BB153" s="4">
        <v>19</v>
      </c>
      <c r="BG153" s="4">
        <v>14</v>
      </c>
      <c r="BH153" s="4">
        <f t="shared" si="131"/>
        <v>24.8</v>
      </c>
      <c r="BI153" s="4">
        <v>-1.072806810743151</v>
      </c>
      <c r="BJ153" s="4">
        <v>19</v>
      </c>
      <c r="BK153" s="5"/>
      <c r="BL153" s="5"/>
    </row>
    <row r="154" spans="2:66" ht="14.25" customHeight="1" x14ac:dyDescent="0.3">
      <c r="B154" s="4" t="s">
        <v>261</v>
      </c>
      <c r="C154" s="4"/>
      <c r="D154" s="4"/>
      <c r="E154" s="4"/>
      <c r="F154" s="4">
        <f t="shared" si="125"/>
        <v>11</v>
      </c>
      <c r="G154" s="4">
        <v>-0.99095987605964864</v>
      </c>
      <c r="H154" s="4">
        <v>31</v>
      </c>
      <c r="J154" s="4" t="s">
        <v>261</v>
      </c>
      <c r="K154" s="4"/>
      <c r="L154" s="4"/>
      <c r="M154" s="4"/>
      <c r="N154" s="4">
        <f t="shared" si="126"/>
        <v>11.5</v>
      </c>
      <c r="O154" s="4">
        <v>-0.99095987605964864</v>
      </c>
      <c r="P154" s="4"/>
      <c r="Q154" s="4"/>
      <c r="R154" s="4"/>
      <c r="S154" s="4">
        <v>31</v>
      </c>
      <c r="U154" s="4" t="s">
        <v>261</v>
      </c>
      <c r="V154" s="4">
        <f t="shared" si="127"/>
        <v>12.5</v>
      </c>
      <c r="W154" s="4">
        <v>-0.99095987605964864</v>
      </c>
      <c r="X154" s="4"/>
      <c r="Y154" s="4"/>
      <c r="Z154" s="4"/>
      <c r="AA154" s="4">
        <v>31</v>
      </c>
      <c r="AF154" s="4" t="s">
        <v>261</v>
      </c>
      <c r="AG154" s="4">
        <f t="shared" si="128"/>
        <v>15.5</v>
      </c>
      <c r="AH154" s="4">
        <v>-0.99095987605964864</v>
      </c>
      <c r="AI154" s="4">
        <v>31</v>
      </c>
      <c r="AN154" s="4" t="s">
        <v>261</v>
      </c>
      <c r="AO154" s="4">
        <f t="shared" si="129"/>
        <v>11.8</v>
      </c>
      <c r="AP154" s="4"/>
      <c r="AQ154" s="4"/>
      <c r="AR154" s="4"/>
      <c r="AS154" s="4">
        <v>-0.99095987605964864</v>
      </c>
      <c r="AT154" s="4">
        <v>31</v>
      </c>
      <c r="AV154" s="4" t="s">
        <v>261</v>
      </c>
      <c r="AW154" s="4">
        <f t="shared" si="130"/>
        <v>14.4</v>
      </c>
      <c r="AX154" s="4"/>
      <c r="AY154" s="4"/>
      <c r="AZ154" s="4"/>
      <c r="BA154" s="4">
        <v>-0.99095987605964864</v>
      </c>
      <c r="BB154" s="4">
        <v>31</v>
      </c>
      <c r="BG154" s="4">
        <v>15</v>
      </c>
      <c r="BH154" s="4">
        <f t="shared" si="131"/>
        <v>11.4</v>
      </c>
      <c r="BI154" s="4">
        <v>-0.99095987605964864</v>
      </c>
      <c r="BJ154" s="4">
        <v>31</v>
      </c>
      <c r="BK154" s="5"/>
      <c r="BL154" s="5"/>
    </row>
    <row r="155" spans="2:66" ht="14.25" customHeight="1" x14ac:dyDescent="0.3">
      <c r="B155" s="4" t="s">
        <v>262</v>
      </c>
      <c r="C155" s="4"/>
      <c r="D155" s="4"/>
      <c r="E155" s="4"/>
      <c r="F155" s="4">
        <f t="shared" si="125"/>
        <v>9.5</v>
      </c>
      <c r="G155" s="4">
        <v>-1.679865001322572</v>
      </c>
      <c r="H155" s="4">
        <v>27</v>
      </c>
      <c r="J155" s="4" t="s">
        <v>262</v>
      </c>
      <c r="K155" s="4"/>
      <c r="L155" s="4"/>
      <c r="M155" s="4"/>
      <c r="N155" s="4">
        <f t="shared" si="126"/>
        <v>5.75</v>
      </c>
      <c r="O155" s="4">
        <v>-1.679865001322572</v>
      </c>
      <c r="P155" s="4"/>
      <c r="Q155" s="4"/>
      <c r="R155" s="4"/>
      <c r="S155" s="4">
        <v>27</v>
      </c>
      <c r="U155" s="4" t="s">
        <v>262</v>
      </c>
      <c r="V155" s="4">
        <f t="shared" si="127"/>
        <v>10.25</v>
      </c>
      <c r="W155" s="4">
        <v>-1.679865001322572</v>
      </c>
      <c r="X155" s="4"/>
      <c r="Y155" s="4"/>
      <c r="Z155" s="4"/>
      <c r="AA155" s="4">
        <v>27</v>
      </c>
      <c r="AF155" s="4" t="s">
        <v>262</v>
      </c>
      <c r="AG155" s="4">
        <f t="shared" si="128"/>
        <v>12.5</v>
      </c>
      <c r="AH155" s="4">
        <v>-1.679865001322572</v>
      </c>
      <c r="AI155" s="4">
        <v>27</v>
      </c>
      <c r="AN155" s="4" t="s">
        <v>262</v>
      </c>
      <c r="AO155" s="4">
        <f t="shared" si="129"/>
        <v>6.6</v>
      </c>
      <c r="AP155" s="4"/>
      <c r="AQ155" s="4"/>
      <c r="AR155" s="4"/>
      <c r="AS155" s="4">
        <v>-1.679865001322572</v>
      </c>
      <c r="AT155" s="4">
        <v>27</v>
      </c>
      <c r="AV155" s="4" t="s">
        <v>262</v>
      </c>
      <c r="AW155" s="4">
        <f t="shared" si="130"/>
        <v>9.4</v>
      </c>
      <c r="AX155" s="4"/>
      <c r="AY155" s="4"/>
      <c r="AZ155" s="4"/>
      <c r="BA155" s="4">
        <v>-1.679865001322572</v>
      </c>
      <c r="BB155" s="4">
        <v>27</v>
      </c>
      <c r="BG155" s="4">
        <v>16</v>
      </c>
      <c r="BH155" s="4">
        <f t="shared" si="131"/>
        <v>10.4</v>
      </c>
      <c r="BI155" s="4">
        <v>-1.679865001322572</v>
      </c>
      <c r="BJ155" s="4">
        <v>27</v>
      </c>
      <c r="BK155" s="5"/>
      <c r="BL155" s="5"/>
    </row>
    <row r="156" spans="2:66" ht="14.25" customHeight="1" x14ac:dyDescent="0.3">
      <c r="B156" s="4" t="s">
        <v>263</v>
      </c>
      <c r="C156" s="4"/>
      <c r="D156" s="4"/>
      <c r="E156" s="4"/>
      <c r="F156" s="4">
        <f t="shared" si="125"/>
        <v>10.75</v>
      </c>
      <c r="G156" s="4">
        <v>-0.90834372881365233</v>
      </c>
      <c r="H156" s="4">
        <v>15</v>
      </c>
      <c r="J156" s="4" t="s">
        <v>263</v>
      </c>
      <c r="K156" s="4"/>
      <c r="L156" s="4"/>
      <c r="M156" s="4"/>
      <c r="N156" s="4">
        <f t="shared" si="126"/>
        <v>8.5</v>
      </c>
      <c r="O156" s="4">
        <v>-0.90834372881365233</v>
      </c>
      <c r="P156" s="4"/>
      <c r="Q156" s="4"/>
      <c r="R156" s="4"/>
      <c r="S156" s="4">
        <v>15</v>
      </c>
      <c r="U156" s="4" t="s">
        <v>263</v>
      </c>
      <c r="V156" s="4">
        <f t="shared" si="127"/>
        <v>9.25</v>
      </c>
      <c r="W156" s="4">
        <v>-0.90834372881365233</v>
      </c>
      <c r="X156" s="4"/>
      <c r="Y156" s="4"/>
      <c r="Z156" s="4"/>
      <c r="AA156" s="4">
        <v>15</v>
      </c>
      <c r="AF156" s="4" t="s">
        <v>263</v>
      </c>
      <c r="AG156" s="4">
        <f t="shared" si="128"/>
        <v>7</v>
      </c>
      <c r="AH156" s="4">
        <v>-0.90834372881365233</v>
      </c>
      <c r="AI156" s="4">
        <v>15</v>
      </c>
      <c r="AN156" s="4" t="s">
        <v>263</v>
      </c>
      <c r="AO156" s="4">
        <f t="shared" si="129"/>
        <v>6.8</v>
      </c>
      <c r="AP156" s="4"/>
      <c r="AQ156" s="4"/>
      <c r="AR156" s="4"/>
      <c r="AS156" s="4">
        <v>-0.90834372881365233</v>
      </c>
      <c r="AT156" s="4">
        <v>15</v>
      </c>
      <c r="AV156" s="4" t="s">
        <v>263</v>
      </c>
      <c r="AW156" s="4">
        <f t="shared" si="130"/>
        <v>11.8</v>
      </c>
      <c r="AX156" s="4"/>
      <c r="AY156" s="4"/>
      <c r="AZ156" s="4"/>
      <c r="BA156" s="4">
        <v>-0.90834372881365233</v>
      </c>
      <c r="BB156" s="4">
        <v>15</v>
      </c>
      <c r="BG156" s="4">
        <v>17</v>
      </c>
      <c r="BH156" s="4">
        <f t="shared" si="131"/>
        <v>11.4</v>
      </c>
      <c r="BI156" s="4">
        <v>-0.90834372881365233</v>
      </c>
      <c r="BJ156" s="4">
        <v>15</v>
      </c>
      <c r="BK156" s="5"/>
      <c r="BL156" s="5"/>
    </row>
    <row r="157" spans="2:66" ht="14.25" customHeight="1" x14ac:dyDescent="0.3">
      <c r="B157" s="4" t="s">
        <v>264</v>
      </c>
      <c r="C157" s="4"/>
      <c r="D157" s="4"/>
      <c r="E157" s="4"/>
      <c r="F157" s="4">
        <f t="shared" si="125"/>
        <v>13</v>
      </c>
      <c r="G157" s="4">
        <v>-1.196962071035268</v>
      </c>
      <c r="H157" s="4">
        <v>19</v>
      </c>
      <c r="J157" s="4" t="s">
        <v>264</v>
      </c>
      <c r="K157" s="4"/>
      <c r="L157" s="4"/>
      <c r="M157" s="4"/>
      <c r="N157" s="4">
        <f t="shared" si="126"/>
        <v>15</v>
      </c>
      <c r="O157" s="4">
        <v>-1.196962071035268</v>
      </c>
      <c r="P157" s="4"/>
      <c r="Q157" s="4"/>
      <c r="R157" s="4"/>
      <c r="S157" s="4">
        <v>19</v>
      </c>
      <c r="U157" s="4" t="s">
        <v>264</v>
      </c>
      <c r="V157" s="4">
        <f t="shared" si="127"/>
        <v>13.25</v>
      </c>
      <c r="W157" s="4">
        <v>-1.196962071035268</v>
      </c>
      <c r="X157" s="4"/>
      <c r="Y157" s="4"/>
      <c r="Z157" s="4"/>
      <c r="AA157" s="4">
        <v>19</v>
      </c>
      <c r="AF157" s="4" t="s">
        <v>264</v>
      </c>
      <c r="AG157" s="4">
        <f t="shared" si="128"/>
        <v>12.25</v>
      </c>
      <c r="AH157" s="4">
        <v>-1.196962071035268</v>
      </c>
      <c r="AI157" s="4">
        <v>19</v>
      </c>
      <c r="AN157" s="4" t="s">
        <v>264</v>
      </c>
      <c r="AO157" s="4">
        <f t="shared" si="129"/>
        <v>12.8</v>
      </c>
      <c r="AP157" s="4"/>
      <c r="AQ157" s="4"/>
      <c r="AR157" s="4"/>
      <c r="AS157" s="4">
        <v>-1.196962071035268</v>
      </c>
      <c r="AT157" s="4">
        <v>19</v>
      </c>
      <c r="AV157" s="4" t="s">
        <v>264</v>
      </c>
      <c r="AW157" s="4">
        <f t="shared" si="130"/>
        <v>13</v>
      </c>
      <c r="AX157" s="4"/>
      <c r="AY157" s="4"/>
      <c r="AZ157" s="4"/>
      <c r="BA157" s="4">
        <v>-1.196962071035268</v>
      </c>
      <c r="BB157" s="4">
        <v>19</v>
      </c>
      <c r="BG157" s="4">
        <v>18</v>
      </c>
      <c r="BH157" s="4">
        <f t="shared" si="131"/>
        <v>12.4</v>
      </c>
      <c r="BI157" s="4">
        <v>-1.196962071035268</v>
      </c>
      <c r="BJ157" s="4">
        <v>19</v>
      </c>
      <c r="BK157" s="5"/>
      <c r="BL157" s="5"/>
    </row>
    <row r="158" spans="2:66" ht="14.25" customHeight="1" x14ac:dyDescent="0.3">
      <c r="B158" s="4" t="s">
        <v>265</v>
      </c>
      <c r="C158" s="4"/>
      <c r="D158" s="4"/>
      <c r="E158" s="4"/>
      <c r="F158" s="4">
        <f t="shared" si="125"/>
        <v>9.5</v>
      </c>
      <c r="G158" s="4">
        <v>-1.2097705883740471</v>
      </c>
      <c r="H158" s="4">
        <v>15</v>
      </c>
      <c r="J158" s="4" t="s">
        <v>265</v>
      </c>
      <c r="K158" s="4"/>
      <c r="L158" s="4"/>
      <c r="M158" s="4"/>
      <c r="N158" s="4">
        <f t="shared" si="126"/>
        <v>11</v>
      </c>
      <c r="O158" s="4">
        <v>-1.2097705883740471</v>
      </c>
      <c r="P158" s="4"/>
      <c r="Q158" s="4"/>
      <c r="R158" s="4"/>
      <c r="S158" s="4">
        <v>15</v>
      </c>
      <c r="U158" s="4" t="s">
        <v>265</v>
      </c>
      <c r="V158" s="4">
        <f t="shared" si="127"/>
        <v>9.75</v>
      </c>
      <c r="W158" s="4">
        <v>-1.2097705883740471</v>
      </c>
      <c r="X158" s="4"/>
      <c r="Y158" s="4"/>
      <c r="Z158" s="4"/>
      <c r="AA158" s="4">
        <v>15</v>
      </c>
      <c r="AF158" s="4" t="s">
        <v>265</v>
      </c>
      <c r="AG158" s="4">
        <f t="shared" si="128"/>
        <v>10.25</v>
      </c>
      <c r="AH158" s="4">
        <v>-1.2097705883740471</v>
      </c>
      <c r="AI158" s="4">
        <v>15</v>
      </c>
      <c r="AN158" s="4" t="s">
        <v>265</v>
      </c>
      <c r="AO158" s="4">
        <f t="shared" si="129"/>
        <v>10</v>
      </c>
      <c r="AP158" s="4"/>
      <c r="AQ158" s="4"/>
      <c r="AR158" s="4"/>
      <c r="AS158" s="4">
        <v>-1.2097705883740471</v>
      </c>
      <c r="AT158" s="4">
        <v>15</v>
      </c>
      <c r="AV158" s="4" t="s">
        <v>265</v>
      </c>
      <c r="AW158" s="4">
        <f t="shared" si="130"/>
        <v>12.4</v>
      </c>
      <c r="AX158" s="4"/>
      <c r="AY158" s="4"/>
      <c r="AZ158" s="4"/>
      <c r="BA158" s="4">
        <v>-1.2097705883740471</v>
      </c>
      <c r="BB158" s="4">
        <v>15</v>
      </c>
      <c r="BG158" s="4">
        <v>19</v>
      </c>
      <c r="BH158" s="4">
        <f t="shared" si="131"/>
        <v>12.8</v>
      </c>
      <c r="BI158" s="4">
        <v>-1.2097705883740471</v>
      </c>
      <c r="BJ158" s="4">
        <v>15</v>
      </c>
      <c r="BK158" s="5"/>
      <c r="BL158" s="5"/>
    </row>
    <row r="159" spans="2:66" ht="14.25" customHeight="1" x14ac:dyDescent="0.3">
      <c r="B159" s="4" t="s">
        <v>266</v>
      </c>
      <c r="C159" s="4"/>
      <c r="D159" s="4"/>
      <c r="E159" s="4"/>
      <c r="F159" s="4">
        <f t="shared" si="125"/>
        <v>21.25</v>
      </c>
      <c r="G159" s="4">
        <v>-0.88310324035056598</v>
      </c>
      <c r="H159" s="4">
        <v>15</v>
      </c>
      <c r="J159" s="4" t="s">
        <v>266</v>
      </c>
      <c r="K159" s="4"/>
      <c r="L159" s="4"/>
      <c r="M159" s="4"/>
      <c r="N159" s="4">
        <f t="shared" si="126"/>
        <v>17.25</v>
      </c>
      <c r="O159" s="4">
        <v>-0.88310324035056598</v>
      </c>
      <c r="P159" s="4"/>
      <c r="Q159" s="4"/>
      <c r="R159" s="4"/>
      <c r="S159" s="4">
        <v>15</v>
      </c>
      <c r="U159" s="4" t="s">
        <v>266</v>
      </c>
      <c r="V159" s="4">
        <f t="shared" si="127"/>
        <v>19.75</v>
      </c>
      <c r="W159" s="4">
        <v>-0.88310324035056598</v>
      </c>
      <c r="X159" s="4"/>
      <c r="Y159" s="4"/>
      <c r="Z159" s="4"/>
      <c r="AA159" s="4">
        <v>15</v>
      </c>
      <c r="AF159" s="4" t="s">
        <v>266</v>
      </c>
      <c r="AG159" s="4">
        <f t="shared" si="128"/>
        <v>21.25</v>
      </c>
      <c r="AH159" s="4">
        <v>-0.88310324035056598</v>
      </c>
      <c r="AI159" s="4">
        <v>15</v>
      </c>
      <c r="AN159" s="4" t="s">
        <v>266</v>
      </c>
      <c r="AO159" s="4">
        <f t="shared" si="129"/>
        <v>19.399999999999999</v>
      </c>
      <c r="AP159" s="4"/>
      <c r="AQ159" s="4"/>
      <c r="AR159" s="4"/>
      <c r="AS159" s="4">
        <v>-0.88310324035056598</v>
      </c>
      <c r="AT159" s="4">
        <v>15</v>
      </c>
      <c r="AV159" s="4" t="s">
        <v>266</v>
      </c>
      <c r="AW159" s="4">
        <f t="shared" si="130"/>
        <v>18</v>
      </c>
      <c r="AX159" s="4"/>
      <c r="AY159" s="4"/>
      <c r="AZ159" s="4"/>
      <c r="BA159" s="4">
        <v>-0.88310324035056598</v>
      </c>
      <c r="BB159" s="4">
        <v>15</v>
      </c>
      <c r="BG159" s="4">
        <v>20</v>
      </c>
      <c r="BH159" s="4">
        <f t="shared" si="131"/>
        <v>20.6</v>
      </c>
      <c r="BI159" s="4">
        <v>-0.88310324035056598</v>
      </c>
      <c r="BJ159" s="4">
        <v>15</v>
      </c>
      <c r="BK159" s="5"/>
      <c r="BL159" s="5"/>
    </row>
    <row r="160" spans="2:66" ht="14.25" customHeight="1" x14ac:dyDescent="0.3">
      <c r="B160" s="4" t="s">
        <v>312</v>
      </c>
      <c r="C160" s="4"/>
      <c r="D160" s="4"/>
      <c r="E160" s="4"/>
      <c r="F160" s="4">
        <f>AVERAGE(AO32,AB65,O98,B131)</f>
        <v>23.130042948499284</v>
      </c>
      <c r="J160" s="4" t="s">
        <v>312</v>
      </c>
      <c r="K160" s="4"/>
      <c r="L160" s="4"/>
      <c r="M160" s="4"/>
      <c r="N160" s="4">
        <f>AVERAGE(BB32,AO65,AB98,O131)</f>
        <v>24.747528803693278</v>
      </c>
      <c r="U160" s="4" t="s">
        <v>312</v>
      </c>
      <c r="V160" s="4">
        <f>AVERAGE(BN32,BB65,AO98,AB131)</f>
        <v>23.569811241679965</v>
      </c>
      <c r="AF160" s="4" t="s">
        <v>312</v>
      </c>
      <c r="AG160" s="4">
        <f>AVERAGE(BZ32,BN65,BB98,AO131)</f>
        <v>10.351842997065329</v>
      </c>
      <c r="AN160" s="4" t="s">
        <v>312</v>
      </c>
      <c r="AO160" s="4">
        <f>AVERAGE(B32,CL32,BZ65,BN98,BB131)</f>
        <v>24.799262791936911</v>
      </c>
      <c r="AV160" s="4" t="s">
        <v>312</v>
      </c>
      <c r="AW160" s="4">
        <f>AVERAGE(O32,B65,CL65,BZ98,BN131)</f>
        <v>20.716487173361408</v>
      </c>
      <c r="AX160" s="5"/>
      <c r="AY160" s="5"/>
      <c r="AZ160" s="5"/>
      <c r="BG160" s="4" t="s">
        <v>312</v>
      </c>
      <c r="BH160" s="4">
        <f>AVERAGE(AB32,O65,B98,CL98,BZ131)</f>
        <v>20.810038131686554</v>
      </c>
    </row>
    <row r="161" spans="2:60" ht="14.25" customHeight="1" x14ac:dyDescent="0.3">
      <c r="B161" s="4" t="s">
        <v>313</v>
      </c>
      <c r="C161" s="4"/>
      <c r="D161" s="4"/>
      <c r="E161" s="4"/>
      <c r="F161" s="4">
        <f>AVERAGE(AO33,AB66,O99,B132)</f>
        <v>9.25</v>
      </c>
      <c r="J161" s="4" t="s">
        <v>313</v>
      </c>
      <c r="K161" s="4"/>
      <c r="L161" s="4"/>
      <c r="M161" s="4"/>
      <c r="N161" s="4">
        <f>AVERAGE(BB33,AO66,AB99,O132)</f>
        <v>10.5</v>
      </c>
      <c r="U161" s="4" t="s">
        <v>313</v>
      </c>
      <c r="V161" s="4">
        <f>AVERAGE(BN33,BB66,AO99,AB132)</f>
        <v>9.5</v>
      </c>
      <c r="AF161" s="4" t="s">
        <v>313</v>
      </c>
      <c r="AG161" s="4">
        <f>AVERAGE(BZ33,BN66,BB99,AO132)</f>
        <v>8</v>
      </c>
      <c r="AN161" s="4" t="s">
        <v>313</v>
      </c>
      <c r="AO161" s="4">
        <f>AVERAGE(B33,CL33,BZ66,BN99,BB132)</f>
        <v>10.6</v>
      </c>
      <c r="AV161" s="4" t="s">
        <v>313</v>
      </c>
      <c r="AW161" s="4">
        <f>AVERAGE(O33,B66,CL66,BZ99,BN132)</f>
        <v>9.6</v>
      </c>
      <c r="AX161" s="5"/>
      <c r="AY161" s="5"/>
      <c r="AZ161" s="5"/>
      <c r="BG161" s="4" t="s">
        <v>313</v>
      </c>
      <c r="BH161" s="4">
        <f>AVERAGE(AB33,O66,B99,CL99,BZ132)</f>
        <v>11.4</v>
      </c>
    </row>
    <row r="162" spans="2:60" ht="14.25" customHeight="1" x14ac:dyDescent="0.3"/>
    <row r="163" spans="2:60" ht="14.25" customHeight="1" x14ac:dyDescent="0.3"/>
    <row r="164" spans="2:60" ht="14.25" customHeight="1" x14ac:dyDescent="0.3">
      <c r="J164" s="4" t="s">
        <v>314</v>
      </c>
      <c r="K164" s="4"/>
      <c r="L164" s="4"/>
      <c r="M164" s="4"/>
      <c r="N164" s="4"/>
      <c r="O164" s="4">
        <f>SUM(F160,N160,V160,AG160,AO160,AW160,BH160)</f>
        <v>148.12501408792275</v>
      </c>
    </row>
    <row r="165" spans="2:60" ht="14.25" customHeight="1" x14ac:dyDescent="0.3">
      <c r="B165" s="35" t="s">
        <v>315</v>
      </c>
      <c r="F165" s="35">
        <v>60</v>
      </c>
      <c r="H165" s="35" t="s">
        <v>316</v>
      </c>
      <c r="J165" s="4" t="s">
        <v>317</v>
      </c>
      <c r="K165" s="4"/>
      <c r="L165" s="4"/>
      <c r="M165" s="4"/>
      <c r="N165" s="4"/>
      <c r="O165" s="4">
        <f>O164*4</f>
        <v>592.500056351691</v>
      </c>
    </row>
    <row r="166" spans="2:60" ht="14.25" customHeight="1" x14ac:dyDescent="0.3">
      <c r="B166" s="35" t="s">
        <v>318</v>
      </c>
      <c r="J166" s="4" t="s">
        <v>319</v>
      </c>
      <c r="K166" s="4"/>
      <c r="L166" s="4"/>
      <c r="M166" s="4"/>
      <c r="N166" s="4"/>
      <c r="O166" s="4">
        <f>AVERAGE(F161,N161,V161,AG161,AO161,AW161,BH161)</f>
        <v>9.8357142857142872</v>
      </c>
    </row>
    <row r="167" spans="2:60" ht="14.25" customHeight="1" x14ac:dyDescent="0.3">
      <c r="B167" s="35" t="s">
        <v>320</v>
      </c>
      <c r="J167" s="4" t="s">
        <v>321</v>
      </c>
      <c r="K167" s="4"/>
      <c r="L167" s="4"/>
      <c r="M167" s="4"/>
      <c r="N167" s="4"/>
      <c r="O167" s="4">
        <f>O166*2</f>
        <v>19.671428571428574</v>
      </c>
    </row>
    <row r="168" spans="2:60" ht="14.25" customHeight="1" x14ac:dyDescent="0.3">
      <c r="B168" s="35" t="s">
        <v>322</v>
      </c>
    </row>
    <row r="169" spans="2:60" ht="14.25" customHeight="1" x14ac:dyDescent="0.3">
      <c r="B169" s="35" t="s">
        <v>323</v>
      </c>
    </row>
    <row r="170" spans="2:60" ht="14.25" customHeight="1" x14ac:dyDescent="0.3"/>
    <row r="171" spans="2:60" ht="14.25" customHeight="1" x14ac:dyDescent="0.3"/>
    <row r="172" spans="2:60" ht="14.25" customHeight="1" x14ac:dyDescent="0.3">
      <c r="B172" s="35"/>
    </row>
    <row r="173" spans="2:60" ht="14.25" customHeight="1" x14ac:dyDescent="0.3"/>
    <row r="174" spans="2:60" ht="14.25" customHeight="1" x14ac:dyDescent="0.3">
      <c r="B174" s="4" t="s">
        <v>232</v>
      </c>
      <c r="C174" s="14" t="s">
        <v>237</v>
      </c>
      <c r="D174" s="34" t="s">
        <v>362</v>
      </c>
      <c r="E174" s="34" t="s">
        <v>363</v>
      </c>
    </row>
    <row r="175" spans="2:60" ht="14.25" customHeight="1" x14ac:dyDescent="0.3">
      <c r="B175" s="4" t="s">
        <v>253</v>
      </c>
      <c r="C175" s="30">
        <v>1.1425292918330761</v>
      </c>
      <c r="D175" s="25">
        <f t="shared" ref="D175:D194" si="132">J8+W8+AJ8+AV8+BI8+BU8+CG8+CS8+I41+V41+AI41+AV41+BI41+BU41+CG41+CS41+I74+V74+AI74+AV74+BI74+BU74+CG74+CS74+I107+V107+AI107+AV107+BI107+BU107+CG107</f>
        <v>25</v>
      </c>
      <c r="E175" s="27">
        <f t="shared" ref="E175:E194" si="133">AVERAGE(K8,X8,AK8,AW8,BJ8,BV8,CH8,CT8,J41,W41,AJ41,AW41,BJ41,BV41,CH41,CT41,J74,W74,AJ74,AW74,BJ74,BV74,CH74,CT74,J107,W107,AJ107,AW107,BJ107,BV107,CH107)</f>
        <v>-0.54838709677419351</v>
      </c>
    </row>
    <row r="176" spans="2:60" ht="14.25" customHeight="1" x14ac:dyDescent="0.3">
      <c r="B176" s="4" t="s">
        <v>254</v>
      </c>
      <c r="C176" s="30">
        <v>0.80154659127182082</v>
      </c>
      <c r="D176" s="25">
        <f t="shared" si="132"/>
        <v>25</v>
      </c>
      <c r="E176" s="27">
        <f t="shared" si="133"/>
        <v>-1.935483870967742</v>
      </c>
    </row>
    <row r="177" spans="2:7" ht="14.25" customHeight="1" x14ac:dyDescent="0.3">
      <c r="B177" s="4" t="s">
        <v>255</v>
      </c>
      <c r="C177" s="30">
        <v>0.75176560751023358</v>
      </c>
      <c r="D177" s="25">
        <f t="shared" si="132"/>
        <v>21</v>
      </c>
      <c r="E177" s="27">
        <f t="shared" si="133"/>
        <v>-3.2258064516129031E-2</v>
      </c>
    </row>
    <row r="178" spans="2:7" ht="14.25" customHeight="1" x14ac:dyDescent="0.3">
      <c r="B178" s="4" t="s">
        <v>256</v>
      </c>
      <c r="C178" s="30">
        <v>0.70267762112263932</v>
      </c>
      <c r="D178" s="25">
        <f t="shared" si="132"/>
        <v>21</v>
      </c>
      <c r="E178" s="27">
        <f t="shared" si="133"/>
        <v>9.6774193548387094E-2</v>
      </c>
    </row>
    <row r="179" spans="2:7" ht="14.25" customHeight="1" x14ac:dyDescent="0.3">
      <c r="B179" s="4" t="s">
        <v>252</v>
      </c>
      <c r="C179" s="30">
        <v>0.70256358269933272</v>
      </c>
      <c r="D179" s="25">
        <f t="shared" si="132"/>
        <v>23</v>
      </c>
      <c r="E179" s="27">
        <f t="shared" si="133"/>
        <v>-0.4838709677419355</v>
      </c>
    </row>
    <row r="180" spans="2:7" ht="14.25" customHeight="1" x14ac:dyDescent="0.3">
      <c r="B180" s="4" t="s">
        <v>250</v>
      </c>
      <c r="C180" s="30">
        <v>0.67691586229508371</v>
      </c>
      <c r="D180" s="25">
        <f t="shared" si="132"/>
        <v>25</v>
      </c>
      <c r="E180" s="27">
        <f t="shared" si="133"/>
        <v>-0.74193548387096775</v>
      </c>
    </row>
    <row r="181" spans="2:7" ht="14.25" customHeight="1" x14ac:dyDescent="0.3">
      <c r="B181" s="4" t="s">
        <v>251</v>
      </c>
      <c r="C181" s="30">
        <v>0.655473679459604</v>
      </c>
      <c r="D181" s="25">
        <f t="shared" si="132"/>
        <v>23</v>
      </c>
      <c r="E181" s="27">
        <f t="shared" si="133"/>
        <v>-1.1290322580645162</v>
      </c>
    </row>
    <row r="182" spans="2:7" ht="14.25" customHeight="1" x14ac:dyDescent="0.3">
      <c r="B182" s="4" t="s">
        <v>248</v>
      </c>
      <c r="C182" s="30">
        <v>0.62268266964537045</v>
      </c>
      <c r="D182" s="25">
        <f t="shared" si="132"/>
        <v>22</v>
      </c>
      <c r="E182" s="27">
        <f t="shared" si="133"/>
        <v>-0.16129032258064516</v>
      </c>
    </row>
    <row r="183" spans="2:7" ht="14.25" customHeight="1" x14ac:dyDescent="0.3">
      <c r="B183" s="4" t="s">
        <v>247</v>
      </c>
      <c r="C183" s="30">
        <v>0.537476054711578</v>
      </c>
      <c r="D183" s="25">
        <f t="shared" si="132"/>
        <v>29</v>
      </c>
      <c r="E183" s="27">
        <f t="shared" si="133"/>
        <v>-2.903225806451613</v>
      </c>
    </row>
    <row r="184" spans="2:7" ht="14.25" customHeight="1" x14ac:dyDescent="0.3">
      <c r="B184" s="4" t="s">
        <v>249</v>
      </c>
      <c r="C184" s="30">
        <v>0.52426836588405112</v>
      </c>
      <c r="D184" s="25">
        <f t="shared" si="132"/>
        <v>24</v>
      </c>
      <c r="E184" s="27">
        <f t="shared" si="133"/>
        <v>-0.45161290322580644</v>
      </c>
    </row>
    <row r="185" spans="2:7" ht="14.25" customHeight="1" x14ac:dyDescent="0.3">
      <c r="B185" s="4" t="s">
        <v>257</v>
      </c>
      <c r="C185" s="30">
        <v>-0.85169148296274</v>
      </c>
      <c r="D185" s="25">
        <f t="shared" si="132"/>
        <v>18</v>
      </c>
      <c r="E185" s="27">
        <f t="shared" si="133"/>
        <v>-0.41935483870967744</v>
      </c>
      <c r="G185" s="35"/>
    </row>
    <row r="186" spans="2:7" ht="14.25" customHeight="1" x14ac:dyDescent="0.3">
      <c r="B186" s="4" t="s">
        <v>266</v>
      </c>
      <c r="C186" s="30">
        <v>-0.88310324035056598</v>
      </c>
      <c r="D186" s="25">
        <f t="shared" si="132"/>
        <v>19</v>
      </c>
      <c r="E186" s="27">
        <f t="shared" si="133"/>
        <v>6.4516129032258063E-2</v>
      </c>
    </row>
    <row r="187" spans="2:7" ht="14.25" customHeight="1" x14ac:dyDescent="0.3">
      <c r="B187" s="4" t="s">
        <v>263</v>
      </c>
      <c r="C187" s="30">
        <v>-0.90834372881365233</v>
      </c>
      <c r="D187" s="25">
        <f t="shared" si="132"/>
        <v>21</v>
      </c>
      <c r="E187" s="27">
        <f t="shared" si="133"/>
        <v>-9.6774193548387094E-2</v>
      </c>
    </row>
    <row r="188" spans="2:7" ht="14.25" customHeight="1" x14ac:dyDescent="0.3">
      <c r="B188" s="4" t="s">
        <v>261</v>
      </c>
      <c r="C188" s="30">
        <v>-0.99095987605964864</v>
      </c>
      <c r="D188" s="25">
        <f t="shared" si="132"/>
        <v>26</v>
      </c>
      <c r="E188" s="27">
        <f t="shared" si="133"/>
        <v>1.6129032258064515</v>
      </c>
    </row>
    <row r="189" spans="2:7" ht="14.25" customHeight="1" x14ac:dyDescent="0.3">
      <c r="B189" s="4" t="s">
        <v>260</v>
      </c>
      <c r="C189" s="30">
        <v>-1.072806810743151</v>
      </c>
      <c r="D189" s="25">
        <f t="shared" si="132"/>
        <v>21</v>
      </c>
      <c r="E189" s="27">
        <f t="shared" si="133"/>
        <v>0.25806451612903225</v>
      </c>
    </row>
    <row r="190" spans="2:7" ht="14.25" customHeight="1" x14ac:dyDescent="0.3">
      <c r="B190" s="4" t="s">
        <v>259</v>
      </c>
      <c r="C190" s="30">
        <v>-1.1154133211974251</v>
      </c>
      <c r="D190" s="25">
        <f t="shared" si="132"/>
        <v>18</v>
      </c>
      <c r="E190" s="27">
        <f t="shared" si="133"/>
        <v>3.2258064516129031E-2</v>
      </c>
    </row>
    <row r="191" spans="2:7" ht="14.25" customHeight="1" x14ac:dyDescent="0.3">
      <c r="B191" s="4" t="s">
        <v>258</v>
      </c>
      <c r="C191" s="30">
        <v>-1.12017317951397</v>
      </c>
      <c r="D191" s="25">
        <f t="shared" si="132"/>
        <v>17</v>
      </c>
      <c r="E191" s="27">
        <f t="shared" si="133"/>
        <v>-0.93548387096774188</v>
      </c>
    </row>
    <row r="192" spans="2:7" ht="14.25" customHeight="1" x14ac:dyDescent="0.3">
      <c r="B192" s="4" t="s">
        <v>264</v>
      </c>
      <c r="C192" s="30">
        <v>-1.196962071035268</v>
      </c>
      <c r="D192" s="25">
        <f t="shared" si="132"/>
        <v>26</v>
      </c>
      <c r="E192" s="27">
        <f t="shared" si="133"/>
        <v>1.1612903225806452</v>
      </c>
    </row>
    <row r="193" spans="2:5" ht="14.25" customHeight="1" x14ac:dyDescent="0.3">
      <c r="B193" s="4" t="s">
        <v>265</v>
      </c>
      <c r="C193" s="30">
        <v>-1.2097705883740471</v>
      </c>
      <c r="D193" s="25">
        <f t="shared" si="132"/>
        <v>19</v>
      </c>
      <c r="E193" s="27">
        <f t="shared" si="133"/>
        <v>9.6774193548387094E-2</v>
      </c>
    </row>
    <row r="194" spans="2:5" ht="14.25" customHeight="1" x14ac:dyDescent="0.3">
      <c r="B194" s="4" t="s">
        <v>262</v>
      </c>
      <c r="C194" s="30">
        <v>-1.679865001322572</v>
      </c>
      <c r="D194" s="25">
        <f t="shared" si="132"/>
        <v>23</v>
      </c>
      <c r="E194" s="27">
        <f t="shared" si="133"/>
        <v>0.16129032258064516</v>
      </c>
    </row>
    <row r="195" spans="2:5" ht="14.25" customHeight="1" x14ac:dyDescent="0.3"/>
    <row r="196" spans="2:5" ht="14.25" customHeight="1" x14ac:dyDescent="0.3"/>
    <row r="197" spans="2:5" ht="14.25" customHeight="1" x14ac:dyDescent="0.3"/>
    <row r="198" spans="2:5" ht="14.25" customHeight="1" x14ac:dyDescent="0.3"/>
    <row r="199" spans="2:5" ht="14.25" customHeight="1" x14ac:dyDescent="0.3"/>
    <row r="200" spans="2:5" ht="14.25" customHeight="1" x14ac:dyDescent="0.3"/>
    <row r="201" spans="2:5" ht="14.25" customHeight="1" x14ac:dyDescent="0.3"/>
    <row r="202" spans="2:5" ht="14.25" customHeight="1" x14ac:dyDescent="0.3"/>
    <row r="203" spans="2:5" ht="14.25" customHeight="1" x14ac:dyDescent="0.3"/>
    <row r="204" spans="2:5" ht="14.25" customHeight="1" x14ac:dyDescent="0.3"/>
    <row r="205" spans="2:5" ht="14.25" customHeight="1" x14ac:dyDescent="0.3"/>
    <row r="206" spans="2:5" ht="14.25" customHeight="1" x14ac:dyDescent="0.3"/>
    <row r="207" spans="2:5" ht="14.25" customHeight="1" x14ac:dyDescent="0.3"/>
    <row r="208" spans="2:5"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sheetData>
  <sortState xmlns:xlrd2="http://schemas.microsoft.com/office/spreadsheetml/2017/richdata2" ref="B175:E194">
    <sortCondition descending="1" ref="C175:C194"/>
  </sortState>
  <pageMargins left="0.7" right="0.7" top="0.75" bottom="0.75" header="0" footer="0"/>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D1000"/>
  <sheetViews>
    <sheetView workbookViewId="0">
      <selection activeCell="G8" sqref="G8:G17"/>
    </sheetView>
  </sheetViews>
  <sheetFormatPr baseColWidth="10" defaultColWidth="14.44140625" defaultRowHeight="15" customHeight="1" x14ac:dyDescent="0.3"/>
  <cols>
    <col min="1" max="1" width="42" customWidth="1"/>
    <col min="2" max="4" width="25.33203125" customWidth="1"/>
    <col min="5" max="5" width="15.44140625" customWidth="1"/>
    <col min="6" max="6" width="14.109375" customWidth="1"/>
    <col min="7" max="7" width="10.6640625" customWidth="1"/>
    <col min="8" max="8" width="15.6640625" customWidth="1"/>
    <col min="9" max="9" width="20.33203125" customWidth="1"/>
    <col min="10" max="10" width="31.44140625" customWidth="1"/>
    <col min="11" max="11" width="38.5546875" customWidth="1"/>
    <col min="12" max="15" width="21.88671875" customWidth="1"/>
    <col min="16" max="16" width="14.109375" customWidth="1"/>
    <col min="17" max="17" width="10.6640625" customWidth="1"/>
    <col min="18" max="18" width="31.44140625" customWidth="1"/>
    <col min="19" max="19" width="13" customWidth="1"/>
    <col min="20" max="20" width="10.6640625" customWidth="1"/>
    <col min="21" max="21" width="21" customWidth="1"/>
    <col min="22" max="25" width="20.109375" customWidth="1"/>
    <col min="26" max="26" width="14.109375" customWidth="1"/>
    <col min="27" max="27" width="10.6640625" customWidth="1"/>
    <col min="28" max="28" width="18.6640625" customWidth="1"/>
    <col min="29" max="29" width="22.88671875" customWidth="1"/>
    <col min="30" max="31" width="10.6640625" customWidth="1"/>
    <col min="32" max="32" width="28.88671875" customWidth="1"/>
    <col min="33" max="36" width="30.6640625" customWidth="1"/>
    <col min="37" max="37" width="14.109375" customWidth="1"/>
    <col min="38" max="42" width="10.6640625" customWidth="1"/>
    <col min="43" max="43" width="20.109375" customWidth="1"/>
    <col min="44" max="45" width="23.33203125" customWidth="1"/>
    <col min="46" max="46" width="20.109375" customWidth="1"/>
    <col min="47" max="47" width="14.109375" customWidth="1"/>
    <col min="48" max="48" width="18.88671875" customWidth="1"/>
    <col min="49" max="52" width="10.6640625" customWidth="1"/>
    <col min="53" max="53" width="20.109375" customWidth="1"/>
    <col min="54" max="55" width="23.109375" customWidth="1"/>
    <col min="56" max="56" width="20.109375" customWidth="1"/>
    <col min="57" max="57" width="14.109375" customWidth="1"/>
    <col min="58" max="62" width="10.6640625" customWidth="1"/>
    <col min="63" max="66" width="20.109375" customWidth="1"/>
    <col min="67" max="67" width="14.109375" customWidth="1"/>
    <col min="68" max="72" width="10.6640625" customWidth="1"/>
    <col min="73" max="76" width="20.109375" customWidth="1"/>
    <col min="77" max="77" width="14.109375" customWidth="1"/>
    <col min="78" max="81" width="10.6640625" customWidth="1"/>
    <col min="82" max="82" width="28.5546875" customWidth="1"/>
  </cols>
  <sheetData>
    <row r="1" spans="1:82" ht="14.25" customHeight="1" x14ac:dyDescent="0.3"/>
    <row r="2" spans="1:82" ht="14.25" customHeight="1" x14ac:dyDescent="0.3"/>
    <row r="3" spans="1:82" ht="14.25" customHeight="1" x14ac:dyDescent="0.3"/>
    <row r="4" spans="1:82" ht="14.25" customHeight="1" x14ac:dyDescent="0.3"/>
    <row r="5" spans="1:82" ht="14.25" customHeight="1" x14ac:dyDescent="0.3"/>
    <row r="6" spans="1:82" ht="14.25" customHeight="1" x14ac:dyDescent="0.3">
      <c r="A6" s="4" t="s">
        <v>224</v>
      </c>
      <c r="C6" s="5"/>
      <c r="K6" s="4" t="s">
        <v>225</v>
      </c>
      <c r="U6" s="4" t="s">
        <v>226</v>
      </c>
      <c r="AF6" s="4" t="s">
        <v>227</v>
      </c>
      <c r="AP6" s="6" t="s">
        <v>228</v>
      </c>
      <c r="AZ6" s="4" t="s">
        <v>229</v>
      </c>
      <c r="BJ6" s="4" t="s">
        <v>230</v>
      </c>
      <c r="BT6" s="4" t="s">
        <v>231</v>
      </c>
    </row>
    <row r="7" spans="1:82" ht="14.25" customHeight="1" x14ac:dyDescent="0.3">
      <c r="A7" s="4" t="s">
        <v>232</v>
      </c>
      <c r="B7" s="4" t="s">
        <v>5</v>
      </c>
      <c r="C7" s="4" t="s">
        <v>233</v>
      </c>
      <c r="D7" s="7" t="s">
        <v>234</v>
      </c>
      <c r="E7" s="7" t="s">
        <v>235</v>
      </c>
      <c r="F7" s="4" t="s">
        <v>236</v>
      </c>
      <c r="G7" s="4" t="s">
        <v>237</v>
      </c>
      <c r="H7" s="4" t="s">
        <v>12</v>
      </c>
      <c r="K7" s="4" t="s">
        <v>232</v>
      </c>
      <c r="L7" s="4" t="s">
        <v>5</v>
      </c>
      <c r="M7" s="4" t="s">
        <v>240</v>
      </c>
      <c r="N7" s="7" t="s">
        <v>234</v>
      </c>
      <c r="O7" s="7" t="s">
        <v>235</v>
      </c>
      <c r="P7" s="4" t="s">
        <v>236</v>
      </c>
      <c r="Q7" s="4" t="s">
        <v>237</v>
      </c>
      <c r="R7" s="4" t="s">
        <v>12</v>
      </c>
      <c r="U7" s="4" t="s">
        <v>232</v>
      </c>
      <c r="V7" s="4" t="s">
        <v>5</v>
      </c>
      <c r="W7" s="4" t="s">
        <v>241</v>
      </c>
      <c r="X7" s="7" t="s">
        <v>234</v>
      </c>
      <c r="Y7" s="7" t="s">
        <v>235</v>
      </c>
      <c r="Z7" s="4" t="s">
        <v>236</v>
      </c>
      <c r="AA7" s="4" t="s">
        <v>237</v>
      </c>
      <c r="AB7" s="4" t="s">
        <v>12</v>
      </c>
      <c r="AF7" s="4" t="s">
        <v>232</v>
      </c>
      <c r="AG7" s="4" t="s">
        <v>5</v>
      </c>
      <c r="AH7" s="8" t="s">
        <v>242</v>
      </c>
      <c r="AI7" s="7" t="s">
        <v>234</v>
      </c>
      <c r="AJ7" s="7" t="s">
        <v>235</v>
      </c>
      <c r="AK7" s="4" t="s">
        <v>236</v>
      </c>
      <c r="AL7" s="4" t="s">
        <v>237</v>
      </c>
      <c r="AM7" s="4" t="s">
        <v>12</v>
      </c>
      <c r="AP7" s="4" t="s">
        <v>232</v>
      </c>
      <c r="AQ7" s="4" t="s">
        <v>5</v>
      </c>
      <c r="AR7" s="4" t="s">
        <v>243</v>
      </c>
      <c r="AS7" s="7" t="s">
        <v>234</v>
      </c>
      <c r="AT7" s="7" t="s">
        <v>235</v>
      </c>
      <c r="AU7" s="4" t="s">
        <v>236</v>
      </c>
      <c r="AV7" s="4" t="s">
        <v>237</v>
      </c>
      <c r="AW7" s="4" t="s">
        <v>12</v>
      </c>
      <c r="AX7" s="3" t="s">
        <v>244</v>
      </c>
      <c r="AZ7" s="4" t="s">
        <v>232</v>
      </c>
      <c r="BA7" s="4" t="s">
        <v>5</v>
      </c>
      <c r="BB7" s="4" t="s">
        <v>245</v>
      </c>
      <c r="BC7" s="7" t="s">
        <v>234</v>
      </c>
      <c r="BD7" s="7" t="s">
        <v>235</v>
      </c>
      <c r="BE7" s="4" t="s">
        <v>236</v>
      </c>
      <c r="BF7" s="4" t="s">
        <v>237</v>
      </c>
      <c r="BG7" s="4" t="s">
        <v>12</v>
      </c>
      <c r="BH7" s="3" t="s">
        <v>244</v>
      </c>
      <c r="BJ7" s="4" t="s">
        <v>232</v>
      </c>
      <c r="BK7" s="4" t="s">
        <v>5</v>
      </c>
      <c r="BL7" s="4" t="s">
        <v>246</v>
      </c>
      <c r="BM7" s="7" t="s">
        <v>234</v>
      </c>
      <c r="BN7" s="7" t="s">
        <v>235</v>
      </c>
      <c r="BO7" s="4" t="s">
        <v>236</v>
      </c>
      <c r="BP7" s="4" t="s">
        <v>237</v>
      </c>
      <c r="BQ7" s="4" t="s">
        <v>12</v>
      </c>
      <c r="BR7" s="3" t="s">
        <v>244</v>
      </c>
      <c r="BT7" s="4" t="s">
        <v>232</v>
      </c>
      <c r="BU7" s="4" t="s">
        <v>5</v>
      </c>
      <c r="BV7" s="4" t="s">
        <v>233</v>
      </c>
      <c r="BW7" s="7" t="s">
        <v>234</v>
      </c>
      <c r="BX7" s="7" t="s">
        <v>235</v>
      </c>
      <c r="BY7" s="4" t="s">
        <v>236</v>
      </c>
      <c r="BZ7" s="4" t="s">
        <v>237</v>
      </c>
      <c r="CA7" s="4" t="s">
        <v>12</v>
      </c>
      <c r="CB7" s="3" t="s">
        <v>244</v>
      </c>
    </row>
    <row r="8" spans="1:82" ht="14.25" customHeight="1" x14ac:dyDescent="0.3">
      <c r="A8" s="4" t="s">
        <v>253</v>
      </c>
      <c r="B8" s="4">
        <v>4</v>
      </c>
      <c r="C8" s="8">
        <v>4.666666666666667</v>
      </c>
      <c r="D8" s="4">
        <v>4</v>
      </c>
      <c r="E8" s="4">
        <v>5</v>
      </c>
      <c r="F8" s="4">
        <v>7</v>
      </c>
      <c r="G8" s="4">
        <v>1.1425292918330761</v>
      </c>
      <c r="H8" s="4">
        <v>15</v>
      </c>
      <c r="I8" s="9"/>
      <c r="K8" s="4" t="s">
        <v>253</v>
      </c>
      <c r="L8" s="4">
        <v>5</v>
      </c>
      <c r="M8" s="8">
        <v>5.5555555555555554</v>
      </c>
      <c r="N8" s="4">
        <v>5</v>
      </c>
      <c r="O8" s="4">
        <v>5</v>
      </c>
      <c r="P8" s="4">
        <v>7</v>
      </c>
      <c r="Q8" s="4">
        <v>1.1425292918330761</v>
      </c>
      <c r="R8" s="4">
        <v>15</v>
      </c>
      <c r="U8" s="4" t="s">
        <v>253</v>
      </c>
      <c r="V8" s="4">
        <v>7</v>
      </c>
      <c r="W8" s="8">
        <v>4</v>
      </c>
      <c r="X8" s="4">
        <v>5</v>
      </c>
      <c r="Y8" s="4">
        <v>5</v>
      </c>
      <c r="Z8" s="4">
        <v>7</v>
      </c>
      <c r="AA8" s="4">
        <v>1.1425292918330761</v>
      </c>
      <c r="AB8" s="4">
        <v>15</v>
      </c>
      <c r="AF8" s="4" t="s">
        <v>253</v>
      </c>
      <c r="AG8" s="4">
        <v>6</v>
      </c>
      <c r="AH8" s="8">
        <v>6.1111111111111107</v>
      </c>
      <c r="AI8" s="4">
        <v>3</v>
      </c>
      <c r="AJ8" s="4">
        <v>3</v>
      </c>
      <c r="AK8" s="4">
        <v>7</v>
      </c>
      <c r="AL8" s="4">
        <v>1.1425292918330761</v>
      </c>
      <c r="AM8" s="4">
        <v>15</v>
      </c>
      <c r="AN8" s="9"/>
      <c r="AP8" s="4" t="s">
        <v>247</v>
      </c>
      <c r="AQ8" s="4">
        <v>8</v>
      </c>
      <c r="AR8" s="8">
        <v>5.333333333333333</v>
      </c>
      <c r="AS8" s="4">
        <v>0</v>
      </c>
      <c r="AT8" s="4">
        <v>1</v>
      </c>
      <c r="AU8" s="4">
        <v>6</v>
      </c>
      <c r="AV8" s="4">
        <v>0.53747605471157822</v>
      </c>
      <c r="AW8" s="4">
        <v>15</v>
      </c>
      <c r="AZ8" s="4" t="s">
        <v>253</v>
      </c>
      <c r="BA8" s="4">
        <v>10</v>
      </c>
      <c r="BB8" s="8">
        <v>4.666666666666667</v>
      </c>
      <c r="BC8" s="4">
        <v>10</v>
      </c>
      <c r="BD8" s="4">
        <v>10</v>
      </c>
      <c r="BE8" s="4">
        <v>7</v>
      </c>
      <c r="BF8" s="4">
        <v>1.1425292918330761</v>
      </c>
      <c r="BG8" s="4">
        <v>15</v>
      </c>
      <c r="BJ8" s="4" t="s">
        <v>253</v>
      </c>
      <c r="BK8" s="4">
        <v>8</v>
      </c>
      <c r="BL8" s="8">
        <v>6.1111111111111107</v>
      </c>
      <c r="BM8" s="4">
        <v>6</v>
      </c>
      <c r="BN8" s="4">
        <v>5</v>
      </c>
      <c r="BO8" s="4">
        <v>8</v>
      </c>
      <c r="BP8" s="4">
        <v>1.1425292918330761</v>
      </c>
      <c r="BQ8" s="4">
        <v>15</v>
      </c>
      <c r="BT8" s="4" t="s">
        <v>253</v>
      </c>
      <c r="BU8" s="4">
        <v>7</v>
      </c>
      <c r="BV8" s="8">
        <v>4.666666666666667</v>
      </c>
      <c r="BW8" s="4">
        <v>5</v>
      </c>
      <c r="BX8" s="4">
        <v>5</v>
      </c>
      <c r="BY8" s="4">
        <v>7</v>
      </c>
      <c r="BZ8" s="4">
        <v>1.1425292918330761</v>
      </c>
      <c r="CA8" s="4">
        <v>15</v>
      </c>
    </row>
    <row r="9" spans="1:82" ht="14.25" customHeight="1" x14ac:dyDescent="0.3">
      <c r="A9" s="4" t="s">
        <v>254</v>
      </c>
      <c r="B9" s="4">
        <v>8</v>
      </c>
      <c r="C9" s="8">
        <v>6.1111111111111107</v>
      </c>
      <c r="D9" s="4">
        <v>4</v>
      </c>
      <c r="E9" s="4">
        <v>3</v>
      </c>
      <c r="F9" s="4">
        <v>8</v>
      </c>
      <c r="G9" s="4">
        <v>0.80154659127182082</v>
      </c>
      <c r="H9" s="4">
        <v>19</v>
      </c>
      <c r="I9" s="9"/>
      <c r="K9" s="4" t="s">
        <v>254</v>
      </c>
      <c r="L9" s="4">
        <v>5</v>
      </c>
      <c r="M9" s="8">
        <v>5.8888888888888893</v>
      </c>
      <c r="N9" s="4">
        <v>5</v>
      </c>
      <c r="O9" s="4">
        <v>4</v>
      </c>
      <c r="P9" s="4">
        <v>8</v>
      </c>
      <c r="Q9" s="4">
        <v>0.80154659127182082</v>
      </c>
      <c r="R9" s="4">
        <v>19</v>
      </c>
      <c r="U9" s="4" t="s">
        <v>254</v>
      </c>
      <c r="V9" s="4">
        <v>15</v>
      </c>
      <c r="W9" s="8">
        <v>7.333333333333333</v>
      </c>
      <c r="X9" s="4">
        <v>17</v>
      </c>
      <c r="Y9" s="4">
        <v>18</v>
      </c>
      <c r="Z9" s="4">
        <v>12</v>
      </c>
      <c r="AA9" s="4">
        <v>0.80154659127182082</v>
      </c>
      <c r="AB9" s="4">
        <v>19</v>
      </c>
      <c r="AF9" s="4" t="s">
        <v>254</v>
      </c>
      <c r="AG9" s="4">
        <v>2</v>
      </c>
      <c r="AH9" s="8">
        <v>3.5555555555555554</v>
      </c>
      <c r="AI9" s="4">
        <v>0</v>
      </c>
      <c r="AJ9" s="4">
        <v>1</v>
      </c>
      <c r="AK9" s="4">
        <v>8</v>
      </c>
      <c r="AL9" s="4">
        <v>0.80154659127182082</v>
      </c>
      <c r="AM9" s="4">
        <v>19</v>
      </c>
      <c r="AN9" s="9"/>
      <c r="AP9" s="4" t="s">
        <v>248</v>
      </c>
      <c r="AQ9" s="4">
        <v>1</v>
      </c>
      <c r="AR9" s="8">
        <v>6.4444444444444446</v>
      </c>
      <c r="AS9" s="4">
        <v>7</v>
      </c>
      <c r="AT9" s="4">
        <v>10</v>
      </c>
      <c r="AU9" s="4">
        <v>5</v>
      </c>
      <c r="AV9" s="4">
        <v>0.62268266964537045</v>
      </c>
      <c r="AW9" s="4">
        <v>15</v>
      </c>
      <c r="AZ9" s="4" t="s">
        <v>254</v>
      </c>
      <c r="BA9" s="4">
        <v>3</v>
      </c>
      <c r="BB9" s="8">
        <v>5.2222222222222223</v>
      </c>
      <c r="BC9" s="4">
        <v>0</v>
      </c>
      <c r="BD9" s="4">
        <v>0</v>
      </c>
      <c r="BE9" s="4">
        <v>12</v>
      </c>
      <c r="BF9" s="4">
        <v>0.80154659127182082</v>
      </c>
      <c r="BG9" s="4">
        <v>19</v>
      </c>
      <c r="BJ9" s="4" t="s">
        <v>254</v>
      </c>
      <c r="BK9" s="4">
        <v>5</v>
      </c>
      <c r="BL9" s="8">
        <v>6.5555555555555554</v>
      </c>
      <c r="BM9" s="4">
        <v>2</v>
      </c>
      <c r="BN9" s="4">
        <v>0</v>
      </c>
      <c r="BO9" s="4">
        <v>8</v>
      </c>
      <c r="BP9" s="4">
        <v>0.80154659127182082</v>
      </c>
      <c r="BQ9" s="4">
        <v>19</v>
      </c>
      <c r="BT9" s="4" t="s">
        <v>254</v>
      </c>
      <c r="BU9" s="4">
        <v>4</v>
      </c>
      <c r="BV9" s="8">
        <v>6.1111111111111107</v>
      </c>
      <c r="BW9" s="4">
        <v>3</v>
      </c>
      <c r="BX9" s="4">
        <v>2</v>
      </c>
      <c r="BY9" s="4">
        <v>12</v>
      </c>
      <c r="BZ9" s="4">
        <v>0.80154659127182082</v>
      </c>
      <c r="CA9" s="4">
        <v>19</v>
      </c>
      <c r="CD9" s="4" t="s">
        <v>247</v>
      </c>
    </row>
    <row r="10" spans="1:82" ht="14.25" customHeight="1" x14ac:dyDescent="0.3">
      <c r="A10" s="4" t="s">
        <v>255</v>
      </c>
      <c r="B10" s="4">
        <v>1</v>
      </c>
      <c r="C10" s="8">
        <v>2.1111111111111112</v>
      </c>
      <c r="D10" s="4">
        <v>2</v>
      </c>
      <c r="E10" s="4">
        <v>0</v>
      </c>
      <c r="F10" s="4">
        <v>6</v>
      </c>
      <c r="G10" s="4">
        <v>0.75176560751023358</v>
      </c>
      <c r="H10" s="4">
        <v>15</v>
      </c>
      <c r="I10" s="9"/>
      <c r="K10" s="4" t="s">
        <v>255</v>
      </c>
      <c r="L10" s="4">
        <v>1</v>
      </c>
      <c r="M10" s="8">
        <v>2.4444444444444446</v>
      </c>
      <c r="N10" s="4">
        <v>1</v>
      </c>
      <c r="O10" s="4">
        <v>1</v>
      </c>
      <c r="P10" s="4">
        <v>6</v>
      </c>
      <c r="Q10" s="4">
        <v>0.75176560751023358</v>
      </c>
      <c r="R10" s="4">
        <v>15</v>
      </c>
      <c r="U10" s="4" t="s">
        <v>255</v>
      </c>
      <c r="V10" s="4">
        <v>4</v>
      </c>
      <c r="W10" s="8">
        <v>4.4444444444444446</v>
      </c>
      <c r="X10" s="4">
        <v>6</v>
      </c>
      <c r="Y10" s="4">
        <v>6</v>
      </c>
      <c r="Z10" s="4">
        <v>6</v>
      </c>
      <c r="AA10" s="4">
        <v>0.75176560751023358</v>
      </c>
      <c r="AB10" s="4">
        <v>15</v>
      </c>
      <c r="AF10" s="4" t="s">
        <v>255</v>
      </c>
      <c r="AG10" s="4">
        <v>8</v>
      </c>
      <c r="AH10" s="8">
        <v>3.2222222222222223</v>
      </c>
      <c r="AI10" s="4">
        <v>8</v>
      </c>
      <c r="AJ10" s="4">
        <v>6</v>
      </c>
      <c r="AK10" s="4">
        <v>8</v>
      </c>
      <c r="AL10" s="4">
        <v>0.75176560751023358</v>
      </c>
      <c r="AM10" s="4">
        <v>15</v>
      </c>
      <c r="AN10" s="9"/>
      <c r="AP10" s="4" t="s">
        <v>249</v>
      </c>
      <c r="AQ10" s="4">
        <v>11</v>
      </c>
      <c r="AR10" s="8">
        <v>8.1111111111111107</v>
      </c>
      <c r="AS10" s="4">
        <v>10</v>
      </c>
      <c r="AT10" s="4">
        <v>11</v>
      </c>
      <c r="AU10" s="4">
        <v>11</v>
      </c>
      <c r="AV10" s="4">
        <v>0.52426836588405112</v>
      </c>
      <c r="AW10" s="4">
        <v>19</v>
      </c>
      <c r="AZ10" s="4" t="s">
        <v>255</v>
      </c>
      <c r="BA10" s="4">
        <v>8</v>
      </c>
      <c r="BB10" s="8">
        <v>2.6666666666666665</v>
      </c>
      <c r="BC10" s="4">
        <v>3</v>
      </c>
      <c r="BD10" s="4">
        <v>3</v>
      </c>
      <c r="BE10" s="4">
        <v>6</v>
      </c>
      <c r="BF10" s="4">
        <v>0.75176560751023358</v>
      </c>
      <c r="BG10" s="4">
        <v>15</v>
      </c>
      <c r="BJ10" s="4" t="s">
        <v>255</v>
      </c>
      <c r="BK10" s="4">
        <v>8</v>
      </c>
      <c r="BL10" s="8">
        <v>4.333333333333333</v>
      </c>
      <c r="BM10" s="4">
        <v>8</v>
      </c>
      <c r="BN10" s="4">
        <v>4</v>
      </c>
      <c r="BO10" s="4">
        <v>8</v>
      </c>
      <c r="BP10" s="4">
        <v>0.75176560751023358</v>
      </c>
      <c r="BQ10" s="4">
        <v>15</v>
      </c>
      <c r="BT10" s="4" t="s">
        <v>255</v>
      </c>
      <c r="BU10" s="4">
        <v>2</v>
      </c>
      <c r="BV10" s="8">
        <v>2.1111111111111112</v>
      </c>
      <c r="BW10" s="4">
        <v>1</v>
      </c>
      <c r="BX10" s="4">
        <v>0</v>
      </c>
      <c r="BY10" s="4">
        <v>6</v>
      </c>
      <c r="BZ10" s="4">
        <v>0.75176560751023358</v>
      </c>
      <c r="CA10" s="4">
        <v>15</v>
      </c>
      <c r="CD10" s="4" t="s">
        <v>248</v>
      </c>
    </row>
    <row r="11" spans="1:82" ht="14.25" customHeight="1" x14ac:dyDescent="0.3">
      <c r="A11" s="4" t="s">
        <v>256</v>
      </c>
      <c r="B11" s="4">
        <v>4</v>
      </c>
      <c r="C11" s="8">
        <v>4.666666666666667</v>
      </c>
      <c r="D11" s="4">
        <v>1</v>
      </c>
      <c r="E11" s="4">
        <v>2</v>
      </c>
      <c r="F11" s="4">
        <v>11</v>
      </c>
      <c r="G11" s="4">
        <v>0.70267762112263932</v>
      </c>
      <c r="H11" s="4">
        <v>17</v>
      </c>
      <c r="I11" s="9"/>
      <c r="K11" s="4" t="s">
        <v>256</v>
      </c>
      <c r="L11" s="4">
        <v>3</v>
      </c>
      <c r="M11" s="8">
        <v>5.1111111111111107</v>
      </c>
      <c r="N11" s="4">
        <v>3</v>
      </c>
      <c r="O11" s="4">
        <v>3</v>
      </c>
      <c r="P11" s="4">
        <v>7</v>
      </c>
      <c r="Q11" s="4">
        <v>0.70267762112263932</v>
      </c>
      <c r="R11" s="4">
        <v>17</v>
      </c>
      <c r="U11" s="4" t="s">
        <v>256</v>
      </c>
      <c r="V11" s="4">
        <v>1</v>
      </c>
      <c r="W11" s="8">
        <v>3.5555555555555554</v>
      </c>
      <c r="X11" s="4">
        <v>1</v>
      </c>
      <c r="Y11" s="4">
        <v>1</v>
      </c>
      <c r="Z11" s="4">
        <v>8</v>
      </c>
      <c r="AA11" s="4">
        <v>0.70267762112263932</v>
      </c>
      <c r="AB11" s="4">
        <v>17</v>
      </c>
      <c r="AF11" s="4" t="s">
        <v>256</v>
      </c>
      <c r="AG11" s="4">
        <v>8</v>
      </c>
      <c r="AH11" s="8">
        <v>4.7777777777777777</v>
      </c>
      <c r="AI11" s="4">
        <v>10</v>
      </c>
      <c r="AJ11" s="4">
        <v>9</v>
      </c>
      <c r="AK11" s="4">
        <v>7</v>
      </c>
      <c r="AL11" s="4">
        <v>0.70267762112263932</v>
      </c>
      <c r="AM11" s="4">
        <v>17</v>
      </c>
      <c r="AN11" s="9"/>
      <c r="AP11" s="4" t="s">
        <v>250</v>
      </c>
      <c r="AQ11" s="4">
        <v>2</v>
      </c>
      <c r="AR11" s="8">
        <v>6.8888888888888893</v>
      </c>
      <c r="AS11" s="4">
        <v>1</v>
      </c>
      <c r="AT11" s="4">
        <v>0</v>
      </c>
      <c r="AU11" s="4">
        <v>6</v>
      </c>
      <c r="AV11" s="4">
        <v>0.67691586229508371</v>
      </c>
      <c r="AW11" s="4">
        <v>15</v>
      </c>
      <c r="AZ11" s="4" t="s">
        <v>256</v>
      </c>
      <c r="BA11" s="4">
        <v>3</v>
      </c>
      <c r="BB11" s="8">
        <v>5</v>
      </c>
      <c r="BC11" s="4">
        <v>1</v>
      </c>
      <c r="BD11" s="4">
        <v>0</v>
      </c>
      <c r="BE11" s="4">
        <v>11</v>
      </c>
      <c r="BF11" s="4">
        <v>0.70267762112263932</v>
      </c>
      <c r="BG11" s="4">
        <v>17</v>
      </c>
      <c r="BJ11" s="4" t="s">
        <v>256</v>
      </c>
      <c r="BK11" s="4">
        <v>4</v>
      </c>
      <c r="BL11" s="8">
        <v>6.7777777777777777</v>
      </c>
      <c r="BM11" s="4">
        <v>9</v>
      </c>
      <c r="BN11" s="4">
        <v>8</v>
      </c>
      <c r="BO11" s="4">
        <v>7</v>
      </c>
      <c r="BP11" s="4">
        <v>0.70267762112263932</v>
      </c>
      <c r="BQ11" s="4">
        <v>17</v>
      </c>
      <c r="BT11" s="4" t="s">
        <v>256</v>
      </c>
      <c r="BU11" s="4">
        <v>4</v>
      </c>
      <c r="BV11" s="8">
        <v>4.666666666666667</v>
      </c>
      <c r="BW11" s="4">
        <v>2</v>
      </c>
      <c r="BX11" s="4">
        <v>2</v>
      </c>
      <c r="BY11" s="4">
        <v>7</v>
      </c>
      <c r="BZ11" s="4">
        <v>0.70267762112263932</v>
      </c>
      <c r="CA11" s="4">
        <v>17</v>
      </c>
      <c r="CD11" s="4" t="s">
        <v>249</v>
      </c>
    </row>
    <row r="12" spans="1:82" ht="14.25" customHeight="1" x14ac:dyDescent="0.3">
      <c r="A12" s="4" t="s">
        <v>252</v>
      </c>
      <c r="B12" s="4">
        <v>1</v>
      </c>
      <c r="C12" s="8">
        <v>5.5555555555555554</v>
      </c>
      <c r="D12" s="4">
        <v>0</v>
      </c>
      <c r="E12" s="4">
        <v>0</v>
      </c>
      <c r="F12" s="4">
        <v>6</v>
      </c>
      <c r="G12" s="4">
        <v>0.70256358269933272</v>
      </c>
      <c r="H12" s="4">
        <v>15</v>
      </c>
      <c r="I12" s="9"/>
      <c r="K12" s="4" t="s">
        <v>252</v>
      </c>
      <c r="L12" s="4">
        <v>3</v>
      </c>
      <c r="M12" s="8">
        <v>6.666666666666667</v>
      </c>
      <c r="N12" s="4">
        <v>3</v>
      </c>
      <c r="O12" s="4">
        <v>2</v>
      </c>
      <c r="P12" s="4">
        <v>6</v>
      </c>
      <c r="Q12" s="4">
        <v>0.70256358269933272</v>
      </c>
      <c r="R12" s="4">
        <v>15</v>
      </c>
      <c r="U12" s="4" t="s">
        <v>252</v>
      </c>
      <c r="V12" s="4">
        <v>3</v>
      </c>
      <c r="W12" s="8">
        <v>6.5555555555555554</v>
      </c>
      <c r="X12" s="4">
        <v>4</v>
      </c>
      <c r="Y12" s="4">
        <v>4</v>
      </c>
      <c r="Z12" s="4">
        <v>8</v>
      </c>
      <c r="AA12" s="4">
        <v>0.70256358269933272</v>
      </c>
      <c r="AB12" s="4">
        <v>15</v>
      </c>
      <c r="AF12" s="4" t="s">
        <v>252</v>
      </c>
      <c r="AG12" s="4">
        <v>5</v>
      </c>
      <c r="AH12" s="8">
        <v>6.7777777777777777</v>
      </c>
      <c r="AI12" s="4">
        <v>0</v>
      </c>
      <c r="AJ12" s="4">
        <v>0</v>
      </c>
      <c r="AK12" s="4">
        <v>6</v>
      </c>
      <c r="AL12" s="4">
        <v>0.70256358269933272</v>
      </c>
      <c r="AM12" s="4">
        <v>15</v>
      </c>
      <c r="AN12" s="9"/>
      <c r="AP12" s="4" t="s">
        <v>251</v>
      </c>
      <c r="AQ12" s="4">
        <v>7</v>
      </c>
      <c r="AR12" s="8">
        <v>6.2222222222222223</v>
      </c>
      <c r="AS12" s="4">
        <v>2</v>
      </c>
      <c r="AT12" s="4">
        <v>2</v>
      </c>
      <c r="AU12" s="4">
        <v>7</v>
      </c>
      <c r="AV12" s="4">
        <v>0.655473679459604</v>
      </c>
      <c r="AW12" s="4">
        <v>15</v>
      </c>
      <c r="AZ12" s="4" t="s">
        <v>252</v>
      </c>
      <c r="BA12" s="4">
        <v>9</v>
      </c>
      <c r="BB12" s="8">
        <v>6.2222222222222223</v>
      </c>
      <c r="BC12" s="4">
        <v>8</v>
      </c>
      <c r="BD12" s="4">
        <v>5</v>
      </c>
      <c r="BE12" s="4">
        <v>6</v>
      </c>
      <c r="BF12" s="4">
        <v>0.70256358269933272</v>
      </c>
      <c r="BG12" s="4">
        <v>15</v>
      </c>
      <c r="BJ12" s="4" t="s">
        <v>252</v>
      </c>
      <c r="BK12" s="4">
        <v>5</v>
      </c>
      <c r="BL12" s="8">
        <v>8.1111111111111107</v>
      </c>
      <c r="BM12" s="4">
        <v>4</v>
      </c>
      <c r="BN12" s="4">
        <v>5</v>
      </c>
      <c r="BO12" s="4">
        <v>6</v>
      </c>
      <c r="BP12" s="4">
        <v>0.70256358269933272</v>
      </c>
      <c r="BQ12" s="4">
        <v>15</v>
      </c>
      <c r="BT12" s="4" t="s">
        <v>252</v>
      </c>
      <c r="BU12" s="4">
        <v>3</v>
      </c>
      <c r="BV12" s="8">
        <v>5.5555555555555554</v>
      </c>
      <c r="BW12" s="4">
        <v>3</v>
      </c>
      <c r="BX12" s="4">
        <v>4</v>
      </c>
      <c r="BY12" s="4">
        <v>8</v>
      </c>
      <c r="BZ12" s="4">
        <v>0.70256358269933272</v>
      </c>
      <c r="CA12" s="4">
        <v>15</v>
      </c>
      <c r="CD12" s="4" t="s">
        <v>250</v>
      </c>
    </row>
    <row r="13" spans="1:82" ht="14.25" customHeight="1" x14ac:dyDescent="0.3">
      <c r="A13" s="4" t="s">
        <v>250</v>
      </c>
      <c r="B13" s="4">
        <v>7</v>
      </c>
      <c r="C13" s="8">
        <v>5.1111111111111107</v>
      </c>
      <c r="D13" s="4">
        <v>7</v>
      </c>
      <c r="E13" s="4">
        <v>7</v>
      </c>
      <c r="F13" s="4">
        <v>6</v>
      </c>
      <c r="G13" s="4">
        <v>0.67691586229508371</v>
      </c>
      <c r="H13" s="4">
        <v>15</v>
      </c>
      <c r="I13" s="9"/>
      <c r="K13" s="4" t="s">
        <v>250</v>
      </c>
      <c r="L13" s="4">
        <v>6</v>
      </c>
      <c r="M13" s="8">
        <v>5.333333333333333</v>
      </c>
      <c r="N13" s="4">
        <v>4</v>
      </c>
      <c r="O13" s="4">
        <v>4</v>
      </c>
      <c r="P13" s="4">
        <v>6</v>
      </c>
      <c r="Q13" s="4">
        <v>0.67691586229508371</v>
      </c>
      <c r="R13" s="4">
        <v>15</v>
      </c>
      <c r="U13" s="4" t="s">
        <v>250</v>
      </c>
      <c r="V13" s="4">
        <v>4</v>
      </c>
      <c r="W13" s="8">
        <v>5.4444444444444446</v>
      </c>
      <c r="X13" s="4">
        <v>4</v>
      </c>
      <c r="Y13" s="4">
        <v>4</v>
      </c>
      <c r="Z13" s="4">
        <v>6</v>
      </c>
      <c r="AA13" s="4">
        <v>0.67691586229508371</v>
      </c>
      <c r="AB13" s="4">
        <v>15</v>
      </c>
      <c r="AF13" s="4" t="s">
        <v>250</v>
      </c>
      <c r="AG13" s="4">
        <v>2</v>
      </c>
      <c r="AH13" s="8">
        <v>3.8888888888888888</v>
      </c>
      <c r="AI13" s="4">
        <v>3</v>
      </c>
      <c r="AJ13" s="4">
        <v>1</v>
      </c>
      <c r="AK13" s="4">
        <v>6</v>
      </c>
      <c r="AL13" s="4">
        <v>0.67691586229508371</v>
      </c>
      <c r="AM13" s="4">
        <v>15</v>
      </c>
      <c r="AN13" s="9"/>
      <c r="AP13" s="4" t="s">
        <v>252</v>
      </c>
      <c r="AQ13" s="4">
        <v>0</v>
      </c>
      <c r="AR13" s="8">
        <v>4.2222222222222223</v>
      </c>
      <c r="AS13" s="4">
        <v>4</v>
      </c>
      <c r="AT13" s="4">
        <v>1</v>
      </c>
      <c r="AU13" s="4">
        <v>6</v>
      </c>
      <c r="AV13" s="4">
        <v>0.70256358269933272</v>
      </c>
      <c r="AW13" s="4">
        <v>15</v>
      </c>
      <c r="AZ13" s="4" t="s">
        <v>250</v>
      </c>
      <c r="BA13" s="4">
        <v>2</v>
      </c>
      <c r="BB13" s="8">
        <v>1.5555555555555556</v>
      </c>
      <c r="BC13" s="4">
        <v>0</v>
      </c>
      <c r="BD13" s="4">
        <v>0</v>
      </c>
      <c r="BE13" s="4">
        <v>6</v>
      </c>
      <c r="BF13" s="4">
        <v>0.67691586229508371</v>
      </c>
      <c r="BG13" s="4">
        <v>15</v>
      </c>
      <c r="BJ13" s="4" t="s">
        <v>250</v>
      </c>
      <c r="BK13" s="4">
        <v>7</v>
      </c>
      <c r="BL13" s="8">
        <v>3.1111111111111112</v>
      </c>
      <c r="BM13" s="4">
        <v>4</v>
      </c>
      <c r="BN13" s="4">
        <v>3</v>
      </c>
      <c r="BO13" s="4">
        <v>7</v>
      </c>
      <c r="BP13" s="4">
        <v>0.67691586229508371</v>
      </c>
      <c r="BQ13" s="4">
        <v>15</v>
      </c>
      <c r="BT13" s="4" t="s">
        <v>250</v>
      </c>
      <c r="BU13" s="4">
        <v>5</v>
      </c>
      <c r="BV13" s="8">
        <v>5.1111111111111107</v>
      </c>
      <c r="BW13" s="4">
        <v>3</v>
      </c>
      <c r="BX13" s="4">
        <v>2</v>
      </c>
      <c r="BY13" s="4">
        <v>6</v>
      </c>
      <c r="BZ13" s="4">
        <v>0.67691586229508371</v>
      </c>
      <c r="CA13" s="4">
        <v>15</v>
      </c>
      <c r="CD13" s="4" t="s">
        <v>251</v>
      </c>
    </row>
    <row r="14" spans="1:82" ht="14.25" customHeight="1" x14ac:dyDescent="0.3">
      <c r="A14" s="4" t="s">
        <v>251</v>
      </c>
      <c r="B14" s="4">
        <v>3</v>
      </c>
      <c r="C14" s="8">
        <v>3.3333333333333335</v>
      </c>
      <c r="D14" s="4">
        <v>0</v>
      </c>
      <c r="E14" s="4">
        <v>0</v>
      </c>
      <c r="F14" s="4">
        <v>6</v>
      </c>
      <c r="G14" s="4">
        <v>0.655473679459604</v>
      </c>
      <c r="H14" s="4">
        <v>15</v>
      </c>
      <c r="I14" s="9"/>
      <c r="K14" s="4" t="s">
        <v>251</v>
      </c>
      <c r="L14" s="4">
        <v>3</v>
      </c>
      <c r="M14" s="8">
        <v>4.2222222222222223</v>
      </c>
      <c r="N14" s="4">
        <v>4</v>
      </c>
      <c r="O14" s="4">
        <v>4</v>
      </c>
      <c r="P14" s="4">
        <v>6</v>
      </c>
      <c r="Q14" s="4">
        <v>0.655473679459604</v>
      </c>
      <c r="R14" s="4">
        <v>15</v>
      </c>
      <c r="U14" s="4" t="s">
        <v>251</v>
      </c>
      <c r="V14" s="4">
        <v>2</v>
      </c>
      <c r="W14" s="8">
        <v>4.666666666666667</v>
      </c>
      <c r="X14" s="4">
        <v>2</v>
      </c>
      <c r="Y14" s="4">
        <v>2</v>
      </c>
      <c r="Z14" s="4">
        <v>6</v>
      </c>
      <c r="AA14" s="4">
        <v>0.655473679459604</v>
      </c>
      <c r="AB14" s="4">
        <v>15</v>
      </c>
      <c r="AF14" s="4" t="s">
        <v>251</v>
      </c>
      <c r="AG14" s="4">
        <v>10</v>
      </c>
      <c r="AH14" s="8">
        <v>10</v>
      </c>
      <c r="AI14" s="4">
        <v>8</v>
      </c>
      <c r="AJ14" s="4">
        <v>8</v>
      </c>
      <c r="AK14" s="4">
        <v>6</v>
      </c>
      <c r="AL14" s="4">
        <v>0.655473679459604</v>
      </c>
      <c r="AM14" s="4">
        <v>15</v>
      </c>
      <c r="AN14" s="9"/>
      <c r="AP14" s="4" t="s">
        <v>253</v>
      </c>
      <c r="AQ14" s="4">
        <v>2</v>
      </c>
      <c r="AR14" s="8">
        <v>4.2222222222222223</v>
      </c>
      <c r="AS14" s="4">
        <v>1</v>
      </c>
      <c r="AT14" s="4">
        <v>1</v>
      </c>
      <c r="AU14" s="4">
        <v>7</v>
      </c>
      <c r="AV14" s="4">
        <v>1.1425292918330761</v>
      </c>
      <c r="AW14" s="4">
        <v>15</v>
      </c>
      <c r="AZ14" s="4" t="s">
        <v>251</v>
      </c>
      <c r="BA14" s="4">
        <v>1</v>
      </c>
      <c r="BB14" s="8">
        <v>8.3333333333333339</v>
      </c>
      <c r="BC14" s="4">
        <v>0</v>
      </c>
      <c r="BD14" s="4">
        <v>1</v>
      </c>
      <c r="BE14" s="4">
        <v>6</v>
      </c>
      <c r="BF14" s="4">
        <v>0.655473679459604</v>
      </c>
      <c r="BG14" s="4">
        <v>15</v>
      </c>
      <c r="BJ14" s="4" t="s">
        <v>251</v>
      </c>
      <c r="BK14" s="4">
        <v>12</v>
      </c>
      <c r="BL14" s="8">
        <v>9.2222222222222214</v>
      </c>
      <c r="BM14" s="4">
        <v>10</v>
      </c>
      <c r="BN14" s="4">
        <v>7</v>
      </c>
      <c r="BO14" s="4">
        <v>8</v>
      </c>
      <c r="BP14" s="4">
        <v>0.655473679459604</v>
      </c>
      <c r="BQ14" s="4">
        <v>15</v>
      </c>
      <c r="BT14" s="4" t="s">
        <v>251</v>
      </c>
      <c r="BU14" s="4">
        <v>1</v>
      </c>
      <c r="BV14" s="8">
        <v>3.3333333333333335</v>
      </c>
      <c r="BW14" s="4">
        <v>9</v>
      </c>
      <c r="BX14" s="4">
        <v>9</v>
      </c>
      <c r="BY14" s="4">
        <v>10</v>
      </c>
      <c r="BZ14" s="4">
        <v>0.655473679459604</v>
      </c>
      <c r="CA14" s="4">
        <v>15</v>
      </c>
      <c r="CD14" s="4" t="s">
        <v>252</v>
      </c>
    </row>
    <row r="15" spans="1:82" ht="14.25" customHeight="1" x14ac:dyDescent="0.3">
      <c r="A15" s="4" t="s">
        <v>248</v>
      </c>
      <c r="B15" s="4">
        <v>0</v>
      </c>
      <c r="C15" s="8">
        <v>2.5555555555555554</v>
      </c>
      <c r="D15" s="4">
        <v>1</v>
      </c>
      <c r="E15" s="4">
        <v>0</v>
      </c>
      <c r="F15" s="4">
        <v>5</v>
      </c>
      <c r="G15" s="4">
        <v>0.62268266964537045</v>
      </c>
      <c r="H15" s="4">
        <v>15</v>
      </c>
      <c r="I15" s="9"/>
      <c r="K15" s="4" t="s">
        <v>248</v>
      </c>
      <c r="L15" s="4">
        <v>3</v>
      </c>
      <c r="M15" s="8">
        <v>4.4444444444444446</v>
      </c>
      <c r="N15" s="4">
        <v>2</v>
      </c>
      <c r="O15" s="4">
        <v>3</v>
      </c>
      <c r="P15" s="4">
        <v>5</v>
      </c>
      <c r="Q15" s="4">
        <v>0.62268266964537045</v>
      </c>
      <c r="R15" s="4">
        <v>15</v>
      </c>
      <c r="U15" s="4" t="s">
        <v>248</v>
      </c>
      <c r="V15" s="4">
        <v>2</v>
      </c>
      <c r="W15" s="8">
        <v>5.2222222222222223</v>
      </c>
      <c r="X15" s="4">
        <v>2</v>
      </c>
      <c r="Y15" s="4">
        <v>2</v>
      </c>
      <c r="Z15" s="4">
        <v>5</v>
      </c>
      <c r="AA15" s="4">
        <v>0.62268266964537045</v>
      </c>
      <c r="AB15" s="4">
        <v>15</v>
      </c>
      <c r="AF15" s="4" t="s">
        <v>248</v>
      </c>
      <c r="AG15" s="4">
        <v>9</v>
      </c>
      <c r="AH15" s="8">
        <v>3.6666666666666665</v>
      </c>
      <c r="AI15" s="4">
        <v>8</v>
      </c>
      <c r="AJ15" s="4">
        <v>3</v>
      </c>
      <c r="AK15" s="4">
        <v>5</v>
      </c>
      <c r="AL15" s="4">
        <v>0.62268266964537045</v>
      </c>
      <c r="AM15" s="4">
        <v>15</v>
      </c>
      <c r="AN15" s="9"/>
      <c r="AP15" s="4" t="s">
        <v>254</v>
      </c>
      <c r="AQ15" s="4">
        <v>6</v>
      </c>
      <c r="AR15" s="8">
        <v>3.3333333333333335</v>
      </c>
      <c r="AS15" s="4">
        <v>2</v>
      </c>
      <c r="AT15" s="4">
        <v>1</v>
      </c>
      <c r="AU15" s="4">
        <v>8</v>
      </c>
      <c r="AV15" s="4">
        <v>0.80154659127182082</v>
      </c>
      <c r="AW15" s="4">
        <v>19</v>
      </c>
      <c r="AZ15" s="4" t="s">
        <v>248</v>
      </c>
      <c r="BA15" s="4">
        <v>3</v>
      </c>
      <c r="BB15" s="8">
        <v>3.4444444444444446</v>
      </c>
      <c r="BC15" s="4">
        <v>6</v>
      </c>
      <c r="BD15" s="4">
        <v>7</v>
      </c>
      <c r="BE15" s="4">
        <v>5</v>
      </c>
      <c r="BF15" s="4">
        <v>0.62268266964537045</v>
      </c>
      <c r="BG15" s="4">
        <v>15</v>
      </c>
      <c r="BJ15" s="4" t="s">
        <v>248</v>
      </c>
      <c r="BK15" s="4">
        <v>14</v>
      </c>
      <c r="BL15" s="8">
        <v>4.4444444444444446</v>
      </c>
      <c r="BM15" s="4">
        <v>14</v>
      </c>
      <c r="BN15" s="4">
        <v>15</v>
      </c>
      <c r="BO15" s="4">
        <v>10</v>
      </c>
      <c r="BP15" s="4">
        <v>0.62268266964537045</v>
      </c>
      <c r="BQ15" s="4">
        <v>15</v>
      </c>
      <c r="BT15" s="4" t="s">
        <v>248</v>
      </c>
      <c r="BU15" s="4">
        <v>3</v>
      </c>
      <c r="BV15" s="8">
        <v>2.5555555555555554</v>
      </c>
      <c r="BW15" s="4">
        <v>4</v>
      </c>
      <c r="BX15" s="4">
        <v>5</v>
      </c>
      <c r="BY15" s="4">
        <v>5</v>
      </c>
      <c r="BZ15" s="4">
        <v>0.62268266964537045</v>
      </c>
      <c r="CA15" s="4">
        <v>15</v>
      </c>
      <c r="CD15" s="4" t="s">
        <v>253</v>
      </c>
    </row>
    <row r="16" spans="1:82" ht="14.25" customHeight="1" x14ac:dyDescent="0.3">
      <c r="A16" s="4" t="s">
        <v>247</v>
      </c>
      <c r="B16" s="4">
        <v>0</v>
      </c>
      <c r="C16" s="8">
        <v>5.4444444444444446</v>
      </c>
      <c r="D16" s="4">
        <v>0</v>
      </c>
      <c r="E16" s="4">
        <v>0</v>
      </c>
      <c r="F16" s="4">
        <v>6</v>
      </c>
      <c r="G16" s="4">
        <v>0.53747605471157822</v>
      </c>
      <c r="H16" s="4">
        <v>15</v>
      </c>
      <c r="I16" s="9"/>
      <c r="K16" s="4" t="s">
        <v>247</v>
      </c>
      <c r="L16" s="4">
        <v>5</v>
      </c>
      <c r="M16" s="8">
        <v>3.4444444444444446</v>
      </c>
      <c r="N16" s="4">
        <v>4</v>
      </c>
      <c r="O16" s="4">
        <v>6</v>
      </c>
      <c r="P16" s="4">
        <v>6</v>
      </c>
      <c r="Q16" s="4">
        <v>0.53747605471157822</v>
      </c>
      <c r="R16" s="4">
        <v>15</v>
      </c>
      <c r="U16" s="4" t="s">
        <v>247</v>
      </c>
      <c r="V16" s="4">
        <v>4</v>
      </c>
      <c r="W16" s="8">
        <v>5.5555555555555554</v>
      </c>
      <c r="X16" s="4">
        <v>3</v>
      </c>
      <c r="Y16" s="4">
        <v>3</v>
      </c>
      <c r="Z16" s="4">
        <v>6</v>
      </c>
      <c r="AA16" s="4">
        <v>0.53747605471157822</v>
      </c>
      <c r="AB16" s="4">
        <v>15</v>
      </c>
      <c r="AF16" s="4" t="s">
        <v>247</v>
      </c>
      <c r="AG16" s="4">
        <v>0</v>
      </c>
      <c r="AH16" s="8">
        <v>4.5555555555555554</v>
      </c>
      <c r="AI16" s="4">
        <v>0</v>
      </c>
      <c r="AJ16" s="4">
        <v>0</v>
      </c>
      <c r="AK16" s="4">
        <v>6</v>
      </c>
      <c r="AL16" s="4">
        <v>0.53747605471157822</v>
      </c>
      <c r="AM16" s="4">
        <v>15</v>
      </c>
      <c r="AN16" s="9"/>
      <c r="AP16" s="4" t="s">
        <v>255</v>
      </c>
      <c r="AQ16" s="4">
        <v>2</v>
      </c>
      <c r="AR16" s="8">
        <v>2.8888888888888888</v>
      </c>
      <c r="AS16" s="4">
        <v>4</v>
      </c>
      <c r="AT16" s="4">
        <v>4</v>
      </c>
      <c r="AU16" s="4">
        <v>6</v>
      </c>
      <c r="AV16" s="4">
        <v>0.75176560751023358</v>
      </c>
      <c r="AW16" s="4">
        <v>15</v>
      </c>
      <c r="AZ16" s="4" t="s">
        <v>247</v>
      </c>
      <c r="BA16" s="4">
        <v>2</v>
      </c>
      <c r="BB16" s="8">
        <v>5.333333333333333</v>
      </c>
      <c r="BC16" s="4">
        <v>0</v>
      </c>
      <c r="BD16" s="4">
        <v>0</v>
      </c>
      <c r="BE16" s="4">
        <v>6</v>
      </c>
      <c r="BF16" s="4">
        <v>0.53747605471157822</v>
      </c>
      <c r="BG16" s="4">
        <v>15</v>
      </c>
      <c r="BJ16" s="4" t="s">
        <v>247</v>
      </c>
      <c r="BK16" s="4">
        <v>5</v>
      </c>
      <c r="BL16" s="8">
        <v>6.4444444444444446</v>
      </c>
      <c r="BM16" s="4">
        <v>0</v>
      </c>
      <c r="BN16" s="4">
        <v>0</v>
      </c>
      <c r="BO16" s="4">
        <v>6</v>
      </c>
      <c r="BP16" s="4">
        <v>0.53747605471157822</v>
      </c>
      <c r="BQ16" s="4">
        <v>15</v>
      </c>
      <c r="BT16" s="4" t="s">
        <v>247</v>
      </c>
      <c r="BU16" s="4">
        <v>8</v>
      </c>
      <c r="BV16" s="8">
        <v>5.4444444444444446</v>
      </c>
      <c r="BW16" s="4">
        <v>8</v>
      </c>
      <c r="BX16" s="4">
        <v>7</v>
      </c>
      <c r="BY16" s="4">
        <v>6</v>
      </c>
      <c r="BZ16" s="4">
        <v>0.53747605471157822</v>
      </c>
      <c r="CA16" s="4">
        <v>15</v>
      </c>
      <c r="CD16" s="4" t="s">
        <v>254</v>
      </c>
    </row>
    <row r="17" spans="1:82" ht="14.25" customHeight="1" x14ac:dyDescent="0.3">
      <c r="A17" s="4" t="s">
        <v>249</v>
      </c>
      <c r="B17" s="4">
        <v>9</v>
      </c>
      <c r="C17" s="8">
        <v>7.5555555555555554</v>
      </c>
      <c r="D17" s="4">
        <v>5</v>
      </c>
      <c r="E17" s="4">
        <v>6</v>
      </c>
      <c r="F17" s="4">
        <v>8</v>
      </c>
      <c r="G17" s="4">
        <v>0.52426836588405112</v>
      </c>
      <c r="H17" s="4">
        <v>19</v>
      </c>
      <c r="I17" s="9"/>
      <c r="K17" s="4" t="s">
        <v>249</v>
      </c>
      <c r="L17" s="4">
        <v>1</v>
      </c>
      <c r="M17" s="8">
        <v>5.5555555555555554</v>
      </c>
      <c r="N17" s="4">
        <v>1</v>
      </c>
      <c r="O17" s="4">
        <v>1</v>
      </c>
      <c r="P17" s="4">
        <v>8</v>
      </c>
      <c r="Q17" s="4">
        <v>0.52426836588405112</v>
      </c>
      <c r="R17" s="4">
        <v>19</v>
      </c>
      <c r="U17" s="4" t="s">
        <v>249</v>
      </c>
      <c r="V17" s="4">
        <v>3</v>
      </c>
      <c r="W17" s="8">
        <v>5.4444444444444446</v>
      </c>
      <c r="X17" s="4">
        <v>3</v>
      </c>
      <c r="Y17" s="4">
        <v>3</v>
      </c>
      <c r="Z17" s="4">
        <v>8</v>
      </c>
      <c r="AA17" s="4">
        <v>0.52426836588405112</v>
      </c>
      <c r="AB17" s="4">
        <v>19</v>
      </c>
      <c r="AF17" s="4" t="s">
        <v>249</v>
      </c>
      <c r="AG17" s="4">
        <v>5</v>
      </c>
      <c r="AH17" s="8">
        <v>5.333333333333333</v>
      </c>
      <c r="AI17" s="4">
        <v>4</v>
      </c>
      <c r="AJ17" s="4">
        <v>3</v>
      </c>
      <c r="AK17" s="4">
        <v>9</v>
      </c>
      <c r="AL17" s="4">
        <v>0.52426836588405112</v>
      </c>
      <c r="AM17" s="4">
        <v>19</v>
      </c>
      <c r="AN17" s="9"/>
      <c r="AP17" s="4" t="s">
        <v>256</v>
      </c>
      <c r="AQ17" s="4">
        <v>4</v>
      </c>
      <c r="AR17" s="8">
        <v>5.8888888888888893</v>
      </c>
      <c r="AS17" s="4">
        <v>3</v>
      </c>
      <c r="AT17" s="4">
        <v>4</v>
      </c>
      <c r="AU17" s="4">
        <v>7</v>
      </c>
      <c r="AV17" s="4">
        <v>0.70267762112263932</v>
      </c>
      <c r="AW17" s="4">
        <v>17</v>
      </c>
      <c r="AZ17" s="4" t="s">
        <v>249</v>
      </c>
      <c r="BA17" s="4">
        <v>9</v>
      </c>
      <c r="BB17" s="8">
        <v>7</v>
      </c>
      <c r="BC17" s="4">
        <v>8</v>
      </c>
      <c r="BD17" s="4">
        <v>8</v>
      </c>
      <c r="BE17" s="4">
        <v>8</v>
      </c>
      <c r="BF17" s="4">
        <v>0.52426836588405112</v>
      </c>
      <c r="BG17" s="4">
        <v>19</v>
      </c>
      <c r="BJ17" s="4" t="s">
        <v>249</v>
      </c>
      <c r="BK17" s="4">
        <v>10</v>
      </c>
      <c r="BL17" s="8">
        <v>5.5555555555555554</v>
      </c>
      <c r="BM17" s="4">
        <v>9</v>
      </c>
      <c r="BN17" s="4">
        <v>9</v>
      </c>
      <c r="BO17" s="4">
        <v>10</v>
      </c>
      <c r="BP17" s="4">
        <v>0.52426836588405112</v>
      </c>
      <c r="BQ17" s="4">
        <v>19</v>
      </c>
      <c r="BT17" s="4" t="s">
        <v>249</v>
      </c>
      <c r="BU17" s="4">
        <v>5</v>
      </c>
      <c r="BV17" s="8">
        <v>7.5555555555555554</v>
      </c>
      <c r="BW17" s="4">
        <v>8</v>
      </c>
      <c r="BX17" s="4">
        <v>8</v>
      </c>
      <c r="BY17" s="4">
        <v>8</v>
      </c>
      <c r="BZ17" s="4">
        <v>0.52426836588405112</v>
      </c>
      <c r="CA17" s="4">
        <v>19</v>
      </c>
      <c r="CD17" s="4" t="s">
        <v>255</v>
      </c>
    </row>
    <row r="18" spans="1:82" ht="14.25" customHeight="1" x14ac:dyDescent="0.3">
      <c r="A18" s="4" t="s">
        <v>257</v>
      </c>
      <c r="B18" s="4">
        <v>7</v>
      </c>
      <c r="C18" s="8">
        <v>10.555555555555555</v>
      </c>
      <c r="D18" s="4">
        <v>6</v>
      </c>
      <c r="E18" s="4">
        <v>7</v>
      </c>
      <c r="F18" s="4">
        <v>10</v>
      </c>
      <c r="G18" s="4">
        <v>-0.85169148296274</v>
      </c>
      <c r="H18" s="4">
        <v>17</v>
      </c>
      <c r="I18" s="9"/>
      <c r="K18" s="4" t="s">
        <v>257</v>
      </c>
      <c r="L18" s="4">
        <v>15</v>
      </c>
      <c r="M18" s="8">
        <v>11.333333333333334</v>
      </c>
      <c r="N18" s="4">
        <v>15</v>
      </c>
      <c r="O18" s="4">
        <v>16</v>
      </c>
      <c r="P18" s="4">
        <v>13</v>
      </c>
      <c r="Q18" s="4">
        <v>-0.85169148296274</v>
      </c>
      <c r="R18" s="4">
        <v>17</v>
      </c>
      <c r="U18" s="4" t="s">
        <v>257</v>
      </c>
      <c r="V18" s="4">
        <v>14</v>
      </c>
      <c r="W18" s="8">
        <v>11</v>
      </c>
      <c r="X18" s="4">
        <v>15</v>
      </c>
      <c r="Y18" s="4">
        <v>15</v>
      </c>
      <c r="Z18" s="4">
        <v>13</v>
      </c>
      <c r="AA18" s="4">
        <v>-0.85169148296274</v>
      </c>
      <c r="AB18" s="4">
        <v>17</v>
      </c>
      <c r="AF18" s="4" t="s">
        <v>257</v>
      </c>
      <c r="AG18" s="4">
        <v>12</v>
      </c>
      <c r="AH18" s="8">
        <v>11.222222222222221</v>
      </c>
      <c r="AI18" s="4">
        <v>10</v>
      </c>
      <c r="AJ18" s="4">
        <v>8</v>
      </c>
      <c r="AK18" s="4">
        <v>12</v>
      </c>
      <c r="AL18" s="4">
        <v>-0.85169148296274</v>
      </c>
      <c r="AM18" s="4">
        <v>17</v>
      </c>
      <c r="AN18" s="9"/>
      <c r="AP18" s="4" t="s">
        <v>257</v>
      </c>
      <c r="AQ18" s="4">
        <v>10</v>
      </c>
      <c r="AR18" s="8">
        <v>10.333333333333334</v>
      </c>
      <c r="AS18" s="4">
        <v>10</v>
      </c>
      <c r="AT18" s="4">
        <v>10</v>
      </c>
      <c r="AU18" s="4">
        <v>10</v>
      </c>
      <c r="AV18" s="4">
        <v>-0.85169148296274</v>
      </c>
      <c r="AW18" s="4">
        <v>17</v>
      </c>
      <c r="AZ18" s="4" t="s">
        <v>257</v>
      </c>
      <c r="BA18" s="4">
        <v>11</v>
      </c>
      <c r="BB18" s="8">
        <v>13.555555555555555</v>
      </c>
      <c r="BC18" s="4">
        <v>12</v>
      </c>
      <c r="BD18" s="4">
        <v>11</v>
      </c>
      <c r="BE18" s="4">
        <v>11</v>
      </c>
      <c r="BF18" s="4">
        <v>-0.85169148296274</v>
      </c>
      <c r="BG18" s="4">
        <v>17</v>
      </c>
      <c r="BJ18" s="4" t="s">
        <v>257</v>
      </c>
      <c r="BK18" s="4">
        <v>15</v>
      </c>
      <c r="BL18" s="8">
        <v>9.8888888888888893</v>
      </c>
      <c r="BM18" s="4">
        <v>9</v>
      </c>
      <c r="BN18" s="4">
        <v>7</v>
      </c>
      <c r="BO18" s="4">
        <v>9</v>
      </c>
      <c r="BP18" s="4">
        <v>-0.85169148296274</v>
      </c>
      <c r="BQ18" s="4">
        <v>17</v>
      </c>
      <c r="BT18" s="4" t="s">
        <v>257</v>
      </c>
      <c r="BU18" s="4">
        <v>6</v>
      </c>
      <c r="BV18" s="8">
        <v>10.555555555555555</v>
      </c>
      <c r="BW18" s="4">
        <v>6</v>
      </c>
      <c r="BX18" s="4">
        <v>5</v>
      </c>
      <c r="BY18" s="4">
        <v>6</v>
      </c>
      <c r="BZ18" s="4">
        <v>-0.85169148296274</v>
      </c>
      <c r="CA18" s="4">
        <v>17</v>
      </c>
      <c r="CD18" s="4" t="s">
        <v>256</v>
      </c>
    </row>
    <row r="19" spans="1:82" ht="14.25" customHeight="1" x14ac:dyDescent="0.3">
      <c r="A19" s="4" t="s">
        <v>266</v>
      </c>
      <c r="B19" s="4">
        <v>14</v>
      </c>
      <c r="C19" s="4">
        <v>11</v>
      </c>
      <c r="D19" s="4">
        <v>13</v>
      </c>
      <c r="E19" s="4">
        <v>14</v>
      </c>
      <c r="F19" s="4">
        <v>13</v>
      </c>
      <c r="G19" s="4">
        <v>-0.88310324035056598</v>
      </c>
      <c r="H19" s="4">
        <v>15</v>
      </c>
      <c r="I19" s="9"/>
      <c r="K19" s="4" t="s">
        <v>266</v>
      </c>
      <c r="L19" s="4">
        <v>15</v>
      </c>
      <c r="M19" s="8">
        <v>11</v>
      </c>
      <c r="N19" s="4">
        <v>15</v>
      </c>
      <c r="O19" s="4">
        <v>15</v>
      </c>
      <c r="P19" s="4">
        <v>13</v>
      </c>
      <c r="Q19" s="4">
        <v>-0.88310324035056598</v>
      </c>
      <c r="R19" s="4">
        <v>15</v>
      </c>
      <c r="U19" s="4" t="s">
        <v>266</v>
      </c>
      <c r="V19" s="4">
        <v>10</v>
      </c>
      <c r="W19" s="8">
        <v>11.444444444444445</v>
      </c>
      <c r="X19" s="4">
        <v>11</v>
      </c>
      <c r="Y19" s="4">
        <v>11</v>
      </c>
      <c r="Z19" s="4">
        <v>12</v>
      </c>
      <c r="AA19" s="4">
        <v>-0.88310324035056598</v>
      </c>
      <c r="AB19" s="4">
        <v>15</v>
      </c>
      <c r="AF19" s="4" t="s">
        <v>266</v>
      </c>
      <c r="AG19" s="4">
        <v>6</v>
      </c>
      <c r="AH19" s="8">
        <v>11.333333333333334</v>
      </c>
      <c r="AI19" s="4">
        <v>6</v>
      </c>
      <c r="AJ19" s="4">
        <v>6</v>
      </c>
      <c r="AK19" s="4">
        <v>6</v>
      </c>
      <c r="AL19" s="4">
        <v>-0.88310324035056598</v>
      </c>
      <c r="AM19" s="4">
        <v>15</v>
      </c>
      <c r="AN19" s="9"/>
      <c r="AP19" s="4" t="s">
        <v>258</v>
      </c>
      <c r="AQ19" s="4">
        <v>5</v>
      </c>
      <c r="AR19" s="8">
        <v>8.6666666666666661</v>
      </c>
      <c r="AS19" s="4">
        <v>1</v>
      </c>
      <c r="AT19" s="4">
        <v>3</v>
      </c>
      <c r="AU19" s="4">
        <v>5</v>
      </c>
      <c r="AV19" s="4">
        <v>-1.12017317951397</v>
      </c>
      <c r="AW19" s="4">
        <v>16</v>
      </c>
      <c r="AZ19" s="4" t="s">
        <v>266</v>
      </c>
      <c r="BA19" s="4">
        <v>6</v>
      </c>
      <c r="BB19" s="8">
        <v>8.5555555555555554</v>
      </c>
      <c r="BC19" s="4">
        <v>5</v>
      </c>
      <c r="BD19" s="4">
        <v>6</v>
      </c>
      <c r="BE19" s="4">
        <v>6</v>
      </c>
      <c r="BF19" s="4">
        <v>-0.88310324035056598</v>
      </c>
      <c r="BG19" s="4">
        <v>15</v>
      </c>
      <c r="BJ19" s="4" t="s">
        <v>266</v>
      </c>
      <c r="BK19" s="4">
        <v>13</v>
      </c>
      <c r="BL19" s="8">
        <v>11.777777777777779</v>
      </c>
      <c r="BM19" s="4">
        <v>5</v>
      </c>
      <c r="BN19" s="4">
        <v>5</v>
      </c>
      <c r="BO19" s="4">
        <v>13</v>
      </c>
      <c r="BP19" s="4">
        <v>-0.88310324035056598</v>
      </c>
      <c r="BQ19" s="4">
        <v>15</v>
      </c>
      <c r="BT19" s="4" t="s">
        <v>266</v>
      </c>
      <c r="BU19" s="4">
        <v>9</v>
      </c>
      <c r="BV19" s="8">
        <v>10.777777777777779</v>
      </c>
      <c r="BW19" s="4">
        <v>11</v>
      </c>
      <c r="BX19" s="4">
        <v>11</v>
      </c>
      <c r="BY19" s="4">
        <v>9</v>
      </c>
      <c r="BZ19" s="4">
        <v>-0.88310324035056598</v>
      </c>
      <c r="CA19" s="4">
        <v>15</v>
      </c>
      <c r="CD19" s="4" t="s">
        <v>257</v>
      </c>
    </row>
    <row r="20" spans="1:82" ht="14.25" customHeight="1" x14ac:dyDescent="0.3">
      <c r="A20" s="4" t="s">
        <v>263</v>
      </c>
      <c r="B20" s="4">
        <v>13</v>
      </c>
      <c r="C20" s="8">
        <v>9.6666666666666661</v>
      </c>
      <c r="D20" s="4">
        <v>11</v>
      </c>
      <c r="E20" s="4">
        <v>12</v>
      </c>
      <c r="F20" s="4">
        <v>6</v>
      </c>
      <c r="G20" s="4">
        <v>-0.90834372881365233</v>
      </c>
      <c r="H20" s="4">
        <v>15</v>
      </c>
      <c r="I20" s="9"/>
      <c r="K20" s="4" t="s">
        <v>263</v>
      </c>
      <c r="L20" s="4">
        <v>15</v>
      </c>
      <c r="M20" s="8">
        <v>11.333333333333334</v>
      </c>
      <c r="N20" s="4">
        <v>15</v>
      </c>
      <c r="O20" s="4">
        <v>15</v>
      </c>
      <c r="P20" s="4">
        <v>8</v>
      </c>
      <c r="Q20" s="4">
        <v>-0.90834372881365233</v>
      </c>
      <c r="R20" s="4">
        <v>15</v>
      </c>
      <c r="U20" s="4" t="s">
        <v>263</v>
      </c>
      <c r="V20" s="4">
        <v>11</v>
      </c>
      <c r="W20" s="8">
        <v>12</v>
      </c>
      <c r="X20" s="4">
        <v>11</v>
      </c>
      <c r="Y20" s="4">
        <v>11</v>
      </c>
      <c r="Z20" s="4">
        <v>3</v>
      </c>
      <c r="AA20" s="4">
        <v>-0.90834372881365233</v>
      </c>
      <c r="AB20" s="4">
        <v>15</v>
      </c>
      <c r="AF20" s="4" t="s">
        <v>263</v>
      </c>
      <c r="AG20" s="4">
        <v>10</v>
      </c>
      <c r="AH20" s="8">
        <v>9.2222222222222214</v>
      </c>
      <c r="AI20" s="4">
        <v>8</v>
      </c>
      <c r="AJ20" s="4">
        <v>11</v>
      </c>
      <c r="AK20" s="4">
        <v>3</v>
      </c>
      <c r="AL20" s="4">
        <v>-0.90834372881365233</v>
      </c>
      <c r="AM20" s="4">
        <v>15</v>
      </c>
      <c r="AN20" s="9"/>
      <c r="AP20" s="4" t="s">
        <v>259</v>
      </c>
      <c r="AQ20" s="4">
        <v>1</v>
      </c>
      <c r="AR20" s="8">
        <v>12.555555555555555</v>
      </c>
      <c r="AS20" s="4">
        <v>4</v>
      </c>
      <c r="AT20" s="4">
        <v>4</v>
      </c>
      <c r="AU20" s="4">
        <v>3</v>
      </c>
      <c r="AV20" s="4">
        <v>-1.1154133211974251</v>
      </c>
      <c r="AW20" s="4">
        <v>19</v>
      </c>
      <c r="AZ20" s="4" t="s">
        <v>263</v>
      </c>
      <c r="BA20" s="4">
        <v>14</v>
      </c>
      <c r="BB20" s="8">
        <v>11.444444444444445</v>
      </c>
      <c r="BC20" s="4">
        <v>13</v>
      </c>
      <c r="BD20" s="4">
        <v>14</v>
      </c>
      <c r="BE20" s="4">
        <v>3</v>
      </c>
      <c r="BF20" s="4">
        <v>-0.90834372881365233</v>
      </c>
      <c r="BG20" s="4">
        <v>15</v>
      </c>
      <c r="BJ20" s="4" t="s">
        <v>263</v>
      </c>
      <c r="BK20" s="4">
        <v>9</v>
      </c>
      <c r="BL20" s="8">
        <v>11.444444444444445</v>
      </c>
      <c r="BM20" s="4">
        <v>9</v>
      </c>
      <c r="BN20" s="4">
        <v>9</v>
      </c>
      <c r="BO20" s="4">
        <v>12</v>
      </c>
      <c r="BP20" s="4">
        <v>-0.90834372881365233</v>
      </c>
      <c r="BQ20" s="4">
        <v>15</v>
      </c>
      <c r="BT20" s="4" t="s">
        <v>263</v>
      </c>
      <c r="BU20" s="4">
        <v>8</v>
      </c>
      <c r="BV20" s="8">
        <v>9.6666666666666661</v>
      </c>
      <c r="BW20" s="4">
        <v>8</v>
      </c>
      <c r="BX20" s="4">
        <v>8</v>
      </c>
      <c r="BY20" s="4">
        <v>4</v>
      </c>
      <c r="BZ20" s="4">
        <v>-0.90834372881365233</v>
      </c>
      <c r="CA20" s="4">
        <v>15</v>
      </c>
      <c r="CD20" s="4" t="s">
        <v>258</v>
      </c>
    </row>
    <row r="21" spans="1:82" ht="14.25" customHeight="1" x14ac:dyDescent="0.3">
      <c r="A21" s="4" t="s">
        <v>261</v>
      </c>
      <c r="B21" s="4">
        <v>29</v>
      </c>
      <c r="C21" s="8">
        <v>23.888888888888889</v>
      </c>
      <c r="D21" s="4">
        <v>30</v>
      </c>
      <c r="E21" s="4">
        <v>30</v>
      </c>
      <c r="F21" s="4">
        <v>27</v>
      </c>
      <c r="G21" s="4">
        <v>-0.99095987605964864</v>
      </c>
      <c r="H21" s="4">
        <v>31</v>
      </c>
      <c r="I21" s="9"/>
      <c r="K21" s="4" t="s">
        <v>261</v>
      </c>
      <c r="L21" s="4">
        <v>29</v>
      </c>
      <c r="M21" s="8">
        <v>22</v>
      </c>
      <c r="N21" s="4">
        <v>30</v>
      </c>
      <c r="O21" s="4">
        <v>30</v>
      </c>
      <c r="P21" s="4">
        <v>27</v>
      </c>
      <c r="Q21" s="4">
        <v>-0.99095987605964864</v>
      </c>
      <c r="R21" s="4">
        <v>31</v>
      </c>
      <c r="U21" s="4" t="s">
        <v>261</v>
      </c>
      <c r="V21" s="4">
        <v>26</v>
      </c>
      <c r="W21" s="8">
        <v>24.333333333333332</v>
      </c>
      <c r="X21" s="4">
        <v>26</v>
      </c>
      <c r="Y21" s="4">
        <v>26</v>
      </c>
      <c r="Z21" s="4">
        <v>24</v>
      </c>
      <c r="AA21" s="4">
        <v>-0.99095987605964864</v>
      </c>
      <c r="AB21" s="4">
        <v>31</v>
      </c>
      <c r="AF21" s="4" t="s">
        <v>261</v>
      </c>
      <c r="AG21" s="4">
        <v>10</v>
      </c>
      <c r="AH21" s="8">
        <v>22.777777777777779</v>
      </c>
      <c r="AI21" s="4">
        <v>16</v>
      </c>
      <c r="AJ21" s="4">
        <v>16</v>
      </c>
      <c r="AK21" s="4">
        <v>10</v>
      </c>
      <c r="AL21" s="4">
        <v>-0.99095987605964864</v>
      </c>
      <c r="AM21" s="4">
        <v>31</v>
      </c>
      <c r="AN21" s="9"/>
      <c r="AP21" s="4" t="s">
        <v>260</v>
      </c>
      <c r="AQ21" s="4">
        <v>9</v>
      </c>
      <c r="AR21" s="8">
        <v>15</v>
      </c>
      <c r="AS21" s="4">
        <v>12</v>
      </c>
      <c r="AT21" s="4">
        <v>13</v>
      </c>
      <c r="AU21" s="4">
        <v>3</v>
      </c>
      <c r="AV21" s="4">
        <v>-1.072806810743151</v>
      </c>
      <c r="AW21" s="4">
        <v>19</v>
      </c>
      <c r="AZ21" s="4" t="s">
        <v>261</v>
      </c>
      <c r="BA21" s="4">
        <v>13</v>
      </c>
      <c r="BB21" s="8">
        <v>23.222222222222221</v>
      </c>
      <c r="BC21" s="4">
        <v>16</v>
      </c>
      <c r="BD21" s="4">
        <v>17</v>
      </c>
      <c r="BE21" s="4">
        <v>13</v>
      </c>
      <c r="BF21" s="4">
        <v>-0.99095987605964864</v>
      </c>
      <c r="BG21" s="4">
        <v>31</v>
      </c>
      <c r="BJ21" s="4" t="s">
        <v>261</v>
      </c>
      <c r="BK21" s="4">
        <v>18</v>
      </c>
      <c r="BL21" s="8">
        <v>18.444444444444443</v>
      </c>
      <c r="BM21" s="4">
        <v>17</v>
      </c>
      <c r="BN21" s="4">
        <v>15</v>
      </c>
      <c r="BO21" s="4">
        <v>18</v>
      </c>
      <c r="BP21" s="4">
        <v>-0.99095987605964864</v>
      </c>
      <c r="BQ21" s="4">
        <v>31</v>
      </c>
      <c r="BT21" s="4" t="s">
        <v>261</v>
      </c>
      <c r="BU21" s="4">
        <v>19</v>
      </c>
      <c r="BV21" s="8">
        <v>23.888888888888889</v>
      </c>
      <c r="BW21" s="4">
        <v>23</v>
      </c>
      <c r="BX21" s="4">
        <v>26</v>
      </c>
      <c r="BY21" s="4">
        <v>19</v>
      </c>
      <c r="BZ21" s="4">
        <v>-0.99095987605964864</v>
      </c>
      <c r="CA21" s="4">
        <v>31</v>
      </c>
      <c r="CD21" s="4" t="s">
        <v>259</v>
      </c>
    </row>
    <row r="22" spans="1:82" ht="14.25" customHeight="1" x14ac:dyDescent="0.3">
      <c r="A22" s="4" t="s">
        <v>260</v>
      </c>
      <c r="B22" s="4">
        <v>15</v>
      </c>
      <c r="C22" s="8">
        <v>12.777777777777779</v>
      </c>
      <c r="D22" s="4">
        <v>18</v>
      </c>
      <c r="E22" s="4">
        <v>15</v>
      </c>
      <c r="F22" s="4">
        <v>16</v>
      </c>
      <c r="G22" s="4">
        <v>-1.072806810743151</v>
      </c>
      <c r="H22" s="4">
        <v>19</v>
      </c>
      <c r="I22" s="9"/>
      <c r="K22" s="4" t="s">
        <v>260</v>
      </c>
      <c r="L22" s="4">
        <v>17</v>
      </c>
      <c r="M22" s="8">
        <v>12.111111111111111</v>
      </c>
      <c r="N22" s="4">
        <v>17</v>
      </c>
      <c r="O22" s="4">
        <v>17</v>
      </c>
      <c r="P22" s="4">
        <v>16</v>
      </c>
      <c r="Q22" s="4">
        <v>-1.072806810743151</v>
      </c>
      <c r="R22" s="4">
        <v>19</v>
      </c>
      <c r="U22" s="4" t="s">
        <v>260</v>
      </c>
      <c r="V22" s="4">
        <v>18</v>
      </c>
      <c r="W22" s="8">
        <v>11.444444444444445</v>
      </c>
      <c r="X22" s="4">
        <v>15</v>
      </c>
      <c r="Y22" s="4">
        <v>15</v>
      </c>
      <c r="Z22" s="4">
        <v>15</v>
      </c>
      <c r="AA22" s="4">
        <v>-1.072806810743151</v>
      </c>
      <c r="AB22" s="4">
        <v>19</v>
      </c>
      <c r="AF22" s="4" t="s">
        <v>260</v>
      </c>
      <c r="AG22" s="4">
        <v>11</v>
      </c>
      <c r="AH22" s="8">
        <v>13.555555555555555</v>
      </c>
      <c r="AI22" s="4">
        <v>14</v>
      </c>
      <c r="AJ22" s="4">
        <v>15</v>
      </c>
      <c r="AK22" s="4">
        <v>11</v>
      </c>
      <c r="AL22" s="4">
        <v>-1.072806810743151</v>
      </c>
      <c r="AM22" s="4">
        <v>19</v>
      </c>
      <c r="AN22" s="9"/>
      <c r="AP22" s="4" t="s">
        <v>261</v>
      </c>
      <c r="AQ22" s="4">
        <v>18</v>
      </c>
      <c r="AR22" s="8">
        <v>21.333333333333332</v>
      </c>
      <c r="AS22" s="4">
        <v>20</v>
      </c>
      <c r="AT22" s="4">
        <v>20</v>
      </c>
      <c r="AU22" s="4">
        <v>27</v>
      </c>
      <c r="AV22" s="4">
        <v>-0.99095987605964864</v>
      </c>
      <c r="AW22" s="4">
        <v>31</v>
      </c>
      <c r="AZ22" s="4" t="s">
        <v>260</v>
      </c>
      <c r="BA22" s="4">
        <v>10</v>
      </c>
      <c r="BB22" s="8">
        <v>12.555555555555555</v>
      </c>
      <c r="BC22" s="4">
        <v>13</v>
      </c>
      <c r="BD22" s="4">
        <v>12</v>
      </c>
      <c r="BE22" s="4">
        <v>10</v>
      </c>
      <c r="BF22" s="4">
        <v>-1.072806810743151</v>
      </c>
      <c r="BG22" s="4">
        <v>19</v>
      </c>
      <c r="BJ22" s="4" t="s">
        <v>260</v>
      </c>
      <c r="BK22" s="4">
        <v>10</v>
      </c>
      <c r="BL22" s="8">
        <v>14.222222222222221</v>
      </c>
      <c r="BM22" s="4">
        <v>13</v>
      </c>
      <c r="BN22" s="4">
        <v>11</v>
      </c>
      <c r="BO22" s="4">
        <v>16</v>
      </c>
      <c r="BP22" s="4">
        <v>-1.072806810743151</v>
      </c>
      <c r="BQ22" s="4">
        <v>19</v>
      </c>
      <c r="BT22" s="4" t="s">
        <v>260</v>
      </c>
      <c r="BU22" s="4">
        <v>16</v>
      </c>
      <c r="BV22" s="8">
        <v>12.777777777777779</v>
      </c>
      <c r="BW22" s="4">
        <v>16</v>
      </c>
      <c r="BX22" s="4">
        <v>16</v>
      </c>
      <c r="BY22" s="4">
        <v>7</v>
      </c>
      <c r="BZ22" s="4">
        <v>-1.072806810743151</v>
      </c>
      <c r="CA22" s="4">
        <v>19</v>
      </c>
      <c r="CD22" s="4" t="s">
        <v>260</v>
      </c>
    </row>
    <row r="23" spans="1:82" ht="14.25" customHeight="1" x14ac:dyDescent="0.3">
      <c r="A23" s="4" t="s">
        <v>259</v>
      </c>
      <c r="B23" s="4">
        <v>17</v>
      </c>
      <c r="C23" s="8">
        <v>15.888888888888889</v>
      </c>
      <c r="D23" s="4">
        <v>16</v>
      </c>
      <c r="E23" s="4">
        <v>14</v>
      </c>
      <c r="F23" s="4">
        <v>9</v>
      </c>
      <c r="G23" s="4">
        <v>-1.1154133211974251</v>
      </c>
      <c r="H23" s="4">
        <v>19</v>
      </c>
      <c r="I23" s="9"/>
      <c r="K23" s="4" t="s">
        <v>259</v>
      </c>
      <c r="L23" s="4">
        <v>16</v>
      </c>
      <c r="M23" s="8">
        <v>14.777777777777779</v>
      </c>
      <c r="N23" s="4">
        <v>16</v>
      </c>
      <c r="O23" s="4">
        <v>14</v>
      </c>
      <c r="P23" s="4">
        <v>3</v>
      </c>
      <c r="Q23" s="4">
        <v>-1.1154133211974251</v>
      </c>
      <c r="R23" s="4">
        <v>19</v>
      </c>
      <c r="U23" s="4" t="s">
        <v>259</v>
      </c>
      <c r="V23" s="4">
        <v>13</v>
      </c>
      <c r="W23" s="8">
        <v>14.666666666666666</v>
      </c>
      <c r="X23" s="4">
        <v>13</v>
      </c>
      <c r="Y23" s="4">
        <v>13</v>
      </c>
      <c r="Z23" s="4">
        <v>3</v>
      </c>
      <c r="AA23" s="4">
        <v>-1.1154133211974251</v>
      </c>
      <c r="AB23" s="4">
        <v>19</v>
      </c>
      <c r="AF23" s="4" t="s">
        <v>259</v>
      </c>
      <c r="AG23" s="4">
        <v>6</v>
      </c>
      <c r="AH23" s="8">
        <v>10.333333333333334</v>
      </c>
      <c r="AI23" s="4">
        <v>11</v>
      </c>
      <c r="AJ23" s="4">
        <v>14</v>
      </c>
      <c r="AK23" s="4">
        <v>6</v>
      </c>
      <c r="AL23" s="4">
        <v>-1.1154133211974251</v>
      </c>
      <c r="AM23" s="4">
        <v>19</v>
      </c>
      <c r="AN23" s="9"/>
      <c r="AP23" s="4" t="s">
        <v>262</v>
      </c>
      <c r="AQ23" s="4">
        <v>26</v>
      </c>
      <c r="AR23" s="8">
        <v>23.888888888888889</v>
      </c>
      <c r="AS23" s="4">
        <v>26</v>
      </c>
      <c r="AT23" s="4">
        <v>26</v>
      </c>
      <c r="AU23" s="4">
        <v>13</v>
      </c>
      <c r="AV23" s="4">
        <v>-1.679865001322572</v>
      </c>
      <c r="AW23" s="4">
        <v>27</v>
      </c>
      <c r="AZ23" s="4" t="s">
        <v>259</v>
      </c>
      <c r="BA23" s="4">
        <v>12</v>
      </c>
      <c r="BB23" s="8">
        <v>13.111111111111111</v>
      </c>
      <c r="BC23" s="4">
        <v>6</v>
      </c>
      <c r="BD23" s="4">
        <v>9</v>
      </c>
      <c r="BE23" s="4">
        <v>12</v>
      </c>
      <c r="BF23" s="4">
        <v>-1.1154133211974251</v>
      </c>
      <c r="BG23" s="4">
        <v>19</v>
      </c>
      <c r="BJ23" s="4" t="s">
        <v>259</v>
      </c>
      <c r="BK23" s="4">
        <v>6</v>
      </c>
      <c r="BL23" s="8">
        <v>13.555555555555555</v>
      </c>
      <c r="BM23" s="4">
        <v>4</v>
      </c>
      <c r="BN23" s="4">
        <v>3</v>
      </c>
      <c r="BO23" s="4">
        <v>6</v>
      </c>
      <c r="BP23" s="4">
        <v>-1.1154133211974251</v>
      </c>
      <c r="BQ23" s="4">
        <v>19</v>
      </c>
      <c r="BT23" s="4" t="s">
        <v>259</v>
      </c>
      <c r="BU23" s="4">
        <v>11</v>
      </c>
      <c r="BV23" s="8">
        <v>15.888888888888889</v>
      </c>
      <c r="BW23" s="4">
        <v>11</v>
      </c>
      <c r="BX23" s="4">
        <v>11</v>
      </c>
      <c r="BY23" s="4">
        <v>3</v>
      </c>
      <c r="BZ23" s="4">
        <v>-1.1154133211974251</v>
      </c>
      <c r="CA23" s="4">
        <v>19</v>
      </c>
      <c r="CD23" s="4" t="s">
        <v>261</v>
      </c>
    </row>
    <row r="24" spans="1:82" ht="14.25" customHeight="1" x14ac:dyDescent="0.3">
      <c r="A24" s="4" t="s">
        <v>258</v>
      </c>
      <c r="B24" s="4">
        <v>15</v>
      </c>
      <c r="C24" s="8">
        <v>10.333333333333334</v>
      </c>
      <c r="D24" s="4">
        <v>14</v>
      </c>
      <c r="E24" s="4">
        <v>13</v>
      </c>
      <c r="F24" s="4">
        <v>3</v>
      </c>
      <c r="G24" s="4">
        <v>-1.12017317951397</v>
      </c>
      <c r="H24" s="4">
        <v>16</v>
      </c>
      <c r="I24" s="9"/>
      <c r="K24" s="4" t="s">
        <v>258</v>
      </c>
      <c r="L24" s="4">
        <v>14</v>
      </c>
      <c r="M24" s="8">
        <v>12.777777777777779</v>
      </c>
      <c r="N24" s="4">
        <v>15</v>
      </c>
      <c r="O24" s="4">
        <v>15</v>
      </c>
      <c r="P24" s="4">
        <v>13</v>
      </c>
      <c r="Q24" s="4">
        <v>-1.12017317951397</v>
      </c>
      <c r="R24" s="4">
        <v>16</v>
      </c>
      <c r="U24" s="4" t="s">
        <v>258</v>
      </c>
      <c r="V24" s="4">
        <v>12</v>
      </c>
      <c r="W24" s="8">
        <v>11.777777777777779</v>
      </c>
      <c r="X24" s="4">
        <v>13</v>
      </c>
      <c r="Y24" s="4">
        <v>13</v>
      </c>
      <c r="Z24" s="4">
        <v>12</v>
      </c>
      <c r="AA24" s="4">
        <v>-1.12017317951397</v>
      </c>
      <c r="AB24" s="4">
        <v>16</v>
      </c>
      <c r="AF24" s="4" t="s">
        <v>258</v>
      </c>
      <c r="AG24" s="4">
        <v>14</v>
      </c>
      <c r="AH24" s="8">
        <v>10.777777777777779</v>
      </c>
      <c r="AI24" s="4">
        <v>5</v>
      </c>
      <c r="AJ24" s="4">
        <v>2</v>
      </c>
      <c r="AK24" s="4">
        <v>8</v>
      </c>
      <c r="AL24" s="4">
        <v>-1.12017317951397</v>
      </c>
      <c r="AM24" s="4">
        <v>16</v>
      </c>
      <c r="AN24" s="9"/>
      <c r="AP24" s="4" t="s">
        <v>263</v>
      </c>
      <c r="AQ24" s="4">
        <v>12</v>
      </c>
      <c r="AR24" s="8">
        <v>11.333333333333334</v>
      </c>
      <c r="AS24" s="4">
        <v>14</v>
      </c>
      <c r="AT24" s="4">
        <v>14</v>
      </c>
      <c r="AU24" s="4">
        <v>3</v>
      </c>
      <c r="AV24" s="4">
        <v>-0.90834372881365233</v>
      </c>
      <c r="AW24" s="4">
        <v>15</v>
      </c>
      <c r="AZ24" s="4" t="s">
        <v>258</v>
      </c>
      <c r="BA24" s="4">
        <v>5</v>
      </c>
      <c r="BB24" s="8">
        <v>7</v>
      </c>
      <c r="BC24" s="4">
        <v>2</v>
      </c>
      <c r="BD24" s="4">
        <v>1</v>
      </c>
      <c r="BE24" s="4">
        <v>5</v>
      </c>
      <c r="BF24" s="4">
        <v>-1.12017317951397</v>
      </c>
      <c r="BG24" s="4">
        <v>16</v>
      </c>
      <c r="BJ24" s="4" t="s">
        <v>258</v>
      </c>
      <c r="BK24" s="4">
        <v>8</v>
      </c>
      <c r="BL24" s="8">
        <v>8.8888888888888893</v>
      </c>
      <c r="BM24" s="4">
        <v>6</v>
      </c>
      <c r="BN24" s="4">
        <v>4</v>
      </c>
      <c r="BO24" s="4">
        <v>8</v>
      </c>
      <c r="BP24" s="4">
        <v>-1.12017317951397</v>
      </c>
      <c r="BQ24" s="4">
        <v>16</v>
      </c>
      <c r="BT24" s="4" t="s">
        <v>258</v>
      </c>
      <c r="BU24" s="4">
        <v>10</v>
      </c>
      <c r="BV24" s="8">
        <v>10.333333333333334</v>
      </c>
      <c r="BW24" s="4">
        <v>8</v>
      </c>
      <c r="BX24" s="4">
        <v>9</v>
      </c>
      <c r="BY24" s="4">
        <v>10</v>
      </c>
      <c r="BZ24" s="4">
        <v>-1.12017317951397</v>
      </c>
      <c r="CA24" s="4">
        <v>16</v>
      </c>
      <c r="CD24" s="4" t="s">
        <v>262</v>
      </c>
    </row>
    <row r="25" spans="1:82" ht="14.25" customHeight="1" x14ac:dyDescent="0.3">
      <c r="A25" s="4" t="s">
        <v>264</v>
      </c>
      <c r="B25" s="4">
        <v>11</v>
      </c>
      <c r="C25" s="8">
        <v>13.777777777777779</v>
      </c>
      <c r="D25" s="4">
        <v>12</v>
      </c>
      <c r="E25" s="4">
        <v>12</v>
      </c>
      <c r="F25" s="4">
        <v>11</v>
      </c>
      <c r="G25" s="4">
        <v>-1.196962071035268</v>
      </c>
      <c r="H25" s="4">
        <v>19</v>
      </c>
      <c r="I25" s="9"/>
      <c r="K25" s="4" t="s">
        <v>264</v>
      </c>
      <c r="L25" s="4">
        <v>19</v>
      </c>
      <c r="M25" s="8">
        <v>15.666666666666666</v>
      </c>
      <c r="N25" s="4">
        <v>19</v>
      </c>
      <c r="O25" s="4">
        <v>19</v>
      </c>
      <c r="P25" s="4">
        <v>16</v>
      </c>
      <c r="Q25" s="4">
        <v>-1.196962071035268</v>
      </c>
      <c r="R25" s="4">
        <v>19</v>
      </c>
      <c r="U25" s="4" t="s">
        <v>264</v>
      </c>
      <c r="V25" s="4">
        <v>17</v>
      </c>
      <c r="W25" s="8">
        <v>14.333333333333334</v>
      </c>
      <c r="X25" s="4">
        <v>18</v>
      </c>
      <c r="Y25" s="4">
        <v>18</v>
      </c>
      <c r="Z25" s="4">
        <v>15</v>
      </c>
      <c r="AA25" s="4">
        <v>-1.196962071035268</v>
      </c>
      <c r="AB25" s="4">
        <v>19</v>
      </c>
      <c r="AF25" s="4" t="s">
        <v>264</v>
      </c>
      <c r="AG25" s="4">
        <v>16</v>
      </c>
      <c r="AH25" s="8">
        <v>13.111111111111111</v>
      </c>
      <c r="AI25" s="4">
        <v>18</v>
      </c>
      <c r="AJ25" s="4">
        <v>19</v>
      </c>
      <c r="AK25" s="4">
        <v>16</v>
      </c>
      <c r="AL25" s="4">
        <v>-1.196962071035268</v>
      </c>
      <c r="AM25" s="4">
        <v>19</v>
      </c>
      <c r="AN25" s="9"/>
      <c r="AP25" s="4" t="s">
        <v>264</v>
      </c>
      <c r="AQ25" s="4">
        <v>16</v>
      </c>
      <c r="AR25" s="8">
        <v>9.2222222222222214</v>
      </c>
      <c r="AS25" s="4">
        <v>19</v>
      </c>
      <c r="AT25" s="4">
        <v>19</v>
      </c>
      <c r="AU25" s="4">
        <v>16</v>
      </c>
      <c r="AV25" s="4">
        <v>-1.196962071035268</v>
      </c>
      <c r="AW25" s="4">
        <v>19</v>
      </c>
      <c r="AZ25" s="4" t="s">
        <v>264</v>
      </c>
      <c r="BA25" s="4">
        <v>15</v>
      </c>
      <c r="BB25" s="8">
        <v>11.111111111111111</v>
      </c>
      <c r="BC25" s="4">
        <v>17</v>
      </c>
      <c r="BD25" s="4">
        <v>17</v>
      </c>
      <c r="BE25" s="4">
        <v>15</v>
      </c>
      <c r="BF25" s="4">
        <v>-1.196962071035268</v>
      </c>
      <c r="BG25" s="4">
        <v>19</v>
      </c>
      <c r="BJ25" s="4" t="s">
        <v>264</v>
      </c>
      <c r="BK25" s="4">
        <v>14</v>
      </c>
      <c r="BL25" s="8">
        <v>12.666666666666666</v>
      </c>
      <c r="BM25" s="4">
        <v>17</v>
      </c>
      <c r="BN25" s="4">
        <v>16</v>
      </c>
      <c r="BO25" s="4">
        <v>14</v>
      </c>
      <c r="BP25" s="4">
        <v>-1.196962071035268</v>
      </c>
      <c r="BQ25" s="4">
        <v>19</v>
      </c>
      <c r="BT25" s="4" t="s">
        <v>264</v>
      </c>
      <c r="BU25" s="4">
        <v>13</v>
      </c>
      <c r="BV25" s="8">
        <v>13.777777777777779</v>
      </c>
      <c r="BW25" s="4">
        <v>14</v>
      </c>
      <c r="BX25" s="4">
        <v>17</v>
      </c>
      <c r="BY25" s="4">
        <v>13</v>
      </c>
      <c r="BZ25" s="4">
        <v>-1.196962071035268</v>
      </c>
      <c r="CA25" s="4">
        <v>19</v>
      </c>
      <c r="CD25" s="4" t="s">
        <v>263</v>
      </c>
    </row>
    <row r="26" spans="1:82" ht="14.25" customHeight="1" x14ac:dyDescent="0.3">
      <c r="A26" s="4" t="s">
        <v>265</v>
      </c>
      <c r="B26" s="4">
        <v>13</v>
      </c>
      <c r="C26" s="8">
        <v>10.555555555555555</v>
      </c>
      <c r="D26" s="4">
        <v>8</v>
      </c>
      <c r="E26" s="4">
        <v>6</v>
      </c>
      <c r="F26" s="4">
        <v>13</v>
      </c>
      <c r="G26" s="4">
        <v>-1.2097705883740471</v>
      </c>
      <c r="H26" s="4">
        <v>15</v>
      </c>
      <c r="I26" s="9"/>
      <c r="K26" s="4" t="s">
        <v>265</v>
      </c>
      <c r="L26" s="4">
        <v>12</v>
      </c>
      <c r="M26" s="8">
        <v>12.111111111111111</v>
      </c>
      <c r="N26" s="4">
        <v>11</v>
      </c>
      <c r="O26" s="4">
        <v>12</v>
      </c>
      <c r="P26" s="4">
        <v>13</v>
      </c>
      <c r="Q26" s="4">
        <v>-1.2097705883740471</v>
      </c>
      <c r="R26" s="4">
        <v>15</v>
      </c>
      <c r="U26" s="4" t="s">
        <v>265</v>
      </c>
      <c r="V26" s="4">
        <v>6</v>
      </c>
      <c r="W26" s="8">
        <v>12.222222222222221</v>
      </c>
      <c r="X26" s="4">
        <v>5</v>
      </c>
      <c r="Y26" s="4">
        <v>5</v>
      </c>
      <c r="Z26" s="4">
        <v>12</v>
      </c>
      <c r="AA26" s="4">
        <v>-1.2097705883740471</v>
      </c>
      <c r="AB26" s="4">
        <v>15</v>
      </c>
      <c r="AF26" s="4" t="s">
        <v>265</v>
      </c>
      <c r="AG26" s="4">
        <v>10</v>
      </c>
      <c r="AH26" s="8">
        <v>11.222222222222221</v>
      </c>
      <c r="AI26" s="4">
        <v>10</v>
      </c>
      <c r="AJ26" s="4">
        <v>9</v>
      </c>
      <c r="AK26" s="4">
        <v>10</v>
      </c>
      <c r="AL26" s="4">
        <v>-1.2097705883740471</v>
      </c>
      <c r="AM26" s="4">
        <v>15</v>
      </c>
      <c r="AN26" s="9"/>
      <c r="AP26" s="4" t="s">
        <v>265</v>
      </c>
      <c r="AQ26" s="4">
        <v>8</v>
      </c>
      <c r="AR26" s="8">
        <v>8.4444444444444446</v>
      </c>
      <c r="AS26" s="4">
        <v>8</v>
      </c>
      <c r="AT26" s="4">
        <v>7</v>
      </c>
      <c r="AU26" s="4">
        <v>8</v>
      </c>
      <c r="AV26" s="4">
        <v>-1.2097705883740471</v>
      </c>
      <c r="AW26" s="4">
        <v>15</v>
      </c>
      <c r="AZ26" s="4" t="s">
        <v>265</v>
      </c>
      <c r="BA26" s="4">
        <v>4</v>
      </c>
      <c r="BB26" s="8">
        <v>7.333333333333333</v>
      </c>
      <c r="BC26" s="4">
        <v>6</v>
      </c>
      <c r="BD26" s="4">
        <v>9</v>
      </c>
      <c r="BE26" s="4">
        <v>4</v>
      </c>
      <c r="BF26" s="4">
        <v>-1.2097705883740471</v>
      </c>
      <c r="BG26" s="4">
        <v>15</v>
      </c>
      <c r="BJ26" s="4" t="s">
        <v>265</v>
      </c>
      <c r="BK26" s="4">
        <v>8</v>
      </c>
      <c r="BL26" s="8">
        <v>10.888888888888889</v>
      </c>
      <c r="BM26" s="4">
        <v>6</v>
      </c>
      <c r="BN26" s="4">
        <v>8</v>
      </c>
      <c r="BO26" s="4">
        <v>8</v>
      </c>
      <c r="BP26" s="4">
        <v>-1.2097705883740471</v>
      </c>
      <c r="BQ26" s="4">
        <v>15</v>
      </c>
      <c r="BT26" s="4" t="s">
        <v>265</v>
      </c>
      <c r="BU26" s="4">
        <v>13</v>
      </c>
      <c r="BV26" s="8">
        <v>10.555555555555555</v>
      </c>
      <c r="BW26" s="4">
        <v>14</v>
      </c>
      <c r="BX26" s="4">
        <v>13</v>
      </c>
      <c r="BY26" s="4">
        <v>13</v>
      </c>
      <c r="BZ26" s="4">
        <v>-1.2097705883740471</v>
      </c>
      <c r="CA26" s="4">
        <v>15</v>
      </c>
      <c r="CD26" s="4" t="s">
        <v>264</v>
      </c>
    </row>
    <row r="27" spans="1:82" ht="14.25" customHeight="1" x14ac:dyDescent="0.3">
      <c r="A27" s="4" t="s">
        <v>262</v>
      </c>
      <c r="B27" s="4">
        <v>25</v>
      </c>
      <c r="C27" s="8">
        <v>24.555555555555557</v>
      </c>
      <c r="D27" s="4">
        <v>25</v>
      </c>
      <c r="E27" s="4">
        <v>25</v>
      </c>
      <c r="F27" s="4">
        <v>19</v>
      </c>
      <c r="G27" s="4">
        <v>-1.679865001322572</v>
      </c>
      <c r="H27" s="4">
        <v>27</v>
      </c>
      <c r="I27" s="9"/>
      <c r="K27" s="4" t="s">
        <v>262</v>
      </c>
      <c r="L27" s="4">
        <v>18</v>
      </c>
      <c r="M27" s="8">
        <v>18.777777777777779</v>
      </c>
      <c r="N27" s="4">
        <v>17</v>
      </c>
      <c r="O27" s="4">
        <v>17</v>
      </c>
      <c r="P27" s="4">
        <v>18</v>
      </c>
      <c r="Q27" s="4">
        <v>-1.679865001322572</v>
      </c>
      <c r="R27" s="4">
        <v>27</v>
      </c>
      <c r="U27" s="4" t="s">
        <v>262</v>
      </c>
      <c r="V27" s="4">
        <v>23</v>
      </c>
      <c r="W27" s="8">
        <v>21.777777777777779</v>
      </c>
      <c r="X27" s="4">
        <v>22</v>
      </c>
      <c r="Y27" s="4">
        <v>25</v>
      </c>
      <c r="Z27" s="4">
        <v>22</v>
      </c>
      <c r="AA27" s="4">
        <v>-1.679865001322572</v>
      </c>
      <c r="AB27" s="4">
        <v>27</v>
      </c>
      <c r="AF27" s="4" t="s">
        <v>262</v>
      </c>
      <c r="AG27" s="4">
        <v>23</v>
      </c>
      <c r="AH27" s="8">
        <v>23.111111111111111</v>
      </c>
      <c r="AI27" s="4">
        <v>25</v>
      </c>
      <c r="AJ27" s="4">
        <v>25</v>
      </c>
      <c r="AK27" s="4">
        <v>23</v>
      </c>
      <c r="AL27" s="4">
        <v>-1.679865001322572</v>
      </c>
      <c r="AM27" s="4">
        <v>27</v>
      </c>
      <c r="AN27" s="9"/>
      <c r="AP27" s="4" t="s">
        <v>266</v>
      </c>
      <c r="AQ27" s="4">
        <v>14</v>
      </c>
      <c r="AR27" s="8">
        <v>9.2222222222222214</v>
      </c>
      <c r="AS27" s="4">
        <v>13</v>
      </c>
      <c r="AT27" s="4">
        <v>12</v>
      </c>
      <c r="AU27" s="4">
        <v>5</v>
      </c>
      <c r="AV27" s="4">
        <v>-0.88310324035056598</v>
      </c>
      <c r="AW27" s="4">
        <v>15</v>
      </c>
      <c r="AZ27" s="4" t="s">
        <v>262</v>
      </c>
      <c r="BA27" s="4">
        <v>27</v>
      </c>
      <c r="BB27" s="8">
        <v>24.111111111111111</v>
      </c>
      <c r="BC27" s="4">
        <v>27</v>
      </c>
      <c r="BD27" s="4">
        <v>26</v>
      </c>
      <c r="BE27" s="4">
        <v>15</v>
      </c>
      <c r="BF27" s="4">
        <v>-1.679865001322572</v>
      </c>
      <c r="BG27" s="4">
        <v>27</v>
      </c>
      <c r="BJ27" s="4" t="s">
        <v>262</v>
      </c>
      <c r="BK27" s="4">
        <v>26</v>
      </c>
      <c r="BL27" s="8">
        <v>24</v>
      </c>
      <c r="BM27" s="4">
        <v>24</v>
      </c>
      <c r="BN27" s="4">
        <v>25</v>
      </c>
      <c r="BO27" s="4">
        <v>23</v>
      </c>
      <c r="BP27" s="4">
        <v>-1.679865001322572</v>
      </c>
      <c r="BQ27" s="4">
        <v>27</v>
      </c>
      <c r="BT27" s="4" t="s">
        <v>262</v>
      </c>
      <c r="BU27" s="4">
        <v>27</v>
      </c>
      <c r="BV27" s="8">
        <v>24.555555555555557</v>
      </c>
      <c r="BW27" s="4">
        <v>26</v>
      </c>
      <c r="BX27" s="4">
        <v>26</v>
      </c>
      <c r="BY27" s="4">
        <v>15</v>
      </c>
      <c r="BZ27" s="4">
        <v>-1.679865001322572</v>
      </c>
      <c r="CA27" s="4">
        <v>27</v>
      </c>
      <c r="CD27" s="4" t="s">
        <v>265</v>
      </c>
    </row>
    <row r="28" spans="1:82" ht="14.25" customHeight="1" x14ac:dyDescent="0.3">
      <c r="A28" s="4" t="s">
        <v>267</v>
      </c>
      <c r="B28" s="4">
        <f t="shared" ref="B28:F28" si="0">AVERAGE(B8:B17)</f>
        <v>3.7</v>
      </c>
      <c r="C28" s="8">
        <f t="shared" si="0"/>
        <v>4.7111111111111112</v>
      </c>
      <c r="D28" s="4">
        <f t="shared" si="0"/>
        <v>2.4</v>
      </c>
      <c r="E28" s="4">
        <f t="shared" si="0"/>
        <v>2.2999999999999998</v>
      </c>
      <c r="F28" s="4">
        <f t="shared" si="0"/>
        <v>6.9</v>
      </c>
      <c r="I28" s="10"/>
      <c r="K28" s="4" t="s">
        <v>267</v>
      </c>
      <c r="L28" s="4">
        <f t="shared" ref="L28:P28" si="1">AVERAGE(L8:L17)</f>
        <v>3.5</v>
      </c>
      <c r="M28" s="8">
        <f t="shared" si="1"/>
        <v>4.8666666666666663</v>
      </c>
      <c r="N28" s="4">
        <f t="shared" si="1"/>
        <v>3.2</v>
      </c>
      <c r="O28" s="4">
        <f t="shared" si="1"/>
        <v>3.3</v>
      </c>
      <c r="P28" s="4">
        <f t="shared" si="1"/>
        <v>6.5</v>
      </c>
      <c r="U28" s="4" t="s">
        <v>267</v>
      </c>
      <c r="V28" s="4">
        <f t="shared" ref="V28:Z28" si="2">AVERAGE(V8:V17)</f>
        <v>4.5</v>
      </c>
      <c r="W28" s="8">
        <f t="shared" si="2"/>
        <v>5.2222222222222214</v>
      </c>
      <c r="X28" s="4">
        <f t="shared" si="2"/>
        <v>4.7</v>
      </c>
      <c r="Y28" s="4">
        <f t="shared" si="2"/>
        <v>4.8</v>
      </c>
      <c r="Z28" s="4">
        <f t="shared" si="2"/>
        <v>7.2</v>
      </c>
      <c r="AF28" s="4" t="s">
        <v>267</v>
      </c>
      <c r="AG28" s="4">
        <f t="shared" ref="AG28:AK28" si="3">AVERAGE(AG8:AG17)</f>
        <v>5.5</v>
      </c>
      <c r="AH28" s="8">
        <f t="shared" si="3"/>
        <v>5.1888888888888891</v>
      </c>
      <c r="AI28" s="4">
        <f t="shared" si="3"/>
        <v>4.4000000000000004</v>
      </c>
      <c r="AJ28" s="4">
        <f t="shared" si="3"/>
        <v>3.4</v>
      </c>
      <c r="AK28" s="4">
        <f t="shared" si="3"/>
        <v>6.8</v>
      </c>
      <c r="AN28" s="9"/>
      <c r="AP28" s="4" t="s">
        <v>267</v>
      </c>
      <c r="AQ28" s="4">
        <f t="shared" ref="AQ28:AU28" si="4">AVERAGE(AQ8:AQ17)</f>
        <v>4.3</v>
      </c>
      <c r="AR28" s="8">
        <f t="shared" si="4"/>
        <v>5.3555555555555561</v>
      </c>
      <c r="AS28" s="4">
        <f t="shared" si="4"/>
        <v>3.4</v>
      </c>
      <c r="AT28" s="4">
        <f t="shared" si="4"/>
        <v>3.5</v>
      </c>
      <c r="AU28" s="4">
        <f t="shared" si="4"/>
        <v>6.9</v>
      </c>
      <c r="AZ28" s="4" t="s">
        <v>267</v>
      </c>
      <c r="BA28" s="4">
        <f t="shared" ref="BA28:BE28" si="5">AVERAGE(BA8:BA17)</f>
        <v>5</v>
      </c>
      <c r="BB28" s="8">
        <f t="shared" si="5"/>
        <v>4.9444444444444446</v>
      </c>
      <c r="BC28" s="4">
        <f t="shared" si="5"/>
        <v>3.6</v>
      </c>
      <c r="BD28" s="4">
        <f t="shared" si="5"/>
        <v>3.4</v>
      </c>
      <c r="BE28" s="4">
        <f t="shared" si="5"/>
        <v>7.3</v>
      </c>
      <c r="BJ28" s="4" t="s">
        <v>267</v>
      </c>
      <c r="BK28" s="4">
        <f t="shared" ref="BK28:BO28" si="6">AVERAGE(BK8:BK17)</f>
        <v>7.8</v>
      </c>
      <c r="BL28" s="8">
        <f t="shared" si="6"/>
        <v>6.0666666666666664</v>
      </c>
      <c r="BM28" s="4">
        <f t="shared" si="6"/>
        <v>6.6</v>
      </c>
      <c r="BN28" s="4">
        <f t="shared" si="6"/>
        <v>5.6</v>
      </c>
      <c r="BO28" s="4">
        <f t="shared" si="6"/>
        <v>7.8</v>
      </c>
      <c r="BT28" s="4" t="s">
        <v>267</v>
      </c>
      <c r="BU28" s="4">
        <f t="shared" ref="BU28:BY28" si="7">AVERAGE(BU8:BU17)</f>
        <v>4.2</v>
      </c>
      <c r="BV28" s="8">
        <f t="shared" si="7"/>
        <v>4.7111111111111112</v>
      </c>
      <c r="BW28" s="4">
        <f t="shared" si="7"/>
        <v>4.5999999999999996</v>
      </c>
      <c r="BX28" s="4">
        <f t="shared" si="7"/>
        <v>4.4000000000000004</v>
      </c>
      <c r="BY28" s="4">
        <f t="shared" si="7"/>
        <v>7.5</v>
      </c>
      <c r="CD28" s="4" t="s">
        <v>266</v>
      </c>
    </row>
    <row r="29" spans="1:82" ht="14.25" customHeight="1" x14ac:dyDescent="0.3">
      <c r="A29" s="4" t="s">
        <v>268</v>
      </c>
      <c r="B29" s="4">
        <f t="shared" ref="B29:F29" si="8">AVERAGE(B18:B27)</f>
        <v>15.9</v>
      </c>
      <c r="C29" s="8">
        <f t="shared" si="8"/>
        <v>14.3</v>
      </c>
      <c r="D29" s="4">
        <f t="shared" si="8"/>
        <v>15.3</v>
      </c>
      <c r="E29" s="4">
        <f t="shared" si="8"/>
        <v>14.8</v>
      </c>
      <c r="F29" s="4">
        <f t="shared" si="8"/>
        <v>12.7</v>
      </c>
      <c r="I29" s="10"/>
      <c r="K29" s="4" t="s">
        <v>268</v>
      </c>
      <c r="L29" s="4">
        <f t="shared" ref="L29:P29" si="9">AVERAGE(L18:L27)</f>
        <v>17</v>
      </c>
      <c r="M29" s="8">
        <f t="shared" si="9"/>
        <v>14.188888888888892</v>
      </c>
      <c r="N29" s="4">
        <f t="shared" si="9"/>
        <v>17</v>
      </c>
      <c r="O29" s="4">
        <f t="shared" si="9"/>
        <v>17</v>
      </c>
      <c r="P29" s="4">
        <f t="shared" si="9"/>
        <v>14</v>
      </c>
      <c r="U29" s="4" t="s">
        <v>268</v>
      </c>
      <c r="V29" s="4">
        <f t="shared" ref="V29:Z29" si="10">AVERAGE(V18:V27)</f>
        <v>15</v>
      </c>
      <c r="W29" s="8">
        <f t="shared" si="10"/>
        <v>14.499999999999996</v>
      </c>
      <c r="X29" s="4">
        <f t="shared" si="10"/>
        <v>14.9</v>
      </c>
      <c r="Y29" s="4">
        <f t="shared" si="10"/>
        <v>15.2</v>
      </c>
      <c r="Z29" s="4">
        <f t="shared" si="10"/>
        <v>13.1</v>
      </c>
      <c r="AF29" s="4" t="s">
        <v>268</v>
      </c>
      <c r="AG29" s="4">
        <f t="shared" ref="AG29:AK29" si="11">AVERAGE(AG18:AG27)</f>
        <v>11.8</v>
      </c>
      <c r="AH29" s="8">
        <f t="shared" si="11"/>
        <v>13.666666666666668</v>
      </c>
      <c r="AI29" s="4">
        <f t="shared" si="11"/>
        <v>12.3</v>
      </c>
      <c r="AJ29" s="4">
        <f t="shared" si="11"/>
        <v>12.5</v>
      </c>
      <c r="AK29" s="4">
        <f t="shared" si="11"/>
        <v>10.5</v>
      </c>
      <c r="AN29" s="9"/>
      <c r="AP29" s="4" t="s">
        <v>268</v>
      </c>
      <c r="AQ29" s="4">
        <f t="shared" ref="AQ29:AU29" si="12">AVERAGE(AQ18:AQ27)</f>
        <v>11.9</v>
      </c>
      <c r="AR29" s="8">
        <f t="shared" si="12"/>
        <v>12.999999999999996</v>
      </c>
      <c r="AS29" s="4">
        <f t="shared" si="12"/>
        <v>12.7</v>
      </c>
      <c r="AT29" s="4">
        <f t="shared" si="12"/>
        <v>12.8</v>
      </c>
      <c r="AU29" s="4">
        <f t="shared" si="12"/>
        <v>9.3000000000000007</v>
      </c>
      <c r="AZ29" s="4" t="s">
        <v>268</v>
      </c>
      <c r="BA29" s="4">
        <f t="shared" ref="BA29:BE29" si="13">AVERAGE(BA18:BA27)</f>
        <v>11.7</v>
      </c>
      <c r="BB29" s="8">
        <f t="shared" si="13"/>
        <v>13.2</v>
      </c>
      <c r="BC29" s="4">
        <f t="shared" si="13"/>
        <v>11.7</v>
      </c>
      <c r="BD29" s="4">
        <f t="shared" si="13"/>
        <v>12.2</v>
      </c>
      <c r="BE29" s="4">
        <f t="shared" si="13"/>
        <v>9.4</v>
      </c>
      <c r="BJ29" s="4" t="s">
        <v>268</v>
      </c>
      <c r="BK29" s="4">
        <f t="shared" ref="BK29:BO29" si="14">AVERAGE(BK18:BK27)</f>
        <v>12.7</v>
      </c>
      <c r="BL29" s="8">
        <f t="shared" si="14"/>
        <v>13.577777777777778</v>
      </c>
      <c r="BM29" s="4">
        <f t="shared" si="14"/>
        <v>11</v>
      </c>
      <c r="BN29" s="4">
        <f t="shared" si="14"/>
        <v>10.3</v>
      </c>
      <c r="BO29" s="4">
        <f t="shared" si="14"/>
        <v>12.7</v>
      </c>
      <c r="BT29" s="4" t="s">
        <v>268</v>
      </c>
      <c r="BU29" s="4">
        <f t="shared" ref="BU29:BY29" si="15">AVERAGE(BU18:BU27)</f>
        <v>13.2</v>
      </c>
      <c r="BV29" s="8">
        <f t="shared" si="15"/>
        <v>14.277777777777777</v>
      </c>
      <c r="BW29" s="4">
        <f t="shared" si="15"/>
        <v>13.7</v>
      </c>
      <c r="BX29" s="4">
        <f t="shared" si="15"/>
        <v>14.2</v>
      </c>
      <c r="BY29" s="4">
        <f t="shared" si="15"/>
        <v>9.9</v>
      </c>
    </row>
    <row r="30" spans="1:82" ht="14.25" customHeight="1" x14ac:dyDescent="0.3">
      <c r="A30" s="4" t="s">
        <v>269</v>
      </c>
      <c r="B30" s="4">
        <f>SKEW(B8:B17)</f>
        <v>0.46190696636419976</v>
      </c>
      <c r="C30" s="4"/>
      <c r="D30" s="4"/>
      <c r="E30" s="4"/>
      <c r="F30" s="4">
        <f>SKEW(F8:F17)</f>
        <v>1.6417305360726278</v>
      </c>
      <c r="K30" s="4" t="s">
        <v>269</v>
      </c>
      <c r="L30" s="4">
        <f>SKEW(L8:L17)</f>
        <v>-0.16493533511727124</v>
      </c>
      <c r="M30" s="4"/>
      <c r="N30" s="4"/>
      <c r="O30" s="4"/>
      <c r="P30" s="4">
        <f>SKEW(P8:P17)</f>
        <v>0.45396684302428808</v>
      </c>
      <c r="U30" s="4" t="s">
        <v>269</v>
      </c>
      <c r="V30" s="4">
        <f>SKEW(V8:V17)</f>
        <v>2.3093910004378522</v>
      </c>
      <c r="W30" s="4"/>
      <c r="X30" s="4"/>
      <c r="Y30" s="4"/>
      <c r="Z30" s="4">
        <f>SKEW(Z8:Z17)</f>
        <v>1.6694127816741928</v>
      </c>
      <c r="AF30" s="4" t="s">
        <v>269</v>
      </c>
      <c r="AG30" s="4">
        <f>SKEW(AG8:AG17)</f>
        <v>-0.3238183292588212</v>
      </c>
      <c r="AH30" s="4"/>
      <c r="AI30" s="4"/>
      <c r="AJ30" s="4"/>
      <c r="AK30" s="4">
        <f>SKEW(AK8:AK17)</f>
        <v>0.46655999199968406</v>
      </c>
      <c r="AP30" s="4" t="s">
        <v>269</v>
      </c>
      <c r="AQ30" s="4">
        <f>SKEW(AQ8:AQ17)</f>
        <v>0.68933188162907799</v>
      </c>
      <c r="AR30" s="4"/>
      <c r="AS30" s="4"/>
      <c r="AT30" s="4"/>
      <c r="AU30" s="4">
        <f>SKEW(AU8:AU17)</f>
        <v>1.8253410871641205</v>
      </c>
      <c r="AZ30" s="4" t="s">
        <v>269</v>
      </c>
      <c r="BA30" s="4">
        <f>SKEW(BA8:BA17)</f>
        <v>0.43659958656757836</v>
      </c>
      <c r="BB30" s="4"/>
      <c r="BC30" s="4"/>
      <c r="BD30" s="4"/>
      <c r="BE30" s="4">
        <f>SKEW(BE8:BE17)</f>
        <v>1.3920747384988685</v>
      </c>
      <c r="BJ30" s="4" t="s">
        <v>269</v>
      </c>
      <c r="BK30" s="4">
        <f>SKEW(BK8:BK17)</f>
        <v>0.76146421344495419</v>
      </c>
      <c r="BL30" s="4"/>
      <c r="BM30" s="4"/>
      <c r="BN30" s="4"/>
      <c r="BO30" s="4">
        <f>SKEW(BO8:BO17)</f>
        <v>0.4388094870959835</v>
      </c>
      <c r="BT30" s="4" t="s">
        <v>269</v>
      </c>
      <c r="BU30" s="4">
        <f>SKEW(BU8:BU17)</f>
        <v>0.43270530906872257</v>
      </c>
      <c r="BV30" s="4"/>
      <c r="BW30" s="4"/>
      <c r="BX30" s="4"/>
      <c r="BY30" s="4">
        <f>SKEW(BY8:BY17)</f>
        <v>1.1785113019775799</v>
      </c>
    </row>
    <row r="31" spans="1:82" ht="14.25" customHeight="1" x14ac:dyDescent="0.3">
      <c r="A31" s="4" t="s">
        <v>270</v>
      </c>
      <c r="B31" s="4">
        <f>SKEW(B18:B27)</f>
        <v>1.0710804138412646</v>
      </c>
      <c r="C31" s="4"/>
      <c r="D31" s="4"/>
      <c r="E31" s="4"/>
      <c r="F31" s="4">
        <f>SKEW(F18:F27)</f>
        <v>0.84287848064965309</v>
      </c>
      <c r="K31" s="4" t="s">
        <v>270</v>
      </c>
      <c r="L31" s="4">
        <f>SKEW(L18:L27)</f>
        <v>2.1319241982507289</v>
      </c>
      <c r="M31" s="4"/>
      <c r="N31" s="4"/>
      <c r="O31" s="4"/>
      <c r="P31" s="4">
        <f>SKEW(P18:P27)</f>
        <v>0.40875492214691139</v>
      </c>
      <c r="U31" s="4" t="s">
        <v>270</v>
      </c>
      <c r="V31" s="4">
        <f>SKEW(V18:V27)</f>
        <v>0.56765378597164073</v>
      </c>
      <c r="W31" s="4"/>
      <c r="X31" s="4"/>
      <c r="Y31" s="4"/>
      <c r="Z31" s="4">
        <f>SKEW(Z18:Z27)</f>
        <v>-2.2741077909183685E-2</v>
      </c>
      <c r="AF31" s="4" t="s">
        <v>270</v>
      </c>
      <c r="AG31" s="4">
        <f>SKEW(AG18:AG27)</f>
        <v>1.1968095716382794</v>
      </c>
      <c r="AH31" s="4"/>
      <c r="AI31" s="4"/>
      <c r="AJ31" s="4"/>
      <c r="AK31" s="4">
        <f>SKEW(AK18:AK27)</f>
        <v>1.1266822248021071</v>
      </c>
      <c r="AP31" s="4" t="s">
        <v>270</v>
      </c>
      <c r="AQ31" s="4">
        <f>SKEW(AQ18:AQ27)</f>
        <v>0.54608583634215724</v>
      </c>
      <c r="AR31" s="4"/>
      <c r="AS31" s="4"/>
      <c r="AT31" s="4"/>
      <c r="AU31" s="4">
        <f>SKEW(AU18:AU27)</f>
        <v>1.5318473070173997</v>
      </c>
      <c r="AZ31" s="4" t="s">
        <v>270</v>
      </c>
      <c r="BA31" s="4">
        <f>SKEW(BA18:BA27)</f>
        <v>1.2964160658442556</v>
      </c>
      <c r="BB31" s="4"/>
      <c r="BC31" s="4"/>
      <c r="BD31" s="4"/>
      <c r="BE31" s="4">
        <f>SKEW(BE18:BE27)</f>
        <v>-0.18319069367025118</v>
      </c>
      <c r="BJ31" s="4" t="s">
        <v>270</v>
      </c>
      <c r="BK31" s="4">
        <f>SKEW(BK18:BK27)</f>
        <v>1.2566394031294683</v>
      </c>
      <c r="BL31" s="4"/>
      <c r="BM31" s="4"/>
      <c r="BN31" s="4"/>
      <c r="BO31" s="4">
        <f>SKEW(BO18:BO27)</f>
        <v>0.68298366940573652</v>
      </c>
      <c r="BT31" s="4" t="s">
        <v>270</v>
      </c>
      <c r="BU31" s="4">
        <f>SKEW(BU18:BU27)</f>
        <v>1.3034130682273335</v>
      </c>
      <c r="BV31" s="4"/>
      <c r="BW31" s="4"/>
      <c r="BX31" s="4"/>
      <c r="BY31" s="4">
        <f>SKEW(BY18:BY27)</f>
        <v>0.34110770094840898</v>
      </c>
    </row>
    <row r="32" spans="1:82" ht="14.25" customHeight="1" x14ac:dyDescent="0.3">
      <c r="A32" s="4" t="s">
        <v>271</v>
      </c>
      <c r="B32" s="4">
        <v>35.06733753759832</v>
      </c>
      <c r="C32" s="5"/>
      <c r="D32" s="5"/>
      <c r="K32" s="4" t="s">
        <v>271</v>
      </c>
      <c r="L32" s="4">
        <v>41.185685404574869</v>
      </c>
      <c r="U32" s="4" t="s">
        <v>271</v>
      </c>
      <c r="V32" s="4">
        <v>17.091108486035289</v>
      </c>
      <c r="AF32" s="4" t="s">
        <v>271</v>
      </c>
      <c r="AG32" s="4">
        <v>18.606016946555069</v>
      </c>
      <c r="AP32" s="4" t="s">
        <v>271</v>
      </c>
      <c r="AQ32" s="4">
        <v>30.621616918959841</v>
      </c>
      <c r="AZ32" s="4" t="s">
        <v>271</v>
      </c>
      <c r="BA32" s="4">
        <v>19.161929070531858</v>
      </c>
      <c r="BJ32" s="4" t="s">
        <v>271</v>
      </c>
      <c r="BK32" s="4">
        <v>3.9074702335643181</v>
      </c>
      <c r="BT32" s="4" t="s">
        <v>271</v>
      </c>
      <c r="BU32" s="4">
        <v>29.078924722739821</v>
      </c>
    </row>
    <row r="33" spans="1:73" ht="28.5" customHeight="1" x14ac:dyDescent="0.3">
      <c r="A33" s="4" t="s">
        <v>272</v>
      </c>
      <c r="B33" s="4">
        <v>16</v>
      </c>
      <c r="C33" s="5"/>
      <c r="D33" s="5"/>
      <c r="K33" s="4" t="s">
        <v>272</v>
      </c>
      <c r="L33" s="4">
        <v>13</v>
      </c>
      <c r="U33" s="4" t="s">
        <v>272</v>
      </c>
      <c r="V33" s="4">
        <v>9</v>
      </c>
      <c r="AF33" s="4" t="s">
        <v>272</v>
      </c>
      <c r="AG33" s="4">
        <v>7</v>
      </c>
      <c r="AP33" s="4" t="s">
        <v>272</v>
      </c>
      <c r="AQ33" s="4">
        <f>10</f>
        <v>10</v>
      </c>
      <c r="AZ33" s="4" t="s">
        <v>272</v>
      </c>
      <c r="BA33" s="4">
        <v>9</v>
      </c>
      <c r="BJ33" s="4" t="s">
        <v>272</v>
      </c>
      <c r="BK33" s="4">
        <v>6</v>
      </c>
      <c r="BT33" s="4" t="s">
        <v>272</v>
      </c>
      <c r="BU33" s="4">
        <v>9</v>
      </c>
    </row>
    <row r="34" spans="1:73" ht="14.25" customHeight="1" x14ac:dyDescent="0.3">
      <c r="A34" s="11" t="s">
        <v>273</v>
      </c>
      <c r="B34" s="4">
        <f>B33*2</f>
        <v>32</v>
      </c>
      <c r="C34" s="5"/>
      <c r="D34" s="5"/>
      <c r="K34" s="11" t="s">
        <v>273</v>
      </c>
      <c r="L34" s="4">
        <f>L33*2</f>
        <v>26</v>
      </c>
      <c r="U34" s="11" t="s">
        <v>273</v>
      </c>
      <c r="V34" s="4">
        <f>V33*2</f>
        <v>18</v>
      </c>
      <c r="AF34" s="11" t="s">
        <v>273</v>
      </c>
      <c r="AG34" s="4">
        <f>AG33*2</f>
        <v>14</v>
      </c>
      <c r="AP34" s="11" t="s">
        <v>273</v>
      </c>
      <c r="AQ34" s="4">
        <f>AQ33*2</f>
        <v>20</v>
      </c>
      <c r="AZ34" s="11" t="s">
        <v>273</v>
      </c>
      <c r="BA34" s="4">
        <f>BA33*2</f>
        <v>18</v>
      </c>
      <c r="BJ34" s="11" t="s">
        <v>273</v>
      </c>
      <c r="BK34" s="4">
        <f>BK33*2</f>
        <v>12</v>
      </c>
      <c r="BT34" s="11" t="s">
        <v>273</v>
      </c>
      <c r="BU34" s="4">
        <f>BU33*2</f>
        <v>18</v>
      </c>
    </row>
    <row r="35" spans="1:73" ht="14.25" customHeight="1" x14ac:dyDescent="0.3"/>
    <row r="36" spans="1:73" ht="14.25" customHeight="1" x14ac:dyDescent="0.3"/>
    <row r="37" spans="1:73" ht="14.25" customHeight="1" x14ac:dyDescent="0.3"/>
    <row r="38" spans="1:73" ht="14.25" customHeight="1" x14ac:dyDescent="0.3"/>
    <row r="39" spans="1:73" ht="14.25" customHeight="1" x14ac:dyDescent="0.3"/>
    <row r="40" spans="1:73" ht="14.25" customHeight="1" x14ac:dyDescent="0.3"/>
    <row r="41" spans="1:73" ht="14.25" customHeight="1" x14ac:dyDescent="0.3"/>
    <row r="42" spans="1:73" ht="14.25" customHeight="1" x14ac:dyDescent="0.3"/>
    <row r="43" spans="1:73" ht="14.25" customHeight="1" x14ac:dyDescent="0.3"/>
    <row r="44" spans="1:73" ht="14.25" customHeight="1" x14ac:dyDescent="0.3"/>
    <row r="45" spans="1:73" ht="14.25" customHeight="1" x14ac:dyDescent="0.3"/>
    <row r="46" spans="1:73" ht="14.25" customHeight="1" x14ac:dyDescent="0.3"/>
    <row r="47" spans="1:73" ht="14.25" customHeight="1" x14ac:dyDescent="0.3"/>
    <row r="48" spans="1:73" ht="14.25" customHeight="1" x14ac:dyDescent="0.3"/>
    <row r="49" spans="1:79" ht="14.25" customHeight="1" x14ac:dyDescent="0.3"/>
    <row r="50" spans="1:79" ht="14.25" customHeight="1" x14ac:dyDescent="0.3"/>
    <row r="51" spans="1:79" ht="14.25" customHeight="1" x14ac:dyDescent="0.3"/>
    <row r="52" spans="1:79" ht="14.25" customHeight="1" x14ac:dyDescent="0.3"/>
    <row r="53" spans="1:79" ht="14.25" customHeight="1" x14ac:dyDescent="0.3"/>
    <row r="54" spans="1:79" ht="14.25" customHeight="1" x14ac:dyDescent="0.3">
      <c r="W54" s="5"/>
      <c r="X54" s="5"/>
      <c r="Y54" s="5"/>
      <c r="Z54" s="5"/>
    </row>
    <row r="55" spans="1:79" ht="14.25" customHeight="1" x14ac:dyDescent="0.3">
      <c r="AR55" s="5"/>
      <c r="AS55" s="5"/>
      <c r="AT55" s="5"/>
      <c r="AU55" s="5"/>
      <c r="BB55" s="5"/>
      <c r="BC55" s="5"/>
      <c r="BD55" s="5"/>
      <c r="BE55" s="5"/>
      <c r="BL55" s="5"/>
      <c r="BM55" s="5"/>
      <c r="BN55" s="5"/>
      <c r="BO55" s="5"/>
      <c r="BV55" s="5"/>
      <c r="BW55" s="5"/>
      <c r="BX55" s="5"/>
      <c r="BY55" s="5"/>
    </row>
    <row r="56" spans="1:79" ht="14.25" customHeight="1" x14ac:dyDescent="0.3">
      <c r="A56" s="4" t="s">
        <v>274</v>
      </c>
      <c r="C56" s="5"/>
      <c r="D56" s="5"/>
      <c r="E56" s="5"/>
      <c r="F56" s="5"/>
      <c r="K56" s="4" t="s">
        <v>275</v>
      </c>
      <c r="M56" s="4"/>
      <c r="N56" s="4"/>
      <c r="O56" s="4"/>
      <c r="P56" s="4"/>
      <c r="U56" s="4" t="s">
        <v>276</v>
      </c>
      <c r="AF56" s="4" t="s">
        <v>277</v>
      </c>
      <c r="AH56" s="5"/>
      <c r="AI56" s="5"/>
      <c r="AJ56" s="5"/>
      <c r="AK56" s="5"/>
      <c r="AP56" s="4" t="s">
        <v>278</v>
      </c>
      <c r="AZ56" s="4" t="s">
        <v>279</v>
      </c>
      <c r="BJ56" s="4" t="s">
        <v>280</v>
      </c>
      <c r="BT56" s="4" t="s">
        <v>281</v>
      </c>
    </row>
    <row r="57" spans="1:79" ht="14.25" customHeight="1" x14ac:dyDescent="0.3">
      <c r="A57" s="4" t="s">
        <v>232</v>
      </c>
      <c r="B57" s="4" t="s">
        <v>5</v>
      </c>
      <c r="C57" s="4" t="s">
        <v>240</v>
      </c>
      <c r="D57" s="7" t="s">
        <v>234</v>
      </c>
      <c r="E57" s="7" t="s">
        <v>235</v>
      </c>
      <c r="F57" s="4" t="s">
        <v>236</v>
      </c>
      <c r="G57" s="4" t="s">
        <v>237</v>
      </c>
      <c r="H57" s="4" t="s">
        <v>12</v>
      </c>
      <c r="I57" s="1"/>
      <c r="K57" s="4" t="s">
        <v>232</v>
      </c>
      <c r="L57" s="4" t="s">
        <v>5</v>
      </c>
      <c r="M57" s="4" t="s">
        <v>241</v>
      </c>
      <c r="N57" s="7" t="s">
        <v>234</v>
      </c>
      <c r="O57" s="7" t="s">
        <v>235</v>
      </c>
      <c r="P57" s="4" t="s">
        <v>236</v>
      </c>
      <c r="Q57" s="4" t="s">
        <v>237</v>
      </c>
      <c r="R57" s="4" t="s">
        <v>12</v>
      </c>
      <c r="U57" s="4" t="s">
        <v>232</v>
      </c>
      <c r="V57" s="4" t="s">
        <v>5</v>
      </c>
      <c r="W57" s="4" t="s">
        <v>242</v>
      </c>
      <c r="X57" s="7" t="s">
        <v>234</v>
      </c>
      <c r="Y57" s="7" t="s">
        <v>235</v>
      </c>
      <c r="Z57" s="4" t="s">
        <v>236</v>
      </c>
      <c r="AA57" s="4" t="s">
        <v>237</v>
      </c>
      <c r="AB57" s="4" t="s">
        <v>12</v>
      </c>
      <c r="AC57" s="13"/>
      <c r="AF57" s="4" t="s">
        <v>232</v>
      </c>
      <c r="AG57" s="4" t="s">
        <v>5</v>
      </c>
      <c r="AH57" s="4" t="s">
        <v>243</v>
      </c>
      <c r="AI57" s="7" t="s">
        <v>234</v>
      </c>
      <c r="AJ57" s="7" t="s">
        <v>235</v>
      </c>
      <c r="AK57" s="4" t="s">
        <v>236</v>
      </c>
      <c r="AL57" s="4" t="s">
        <v>237</v>
      </c>
      <c r="AM57" s="4" t="s">
        <v>12</v>
      </c>
      <c r="AP57" s="4" t="s">
        <v>282</v>
      </c>
      <c r="AQ57" s="4" t="s">
        <v>5</v>
      </c>
      <c r="AR57" s="4" t="s">
        <v>245</v>
      </c>
      <c r="AS57" s="7" t="s">
        <v>234</v>
      </c>
      <c r="AT57" s="7" t="s">
        <v>235</v>
      </c>
      <c r="AU57" s="4" t="s">
        <v>236</v>
      </c>
      <c r="AV57" s="4" t="s">
        <v>237</v>
      </c>
      <c r="AW57" s="4" t="s">
        <v>12</v>
      </c>
      <c r="AZ57" s="4" t="s">
        <v>232</v>
      </c>
      <c r="BA57" s="4" t="s">
        <v>5</v>
      </c>
      <c r="BB57" s="4" t="s">
        <v>246</v>
      </c>
      <c r="BC57" s="7" t="s">
        <v>234</v>
      </c>
      <c r="BD57" s="7" t="s">
        <v>235</v>
      </c>
      <c r="BE57" s="4" t="s">
        <v>236</v>
      </c>
      <c r="BF57" s="4" t="s">
        <v>237</v>
      </c>
      <c r="BG57" s="4" t="s">
        <v>12</v>
      </c>
      <c r="BJ57" s="4" t="s">
        <v>232</v>
      </c>
      <c r="BK57" s="4" t="s">
        <v>5</v>
      </c>
      <c r="BL57" s="4" t="s">
        <v>233</v>
      </c>
      <c r="BM57" s="7" t="s">
        <v>234</v>
      </c>
      <c r="BN57" s="7" t="s">
        <v>235</v>
      </c>
      <c r="BO57" s="4" t="s">
        <v>236</v>
      </c>
      <c r="BP57" s="4" t="s">
        <v>237</v>
      </c>
      <c r="BQ57" s="4" t="s">
        <v>12</v>
      </c>
      <c r="BT57" s="4" t="s">
        <v>232</v>
      </c>
      <c r="BU57" s="4" t="s">
        <v>5</v>
      </c>
      <c r="BV57" s="4" t="s">
        <v>240</v>
      </c>
      <c r="BW57" s="7" t="s">
        <v>234</v>
      </c>
      <c r="BX57" s="7" t="s">
        <v>235</v>
      </c>
      <c r="BY57" s="4" t="s">
        <v>236</v>
      </c>
      <c r="BZ57" s="4" t="s">
        <v>237</v>
      </c>
      <c r="CA57" s="4" t="s">
        <v>12</v>
      </c>
    </row>
    <row r="58" spans="1:79" ht="14.25" customHeight="1" x14ac:dyDescent="0.3">
      <c r="A58" s="4" t="s">
        <v>253</v>
      </c>
      <c r="B58" s="4">
        <v>7</v>
      </c>
      <c r="C58" s="8">
        <v>5.5555555555555554</v>
      </c>
      <c r="D58" s="4">
        <v>6</v>
      </c>
      <c r="E58" s="4">
        <v>6</v>
      </c>
      <c r="F58" s="4">
        <v>7</v>
      </c>
      <c r="G58" s="4">
        <v>1.1425292918330761</v>
      </c>
      <c r="H58" s="4">
        <v>15</v>
      </c>
      <c r="K58" s="4" t="s">
        <v>253</v>
      </c>
      <c r="L58" s="4">
        <v>6</v>
      </c>
      <c r="M58" s="8">
        <v>4</v>
      </c>
      <c r="N58" s="4">
        <v>4</v>
      </c>
      <c r="O58" s="4">
        <v>4</v>
      </c>
      <c r="P58" s="4">
        <v>7</v>
      </c>
      <c r="Q58" s="4">
        <v>1.1425292918330761</v>
      </c>
      <c r="R58" s="4">
        <v>15</v>
      </c>
      <c r="U58" s="4" t="s">
        <v>253</v>
      </c>
      <c r="V58" s="4">
        <v>8</v>
      </c>
      <c r="W58" s="8">
        <v>6.1111111111111107</v>
      </c>
      <c r="X58" s="4">
        <v>7</v>
      </c>
      <c r="Y58" s="4">
        <v>3</v>
      </c>
      <c r="Z58" s="4">
        <v>7</v>
      </c>
      <c r="AA58" s="4">
        <v>1.1425292918330761</v>
      </c>
      <c r="AB58" s="4">
        <v>15</v>
      </c>
      <c r="AF58" s="4" t="s">
        <v>253</v>
      </c>
      <c r="AG58" s="4">
        <v>0</v>
      </c>
      <c r="AH58" s="8">
        <v>4.2222222222222223</v>
      </c>
      <c r="AI58" s="4">
        <v>0</v>
      </c>
      <c r="AJ58" s="4">
        <v>0</v>
      </c>
      <c r="AK58" s="4">
        <v>7</v>
      </c>
      <c r="AL58" s="4">
        <v>1.1425292918330761</v>
      </c>
      <c r="AM58" s="4">
        <v>15</v>
      </c>
      <c r="AP58" s="4" t="s">
        <v>253</v>
      </c>
      <c r="AQ58" s="4">
        <v>8</v>
      </c>
      <c r="AR58" s="8">
        <v>4.666666666666667</v>
      </c>
      <c r="AS58" s="8">
        <v>6</v>
      </c>
      <c r="AT58" s="4">
        <v>4</v>
      </c>
      <c r="AU58" s="4">
        <v>8</v>
      </c>
      <c r="AV58" s="4">
        <v>1.1425292918330761</v>
      </c>
      <c r="AW58" s="4">
        <v>15</v>
      </c>
      <c r="AZ58" s="4" t="s">
        <v>253</v>
      </c>
      <c r="BA58" s="4">
        <v>3</v>
      </c>
      <c r="BB58" s="8">
        <v>6.1111111111111107</v>
      </c>
      <c r="BC58" s="8">
        <v>4</v>
      </c>
      <c r="BD58" s="4">
        <v>2</v>
      </c>
      <c r="BE58" s="4">
        <v>7</v>
      </c>
      <c r="BF58" s="4">
        <v>1.1425292918330761</v>
      </c>
      <c r="BG58" s="4">
        <v>15</v>
      </c>
      <c r="BJ58" s="4" t="s">
        <v>253</v>
      </c>
      <c r="BK58" s="4">
        <v>10</v>
      </c>
      <c r="BL58" s="8">
        <v>4.666666666666667</v>
      </c>
      <c r="BM58" s="8">
        <v>10</v>
      </c>
      <c r="BN58" s="4">
        <v>10</v>
      </c>
      <c r="BO58" s="4">
        <v>7</v>
      </c>
      <c r="BP58" s="4">
        <v>1.1425292918330761</v>
      </c>
      <c r="BQ58" s="4">
        <v>15</v>
      </c>
      <c r="BT58" s="4" t="s">
        <v>253</v>
      </c>
      <c r="BU58" s="4">
        <v>7</v>
      </c>
      <c r="BV58" s="8">
        <v>5.5555555555555554</v>
      </c>
      <c r="BW58" s="8">
        <v>7</v>
      </c>
      <c r="BX58" s="4">
        <v>7</v>
      </c>
      <c r="BY58" s="4">
        <v>7</v>
      </c>
      <c r="BZ58" s="4">
        <v>1.1425292918330761</v>
      </c>
      <c r="CA58" s="4">
        <v>15</v>
      </c>
    </row>
    <row r="59" spans="1:79" ht="14.25" customHeight="1" x14ac:dyDescent="0.3">
      <c r="A59" s="4" t="s">
        <v>254</v>
      </c>
      <c r="B59" s="4">
        <v>2</v>
      </c>
      <c r="C59" s="8">
        <v>5.8888888888888893</v>
      </c>
      <c r="D59" s="4">
        <v>2</v>
      </c>
      <c r="E59" s="4">
        <v>2</v>
      </c>
      <c r="F59" s="4">
        <v>8</v>
      </c>
      <c r="G59" s="4">
        <v>0.80154659127182082</v>
      </c>
      <c r="H59" s="4">
        <v>19</v>
      </c>
      <c r="K59" s="4" t="s">
        <v>254</v>
      </c>
      <c r="L59" s="4">
        <v>8</v>
      </c>
      <c r="M59" s="8">
        <v>7.333333333333333</v>
      </c>
      <c r="N59" s="4">
        <v>6</v>
      </c>
      <c r="O59" s="4">
        <v>6</v>
      </c>
      <c r="P59" s="4">
        <v>8</v>
      </c>
      <c r="Q59" s="4">
        <v>0.80154659127182082</v>
      </c>
      <c r="R59" s="4">
        <v>19</v>
      </c>
      <c r="U59" s="4" t="s">
        <v>254</v>
      </c>
      <c r="V59" s="4">
        <v>2</v>
      </c>
      <c r="W59" s="8">
        <v>3.5555555555555554</v>
      </c>
      <c r="X59" s="4">
        <v>1</v>
      </c>
      <c r="Y59" s="4">
        <v>2</v>
      </c>
      <c r="Z59" s="4">
        <v>8</v>
      </c>
      <c r="AA59" s="4">
        <v>0.80154659127182082</v>
      </c>
      <c r="AB59" s="4">
        <v>19</v>
      </c>
      <c r="AF59" s="4" t="s">
        <v>254</v>
      </c>
      <c r="AG59" s="4">
        <v>2</v>
      </c>
      <c r="AH59" s="8">
        <v>3.3333333333333335</v>
      </c>
      <c r="AI59" s="4">
        <v>0</v>
      </c>
      <c r="AJ59" s="4">
        <v>0</v>
      </c>
      <c r="AK59" s="4">
        <v>8</v>
      </c>
      <c r="AL59" s="4">
        <v>0.80154659127182082</v>
      </c>
      <c r="AM59" s="4">
        <v>19</v>
      </c>
      <c r="AP59" s="4" t="s">
        <v>254</v>
      </c>
      <c r="AQ59" s="4">
        <v>11</v>
      </c>
      <c r="AR59" s="8">
        <v>5.2222222222222223</v>
      </c>
      <c r="AS59" s="8">
        <v>0</v>
      </c>
      <c r="AT59" s="4">
        <v>1</v>
      </c>
      <c r="AU59" s="4">
        <v>8</v>
      </c>
      <c r="AV59" s="4">
        <v>0.80154659127182082</v>
      </c>
      <c r="AW59" s="4">
        <v>19</v>
      </c>
      <c r="AZ59" s="4" t="s">
        <v>254</v>
      </c>
      <c r="BA59" s="4">
        <v>12</v>
      </c>
      <c r="BB59" s="8">
        <v>6.5555555555555554</v>
      </c>
      <c r="BC59" s="8">
        <v>2</v>
      </c>
      <c r="BD59" s="4">
        <v>2</v>
      </c>
      <c r="BE59" s="4">
        <v>12</v>
      </c>
      <c r="BF59" s="4">
        <v>0.80154659127182082</v>
      </c>
      <c r="BG59" s="4">
        <v>19</v>
      </c>
      <c r="BJ59" s="4" t="s">
        <v>254</v>
      </c>
      <c r="BK59" s="4">
        <v>7</v>
      </c>
      <c r="BL59" s="8">
        <v>6.1111111111111107</v>
      </c>
      <c r="BM59" s="8">
        <v>8</v>
      </c>
      <c r="BN59" s="4">
        <v>6</v>
      </c>
      <c r="BO59" s="4">
        <v>8</v>
      </c>
      <c r="BP59" s="4">
        <v>0.80154659127182082</v>
      </c>
      <c r="BQ59" s="4">
        <v>19</v>
      </c>
      <c r="BT59" s="4" t="s">
        <v>254</v>
      </c>
      <c r="BU59" s="4">
        <v>11</v>
      </c>
      <c r="BV59" s="8">
        <v>5.8888888888888893</v>
      </c>
      <c r="BW59" s="8">
        <v>10</v>
      </c>
      <c r="BX59" s="4">
        <v>10</v>
      </c>
      <c r="BY59" s="4">
        <v>11</v>
      </c>
      <c r="BZ59" s="4">
        <v>0.80154659127182082</v>
      </c>
      <c r="CA59" s="4">
        <v>19</v>
      </c>
    </row>
    <row r="60" spans="1:79" ht="14.25" customHeight="1" x14ac:dyDescent="0.3">
      <c r="A60" s="4" t="s">
        <v>255</v>
      </c>
      <c r="B60" s="4">
        <v>2</v>
      </c>
      <c r="C60" s="8">
        <v>2.4444444444444446</v>
      </c>
      <c r="D60" s="4">
        <v>2</v>
      </c>
      <c r="E60" s="4">
        <v>3</v>
      </c>
      <c r="F60" s="4">
        <v>6</v>
      </c>
      <c r="G60" s="4">
        <v>0.75176560751023358</v>
      </c>
      <c r="H60" s="4">
        <v>15</v>
      </c>
      <c r="K60" s="4" t="s">
        <v>255</v>
      </c>
      <c r="L60" s="4">
        <v>0</v>
      </c>
      <c r="M60" s="8">
        <v>4.4444444444444446</v>
      </c>
      <c r="N60" s="4">
        <v>0</v>
      </c>
      <c r="O60" s="4">
        <v>0</v>
      </c>
      <c r="P60" s="4">
        <v>6</v>
      </c>
      <c r="Q60" s="4">
        <v>0.75176560751023358</v>
      </c>
      <c r="R60" s="4">
        <v>15</v>
      </c>
      <c r="U60" s="4" t="s">
        <v>255</v>
      </c>
      <c r="V60" s="4">
        <v>0</v>
      </c>
      <c r="W60" s="8">
        <v>3.2222222222222223</v>
      </c>
      <c r="X60" s="4">
        <v>0</v>
      </c>
      <c r="Y60" s="4">
        <v>0</v>
      </c>
      <c r="Z60" s="4">
        <v>6</v>
      </c>
      <c r="AA60" s="4">
        <v>0.75176560751023358</v>
      </c>
      <c r="AB60" s="4">
        <v>15</v>
      </c>
      <c r="AF60" s="4" t="s">
        <v>255</v>
      </c>
      <c r="AG60" s="4">
        <v>2</v>
      </c>
      <c r="AH60" s="8">
        <v>2.8888888888888888</v>
      </c>
      <c r="AI60" s="4">
        <v>0</v>
      </c>
      <c r="AJ60" s="4">
        <v>1</v>
      </c>
      <c r="AK60" s="4">
        <v>6</v>
      </c>
      <c r="AL60" s="4">
        <v>0.75176560751023358</v>
      </c>
      <c r="AM60" s="4">
        <v>15</v>
      </c>
      <c r="AP60" s="4" t="s">
        <v>255</v>
      </c>
      <c r="AQ60" s="4">
        <v>1</v>
      </c>
      <c r="AR60" s="8">
        <v>2.6666666666666665</v>
      </c>
      <c r="AS60" s="8">
        <v>7</v>
      </c>
      <c r="AT60" s="4">
        <v>5</v>
      </c>
      <c r="AU60" s="4">
        <v>6</v>
      </c>
      <c r="AV60" s="4">
        <v>0.75176560751023358</v>
      </c>
      <c r="AW60" s="4">
        <v>15</v>
      </c>
      <c r="AZ60" s="4" t="s">
        <v>255</v>
      </c>
      <c r="BA60" s="4">
        <v>8</v>
      </c>
      <c r="BB60" s="8">
        <v>4.333333333333333</v>
      </c>
      <c r="BC60" s="8">
        <v>6</v>
      </c>
      <c r="BD60" s="4">
        <v>5</v>
      </c>
      <c r="BE60" s="4">
        <v>6</v>
      </c>
      <c r="BF60" s="4">
        <v>0.75176560751023358</v>
      </c>
      <c r="BG60" s="4">
        <v>15</v>
      </c>
      <c r="BJ60" s="4" t="s">
        <v>255</v>
      </c>
      <c r="BK60" s="4">
        <v>0</v>
      </c>
      <c r="BL60" s="8">
        <v>2.1111111111111112</v>
      </c>
      <c r="BM60" s="8">
        <v>1</v>
      </c>
      <c r="BN60" s="4">
        <v>0</v>
      </c>
      <c r="BO60" s="4">
        <v>6</v>
      </c>
      <c r="BP60" s="4">
        <v>0.75176560751023358</v>
      </c>
      <c r="BQ60" s="4">
        <v>15</v>
      </c>
      <c r="BT60" s="4" t="s">
        <v>255</v>
      </c>
      <c r="BU60" s="4">
        <v>2</v>
      </c>
      <c r="BV60" s="8">
        <v>2.4444444444444446</v>
      </c>
      <c r="BW60" s="8">
        <v>2</v>
      </c>
      <c r="BX60" s="4">
        <v>2</v>
      </c>
      <c r="BY60" s="4">
        <v>6</v>
      </c>
      <c r="BZ60" s="4">
        <v>0.75176560751023358</v>
      </c>
      <c r="CA60" s="4">
        <v>15</v>
      </c>
    </row>
    <row r="61" spans="1:79" ht="14.25" customHeight="1" x14ac:dyDescent="0.3">
      <c r="A61" s="4" t="s">
        <v>256</v>
      </c>
      <c r="B61" s="4">
        <v>5</v>
      </c>
      <c r="C61" s="8">
        <v>5.1111111111111107</v>
      </c>
      <c r="D61" s="4">
        <v>5</v>
      </c>
      <c r="E61" s="4">
        <v>5</v>
      </c>
      <c r="F61" s="4">
        <v>7</v>
      </c>
      <c r="G61" s="4">
        <v>0.70267762112263932</v>
      </c>
      <c r="H61" s="4">
        <v>17</v>
      </c>
      <c r="K61" s="4" t="s">
        <v>256</v>
      </c>
      <c r="L61" s="4">
        <v>5</v>
      </c>
      <c r="M61" s="8">
        <v>3.5555555555555554</v>
      </c>
      <c r="N61" s="4">
        <v>6</v>
      </c>
      <c r="O61" s="4">
        <v>4</v>
      </c>
      <c r="P61" s="4">
        <v>7</v>
      </c>
      <c r="Q61" s="4">
        <v>0.70267762112263932</v>
      </c>
      <c r="R61" s="4">
        <v>17</v>
      </c>
      <c r="U61" s="4" t="s">
        <v>256</v>
      </c>
      <c r="V61" s="4">
        <v>3</v>
      </c>
      <c r="W61" s="8">
        <v>4.7777777777777777</v>
      </c>
      <c r="X61" s="4">
        <v>2</v>
      </c>
      <c r="Y61" s="4">
        <v>2</v>
      </c>
      <c r="Z61" s="4">
        <v>7</v>
      </c>
      <c r="AA61" s="4">
        <v>0.70267762112263932</v>
      </c>
      <c r="AB61" s="4">
        <v>17</v>
      </c>
      <c r="AF61" s="4" t="s">
        <v>256</v>
      </c>
      <c r="AG61" s="4">
        <v>3</v>
      </c>
      <c r="AH61" s="8">
        <v>5.8888888888888893</v>
      </c>
      <c r="AI61" s="4">
        <v>1</v>
      </c>
      <c r="AJ61" s="4">
        <v>1</v>
      </c>
      <c r="AK61" s="4">
        <v>7</v>
      </c>
      <c r="AL61" s="4">
        <v>0.70267762112263932</v>
      </c>
      <c r="AM61" s="4">
        <v>17</v>
      </c>
      <c r="AP61" s="4" t="s">
        <v>256</v>
      </c>
      <c r="AQ61" s="4">
        <v>15</v>
      </c>
      <c r="AR61" s="8">
        <v>5</v>
      </c>
      <c r="AS61" s="8">
        <v>16</v>
      </c>
      <c r="AT61" s="4">
        <v>15</v>
      </c>
      <c r="AU61" s="4">
        <v>11</v>
      </c>
      <c r="AV61" s="4">
        <v>0.70267762112263932</v>
      </c>
      <c r="AW61" s="4">
        <v>17</v>
      </c>
      <c r="AZ61" s="4" t="s">
        <v>256</v>
      </c>
      <c r="BA61" s="4">
        <v>11</v>
      </c>
      <c r="BB61" s="8">
        <v>6.7777777777777777</v>
      </c>
      <c r="BC61" s="8">
        <v>15</v>
      </c>
      <c r="BD61" s="4">
        <v>14</v>
      </c>
      <c r="BE61" s="4">
        <v>11</v>
      </c>
      <c r="BF61" s="4">
        <v>0.70267762112263932</v>
      </c>
      <c r="BG61" s="4">
        <v>17</v>
      </c>
      <c r="BJ61" s="4" t="s">
        <v>256</v>
      </c>
      <c r="BK61" s="4">
        <v>7</v>
      </c>
      <c r="BL61" s="8">
        <v>4.666666666666667</v>
      </c>
      <c r="BM61" s="8">
        <v>8</v>
      </c>
      <c r="BN61" s="4">
        <v>5</v>
      </c>
      <c r="BO61" s="4">
        <v>7</v>
      </c>
      <c r="BP61" s="4">
        <v>0.70267762112263932</v>
      </c>
      <c r="BQ61" s="4">
        <v>17</v>
      </c>
      <c r="BT61" s="4" t="s">
        <v>256</v>
      </c>
      <c r="BU61" s="4">
        <v>9</v>
      </c>
      <c r="BV61" s="8">
        <v>5.1111111111111107</v>
      </c>
      <c r="BW61" s="8">
        <v>12</v>
      </c>
      <c r="BX61" s="4">
        <v>12</v>
      </c>
      <c r="BY61" s="4">
        <v>11</v>
      </c>
      <c r="BZ61" s="4">
        <v>0.70267762112263932</v>
      </c>
      <c r="CA61" s="4">
        <v>17</v>
      </c>
    </row>
    <row r="62" spans="1:79" ht="14.25" customHeight="1" x14ac:dyDescent="0.3">
      <c r="A62" s="4" t="s">
        <v>252</v>
      </c>
      <c r="B62" s="4">
        <v>9</v>
      </c>
      <c r="C62" s="8">
        <v>6.666666666666667</v>
      </c>
      <c r="D62" s="4">
        <v>9</v>
      </c>
      <c r="E62" s="4">
        <v>9</v>
      </c>
      <c r="F62" s="4">
        <v>9</v>
      </c>
      <c r="G62" s="4">
        <v>0.70256358269933272</v>
      </c>
      <c r="H62" s="4">
        <v>15</v>
      </c>
      <c r="K62" s="4" t="s">
        <v>252</v>
      </c>
      <c r="L62" s="4">
        <v>11</v>
      </c>
      <c r="M62" s="8">
        <v>6.5555555555555554</v>
      </c>
      <c r="N62" s="4">
        <v>12</v>
      </c>
      <c r="O62" s="4">
        <v>12</v>
      </c>
      <c r="P62" s="4">
        <v>6</v>
      </c>
      <c r="Q62" s="4">
        <v>0.70256358269933272</v>
      </c>
      <c r="R62" s="4">
        <v>15</v>
      </c>
      <c r="U62" s="4" t="s">
        <v>252</v>
      </c>
      <c r="V62" s="4">
        <v>6</v>
      </c>
      <c r="W62" s="8">
        <v>6.7777777777777777</v>
      </c>
      <c r="X62" s="4">
        <v>4</v>
      </c>
      <c r="Y62" s="4">
        <v>3</v>
      </c>
      <c r="Z62" s="4">
        <v>6</v>
      </c>
      <c r="AA62" s="4">
        <v>0.70256358269933272</v>
      </c>
      <c r="AB62" s="4">
        <v>15</v>
      </c>
      <c r="AF62" s="4" t="s">
        <v>252</v>
      </c>
      <c r="AG62" s="4">
        <v>2</v>
      </c>
      <c r="AH62" s="8">
        <v>4.2222222222222223</v>
      </c>
      <c r="AI62" s="4">
        <v>2</v>
      </c>
      <c r="AJ62" s="4">
        <v>2</v>
      </c>
      <c r="AK62" s="4">
        <v>6</v>
      </c>
      <c r="AL62" s="4">
        <v>0.70256358269933272</v>
      </c>
      <c r="AM62" s="4">
        <v>15</v>
      </c>
      <c r="AP62" s="4" t="s">
        <v>252</v>
      </c>
      <c r="AQ62" s="4">
        <v>11</v>
      </c>
      <c r="AR62" s="8">
        <v>6.2222222222222223</v>
      </c>
      <c r="AS62" s="8">
        <v>7</v>
      </c>
      <c r="AT62" s="4">
        <v>7</v>
      </c>
      <c r="AU62" s="4">
        <v>10</v>
      </c>
      <c r="AV62" s="4">
        <v>0.70256358269933272</v>
      </c>
      <c r="AW62" s="4">
        <v>15</v>
      </c>
      <c r="AZ62" s="4" t="s">
        <v>252</v>
      </c>
      <c r="BA62" s="4">
        <v>9</v>
      </c>
      <c r="BB62" s="8">
        <v>8.1111111111111107</v>
      </c>
      <c r="BC62" s="8">
        <v>8</v>
      </c>
      <c r="BD62" s="4">
        <v>7</v>
      </c>
      <c r="BE62" s="4">
        <v>9</v>
      </c>
      <c r="BF62" s="4">
        <v>0.70256358269933272</v>
      </c>
      <c r="BG62" s="4">
        <v>15</v>
      </c>
      <c r="BJ62" s="4" t="s">
        <v>252</v>
      </c>
      <c r="BK62" s="4">
        <v>11</v>
      </c>
      <c r="BL62" s="8">
        <v>5.5555555555555554</v>
      </c>
      <c r="BM62" s="8">
        <v>11</v>
      </c>
      <c r="BN62" s="4">
        <v>12</v>
      </c>
      <c r="BO62" s="4">
        <v>6</v>
      </c>
      <c r="BP62" s="4">
        <v>0.70256358269933272</v>
      </c>
      <c r="BQ62" s="4">
        <v>15</v>
      </c>
      <c r="BT62" s="4" t="s">
        <v>252</v>
      </c>
      <c r="BU62" s="4">
        <v>9</v>
      </c>
      <c r="BV62" s="8">
        <v>6.666666666666667</v>
      </c>
      <c r="BW62" s="8">
        <v>10</v>
      </c>
      <c r="BX62" s="4">
        <v>10</v>
      </c>
      <c r="BY62" s="4">
        <v>6</v>
      </c>
      <c r="BZ62" s="4">
        <v>0.70256358269933272</v>
      </c>
      <c r="CA62" s="4">
        <v>15</v>
      </c>
    </row>
    <row r="63" spans="1:79" ht="14.25" customHeight="1" x14ac:dyDescent="0.3">
      <c r="A63" s="4" t="s">
        <v>250</v>
      </c>
      <c r="B63" s="4">
        <v>7</v>
      </c>
      <c r="C63" s="8">
        <v>5.333333333333333</v>
      </c>
      <c r="D63" s="4">
        <v>7</v>
      </c>
      <c r="E63" s="4">
        <v>8</v>
      </c>
      <c r="F63" s="4">
        <v>6</v>
      </c>
      <c r="G63" s="4">
        <v>0.67691586229508371</v>
      </c>
      <c r="H63" s="4">
        <v>15</v>
      </c>
      <c r="K63" s="4" t="s">
        <v>250</v>
      </c>
      <c r="L63" s="4">
        <v>14</v>
      </c>
      <c r="M63" s="8">
        <v>5.4444444444444446</v>
      </c>
      <c r="N63" s="4">
        <v>15</v>
      </c>
      <c r="O63" s="4">
        <v>15</v>
      </c>
      <c r="P63" s="4">
        <v>6</v>
      </c>
      <c r="Q63" s="4">
        <v>0.67691586229508371</v>
      </c>
      <c r="R63" s="4">
        <v>15</v>
      </c>
      <c r="U63" s="4" t="s">
        <v>250</v>
      </c>
      <c r="V63" s="4">
        <v>11</v>
      </c>
      <c r="W63" s="8">
        <v>3.8888888888888888</v>
      </c>
      <c r="X63" s="4">
        <v>10</v>
      </c>
      <c r="Y63" s="4">
        <v>10</v>
      </c>
      <c r="Z63" s="4">
        <v>7</v>
      </c>
      <c r="AA63" s="4">
        <v>0.67691586229508371</v>
      </c>
      <c r="AB63" s="4">
        <v>15</v>
      </c>
      <c r="AF63" s="4" t="s">
        <v>250</v>
      </c>
      <c r="AG63" s="4">
        <v>2</v>
      </c>
      <c r="AH63" s="8">
        <v>6.8888888888888893</v>
      </c>
      <c r="AI63" s="4">
        <v>0</v>
      </c>
      <c r="AJ63" s="4">
        <v>0</v>
      </c>
      <c r="AK63" s="4">
        <v>6</v>
      </c>
      <c r="AL63" s="4">
        <v>0.67691586229508371</v>
      </c>
      <c r="AM63" s="4">
        <v>15</v>
      </c>
      <c r="AP63" s="4" t="s">
        <v>250</v>
      </c>
      <c r="AQ63" s="4">
        <v>4</v>
      </c>
      <c r="AR63" s="8">
        <v>1.5555555555555556</v>
      </c>
      <c r="AS63" s="8">
        <v>2</v>
      </c>
      <c r="AT63" s="4">
        <v>2</v>
      </c>
      <c r="AU63" s="4">
        <v>8</v>
      </c>
      <c r="AV63" s="4">
        <v>0.67691586229508371</v>
      </c>
      <c r="AW63" s="4">
        <v>15</v>
      </c>
      <c r="AZ63" s="4" t="s">
        <v>250</v>
      </c>
      <c r="BA63" s="4">
        <v>2</v>
      </c>
      <c r="BB63" s="8">
        <v>3.1111111111111112</v>
      </c>
      <c r="BC63" s="8">
        <v>1</v>
      </c>
      <c r="BD63" s="4">
        <v>1</v>
      </c>
      <c r="BE63" s="4">
        <v>6</v>
      </c>
      <c r="BF63" s="4">
        <v>0.67691586229508371</v>
      </c>
      <c r="BG63" s="4">
        <v>15</v>
      </c>
      <c r="BJ63" s="4" t="s">
        <v>250</v>
      </c>
      <c r="BK63" s="4">
        <v>1</v>
      </c>
      <c r="BL63" s="8">
        <v>5.1111111111111107</v>
      </c>
      <c r="BM63" s="8">
        <v>0</v>
      </c>
      <c r="BN63" s="4">
        <v>0</v>
      </c>
      <c r="BO63" s="4">
        <v>6</v>
      </c>
      <c r="BP63" s="4">
        <v>0.67691586229508371</v>
      </c>
      <c r="BQ63" s="4">
        <v>15</v>
      </c>
      <c r="BT63" s="4" t="s">
        <v>250</v>
      </c>
      <c r="BU63" s="4">
        <v>6</v>
      </c>
      <c r="BV63" s="8">
        <v>5.333333333333333</v>
      </c>
      <c r="BW63" s="8">
        <v>6</v>
      </c>
      <c r="BX63" s="4">
        <v>7</v>
      </c>
      <c r="BY63" s="4">
        <v>6</v>
      </c>
      <c r="BZ63" s="4">
        <v>0.67691586229508371</v>
      </c>
      <c r="CA63" s="4">
        <v>15</v>
      </c>
    </row>
    <row r="64" spans="1:79" ht="14.25" customHeight="1" x14ac:dyDescent="0.3">
      <c r="A64" s="4" t="s">
        <v>251</v>
      </c>
      <c r="B64" s="4">
        <v>4</v>
      </c>
      <c r="C64" s="8">
        <v>4.2222222222222223</v>
      </c>
      <c r="D64" s="4">
        <v>5</v>
      </c>
      <c r="E64" s="4">
        <v>5</v>
      </c>
      <c r="F64" s="4">
        <v>6</v>
      </c>
      <c r="G64" s="4">
        <v>0.655473679459604</v>
      </c>
      <c r="H64" s="4">
        <v>15</v>
      </c>
      <c r="K64" s="4" t="s">
        <v>251</v>
      </c>
      <c r="L64" s="4">
        <v>5</v>
      </c>
      <c r="M64" s="8">
        <v>4.666666666666667</v>
      </c>
      <c r="N64" s="4">
        <v>5</v>
      </c>
      <c r="O64" s="4">
        <v>5</v>
      </c>
      <c r="P64" s="4">
        <v>6</v>
      </c>
      <c r="Q64" s="4">
        <v>0.655473679459604</v>
      </c>
      <c r="R64" s="4">
        <v>15</v>
      </c>
      <c r="U64" s="4" t="s">
        <v>251</v>
      </c>
      <c r="V64" s="4">
        <v>10</v>
      </c>
      <c r="W64" s="8">
        <v>10</v>
      </c>
      <c r="X64" s="4">
        <v>8</v>
      </c>
      <c r="Y64" s="4">
        <v>8</v>
      </c>
      <c r="Z64" s="4">
        <v>6</v>
      </c>
      <c r="AA64" s="4">
        <v>0.655473679459604</v>
      </c>
      <c r="AB64" s="4">
        <v>15</v>
      </c>
      <c r="AF64" s="4" t="s">
        <v>251</v>
      </c>
      <c r="AG64" s="4">
        <v>9</v>
      </c>
      <c r="AH64" s="8">
        <v>6.2222222222222223</v>
      </c>
      <c r="AI64" s="4">
        <v>5</v>
      </c>
      <c r="AJ64" s="4">
        <v>4</v>
      </c>
      <c r="AK64" s="4">
        <v>6</v>
      </c>
      <c r="AL64" s="4">
        <v>0.655473679459604</v>
      </c>
      <c r="AM64" s="4">
        <v>15</v>
      </c>
      <c r="AP64" s="4" t="s">
        <v>251</v>
      </c>
      <c r="AQ64" s="4">
        <v>5</v>
      </c>
      <c r="AR64" s="8">
        <v>8.3333333333333339</v>
      </c>
      <c r="AS64" s="8">
        <v>1</v>
      </c>
      <c r="AT64" s="4">
        <v>0</v>
      </c>
      <c r="AU64" s="4">
        <v>6</v>
      </c>
      <c r="AV64" s="4">
        <v>0.655473679459604</v>
      </c>
      <c r="AW64" s="4">
        <v>15</v>
      </c>
      <c r="AZ64" s="4" t="s">
        <v>251</v>
      </c>
      <c r="BA64" s="4">
        <v>14</v>
      </c>
      <c r="BB64" s="8">
        <v>9.2222222222222214</v>
      </c>
      <c r="BC64" s="8">
        <v>11</v>
      </c>
      <c r="BD64" s="4">
        <v>12</v>
      </c>
      <c r="BE64" s="4">
        <v>10</v>
      </c>
      <c r="BF64" s="4">
        <v>0.655473679459604</v>
      </c>
      <c r="BG64" s="4">
        <v>15</v>
      </c>
      <c r="BJ64" s="4" t="s">
        <v>251</v>
      </c>
      <c r="BK64" s="4">
        <v>1</v>
      </c>
      <c r="BL64" s="8">
        <v>3.3333333333333335</v>
      </c>
      <c r="BM64" s="8">
        <v>0</v>
      </c>
      <c r="BN64" s="4">
        <v>0</v>
      </c>
      <c r="BO64" s="4">
        <v>10</v>
      </c>
      <c r="BP64" s="4">
        <v>0.655473679459604</v>
      </c>
      <c r="BQ64" s="4">
        <v>15</v>
      </c>
      <c r="BT64" s="4" t="s">
        <v>251</v>
      </c>
      <c r="BU64" s="4">
        <v>0</v>
      </c>
      <c r="BV64" s="8">
        <v>4.2222222222222223</v>
      </c>
      <c r="BW64" s="8">
        <v>1</v>
      </c>
      <c r="BX64" s="4">
        <v>1</v>
      </c>
      <c r="BY64" s="4">
        <v>6</v>
      </c>
      <c r="BZ64" s="4">
        <v>0.655473679459604</v>
      </c>
      <c r="CA64" s="4">
        <v>15</v>
      </c>
    </row>
    <row r="65" spans="1:79" ht="14.25" customHeight="1" x14ac:dyDescent="0.3">
      <c r="A65" s="4" t="s">
        <v>248</v>
      </c>
      <c r="B65" s="4">
        <v>8</v>
      </c>
      <c r="C65" s="8">
        <v>4.4444444444444446</v>
      </c>
      <c r="D65" s="4">
        <v>7</v>
      </c>
      <c r="E65" s="4">
        <v>7</v>
      </c>
      <c r="F65" s="4">
        <v>5</v>
      </c>
      <c r="G65" s="4">
        <v>0.62268266964537045</v>
      </c>
      <c r="H65" s="4">
        <v>15</v>
      </c>
      <c r="K65" s="4" t="s">
        <v>248</v>
      </c>
      <c r="L65" s="4">
        <v>2</v>
      </c>
      <c r="M65" s="8">
        <v>5.2222222222222223</v>
      </c>
      <c r="N65" s="4">
        <v>2</v>
      </c>
      <c r="O65" s="4">
        <v>3</v>
      </c>
      <c r="P65" s="4">
        <v>5</v>
      </c>
      <c r="Q65" s="4">
        <v>0.62268266964537045</v>
      </c>
      <c r="R65" s="4">
        <v>15</v>
      </c>
      <c r="U65" s="4" t="s">
        <v>248</v>
      </c>
      <c r="V65" s="4">
        <v>0</v>
      </c>
      <c r="W65" s="8">
        <v>3.6666666666666665</v>
      </c>
      <c r="X65" s="4">
        <v>0</v>
      </c>
      <c r="Y65" s="4">
        <v>0</v>
      </c>
      <c r="Z65" s="4">
        <v>5</v>
      </c>
      <c r="AA65" s="4">
        <v>0.62268266964537045</v>
      </c>
      <c r="AB65" s="4">
        <v>15</v>
      </c>
      <c r="AF65" s="4" t="s">
        <v>248</v>
      </c>
      <c r="AG65" s="4">
        <v>6</v>
      </c>
      <c r="AH65" s="8">
        <v>6.4444444444444446</v>
      </c>
      <c r="AI65" s="4">
        <v>4</v>
      </c>
      <c r="AJ65" s="4">
        <v>2</v>
      </c>
      <c r="AK65" s="4">
        <v>5</v>
      </c>
      <c r="AL65" s="4">
        <v>0.62268266964537045</v>
      </c>
      <c r="AM65" s="4">
        <v>15</v>
      </c>
      <c r="AP65" s="4" t="s">
        <v>248</v>
      </c>
      <c r="AQ65" s="4">
        <v>1</v>
      </c>
      <c r="AR65" s="8">
        <v>3.4444444444444446</v>
      </c>
      <c r="AS65" s="8">
        <v>2</v>
      </c>
      <c r="AT65" s="4">
        <v>10</v>
      </c>
      <c r="AU65" s="4">
        <v>5</v>
      </c>
      <c r="AV65" s="4">
        <v>0.62268266964537045</v>
      </c>
      <c r="AW65" s="4">
        <v>15</v>
      </c>
      <c r="AZ65" s="4" t="s">
        <v>248</v>
      </c>
      <c r="BA65" s="4">
        <v>6</v>
      </c>
      <c r="BB65" s="8">
        <v>4.4444444444444446</v>
      </c>
      <c r="BC65" s="8">
        <v>6</v>
      </c>
      <c r="BD65" s="4">
        <v>7</v>
      </c>
      <c r="BE65" s="4">
        <v>5</v>
      </c>
      <c r="BF65" s="4">
        <v>0.62268266964537045</v>
      </c>
      <c r="BG65" s="4">
        <v>15</v>
      </c>
      <c r="BJ65" s="4" t="s">
        <v>248</v>
      </c>
      <c r="BK65" s="4">
        <v>1</v>
      </c>
      <c r="BL65" s="8">
        <v>2.5555555555555554</v>
      </c>
      <c r="BM65" s="8">
        <v>1</v>
      </c>
      <c r="BN65" s="4">
        <v>1</v>
      </c>
      <c r="BO65" s="4">
        <v>5</v>
      </c>
      <c r="BP65" s="4">
        <v>0.62268266964537045</v>
      </c>
      <c r="BQ65" s="4">
        <v>15</v>
      </c>
      <c r="BT65" s="4" t="s">
        <v>248</v>
      </c>
      <c r="BU65" s="4">
        <v>8</v>
      </c>
      <c r="BV65" s="8">
        <v>4.4444444444444446</v>
      </c>
      <c r="BW65" s="8">
        <v>6</v>
      </c>
      <c r="BX65" s="4">
        <v>6</v>
      </c>
      <c r="BY65" s="4">
        <v>5</v>
      </c>
      <c r="BZ65" s="4">
        <v>0.62268266964537045</v>
      </c>
      <c r="CA65" s="4">
        <v>15</v>
      </c>
    </row>
    <row r="66" spans="1:79" ht="14.25" customHeight="1" x14ac:dyDescent="0.3">
      <c r="A66" s="4" t="s">
        <v>247</v>
      </c>
      <c r="B66" s="4">
        <v>2</v>
      </c>
      <c r="C66" s="8">
        <v>3.4444444444444446</v>
      </c>
      <c r="D66" s="4">
        <v>2</v>
      </c>
      <c r="E66" s="4">
        <v>2</v>
      </c>
      <c r="F66" s="4">
        <v>6</v>
      </c>
      <c r="G66" s="4">
        <v>0.53747605471157822</v>
      </c>
      <c r="H66" s="4">
        <v>15</v>
      </c>
      <c r="K66" s="4" t="s">
        <v>247</v>
      </c>
      <c r="L66" s="4">
        <v>5</v>
      </c>
      <c r="M66" s="8">
        <v>5.5555555555555554</v>
      </c>
      <c r="N66" s="4">
        <v>4</v>
      </c>
      <c r="O66" s="4">
        <v>4</v>
      </c>
      <c r="P66" s="4">
        <v>6</v>
      </c>
      <c r="Q66" s="4">
        <v>0.53747605471157822</v>
      </c>
      <c r="R66" s="4">
        <v>15</v>
      </c>
      <c r="U66" s="4" t="s">
        <v>247</v>
      </c>
      <c r="V66" s="4">
        <v>2</v>
      </c>
      <c r="W66" s="8">
        <v>4.5555555555555554</v>
      </c>
      <c r="X66" s="4">
        <v>0</v>
      </c>
      <c r="Y66" s="4">
        <v>0</v>
      </c>
      <c r="Z66" s="4">
        <v>6</v>
      </c>
      <c r="AA66" s="4">
        <v>0.53747605471157822</v>
      </c>
      <c r="AB66" s="4">
        <v>15</v>
      </c>
      <c r="AF66" s="4" t="s">
        <v>247</v>
      </c>
      <c r="AG66" s="4">
        <v>5</v>
      </c>
      <c r="AH66" s="8">
        <v>5.333333333333333</v>
      </c>
      <c r="AI66" s="4">
        <v>0</v>
      </c>
      <c r="AJ66" s="4">
        <v>0</v>
      </c>
      <c r="AK66" s="4">
        <v>6</v>
      </c>
      <c r="AL66" s="4">
        <v>0.53747605471157822</v>
      </c>
      <c r="AM66" s="4">
        <v>15</v>
      </c>
      <c r="AP66" s="4" t="s">
        <v>247</v>
      </c>
      <c r="AQ66" s="4">
        <v>8</v>
      </c>
      <c r="AR66" s="8">
        <v>5.333333333333333</v>
      </c>
      <c r="AS66" s="8">
        <v>3</v>
      </c>
      <c r="AT66" s="4">
        <v>0</v>
      </c>
      <c r="AU66" s="4">
        <v>8</v>
      </c>
      <c r="AV66" s="4">
        <v>0.53747605471157822</v>
      </c>
      <c r="AW66" s="4">
        <v>15</v>
      </c>
      <c r="AZ66" s="4" t="s">
        <v>247</v>
      </c>
      <c r="BA66" s="4">
        <v>11</v>
      </c>
      <c r="BB66" s="8">
        <v>6.4444444444444446</v>
      </c>
      <c r="BC66" s="8">
        <v>2</v>
      </c>
      <c r="BD66" s="4">
        <v>0</v>
      </c>
      <c r="BE66" s="4">
        <v>6</v>
      </c>
      <c r="BF66" s="4">
        <v>0.53747605471157822</v>
      </c>
      <c r="BG66" s="4">
        <v>15</v>
      </c>
      <c r="BJ66" s="4" t="s">
        <v>247</v>
      </c>
      <c r="BK66" s="4">
        <v>5</v>
      </c>
      <c r="BL66" s="8">
        <v>5.4444444444444446</v>
      </c>
      <c r="BM66" s="8">
        <v>7</v>
      </c>
      <c r="BN66" s="4">
        <v>6</v>
      </c>
      <c r="BO66" s="4">
        <v>6</v>
      </c>
      <c r="BP66" s="4">
        <v>0.53747605471157822</v>
      </c>
      <c r="BQ66" s="4">
        <v>15</v>
      </c>
      <c r="BT66" s="4" t="s">
        <v>247</v>
      </c>
      <c r="BU66" s="4">
        <v>5</v>
      </c>
      <c r="BV66" s="8">
        <v>3.4444444444444446</v>
      </c>
      <c r="BW66" s="8">
        <v>2</v>
      </c>
      <c r="BX66" s="4">
        <v>3</v>
      </c>
      <c r="BY66" s="4">
        <v>6</v>
      </c>
      <c r="BZ66" s="4">
        <v>0.53747605471157822</v>
      </c>
      <c r="CA66" s="4">
        <v>15</v>
      </c>
    </row>
    <row r="67" spans="1:79" ht="14.25" customHeight="1" x14ac:dyDescent="0.3">
      <c r="A67" s="4" t="s">
        <v>249</v>
      </c>
      <c r="B67" s="4">
        <v>9</v>
      </c>
      <c r="C67" s="8">
        <v>5.5555555555555554</v>
      </c>
      <c r="D67" s="4">
        <v>10</v>
      </c>
      <c r="E67" s="4">
        <v>10</v>
      </c>
      <c r="F67" s="4">
        <v>8</v>
      </c>
      <c r="G67" s="4">
        <v>0.52426836588405112</v>
      </c>
      <c r="H67" s="4">
        <v>19</v>
      </c>
      <c r="K67" s="4" t="s">
        <v>249</v>
      </c>
      <c r="L67" s="4">
        <v>9</v>
      </c>
      <c r="M67" s="8">
        <v>5.4444444444444446</v>
      </c>
      <c r="N67" s="4">
        <v>9</v>
      </c>
      <c r="O67" s="4">
        <v>9</v>
      </c>
      <c r="P67" s="4">
        <v>8</v>
      </c>
      <c r="Q67" s="4">
        <v>0.52426836588405112</v>
      </c>
      <c r="R67" s="4">
        <v>19</v>
      </c>
      <c r="U67" s="4" t="s">
        <v>249</v>
      </c>
      <c r="V67" s="4">
        <v>6</v>
      </c>
      <c r="W67" s="8">
        <v>5.333333333333333</v>
      </c>
      <c r="X67" s="4">
        <v>4</v>
      </c>
      <c r="Y67" s="4">
        <v>5</v>
      </c>
      <c r="Z67" s="4">
        <v>8</v>
      </c>
      <c r="AA67" s="4">
        <v>0.52426836588405112</v>
      </c>
      <c r="AB67" s="4">
        <v>19</v>
      </c>
      <c r="AF67" s="4" t="s">
        <v>249</v>
      </c>
      <c r="AG67" s="4">
        <v>1</v>
      </c>
      <c r="AH67" s="8">
        <v>8.1111111111111107</v>
      </c>
      <c r="AI67" s="4">
        <v>1</v>
      </c>
      <c r="AJ67" s="4">
        <v>1</v>
      </c>
      <c r="AK67" s="4">
        <v>12</v>
      </c>
      <c r="AL67" s="4">
        <v>0.52426836588405112</v>
      </c>
      <c r="AM67" s="4">
        <v>19</v>
      </c>
      <c r="AP67" s="4" t="s">
        <v>249</v>
      </c>
      <c r="AQ67" s="4">
        <v>14</v>
      </c>
      <c r="AR67" s="8">
        <v>7</v>
      </c>
      <c r="AS67" s="8">
        <v>15</v>
      </c>
      <c r="AT67" s="4">
        <v>14</v>
      </c>
      <c r="AU67" s="4">
        <v>8</v>
      </c>
      <c r="AV67" s="4">
        <v>0.52426836588405112</v>
      </c>
      <c r="AW67" s="4">
        <v>19</v>
      </c>
      <c r="AZ67" s="4" t="s">
        <v>249</v>
      </c>
      <c r="BA67" s="4">
        <v>4</v>
      </c>
      <c r="BB67" s="8">
        <v>5.5555555555555554</v>
      </c>
      <c r="BC67" s="8">
        <v>3</v>
      </c>
      <c r="BD67" s="4">
        <v>3</v>
      </c>
      <c r="BE67" s="4">
        <v>8</v>
      </c>
      <c r="BF67" s="4">
        <v>0.52426836588405112</v>
      </c>
      <c r="BG67" s="4">
        <v>19</v>
      </c>
      <c r="BJ67" s="4" t="s">
        <v>249</v>
      </c>
      <c r="BK67" s="4">
        <v>5</v>
      </c>
      <c r="BL67" s="8">
        <v>7.5555555555555554</v>
      </c>
      <c r="BM67" s="8">
        <v>6</v>
      </c>
      <c r="BN67" s="4">
        <v>6</v>
      </c>
      <c r="BO67" s="4">
        <v>9</v>
      </c>
      <c r="BP67" s="4">
        <v>0.52426836588405112</v>
      </c>
      <c r="BQ67" s="4">
        <v>19</v>
      </c>
      <c r="BT67" s="4" t="s">
        <v>249</v>
      </c>
      <c r="BU67" s="4">
        <v>4</v>
      </c>
      <c r="BV67" s="8">
        <v>5.5555555555555554</v>
      </c>
      <c r="BW67" s="8">
        <v>5</v>
      </c>
      <c r="BX67" s="4">
        <v>5</v>
      </c>
      <c r="BY67" s="4">
        <v>8</v>
      </c>
      <c r="BZ67" s="4">
        <v>0.52426836588405112</v>
      </c>
      <c r="CA67" s="4">
        <v>19</v>
      </c>
    </row>
    <row r="68" spans="1:79" ht="14.25" customHeight="1" x14ac:dyDescent="0.3">
      <c r="A68" s="4" t="s">
        <v>257</v>
      </c>
      <c r="B68" s="4">
        <v>11</v>
      </c>
      <c r="C68" s="8">
        <v>11.333333333333334</v>
      </c>
      <c r="D68" s="4">
        <v>10</v>
      </c>
      <c r="E68" s="4">
        <v>10</v>
      </c>
      <c r="F68" s="4">
        <v>11</v>
      </c>
      <c r="G68" s="4">
        <v>-0.85169148296274</v>
      </c>
      <c r="H68" s="4">
        <v>17</v>
      </c>
      <c r="K68" s="4" t="s">
        <v>257</v>
      </c>
      <c r="L68" s="4">
        <v>11</v>
      </c>
      <c r="M68" s="8">
        <v>11</v>
      </c>
      <c r="N68" s="4">
        <v>11</v>
      </c>
      <c r="O68" s="4">
        <v>10</v>
      </c>
      <c r="P68" s="4">
        <v>11</v>
      </c>
      <c r="Q68" s="4">
        <v>-0.85169148296274</v>
      </c>
      <c r="R68" s="4">
        <v>17</v>
      </c>
      <c r="U68" s="4" t="s">
        <v>257</v>
      </c>
      <c r="V68" s="4">
        <v>13</v>
      </c>
      <c r="W68" s="8">
        <v>11.222222222222221</v>
      </c>
      <c r="X68" s="4">
        <v>11</v>
      </c>
      <c r="Y68" s="4">
        <v>13</v>
      </c>
      <c r="Z68" s="4">
        <v>13</v>
      </c>
      <c r="AA68" s="4">
        <v>-0.85169148296274</v>
      </c>
      <c r="AB68" s="4">
        <v>17</v>
      </c>
      <c r="AF68" s="4" t="s">
        <v>257</v>
      </c>
      <c r="AG68" s="4">
        <v>0</v>
      </c>
      <c r="AH68" s="8">
        <v>10.333333333333334</v>
      </c>
      <c r="AI68" s="4">
        <v>0</v>
      </c>
      <c r="AJ68" s="4">
        <v>2</v>
      </c>
      <c r="AK68" s="4">
        <v>3</v>
      </c>
      <c r="AL68" s="4">
        <v>-0.85169148296274</v>
      </c>
      <c r="AM68" s="4">
        <v>17</v>
      </c>
      <c r="AP68" s="4" t="s">
        <v>257</v>
      </c>
      <c r="AQ68" s="4">
        <v>16</v>
      </c>
      <c r="AR68" s="8">
        <v>13.555555555555555</v>
      </c>
      <c r="AS68" s="8">
        <v>17</v>
      </c>
      <c r="AT68" s="4">
        <v>16</v>
      </c>
      <c r="AU68" s="4">
        <v>14</v>
      </c>
      <c r="AV68" s="4">
        <v>-0.85169148296274</v>
      </c>
      <c r="AW68" s="4">
        <v>17</v>
      </c>
      <c r="AZ68" s="4" t="s">
        <v>257</v>
      </c>
      <c r="BA68" s="4">
        <v>6</v>
      </c>
      <c r="BB68" s="8">
        <v>9.8888888888888893</v>
      </c>
      <c r="BC68" s="8">
        <v>4</v>
      </c>
      <c r="BD68" s="4">
        <v>1</v>
      </c>
      <c r="BE68" s="4">
        <v>6</v>
      </c>
      <c r="BF68" s="4">
        <v>-0.85169148296274</v>
      </c>
      <c r="BG68" s="4">
        <v>17</v>
      </c>
      <c r="BJ68" s="4" t="s">
        <v>257</v>
      </c>
      <c r="BK68" s="4">
        <v>6</v>
      </c>
      <c r="BL68" s="8">
        <v>10.555555555555555</v>
      </c>
      <c r="BM68" s="8">
        <v>6</v>
      </c>
      <c r="BN68" s="4">
        <v>8</v>
      </c>
      <c r="BO68" s="4">
        <v>14</v>
      </c>
      <c r="BP68" s="4">
        <v>-0.85169148296274</v>
      </c>
      <c r="BQ68" s="4">
        <v>17</v>
      </c>
      <c r="BT68" s="4" t="s">
        <v>257</v>
      </c>
      <c r="BU68" s="4">
        <v>8</v>
      </c>
      <c r="BV68" s="8">
        <v>11.333333333333334</v>
      </c>
      <c r="BW68" s="8">
        <v>9</v>
      </c>
      <c r="BX68" s="4">
        <v>9</v>
      </c>
      <c r="BY68" s="4">
        <v>14</v>
      </c>
      <c r="BZ68" s="4">
        <v>-0.85169148296274</v>
      </c>
      <c r="CA68" s="4">
        <v>17</v>
      </c>
    </row>
    <row r="69" spans="1:79" ht="14.25" customHeight="1" x14ac:dyDescent="0.3">
      <c r="A69" s="4" t="s">
        <v>266</v>
      </c>
      <c r="B69" s="4">
        <v>9</v>
      </c>
      <c r="C69" s="8">
        <v>11</v>
      </c>
      <c r="D69" s="4">
        <v>10</v>
      </c>
      <c r="E69" s="4">
        <v>10</v>
      </c>
      <c r="F69" s="4">
        <v>9</v>
      </c>
      <c r="G69" s="4">
        <v>-0.88310324035056598</v>
      </c>
      <c r="H69" s="4">
        <v>15</v>
      </c>
      <c r="K69" s="4" t="s">
        <v>266</v>
      </c>
      <c r="L69" s="4">
        <v>13</v>
      </c>
      <c r="M69" s="8">
        <v>11.444444444444445</v>
      </c>
      <c r="N69" s="4">
        <v>13</v>
      </c>
      <c r="O69" s="4">
        <v>13</v>
      </c>
      <c r="P69" s="4">
        <v>13</v>
      </c>
      <c r="Q69" s="4">
        <v>-0.88310324035056598</v>
      </c>
      <c r="R69" s="4">
        <v>15</v>
      </c>
      <c r="U69" s="4" t="s">
        <v>266</v>
      </c>
      <c r="V69" s="4">
        <v>6</v>
      </c>
      <c r="W69" s="8">
        <v>11.333333333333334</v>
      </c>
      <c r="X69" s="4">
        <v>11</v>
      </c>
      <c r="Y69" s="4">
        <v>11</v>
      </c>
      <c r="Z69" s="4">
        <v>13</v>
      </c>
      <c r="AA69" s="4">
        <v>-0.88310324035056598</v>
      </c>
      <c r="AB69" s="4">
        <v>15</v>
      </c>
      <c r="AF69" s="4" t="s">
        <v>266</v>
      </c>
      <c r="AG69" s="4">
        <v>5</v>
      </c>
      <c r="AH69" s="8">
        <v>9.2222222222222214</v>
      </c>
      <c r="AI69" s="4">
        <v>10</v>
      </c>
      <c r="AJ69" s="4">
        <v>11</v>
      </c>
      <c r="AK69" s="4">
        <v>5</v>
      </c>
      <c r="AL69" s="4">
        <v>-0.88310324035056598</v>
      </c>
      <c r="AM69" s="4">
        <v>15</v>
      </c>
      <c r="AP69" s="4" t="s">
        <v>266</v>
      </c>
      <c r="AQ69" s="4">
        <v>6</v>
      </c>
      <c r="AR69" s="8">
        <v>8.5555555555555554</v>
      </c>
      <c r="AS69" s="8">
        <v>9</v>
      </c>
      <c r="AT69" s="4">
        <v>9</v>
      </c>
      <c r="AU69" s="4">
        <v>7</v>
      </c>
      <c r="AV69" s="4">
        <v>-0.88310324035056598</v>
      </c>
      <c r="AW69" s="4">
        <v>15</v>
      </c>
      <c r="AZ69" s="4" t="s">
        <v>266</v>
      </c>
      <c r="BA69" s="4">
        <v>10</v>
      </c>
      <c r="BB69" s="8">
        <v>11.777777777777779</v>
      </c>
      <c r="BC69" s="8">
        <v>11</v>
      </c>
      <c r="BD69" s="4">
        <v>12</v>
      </c>
      <c r="BE69" s="4">
        <v>11</v>
      </c>
      <c r="BF69" s="4">
        <v>-0.88310324035056598</v>
      </c>
      <c r="BG69" s="4">
        <v>15</v>
      </c>
      <c r="BJ69" s="4" t="s">
        <v>266</v>
      </c>
      <c r="BK69" s="4">
        <v>12</v>
      </c>
      <c r="BL69" s="8">
        <v>10.777777777777779</v>
      </c>
      <c r="BM69" s="8">
        <v>15</v>
      </c>
      <c r="BN69" s="4">
        <v>14</v>
      </c>
      <c r="BO69" s="4">
        <v>12</v>
      </c>
      <c r="BP69" s="4">
        <v>-0.88310324035056598</v>
      </c>
      <c r="BQ69" s="4">
        <v>15</v>
      </c>
      <c r="BT69" s="4" t="s">
        <v>266</v>
      </c>
      <c r="BU69" s="4">
        <v>15</v>
      </c>
      <c r="BV69" s="8">
        <v>11</v>
      </c>
      <c r="BW69" s="8">
        <v>5</v>
      </c>
      <c r="BX69" s="4">
        <v>5</v>
      </c>
      <c r="BY69" s="4">
        <v>13</v>
      </c>
      <c r="BZ69" s="4">
        <v>-0.88310324035056598</v>
      </c>
      <c r="CA69" s="4">
        <v>15</v>
      </c>
    </row>
    <row r="70" spans="1:79" ht="14.25" customHeight="1" x14ac:dyDescent="0.3">
      <c r="A70" s="4" t="s">
        <v>263</v>
      </c>
      <c r="B70" s="4">
        <v>14</v>
      </c>
      <c r="C70" s="8">
        <v>11.333333333333334</v>
      </c>
      <c r="D70" s="4">
        <v>14</v>
      </c>
      <c r="E70" s="4">
        <v>14</v>
      </c>
      <c r="F70" s="4">
        <v>8</v>
      </c>
      <c r="G70" s="4">
        <v>-0.90834372881365233</v>
      </c>
      <c r="H70" s="4">
        <v>15</v>
      </c>
      <c r="K70" s="4" t="s">
        <v>263</v>
      </c>
      <c r="L70" s="4">
        <v>11</v>
      </c>
      <c r="M70" s="8">
        <v>12</v>
      </c>
      <c r="N70" s="4">
        <v>12</v>
      </c>
      <c r="O70" s="4">
        <v>13</v>
      </c>
      <c r="P70" s="4">
        <v>11</v>
      </c>
      <c r="Q70" s="4">
        <v>-0.90834372881365233</v>
      </c>
      <c r="R70" s="4">
        <v>15</v>
      </c>
      <c r="U70" s="4" t="s">
        <v>263</v>
      </c>
      <c r="V70" s="4">
        <v>13</v>
      </c>
      <c r="W70" s="8">
        <v>9.2222222222222214</v>
      </c>
      <c r="X70" s="4">
        <v>11</v>
      </c>
      <c r="Y70" s="4">
        <v>12</v>
      </c>
      <c r="Z70" s="4">
        <v>7</v>
      </c>
      <c r="AA70" s="4">
        <v>-0.90834372881365233</v>
      </c>
      <c r="AB70" s="4">
        <v>15</v>
      </c>
      <c r="AF70" s="4" t="s">
        <v>263</v>
      </c>
      <c r="AG70" s="4">
        <v>8</v>
      </c>
      <c r="AH70" s="8">
        <v>11.333333333333334</v>
      </c>
      <c r="AI70" s="4">
        <v>12</v>
      </c>
      <c r="AJ70" s="4">
        <v>12</v>
      </c>
      <c r="AK70" s="4">
        <v>8</v>
      </c>
      <c r="AL70" s="4">
        <v>-0.90834372881365233</v>
      </c>
      <c r="AM70" s="4">
        <v>15</v>
      </c>
      <c r="AP70" s="4" t="s">
        <v>263</v>
      </c>
      <c r="AQ70" s="4">
        <v>9</v>
      </c>
      <c r="AR70" s="8">
        <v>11.444444444444445</v>
      </c>
      <c r="AS70" s="8">
        <v>12</v>
      </c>
      <c r="AT70" s="4">
        <v>12</v>
      </c>
      <c r="AU70" s="4">
        <v>12</v>
      </c>
      <c r="AV70" s="4">
        <v>-0.90834372881365233</v>
      </c>
      <c r="AW70" s="4">
        <v>15</v>
      </c>
      <c r="AZ70" s="4" t="s">
        <v>263</v>
      </c>
      <c r="BA70" s="4">
        <v>9</v>
      </c>
      <c r="BB70" s="8">
        <v>11.444444444444445</v>
      </c>
      <c r="BC70" s="8">
        <v>8</v>
      </c>
      <c r="BD70" s="4">
        <v>11</v>
      </c>
      <c r="BE70" s="4">
        <v>9</v>
      </c>
      <c r="BF70" s="4">
        <v>-0.90834372881365233</v>
      </c>
      <c r="BG70" s="4">
        <v>15</v>
      </c>
      <c r="BJ70" s="4" t="s">
        <v>263</v>
      </c>
      <c r="BK70" s="4">
        <v>9</v>
      </c>
      <c r="BL70" s="8">
        <v>9.6666666666666661</v>
      </c>
      <c r="BM70" s="8">
        <v>9</v>
      </c>
      <c r="BN70" s="4">
        <v>8</v>
      </c>
      <c r="BO70" s="4">
        <v>3</v>
      </c>
      <c r="BP70" s="4">
        <v>-0.90834372881365233</v>
      </c>
      <c r="BQ70" s="4">
        <v>15</v>
      </c>
      <c r="BT70" s="4" t="s">
        <v>263</v>
      </c>
      <c r="BU70" s="4">
        <v>14</v>
      </c>
      <c r="BV70" s="8">
        <v>11.333333333333334</v>
      </c>
      <c r="BW70" s="8">
        <v>14</v>
      </c>
      <c r="BX70" s="4">
        <v>14</v>
      </c>
      <c r="BY70" s="4">
        <v>6</v>
      </c>
      <c r="BZ70" s="4">
        <v>-0.90834372881365233</v>
      </c>
      <c r="CA70" s="4">
        <v>15</v>
      </c>
    </row>
    <row r="71" spans="1:79" ht="14.25" customHeight="1" x14ac:dyDescent="0.3">
      <c r="A71" s="4" t="s">
        <v>261</v>
      </c>
      <c r="B71" s="4">
        <v>13</v>
      </c>
      <c r="C71" s="8">
        <v>22</v>
      </c>
      <c r="D71" s="4">
        <v>16</v>
      </c>
      <c r="E71" s="4">
        <v>17</v>
      </c>
      <c r="F71" s="4">
        <v>13</v>
      </c>
      <c r="G71" s="4">
        <v>-0.99095987605964864</v>
      </c>
      <c r="H71" s="4">
        <v>31</v>
      </c>
      <c r="K71" s="4" t="s">
        <v>261</v>
      </c>
      <c r="L71" s="4">
        <v>26</v>
      </c>
      <c r="M71" s="8">
        <v>24.333333333333332</v>
      </c>
      <c r="N71" s="4">
        <v>26</v>
      </c>
      <c r="O71" s="4">
        <v>30</v>
      </c>
      <c r="P71" s="4">
        <v>26</v>
      </c>
      <c r="Q71" s="4">
        <v>-0.99095987605964864</v>
      </c>
      <c r="R71" s="4">
        <v>31</v>
      </c>
      <c r="U71" s="4" t="s">
        <v>261</v>
      </c>
      <c r="V71" s="4">
        <v>29</v>
      </c>
      <c r="W71" s="8">
        <v>22.777777777777779</v>
      </c>
      <c r="X71" s="4">
        <v>29</v>
      </c>
      <c r="Y71" s="4">
        <v>29</v>
      </c>
      <c r="Z71" s="4">
        <v>22</v>
      </c>
      <c r="AA71" s="4">
        <v>-0.99095987605964864</v>
      </c>
      <c r="AB71" s="4">
        <v>31</v>
      </c>
      <c r="AF71" s="4" t="s">
        <v>261</v>
      </c>
      <c r="AG71" s="4">
        <v>26</v>
      </c>
      <c r="AH71" s="8">
        <v>21.333333333333332</v>
      </c>
      <c r="AI71" s="4">
        <v>25</v>
      </c>
      <c r="AJ71" s="4">
        <v>28</v>
      </c>
      <c r="AK71" s="4">
        <v>26</v>
      </c>
      <c r="AL71" s="4">
        <v>-0.99095987605964864</v>
      </c>
      <c r="AM71" s="4">
        <v>31</v>
      </c>
      <c r="AP71" s="4" t="s">
        <v>261</v>
      </c>
      <c r="AQ71" s="4">
        <v>19</v>
      </c>
      <c r="AR71" s="8">
        <v>23.222222222222221</v>
      </c>
      <c r="AS71" s="8">
        <v>20</v>
      </c>
      <c r="AT71" s="4">
        <v>20</v>
      </c>
      <c r="AU71" s="4">
        <v>19</v>
      </c>
      <c r="AV71" s="4">
        <v>-0.99095987605964864</v>
      </c>
      <c r="AW71" s="4">
        <v>31</v>
      </c>
      <c r="AZ71" s="4" t="s">
        <v>261</v>
      </c>
      <c r="BA71" s="4">
        <v>28</v>
      </c>
      <c r="BB71" s="8">
        <v>18.444444444444443</v>
      </c>
      <c r="BC71" s="8">
        <v>31</v>
      </c>
      <c r="BD71" s="4">
        <v>30</v>
      </c>
      <c r="BE71" s="4">
        <v>27</v>
      </c>
      <c r="BF71" s="4">
        <v>-0.99095987605964864</v>
      </c>
      <c r="BG71" s="4">
        <v>31</v>
      </c>
      <c r="BJ71" s="4" t="s">
        <v>261</v>
      </c>
      <c r="BK71" s="4">
        <v>25</v>
      </c>
      <c r="BL71" s="8">
        <v>23.888888888888889</v>
      </c>
      <c r="BM71" s="8">
        <v>29</v>
      </c>
      <c r="BN71" s="4">
        <v>29</v>
      </c>
      <c r="BO71" s="4">
        <v>25</v>
      </c>
      <c r="BP71" s="4">
        <v>-0.99095987605964864</v>
      </c>
      <c r="BQ71" s="4">
        <v>31</v>
      </c>
      <c r="BT71" s="4" t="s">
        <v>261</v>
      </c>
      <c r="BU71" s="4">
        <v>9</v>
      </c>
      <c r="BV71" s="8">
        <v>22</v>
      </c>
      <c r="BW71" s="8">
        <v>10</v>
      </c>
      <c r="BX71" s="4">
        <v>29</v>
      </c>
      <c r="BY71" s="4">
        <v>11</v>
      </c>
      <c r="BZ71" s="4">
        <v>-0.99095987605964864</v>
      </c>
      <c r="CA71" s="4">
        <v>31</v>
      </c>
    </row>
    <row r="72" spans="1:79" ht="14.25" customHeight="1" x14ac:dyDescent="0.3">
      <c r="A72" s="4" t="s">
        <v>260</v>
      </c>
      <c r="B72" s="4">
        <v>14</v>
      </c>
      <c r="C72" s="8">
        <v>12.111111111111111</v>
      </c>
      <c r="D72" s="4">
        <v>16</v>
      </c>
      <c r="E72" s="4">
        <v>16</v>
      </c>
      <c r="F72" s="4">
        <v>14</v>
      </c>
      <c r="G72" s="4">
        <v>-1.072806810743151</v>
      </c>
      <c r="H72" s="4">
        <v>19</v>
      </c>
      <c r="K72" s="4" t="s">
        <v>260</v>
      </c>
      <c r="L72" s="4">
        <v>18</v>
      </c>
      <c r="M72" s="8">
        <v>11.444444444444445</v>
      </c>
      <c r="N72" s="4">
        <v>19</v>
      </c>
      <c r="O72" s="4">
        <v>19</v>
      </c>
      <c r="P72" s="4">
        <v>16</v>
      </c>
      <c r="Q72" s="4">
        <v>-1.072806810743151</v>
      </c>
      <c r="R72" s="4">
        <v>19</v>
      </c>
      <c r="U72" s="4" t="s">
        <v>260</v>
      </c>
      <c r="V72" s="4">
        <v>18</v>
      </c>
      <c r="W72" s="8">
        <v>13.555555555555555</v>
      </c>
      <c r="X72" s="4">
        <v>15</v>
      </c>
      <c r="Y72" s="4">
        <v>12</v>
      </c>
      <c r="Z72" s="4">
        <v>9</v>
      </c>
      <c r="AA72" s="4">
        <v>-1.072806810743151</v>
      </c>
      <c r="AB72" s="4">
        <v>19</v>
      </c>
      <c r="AF72" s="4" t="s">
        <v>260</v>
      </c>
      <c r="AG72" s="4">
        <v>19</v>
      </c>
      <c r="AH72" s="8">
        <v>15</v>
      </c>
      <c r="AI72" s="4">
        <v>19</v>
      </c>
      <c r="AJ72" s="4">
        <v>19</v>
      </c>
      <c r="AK72" s="4">
        <v>12</v>
      </c>
      <c r="AL72" s="4">
        <v>-1.072806810743151</v>
      </c>
      <c r="AM72" s="4">
        <v>19</v>
      </c>
      <c r="AP72" s="4" t="s">
        <v>260</v>
      </c>
      <c r="AQ72" s="4">
        <v>16</v>
      </c>
      <c r="AR72" s="8">
        <v>12.555555555555555</v>
      </c>
      <c r="AS72" s="8">
        <v>18</v>
      </c>
      <c r="AT72" s="4">
        <v>18</v>
      </c>
      <c r="AU72" s="4">
        <v>16</v>
      </c>
      <c r="AV72" s="4">
        <v>-1.072806810743151</v>
      </c>
      <c r="AW72" s="4">
        <v>19</v>
      </c>
      <c r="AZ72" s="4" t="s">
        <v>260</v>
      </c>
      <c r="BA72" s="4">
        <v>16</v>
      </c>
      <c r="BB72" s="8">
        <v>14.222222222222221</v>
      </c>
      <c r="BC72" s="8">
        <v>15</v>
      </c>
      <c r="BD72" s="4">
        <v>15</v>
      </c>
      <c r="BE72" s="4">
        <v>16</v>
      </c>
      <c r="BF72" s="4">
        <v>-1.072806810743151</v>
      </c>
      <c r="BG72" s="4">
        <v>19</v>
      </c>
      <c r="BJ72" s="4" t="s">
        <v>260</v>
      </c>
      <c r="BK72" s="4">
        <v>9</v>
      </c>
      <c r="BL72" s="8">
        <v>12.777777777777779</v>
      </c>
      <c r="BM72" s="8">
        <v>11</v>
      </c>
      <c r="BN72" s="4">
        <v>13</v>
      </c>
      <c r="BO72" s="4">
        <v>9</v>
      </c>
      <c r="BP72" s="4">
        <v>-1.072806810743151</v>
      </c>
      <c r="BQ72" s="4">
        <v>19</v>
      </c>
      <c r="BT72" s="4" t="s">
        <v>260</v>
      </c>
      <c r="BU72" s="4">
        <v>10</v>
      </c>
      <c r="BV72" s="8">
        <v>12.111111111111111</v>
      </c>
      <c r="BW72" s="8">
        <v>8</v>
      </c>
      <c r="BX72" s="4">
        <v>8</v>
      </c>
      <c r="BY72" s="4">
        <v>10</v>
      </c>
      <c r="BZ72" s="4">
        <v>-1.072806810743151</v>
      </c>
      <c r="CA72" s="4">
        <v>19</v>
      </c>
    </row>
    <row r="73" spans="1:79" ht="14.25" customHeight="1" x14ac:dyDescent="0.3">
      <c r="A73" s="4" t="s">
        <v>259</v>
      </c>
      <c r="B73" s="4">
        <v>7</v>
      </c>
      <c r="C73" s="8">
        <v>14.777777777777779</v>
      </c>
      <c r="D73" s="4">
        <v>9</v>
      </c>
      <c r="E73" s="4">
        <v>11</v>
      </c>
      <c r="F73" s="4">
        <v>7</v>
      </c>
      <c r="G73" s="4">
        <v>-1.1154133211974251</v>
      </c>
      <c r="H73" s="4">
        <v>19</v>
      </c>
      <c r="K73" s="4" t="s">
        <v>259</v>
      </c>
      <c r="L73" s="4">
        <v>12</v>
      </c>
      <c r="M73" s="8">
        <v>14.666666666666666</v>
      </c>
      <c r="N73" s="4">
        <v>15</v>
      </c>
      <c r="O73" s="4">
        <v>15</v>
      </c>
      <c r="P73" s="4">
        <v>16</v>
      </c>
      <c r="Q73" s="4">
        <v>-1.1154133211974251</v>
      </c>
      <c r="R73" s="4">
        <v>19</v>
      </c>
      <c r="U73" s="4" t="s">
        <v>259</v>
      </c>
      <c r="V73" s="4">
        <v>16</v>
      </c>
      <c r="W73" s="8">
        <v>10.333333333333334</v>
      </c>
      <c r="X73" s="4">
        <v>15</v>
      </c>
      <c r="Y73" s="4">
        <v>17</v>
      </c>
      <c r="Z73" s="4">
        <v>8</v>
      </c>
      <c r="AA73" s="4">
        <v>-1.1154133211974251</v>
      </c>
      <c r="AB73" s="4">
        <v>19</v>
      </c>
      <c r="AF73" s="4" t="s">
        <v>259</v>
      </c>
      <c r="AG73" s="4">
        <v>14</v>
      </c>
      <c r="AH73" s="8">
        <v>12.555555555555555</v>
      </c>
      <c r="AI73" s="4">
        <v>16</v>
      </c>
      <c r="AJ73" s="4">
        <v>16</v>
      </c>
      <c r="AK73" s="4">
        <v>3</v>
      </c>
      <c r="AL73" s="4">
        <v>-1.1154133211974251</v>
      </c>
      <c r="AM73" s="4">
        <v>19</v>
      </c>
      <c r="AP73" s="4" t="s">
        <v>259</v>
      </c>
      <c r="AQ73" s="4">
        <v>12</v>
      </c>
      <c r="AR73" s="8">
        <v>13.111111111111111</v>
      </c>
      <c r="AS73" s="8">
        <v>10</v>
      </c>
      <c r="AT73" s="4">
        <v>14</v>
      </c>
      <c r="AU73" s="4">
        <v>12</v>
      </c>
      <c r="AV73" s="4">
        <v>-1.1154133211974251</v>
      </c>
      <c r="AW73" s="4">
        <v>19</v>
      </c>
      <c r="AZ73" s="4" t="s">
        <v>259</v>
      </c>
      <c r="BA73" s="4">
        <v>12</v>
      </c>
      <c r="BB73" s="8">
        <v>13.555555555555555</v>
      </c>
      <c r="BC73" s="8">
        <v>14</v>
      </c>
      <c r="BD73" s="4">
        <v>15</v>
      </c>
      <c r="BE73" s="4">
        <v>12</v>
      </c>
      <c r="BF73" s="4">
        <v>-1.1154133211974251</v>
      </c>
      <c r="BG73" s="4">
        <v>19</v>
      </c>
      <c r="BJ73" s="4" t="s">
        <v>259</v>
      </c>
      <c r="BK73" s="4">
        <v>12</v>
      </c>
      <c r="BL73" s="8">
        <v>15.888888888888889</v>
      </c>
      <c r="BM73" s="8">
        <v>14</v>
      </c>
      <c r="BN73" s="4">
        <v>15</v>
      </c>
      <c r="BO73" s="4">
        <v>3</v>
      </c>
      <c r="BP73" s="4">
        <v>-1.1154133211974251</v>
      </c>
      <c r="BQ73" s="4">
        <v>19</v>
      </c>
      <c r="BT73" s="4" t="s">
        <v>259</v>
      </c>
      <c r="BU73" s="4">
        <v>19</v>
      </c>
      <c r="BV73" s="8">
        <v>14.777777777777779</v>
      </c>
      <c r="BW73" s="8">
        <v>15</v>
      </c>
      <c r="BX73" s="4">
        <v>15</v>
      </c>
      <c r="BY73" s="4">
        <v>16</v>
      </c>
      <c r="BZ73" s="4">
        <v>-1.1154133211974251</v>
      </c>
      <c r="CA73" s="4">
        <v>19</v>
      </c>
    </row>
    <row r="74" spans="1:79" ht="14.25" customHeight="1" x14ac:dyDescent="0.3">
      <c r="A74" s="4" t="s">
        <v>258</v>
      </c>
      <c r="B74" s="4">
        <v>13</v>
      </c>
      <c r="C74" s="8">
        <v>12.777777777777779</v>
      </c>
      <c r="D74" s="4">
        <v>10</v>
      </c>
      <c r="E74" s="4">
        <v>12</v>
      </c>
      <c r="F74" s="4">
        <v>13</v>
      </c>
      <c r="G74" s="4">
        <v>-1.12017317951397</v>
      </c>
      <c r="H74" s="4">
        <v>16</v>
      </c>
      <c r="K74" s="4" t="s">
        <v>258</v>
      </c>
      <c r="L74" s="4">
        <v>14</v>
      </c>
      <c r="M74" s="8">
        <v>11.777777777777779</v>
      </c>
      <c r="N74" s="4">
        <v>15</v>
      </c>
      <c r="O74" s="4">
        <v>15</v>
      </c>
      <c r="P74" s="4">
        <v>13</v>
      </c>
      <c r="Q74" s="4">
        <v>-1.12017317951397</v>
      </c>
      <c r="R74" s="4">
        <v>16</v>
      </c>
      <c r="U74" s="4" t="s">
        <v>258</v>
      </c>
      <c r="V74" s="4">
        <v>14</v>
      </c>
      <c r="W74" s="8">
        <v>10.777777777777779</v>
      </c>
      <c r="X74" s="4">
        <v>9</v>
      </c>
      <c r="Y74" s="4">
        <v>7</v>
      </c>
      <c r="Z74" s="4">
        <v>13</v>
      </c>
      <c r="AA74" s="4">
        <v>-1.12017317951397</v>
      </c>
      <c r="AB74" s="4">
        <v>16</v>
      </c>
      <c r="AF74" s="4" t="s">
        <v>258</v>
      </c>
      <c r="AG74" s="4">
        <v>14</v>
      </c>
      <c r="AH74" s="8">
        <v>8.6666666666666661</v>
      </c>
      <c r="AI74" s="4">
        <v>14</v>
      </c>
      <c r="AJ74" s="4">
        <v>13</v>
      </c>
      <c r="AK74" s="4">
        <v>7</v>
      </c>
      <c r="AL74" s="4">
        <v>-1.12017317951397</v>
      </c>
      <c r="AM74" s="4">
        <v>16</v>
      </c>
      <c r="AP74" s="4" t="s">
        <v>258</v>
      </c>
      <c r="AQ74" s="4">
        <v>10</v>
      </c>
      <c r="AR74" s="8">
        <v>7</v>
      </c>
      <c r="AS74" s="8">
        <v>14</v>
      </c>
      <c r="AT74" s="4">
        <v>12</v>
      </c>
      <c r="AU74" s="4">
        <v>13</v>
      </c>
      <c r="AV74" s="4">
        <v>-1.12017317951397</v>
      </c>
      <c r="AW74" s="4">
        <v>16</v>
      </c>
      <c r="AZ74" s="4" t="s">
        <v>258</v>
      </c>
      <c r="BA74" s="4">
        <v>1</v>
      </c>
      <c r="BB74" s="8">
        <v>8.8888888888888893</v>
      </c>
      <c r="BC74" s="8">
        <v>1</v>
      </c>
      <c r="BD74" s="4">
        <v>3</v>
      </c>
      <c r="BE74" s="4">
        <v>3</v>
      </c>
      <c r="BF74" s="4">
        <v>-1.12017317951397</v>
      </c>
      <c r="BG74" s="4">
        <v>16</v>
      </c>
      <c r="BJ74" s="4" t="s">
        <v>258</v>
      </c>
      <c r="BK74" s="4">
        <v>4</v>
      </c>
      <c r="BL74" s="8">
        <v>10.333333333333334</v>
      </c>
      <c r="BM74" s="8">
        <v>1</v>
      </c>
      <c r="BN74" s="4">
        <v>1</v>
      </c>
      <c r="BO74" s="4">
        <v>4</v>
      </c>
      <c r="BP74" s="4">
        <v>-1.12017317951397</v>
      </c>
      <c r="BQ74" s="4">
        <v>16</v>
      </c>
      <c r="BT74" s="4" t="s">
        <v>258</v>
      </c>
      <c r="BU74" s="4">
        <v>9</v>
      </c>
      <c r="BV74" s="8">
        <v>12.777777777777779</v>
      </c>
      <c r="BW74" s="8">
        <v>10</v>
      </c>
      <c r="BX74" s="4">
        <v>11</v>
      </c>
      <c r="BY74" s="4">
        <v>9</v>
      </c>
      <c r="BZ74" s="4">
        <v>-1.12017317951397</v>
      </c>
      <c r="CA74" s="4">
        <v>16</v>
      </c>
    </row>
    <row r="75" spans="1:79" ht="14.25" customHeight="1" x14ac:dyDescent="0.3">
      <c r="A75" s="4" t="s">
        <v>264</v>
      </c>
      <c r="B75" s="4">
        <v>6</v>
      </c>
      <c r="C75" s="8">
        <v>15.666666666666666</v>
      </c>
      <c r="D75" s="4">
        <v>6</v>
      </c>
      <c r="E75" s="4">
        <v>7</v>
      </c>
      <c r="F75" s="4">
        <v>6</v>
      </c>
      <c r="G75" s="4">
        <v>-1.196962071035268</v>
      </c>
      <c r="H75" s="4">
        <v>19</v>
      </c>
      <c r="K75" s="4" t="s">
        <v>264</v>
      </c>
      <c r="L75" s="4">
        <v>10</v>
      </c>
      <c r="M75" s="8">
        <v>14.333333333333334</v>
      </c>
      <c r="N75" s="4">
        <v>10</v>
      </c>
      <c r="O75" s="4">
        <v>10</v>
      </c>
      <c r="P75" s="4">
        <v>10</v>
      </c>
      <c r="Q75" s="4">
        <v>-1.196962071035268</v>
      </c>
      <c r="R75" s="4">
        <v>19</v>
      </c>
      <c r="U75" s="4" t="s">
        <v>264</v>
      </c>
      <c r="V75" s="4">
        <v>12</v>
      </c>
      <c r="W75" s="8">
        <v>13.111111111111111</v>
      </c>
      <c r="X75" s="4">
        <v>14</v>
      </c>
      <c r="Y75" s="4">
        <v>15</v>
      </c>
      <c r="Z75" s="4">
        <v>12</v>
      </c>
      <c r="AA75" s="4">
        <v>-1.196962071035268</v>
      </c>
      <c r="AB75" s="4">
        <v>19</v>
      </c>
      <c r="AF75" s="4" t="s">
        <v>264</v>
      </c>
      <c r="AG75" s="4">
        <v>18</v>
      </c>
      <c r="AH75" s="8">
        <v>9.2222222222222214</v>
      </c>
      <c r="AI75" s="4">
        <v>19</v>
      </c>
      <c r="AJ75" s="4">
        <v>19</v>
      </c>
      <c r="AK75" s="4">
        <v>15</v>
      </c>
      <c r="AL75" s="4">
        <v>-1.196962071035268</v>
      </c>
      <c r="AM75" s="4">
        <v>19</v>
      </c>
      <c r="AP75" s="4" t="s">
        <v>264</v>
      </c>
      <c r="AQ75" s="4">
        <v>17</v>
      </c>
      <c r="AR75" s="8">
        <v>11.111111111111111</v>
      </c>
      <c r="AS75" s="8">
        <v>19</v>
      </c>
      <c r="AT75" s="4">
        <v>19</v>
      </c>
      <c r="AU75" s="4">
        <v>16</v>
      </c>
      <c r="AV75" s="4">
        <v>-1.196962071035268</v>
      </c>
      <c r="AW75" s="4">
        <v>19</v>
      </c>
      <c r="AZ75" s="4" t="s">
        <v>264</v>
      </c>
      <c r="BA75" s="4">
        <v>15</v>
      </c>
      <c r="BB75" s="8">
        <v>12.666666666666666</v>
      </c>
      <c r="BC75" s="8">
        <v>19</v>
      </c>
      <c r="BD75" s="4">
        <v>18</v>
      </c>
      <c r="BE75" s="4">
        <v>15</v>
      </c>
      <c r="BF75" s="4">
        <v>-1.196962071035268</v>
      </c>
      <c r="BG75" s="4">
        <v>19</v>
      </c>
      <c r="BJ75" s="4" t="s">
        <v>264</v>
      </c>
      <c r="BK75" s="4">
        <v>19</v>
      </c>
      <c r="BL75" s="8">
        <v>13.777777777777779</v>
      </c>
      <c r="BM75" s="8">
        <v>19</v>
      </c>
      <c r="BN75" s="4">
        <v>19</v>
      </c>
      <c r="BO75" s="4">
        <v>11</v>
      </c>
      <c r="BP75" s="4">
        <v>-1.196962071035268</v>
      </c>
      <c r="BQ75" s="4">
        <v>19</v>
      </c>
      <c r="BT75" s="4" t="s">
        <v>264</v>
      </c>
      <c r="BU75" s="4">
        <v>19</v>
      </c>
      <c r="BV75" s="8">
        <v>15.666666666666666</v>
      </c>
      <c r="BW75" s="8">
        <v>18</v>
      </c>
      <c r="BX75" s="4">
        <v>18</v>
      </c>
      <c r="BY75" s="4">
        <v>13</v>
      </c>
      <c r="BZ75" s="4">
        <v>-1.196962071035268</v>
      </c>
      <c r="CA75" s="4">
        <v>19</v>
      </c>
    </row>
    <row r="76" spans="1:79" ht="14.25" customHeight="1" x14ac:dyDescent="0.3">
      <c r="A76" s="4" t="s">
        <v>265</v>
      </c>
      <c r="B76" s="4">
        <v>12</v>
      </c>
      <c r="C76" s="8">
        <v>12.111111111111111</v>
      </c>
      <c r="D76" s="4">
        <v>12</v>
      </c>
      <c r="E76" s="4">
        <v>12</v>
      </c>
      <c r="F76" s="4">
        <v>12</v>
      </c>
      <c r="G76" s="4">
        <v>-1.2097705883740471</v>
      </c>
      <c r="H76" s="4">
        <v>15</v>
      </c>
      <c r="K76" s="4" t="s">
        <v>265</v>
      </c>
      <c r="L76" s="4">
        <v>14</v>
      </c>
      <c r="M76" s="8">
        <v>12.222222222222221</v>
      </c>
      <c r="N76" s="4">
        <v>14</v>
      </c>
      <c r="O76" s="4">
        <v>15</v>
      </c>
      <c r="P76" s="4">
        <v>13</v>
      </c>
      <c r="Q76" s="4">
        <v>-1.2097705883740471</v>
      </c>
      <c r="R76" s="4">
        <v>15</v>
      </c>
      <c r="U76" s="4" t="s">
        <v>265</v>
      </c>
      <c r="V76" s="4">
        <v>3</v>
      </c>
      <c r="W76" s="8">
        <v>11.222222222222221</v>
      </c>
      <c r="X76" s="4">
        <v>9</v>
      </c>
      <c r="Y76" s="4">
        <v>8</v>
      </c>
      <c r="Z76" s="4">
        <v>13</v>
      </c>
      <c r="AA76" s="4">
        <v>-1.2097705883740471</v>
      </c>
      <c r="AB76" s="4">
        <v>15</v>
      </c>
      <c r="AF76" s="4" t="s">
        <v>265</v>
      </c>
      <c r="AG76" s="4">
        <v>14</v>
      </c>
      <c r="AH76" s="8">
        <v>8.4444444444444446</v>
      </c>
      <c r="AI76" s="4">
        <v>15</v>
      </c>
      <c r="AJ76" s="4">
        <v>15</v>
      </c>
      <c r="AK76" s="4">
        <v>13</v>
      </c>
      <c r="AL76" s="4">
        <v>-1.2097705883740471</v>
      </c>
      <c r="AM76" s="4">
        <v>15</v>
      </c>
      <c r="AP76" s="4" t="s">
        <v>265</v>
      </c>
      <c r="AQ76" s="4">
        <v>14</v>
      </c>
      <c r="AR76" s="8">
        <v>7.333333333333333</v>
      </c>
      <c r="AS76" s="8">
        <v>13</v>
      </c>
      <c r="AT76" s="4">
        <v>14</v>
      </c>
      <c r="AU76" s="4">
        <v>13</v>
      </c>
      <c r="AV76" s="4">
        <v>-1.2097705883740471</v>
      </c>
      <c r="AW76" s="4">
        <v>15</v>
      </c>
      <c r="AZ76" s="4" t="s">
        <v>265</v>
      </c>
      <c r="BA76" s="4">
        <v>13</v>
      </c>
      <c r="BB76" s="8">
        <v>10.888888888888889</v>
      </c>
      <c r="BC76" s="8">
        <v>12</v>
      </c>
      <c r="BD76" s="4">
        <v>9</v>
      </c>
      <c r="BE76" s="4">
        <v>11</v>
      </c>
      <c r="BF76" s="4">
        <v>-1.2097705883740471</v>
      </c>
      <c r="BG76" s="4">
        <v>15</v>
      </c>
      <c r="BJ76" s="4" t="s">
        <v>265</v>
      </c>
      <c r="BK76" s="4">
        <v>5</v>
      </c>
      <c r="BL76" s="8">
        <v>10.555555555555555</v>
      </c>
      <c r="BM76" s="8">
        <v>6</v>
      </c>
      <c r="BN76" s="4">
        <v>8</v>
      </c>
      <c r="BO76" s="4">
        <v>5</v>
      </c>
      <c r="BP76" s="4">
        <v>-1.2097705883740471</v>
      </c>
      <c r="BQ76" s="4">
        <v>15</v>
      </c>
      <c r="BT76" s="4" t="s">
        <v>265</v>
      </c>
      <c r="BU76" s="4">
        <v>11</v>
      </c>
      <c r="BV76" s="8">
        <v>12.111111111111111</v>
      </c>
      <c r="BW76" s="8">
        <v>11</v>
      </c>
      <c r="BX76" s="4">
        <v>10</v>
      </c>
      <c r="BY76" s="4">
        <v>11</v>
      </c>
      <c r="BZ76" s="4">
        <v>-1.2097705883740471</v>
      </c>
      <c r="CA76" s="4">
        <v>15</v>
      </c>
    </row>
    <row r="77" spans="1:79" ht="14.25" customHeight="1" x14ac:dyDescent="0.3">
      <c r="A77" s="4" t="s">
        <v>262</v>
      </c>
      <c r="B77" s="4">
        <v>26</v>
      </c>
      <c r="C77" s="8">
        <v>18.777777777777779</v>
      </c>
      <c r="D77" s="4">
        <v>22</v>
      </c>
      <c r="E77" s="4">
        <v>22</v>
      </c>
      <c r="F77" s="4">
        <v>19</v>
      </c>
      <c r="G77" s="4">
        <v>-1.679865001322572</v>
      </c>
      <c r="H77" s="4">
        <v>27</v>
      </c>
      <c r="K77" s="4" t="s">
        <v>262</v>
      </c>
      <c r="L77" s="4">
        <v>20</v>
      </c>
      <c r="M77" s="8">
        <v>21.777777777777779</v>
      </c>
      <c r="N77" s="4">
        <v>23</v>
      </c>
      <c r="O77" s="4">
        <v>23</v>
      </c>
      <c r="P77" s="4">
        <v>20</v>
      </c>
      <c r="Q77" s="4">
        <v>-1.679865001322572</v>
      </c>
      <c r="R77" s="4">
        <v>27</v>
      </c>
      <c r="U77" s="4" t="s">
        <v>262</v>
      </c>
      <c r="V77" s="4">
        <v>27</v>
      </c>
      <c r="W77" s="8">
        <v>23.111111111111111</v>
      </c>
      <c r="X77" s="4">
        <v>27</v>
      </c>
      <c r="Y77" s="4">
        <v>26</v>
      </c>
      <c r="Z77" s="4">
        <v>23</v>
      </c>
      <c r="AA77" s="4">
        <v>-1.679865001322572</v>
      </c>
      <c r="AB77" s="4">
        <v>27</v>
      </c>
      <c r="AF77" s="4" t="s">
        <v>262</v>
      </c>
      <c r="AG77" s="4">
        <v>26</v>
      </c>
      <c r="AH77" s="8">
        <v>23.888888888888889</v>
      </c>
      <c r="AI77" s="4">
        <v>27</v>
      </c>
      <c r="AJ77" s="4">
        <v>27</v>
      </c>
      <c r="AK77" s="4">
        <v>15</v>
      </c>
      <c r="AL77" s="4">
        <v>-1.679865001322572</v>
      </c>
      <c r="AM77" s="4">
        <v>27</v>
      </c>
      <c r="AP77" s="4" t="s">
        <v>262</v>
      </c>
      <c r="AQ77" s="4">
        <v>27</v>
      </c>
      <c r="AR77" s="8">
        <v>24.111111111111111</v>
      </c>
      <c r="AS77" s="8">
        <v>27</v>
      </c>
      <c r="AT77" s="4">
        <v>27</v>
      </c>
      <c r="AU77" s="4">
        <v>24</v>
      </c>
      <c r="AV77" s="4">
        <v>-1.679865001322572</v>
      </c>
      <c r="AW77" s="4">
        <v>27</v>
      </c>
      <c r="AZ77" s="4" t="s">
        <v>262</v>
      </c>
      <c r="BA77" s="4">
        <v>23</v>
      </c>
      <c r="BB77" s="8">
        <v>24</v>
      </c>
      <c r="BC77" s="8">
        <v>25</v>
      </c>
      <c r="BD77" s="4">
        <v>26</v>
      </c>
      <c r="BE77" s="4">
        <v>23</v>
      </c>
      <c r="BF77" s="4">
        <v>-1.679865001322572</v>
      </c>
      <c r="BG77" s="4">
        <v>27</v>
      </c>
      <c r="BJ77" s="4" t="s">
        <v>262</v>
      </c>
      <c r="BK77" s="4">
        <v>27</v>
      </c>
      <c r="BL77" s="8">
        <v>24.555555555555557</v>
      </c>
      <c r="BM77" s="8">
        <v>27</v>
      </c>
      <c r="BN77" s="4">
        <v>27</v>
      </c>
      <c r="BO77" s="4">
        <v>20</v>
      </c>
      <c r="BP77" s="4">
        <v>-1.679865001322572</v>
      </c>
      <c r="BQ77" s="4">
        <v>27</v>
      </c>
      <c r="BT77" s="4" t="s">
        <v>262</v>
      </c>
      <c r="BU77" s="4">
        <v>21</v>
      </c>
      <c r="BV77" s="8">
        <v>18.777777777777779</v>
      </c>
      <c r="BW77" s="8">
        <v>20</v>
      </c>
      <c r="BX77" s="4">
        <v>20</v>
      </c>
      <c r="BY77" s="4">
        <v>21</v>
      </c>
      <c r="BZ77" s="4">
        <v>-1.679865001322572</v>
      </c>
      <c r="CA77" s="4">
        <v>27</v>
      </c>
    </row>
    <row r="78" spans="1:79" ht="14.25" customHeight="1" x14ac:dyDescent="0.3">
      <c r="A78" s="4" t="s">
        <v>267</v>
      </c>
      <c r="B78" s="4">
        <f t="shared" ref="B78:F78" si="16">AVERAGE(B58:B67)</f>
        <v>5.5</v>
      </c>
      <c r="C78" s="8">
        <f t="shared" si="16"/>
        <v>4.8666666666666663</v>
      </c>
      <c r="D78" s="4">
        <f t="shared" si="16"/>
        <v>5.5</v>
      </c>
      <c r="E78" s="4">
        <f t="shared" si="16"/>
        <v>5.7</v>
      </c>
      <c r="F78" s="4">
        <f t="shared" si="16"/>
        <v>6.8</v>
      </c>
      <c r="K78" s="4" t="s">
        <v>267</v>
      </c>
      <c r="L78" s="4">
        <f t="shared" ref="L78:P78" si="17">AVERAGE(L58:L67)</f>
        <v>6.5</v>
      </c>
      <c r="M78" s="8">
        <f t="shared" si="17"/>
        <v>5.2222222222222214</v>
      </c>
      <c r="N78" s="4">
        <f t="shared" si="17"/>
        <v>6.3</v>
      </c>
      <c r="O78" s="4">
        <f t="shared" si="17"/>
        <v>6.2</v>
      </c>
      <c r="P78" s="4">
        <f t="shared" si="17"/>
        <v>6.5</v>
      </c>
      <c r="U78" s="4" t="s">
        <v>267</v>
      </c>
      <c r="V78" s="4">
        <f t="shared" ref="V78:Z78" si="18">AVERAGE(V58:V67)</f>
        <v>4.8</v>
      </c>
      <c r="W78" s="8">
        <f t="shared" si="18"/>
        <v>5.1888888888888891</v>
      </c>
      <c r="X78" s="4">
        <f t="shared" si="18"/>
        <v>3.6</v>
      </c>
      <c r="Y78" s="4">
        <f t="shared" si="18"/>
        <v>3.3</v>
      </c>
      <c r="Z78" s="4">
        <f t="shared" si="18"/>
        <v>6.6</v>
      </c>
      <c r="AA78" s="4"/>
      <c r="AB78" s="4"/>
      <c r="AC78" s="10"/>
      <c r="AF78" s="4" t="s">
        <v>267</v>
      </c>
      <c r="AG78" s="4">
        <f t="shared" ref="AG78:AK78" si="19">AVERAGE(AG58:AG67)</f>
        <v>3.2</v>
      </c>
      <c r="AH78" s="8">
        <f t="shared" si="19"/>
        <v>5.3555555555555561</v>
      </c>
      <c r="AI78" s="4">
        <f t="shared" si="19"/>
        <v>1.3</v>
      </c>
      <c r="AJ78" s="4">
        <f t="shared" si="19"/>
        <v>1.1000000000000001</v>
      </c>
      <c r="AK78" s="4">
        <f t="shared" si="19"/>
        <v>6.9</v>
      </c>
      <c r="AP78" s="4" t="s">
        <v>267</v>
      </c>
      <c r="AQ78" s="4">
        <f t="shared" ref="AQ78:AU78" si="20">AVERAGE(AQ58:AQ67)</f>
        <v>7.8</v>
      </c>
      <c r="AR78" s="8">
        <f t="shared" si="20"/>
        <v>4.9444444444444446</v>
      </c>
      <c r="AS78" s="8">
        <f t="shared" si="20"/>
        <v>5.9</v>
      </c>
      <c r="AT78" s="4">
        <f t="shared" si="20"/>
        <v>5.8</v>
      </c>
      <c r="AU78" s="4">
        <f t="shared" si="20"/>
        <v>7.8</v>
      </c>
      <c r="AZ78" s="4" t="s">
        <v>267</v>
      </c>
      <c r="BA78" s="16">
        <f t="shared" ref="BA78:BE78" si="21">AVERAGE(BA58:BA67)</f>
        <v>8</v>
      </c>
      <c r="BB78" s="16">
        <f t="shared" si="21"/>
        <v>6.0666666666666664</v>
      </c>
      <c r="BC78" s="16">
        <f t="shared" si="21"/>
        <v>5.8</v>
      </c>
      <c r="BD78" s="16">
        <f t="shared" si="21"/>
        <v>5.3</v>
      </c>
      <c r="BE78" s="16">
        <f t="shared" si="21"/>
        <v>8</v>
      </c>
      <c r="BJ78" s="4" t="s">
        <v>267</v>
      </c>
      <c r="BK78" s="4">
        <f t="shared" ref="BK78:BO78" si="22">AVERAGE(BK58:BK67)</f>
        <v>4.8</v>
      </c>
      <c r="BL78" s="8">
        <f t="shared" si="22"/>
        <v>4.7111111111111112</v>
      </c>
      <c r="BM78" s="8">
        <f t="shared" si="22"/>
        <v>5.2</v>
      </c>
      <c r="BN78" s="4">
        <f t="shared" si="22"/>
        <v>4.5999999999999996</v>
      </c>
      <c r="BO78" s="4">
        <f t="shared" si="22"/>
        <v>7</v>
      </c>
      <c r="BT78" s="4" t="s">
        <v>267</v>
      </c>
      <c r="BU78" s="4">
        <f t="shared" ref="BU78:BY78" si="23">AVERAGE(BU58:BU67)</f>
        <v>6.1</v>
      </c>
      <c r="BV78" s="8">
        <f t="shared" si="23"/>
        <v>4.8666666666666663</v>
      </c>
      <c r="BW78" s="8">
        <f t="shared" si="23"/>
        <v>6.1</v>
      </c>
      <c r="BX78" s="4">
        <f t="shared" si="23"/>
        <v>6.3</v>
      </c>
      <c r="BY78" s="4">
        <f t="shared" si="23"/>
        <v>7.2</v>
      </c>
    </row>
    <row r="79" spans="1:79" ht="14.25" customHeight="1" x14ac:dyDescent="0.3">
      <c r="A79" s="4" t="s">
        <v>268</v>
      </c>
      <c r="B79" s="4">
        <f t="shared" ref="B79:F79" si="24">AVERAGE(B68:B77)</f>
        <v>12.5</v>
      </c>
      <c r="C79" s="8">
        <f t="shared" si="24"/>
        <v>14.188888888888892</v>
      </c>
      <c r="D79" s="4">
        <f t="shared" si="24"/>
        <v>12.5</v>
      </c>
      <c r="E79" s="4">
        <f t="shared" si="24"/>
        <v>13.1</v>
      </c>
      <c r="F79" s="4">
        <f t="shared" si="24"/>
        <v>11.2</v>
      </c>
      <c r="K79" s="4" t="s">
        <v>268</v>
      </c>
      <c r="L79" s="4">
        <f t="shared" ref="L79:P79" si="25">AVERAGE(L68:L77)</f>
        <v>14.9</v>
      </c>
      <c r="M79" s="8">
        <f t="shared" si="25"/>
        <v>14.499999999999996</v>
      </c>
      <c r="N79" s="4">
        <f t="shared" si="25"/>
        <v>15.8</v>
      </c>
      <c r="O79" s="4">
        <f t="shared" si="25"/>
        <v>16.3</v>
      </c>
      <c r="P79" s="4">
        <f t="shared" si="25"/>
        <v>14.9</v>
      </c>
      <c r="U79" s="4" t="s">
        <v>268</v>
      </c>
      <c r="V79" s="4">
        <f t="shared" ref="V79:Z79" si="26">AVERAGE(V68:V77)</f>
        <v>15.1</v>
      </c>
      <c r="W79" s="8">
        <f t="shared" si="26"/>
        <v>13.666666666666668</v>
      </c>
      <c r="X79" s="4">
        <f t="shared" si="26"/>
        <v>15.1</v>
      </c>
      <c r="Y79" s="4">
        <f t="shared" si="26"/>
        <v>15</v>
      </c>
      <c r="Z79" s="4">
        <f t="shared" si="26"/>
        <v>13.3</v>
      </c>
      <c r="AA79" s="4"/>
      <c r="AB79" s="4"/>
      <c r="AC79" s="10"/>
      <c r="AE79" s="3">
        <f>12/20</f>
        <v>0.6</v>
      </c>
      <c r="AF79" s="4" t="s">
        <v>268</v>
      </c>
      <c r="AG79" s="4">
        <f t="shared" ref="AG79:AK79" si="27">AVERAGE(AG68:AG77)</f>
        <v>14.4</v>
      </c>
      <c r="AH79" s="8">
        <f t="shared" si="27"/>
        <v>13.000000000000004</v>
      </c>
      <c r="AI79" s="4">
        <f t="shared" si="27"/>
        <v>15.7</v>
      </c>
      <c r="AJ79" s="4">
        <f t="shared" si="27"/>
        <v>16.2</v>
      </c>
      <c r="AK79" s="4">
        <f t="shared" si="27"/>
        <v>10.7</v>
      </c>
      <c r="AP79" s="4" t="s">
        <v>268</v>
      </c>
      <c r="AQ79" s="4">
        <f t="shared" ref="AQ79:AU79" si="28">AVERAGE(AQ68:AQ77)</f>
        <v>14.6</v>
      </c>
      <c r="AR79" s="8">
        <f t="shared" si="28"/>
        <v>13.2</v>
      </c>
      <c r="AS79" s="8">
        <f t="shared" si="28"/>
        <v>15.9</v>
      </c>
      <c r="AT79" s="4">
        <f t="shared" si="28"/>
        <v>16.100000000000001</v>
      </c>
      <c r="AU79" s="4">
        <f t="shared" si="28"/>
        <v>14.6</v>
      </c>
      <c r="AZ79" s="4" t="s">
        <v>268</v>
      </c>
      <c r="BA79" s="17">
        <f t="shared" ref="BA79:BE79" si="29">AVERAGE(BA68:BA77)</f>
        <v>13.3</v>
      </c>
      <c r="BB79" s="17">
        <f t="shared" si="29"/>
        <v>13.577777777777778</v>
      </c>
      <c r="BC79" s="17">
        <f t="shared" si="29"/>
        <v>14</v>
      </c>
      <c r="BD79" s="17">
        <f t="shared" si="29"/>
        <v>14</v>
      </c>
      <c r="BE79" s="17">
        <f t="shared" si="29"/>
        <v>13.3</v>
      </c>
      <c r="BJ79" s="4" t="s">
        <v>268</v>
      </c>
      <c r="BK79" s="4">
        <f t="shared" ref="BK79:BO79" si="30">AVERAGE(BK68:BK77)</f>
        <v>12.8</v>
      </c>
      <c r="BL79" s="8">
        <f t="shared" si="30"/>
        <v>14.277777777777777</v>
      </c>
      <c r="BM79" s="8">
        <f t="shared" si="30"/>
        <v>13.7</v>
      </c>
      <c r="BN79" s="4">
        <f t="shared" si="30"/>
        <v>14.2</v>
      </c>
      <c r="BO79" s="4">
        <f t="shared" si="30"/>
        <v>10.6</v>
      </c>
      <c r="BT79" s="4" t="s">
        <v>268</v>
      </c>
      <c r="BU79" s="4">
        <f t="shared" ref="BU79:BY79" si="31">AVERAGE(BU68:BU77)</f>
        <v>13.5</v>
      </c>
      <c r="BV79" s="8">
        <f t="shared" si="31"/>
        <v>14.188888888888892</v>
      </c>
      <c r="BW79" s="8">
        <f t="shared" si="31"/>
        <v>12</v>
      </c>
      <c r="BX79" s="4">
        <f t="shared" si="31"/>
        <v>13.9</v>
      </c>
      <c r="BY79" s="4">
        <f t="shared" si="31"/>
        <v>12.4</v>
      </c>
    </row>
    <row r="80" spans="1:79" ht="14.25" customHeight="1" x14ac:dyDescent="0.3">
      <c r="A80" s="4" t="s">
        <v>269</v>
      </c>
      <c r="B80" s="4">
        <f>SKEW(B58:B67)</f>
        <v>-0.13996134274554178</v>
      </c>
      <c r="C80" s="4"/>
      <c r="D80" s="4"/>
      <c r="E80" s="4"/>
      <c r="F80" s="4">
        <f>SKEW(F58:F67)</f>
        <v>0.46655999199968379</v>
      </c>
      <c r="K80" s="4" t="s">
        <v>269</v>
      </c>
      <c r="L80" s="4">
        <f>SKEW(L58:L67)</f>
        <v>0.30462331535588427</v>
      </c>
      <c r="M80" s="4"/>
      <c r="N80" s="4"/>
      <c r="O80" s="4"/>
      <c r="P80" s="4">
        <f>SKEW(P58:P67)</f>
        <v>0.45396684302428808</v>
      </c>
      <c r="U80" s="15" t="s">
        <v>269</v>
      </c>
      <c r="V80" s="15">
        <f>SKEW(V58:V67)</f>
        <v>0.31432963018565541</v>
      </c>
      <c r="W80" s="15"/>
      <c r="X80" s="15"/>
      <c r="Y80" s="15"/>
      <c r="Z80" s="15">
        <f>SKEW(Z58:Z67)</f>
        <v>0.11090339346573688</v>
      </c>
      <c r="AF80" s="4" t="s">
        <v>269</v>
      </c>
      <c r="AG80" s="4">
        <f>SKEW(AG58:AG67)</f>
        <v>1.2179112461736836</v>
      </c>
      <c r="AH80" s="4"/>
      <c r="AI80" s="4"/>
      <c r="AJ80" s="4"/>
      <c r="AK80" s="4">
        <f>SKEW(AK58:AK67)</f>
        <v>2.2458965504713095</v>
      </c>
      <c r="AP80" s="4" t="s">
        <v>269</v>
      </c>
      <c r="AQ80" s="4">
        <f>SKEW(AQ58:AQ67)</f>
        <v>-3.1606821798702958E-2</v>
      </c>
      <c r="AR80" s="4"/>
      <c r="AS80" s="4"/>
      <c r="AT80" s="4"/>
      <c r="AU80" s="4">
        <f>SKEW(AU58:AU67)</f>
        <v>0.22913361110862773</v>
      </c>
      <c r="AZ80" s="4" t="s">
        <v>269</v>
      </c>
      <c r="BA80" s="4">
        <f>SKEW(BA58:BA67)</f>
        <v>-0.15608475552877638</v>
      </c>
      <c r="BB80" s="4"/>
      <c r="BC80" s="4"/>
      <c r="BD80" s="4"/>
      <c r="BE80" s="4">
        <f>SKEW(BE58:BE67)</f>
        <v>0.48002901596414072</v>
      </c>
      <c r="BJ80" s="4" t="s">
        <v>269</v>
      </c>
      <c r="BK80" s="4">
        <f>SKEW(BK58:BK67)</f>
        <v>0.27828215170623671</v>
      </c>
      <c r="BL80" s="4"/>
      <c r="BM80" s="4"/>
      <c r="BN80" s="4"/>
      <c r="BO80" s="4">
        <f>SKEW(BO58:BO67)</f>
        <v>0.87218474872749696</v>
      </c>
      <c r="BT80" s="4" t="s">
        <v>269</v>
      </c>
      <c r="BU80" s="4">
        <f>SKEW(BU58:BU67)</f>
        <v>-0.462400563730615</v>
      </c>
      <c r="BV80" s="4"/>
      <c r="BW80" s="4"/>
      <c r="BX80" s="4"/>
      <c r="BY80" s="4">
        <f>SKEW(BY58:BY67)</f>
        <v>1.2712814894344642</v>
      </c>
    </row>
    <row r="81" spans="1:79" ht="14.25" customHeight="1" x14ac:dyDescent="0.3">
      <c r="A81" s="4" t="s">
        <v>270</v>
      </c>
      <c r="B81" s="4">
        <f>SKEW(B68:B77)</f>
        <v>1.6326118138814814</v>
      </c>
      <c r="C81" s="4"/>
      <c r="D81" s="4"/>
      <c r="E81" s="4"/>
      <c r="F81" s="4">
        <f>SKEW(F68:F77)</f>
        <v>0.59505001956465153</v>
      </c>
      <c r="K81" s="4" t="s">
        <v>270</v>
      </c>
      <c r="L81" s="4">
        <f>SKEW(L68:L77)</f>
        <v>1.383636983967675</v>
      </c>
      <c r="M81" s="4"/>
      <c r="N81" s="4"/>
      <c r="O81" s="4"/>
      <c r="P81" s="4">
        <f>SKEW(P68:P77)</f>
        <v>1.462809813495533</v>
      </c>
      <c r="U81" s="4" t="s">
        <v>270</v>
      </c>
      <c r="V81" s="4">
        <f>SKEW(V68:V77)</f>
        <v>0.47303977142554682</v>
      </c>
      <c r="W81" s="4"/>
      <c r="X81" s="4"/>
      <c r="Y81" s="4"/>
      <c r="Z81" s="4">
        <f>SKEW(Z68:Z77)</f>
        <v>0.9861682927821096</v>
      </c>
      <c r="AF81" s="4" t="s">
        <v>270</v>
      </c>
      <c r="AG81" s="4">
        <f>SKEW(AG68:AG77)</f>
        <v>-0.18815203774570904</v>
      </c>
      <c r="AH81" s="4"/>
      <c r="AI81" s="4"/>
      <c r="AJ81" s="4"/>
      <c r="AK81" s="4">
        <f>SKEW(AK68:AK77)</f>
        <v>1.0156795849910627</v>
      </c>
      <c r="AP81" s="4" t="s">
        <v>270</v>
      </c>
      <c r="AQ81" s="4">
        <f>SKEW(AQ68:AQ77)</f>
        <v>0.72249363229268038</v>
      </c>
      <c r="AR81" s="4"/>
      <c r="AS81" s="4"/>
      <c r="AT81" s="4"/>
      <c r="AU81" s="4">
        <f>SKEW(AU68:AU77)</f>
        <v>0.63620540314864582</v>
      </c>
      <c r="AZ81" s="4" t="s">
        <v>270</v>
      </c>
      <c r="BA81" s="4">
        <f>SKEW(BA68:BA77)</f>
        <v>0.4993509232904656</v>
      </c>
      <c r="BB81" s="4"/>
      <c r="BC81" s="4"/>
      <c r="BD81" s="4"/>
      <c r="BE81" s="4">
        <f>SKEW(BE68:BE77)</f>
        <v>0.68048218753466083</v>
      </c>
      <c r="BJ81" s="4" t="s">
        <v>270</v>
      </c>
      <c r="BK81" s="4">
        <f>SKEW(BK68:BK77)</f>
        <v>0.84365465300961018</v>
      </c>
      <c r="BL81" s="4"/>
      <c r="BM81" s="4"/>
      <c r="BN81" s="4"/>
      <c r="BO81" s="4">
        <f>SKEW(BO68:BO77)</f>
        <v>0.83702642105604708</v>
      </c>
      <c r="BT81" s="4" t="s">
        <v>270</v>
      </c>
      <c r="BU81" s="4">
        <f>SKEW(BU68:BU77)</f>
        <v>0.43719913621154621</v>
      </c>
      <c r="BV81" s="4"/>
      <c r="BW81" s="4"/>
      <c r="BX81" s="4"/>
      <c r="BY81" s="4">
        <f>SKEW(BY68:BY77)</f>
        <v>0.73047287884527001</v>
      </c>
    </row>
    <row r="82" spans="1:79" ht="14.25" customHeight="1" x14ac:dyDescent="0.3">
      <c r="A82" s="4" t="s">
        <v>271</v>
      </c>
      <c r="B82" s="4">
        <v>16.929914164188389</v>
      </c>
      <c r="C82" s="5"/>
      <c r="D82" s="5"/>
      <c r="K82" s="4" t="s">
        <v>271</v>
      </c>
      <c r="L82" s="4">
        <v>9.1275319212878845</v>
      </c>
      <c r="U82" s="4" t="s">
        <v>271</v>
      </c>
      <c r="V82" s="4">
        <v>29.0533877718137</v>
      </c>
      <c r="AF82" s="4" t="s">
        <v>271</v>
      </c>
      <c r="AG82" s="4">
        <v>41.383622981336273</v>
      </c>
      <c r="AP82" s="4" t="s">
        <v>271</v>
      </c>
      <c r="AQ82" s="4">
        <v>7.3136229194110687</v>
      </c>
      <c r="AZ82" s="4" t="s">
        <v>271</v>
      </c>
      <c r="BA82" s="4">
        <v>4.7861030203714474</v>
      </c>
      <c r="BJ82" s="4" t="s">
        <v>271</v>
      </c>
      <c r="BK82" s="4">
        <v>26.247759789546869</v>
      </c>
      <c r="BT82" s="4" t="s">
        <v>271</v>
      </c>
      <c r="BU82" s="4">
        <v>12.70025272173115</v>
      </c>
    </row>
    <row r="83" spans="1:79" ht="14.25" customHeight="1" x14ac:dyDescent="0.3">
      <c r="A83" s="4" t="s">
        <v>272</v>
      </c>
      <c r="B83" s="4">
        <v>7</v>
      </c>
      <c r="C83" s="5"/>
      <c r="D83" s="5"/>
      <c r="K83" s="4" t="s">
        <v>272</v>
      </c>
      <c r="L83" s="4">
        <v>11</v>
      </c>
      <c r="U83" s="4" t="s">
        <v>272</v>
      </c>
      <c r="V83" s="4">
        <v>11</v>
      </c>
      <c r="AF83" s="4" t="s">
        <v>272</v>
      </c>
      <c r="AG83" s="4">
        <v>14</v>
      </c>
      <c r="AP83" s="4" t="s">
        <v>272</v>
      </c>
      <c r="AQ83" s="4">
        <v>9</v>
      </c>
      <c r="AZ83" s="4" t="s">
        <v>272</v>
      </c>
      <c r="BA83" s="4">
        <v>7</v>
      </c>
      <c r="BJ83" s="4" t="s">
        <v>272</v>
      </c>
      <c r="BK83" s="4">
        <v>9</v>
      </c>
      <c r="BT83" s="4" t="s">
        <v>272</v>
      </c>
      <c r="BU83" s="4">
        <v>10</v>
      </c>
    </row>
    <row r="84" spans="1:79" ht="14.25" customHeight="1" x14ac:dyDescent="0.3">
      <c r="A84" s="11" t="s">
        <v>273</v>
      </c>
      <c r="B84" s="4">
        <f>B83*2</f>
        <v>14</v>
      </c>
      <c r="C84" s="5"/>
      <c r="D84" s="5"/>
      <c r="K84" s="11" t="s">
        <v>273</v>
      </c>
      <c r="L84" s="4">
        <f>L83*2</f>
        <v>22</v>
      </c>
      <c r="U84" s="11" t="s">
        <v>273</v>
      </c>
      <c r="V84" s="4">
        <f>V83*2</f>
        <v>22</v>
      </c>
      <c r="W84" s="5"/>
      <c r="X84" s="5"/>
      <c r="Y84" s="5"/>
      <c r="Z84" s="5"/>
      <c r="AB84" s="5"/>
      <c r="AF84" s="11" t="s">
        <v>273</v>
      </c>
      <c r="AG84" s="4">
        <f>AG83*2</f>
        <v>28</v>
      </c>
      <c r="AP84" s="11" t="s">
        <v>273</v>
      </c>
      <c r="AQ84" s="4">
        <f>AQ83*2</f>
        <v>18</v>
      </c>
      <c r="AZ84" s="11" t="s">
        <v>273</v>
      </c>
      <c r="BA84" s="4">
        <f>BA83*2</f>
        <v>14</v>
      </c>
      <c r="BJ84" s="11" t="s">
        <v>273</v>
      </c>
      <c r="BK84" s="4">
        <f>BK83*2</f>
        <v>18</v>
      </c>
      <c r="BT84" s="11" t="s">
        <v>273</v>
      </c>
      <c r="BU84" s="4">
        <f>BU83*2</f>
        <v>20</v>
      </c>
    </row>
    <row r="85" spans="1:79" ht="14.25" customHeight="1" x14ac:dyDescent="0.3">
      <c r="Y85" s="5" t="s">
        <v>283</v>
      </c>
    </row>
    <row r="86" spans="1:79" ht="14.25" customHeight="1" x14ac:dyDescent="0.3"/>
    <row r="87" spans="1:79" ht="14.25" customHeight="1" x14ac:dyDescent="0.3"/>
    <row r="88" spans="1:79" ht="14.25" customHeight="1" x14ac:dyDescent="0.3">
      <c r="C88" s="5"/>
      <c r="D88" s="5"/>
      <c r="E88" s="5"/>
      <c r="F88" s="5"/>
      <c r="L88" s="5"/>
      <c r="M88" s="5"/>
      <c r="N88" s="5"/>
      <c r="O88" s="5"/>
      <c r="W88" s="5"/>
      <c r="X88" s="5"/>
      <c r="Y88" s="5"/>
      <c r="Z88" s="5"/>
      <c r="AH88" s="5"/>
      <c r="AI88" s="5"/>
      <c r="AJ88" s="5"/>
      <c r="AK88" s="5"/>
      <c r="AR88" s="5"/>
      <c r="AS88" s="5"/>
      <c r="AT88" s="5"/>
      <c r="AU88" s="5"/>
    </row>
    <row r="89" spans="1:79" ht="14.25" customHeight="1" x14ac:dyDescent="0.3">
      <c r="A89" s="4" t="s">
        <v>284</v>
      </c>
      <c r="K89" s="4" t="s">
        <v>285</v>
      </c>
      <c r="U89" s="4" t="s">
        <v>286</v>
      </c>
      <c r="AF89" s="4" t="s">
        <v>287</v>
      </c>
      <c r="AP89" s="4" t="s">
        <v>288</v>
      </c>
      <c r="BA89" s="4" t="s">
        <v>289</v>
      </c>
      <c r="BB89" s="4"/>
      <c r="BC89" s="4"/>
      <c r="BD89" s="4"/>
      <c r="BE89" s="4"/>
      <c r="BK89" s="4" t="s">
        <v>290</v>
      </c>
      <c r="BL89" s="4"/>
      <c r="BM89" s="4"/>
      <c r="BN89" s="4"/>
      <c r="BO89" s="4"/>
      <c r="BU89" s="4" t="s">
        <v>291</v>
      </c>
      <c r="BV89" s="4"/>
      <c r="BW89" s="4"/>
      <c r="BX89" s="4"/>
      <c r="BY89" s="4"/>
    </row>
    <row r="90" spans="1:79" ht="14.25" customHeight="1" x14ac:dyDescent="0.3">
      <c r="A90" s="4" t="s">
        <v>232</v>
      </c>
      <c r="B90" s="4" t="s">
        <v>5</v>
      </c>
      <c r="C90" s="4" t="s">
        <v>241</v>
      </c>
      <c r="D90" s="7" t="s">
        <v>234</v>
      </c>
      <c r="E90" s="7" t="s">
        <v>235</v>
      </c>
      <c r="F90" s="4" t="s">
        <v>236</v>
      </c>
      <c r="G90" s="4" t="s">
        <v>237</v>
      </c>
      <c r="H90" s="4" t="s">
        <v>12</v>
      </c>
      <c r="K90" s="4" t="s">
        <v>232</v>
      </c>
      <c r="L90" s="4" t="s">
        <v>5</v>
      </c>
      <c r="M90" s="4" t="s">
        <v>242</v>
      </c>
      <c r="N90" s="7" t="s">
        <v>234</v>
      </c>
      <c r="O90" s="7" t="s">
        <v>235</v>
      </c>
      <c r="P90" s="4" t="s">
        <v>236</v>
      </c>
      <c r="Q90" s="4" t="s">
        <v>237</v>
      </c>
      <c r="R90" s="4" t="s">
        <v>12</v>
      </c>
      <c r="S90" s="18"/>
      <c r="U90" s="4" t="s">
        <v>232</v>
      </c>
      <c r="V90" s="4" t="s">
        <v>5</v>
      </c>
      <c r="W90" s="4" t="s">
        <v>243</v>
      </c>
      <c r="X90" s="7" t="s">
        <v>234</v>
      </c>
      <c r="Y90" s="7" t="s">
        <v>235</v>
      </c>
      <c r="Z90" s="4" t="s">
        <v>236</v>
      </c>
      <c r="AA90" s="4" t="s">
        <v>237</v>
      </c>
      <c r="AB90" s="4" t="s">
        <v>12</v>
      </c>
      <c r="AF90" s="4" t="s">
        <v>232</v>
      </c>
      <c r="AG90" s="4" t="s">
        <v>5</v>
      </c>
      <c r="AH90" s="4" t="s">
        <v>245</v>
      </c>
      <c r="AI90" s="7" t="s">
        <v>234</v>
      </c>
      <c r="AJ90" s="7" t="s">
        <v>235</v>
      </c>
      <c r="AK90" s="4" t="s">
        <v>236</v>
      </c>
      <c r="AL90" s="4" t="s">
        <v>237</v>
      </c>
      <c r="AM90" s="4" t="s">
        <v>12</v>
      </c>
      <c r="AP90" s="4" t="s">
        <v>232</v>
      </c>
      <c r="AQ90" s="4" t="s">
        <v>5</v>
      </c>
      <c r="AR90" s="4" t="s">
        <v>246</v>
      </c>
      <c r="AS90" s="7" t="s">
        <v>234</v>
      </c>
      <c r="AT90" s="7" t="s">
        <v>235</v>
      </c>
      <c r="AU90" s="4" t="s">
        <v>236</v>
      </c>
      <c r="AV90" s="4" t="s">
        <v>237</v>
      </c>
      <c r="AW90" s="4" t="s">
        <v>12</v>
      </c>
      <c r="AZ90" s="4" t="s">
        <v>232</v>
      </c>
      <c r="BA90" s="4" t="s">
        <v>5</v>
      </c>
      <c r="BB90" s="4" t="s">
        <v>233</v>
      </c>
      <c r="BC90" s="7" t="s">
        <v>234</v>
      </c>
      <c r="BD90" s="7" t="s">
        <v>235</v>
      </c>
      <c r="BE90" s="4" t="s">
        <v>236</v>
      </c>
      <c r="BF90" s="4" t="s">
        <v>237</v>
      </c>
      <c r="BG90" s="4" t="s">
        <v>12</v>
      </c>
      <c r="BJ90" s="4" t="s">
        <v>232</v>
      </c>
      <c r="BK90" s="4" t="s">
        <v>5</v>
      </c>
      <c r="BL90" s="4" t="s">
        <v>240</v>
      </c>
      <c r="BM90" s="7" t="s">
        <v>234</v>
      </c>
      <c r="BN90" s="7" t="s">
        <v>235</v>
      </c>
      <c r="BO90" s="4" t="s">
        <v>236</v>
      </c>
      <c r="BP90" s="4" t="s">
        <v>237</v>
      </c>
      <c r="BQ90" s="4" t="s">
        <v>12</v>
      </c>
      <c r="BT90" s="4" t="s">
        <v>232</v>
      </c>
      <c r="BU90" s="4" t="s">
        <v>5</v>
      </c>
      <c r="BV90" s="4" t="s">
        <v>241</v>
      </c>
      <c r="BW90" s="7" t="s">
        <v>234</v>
      </c>
      <c r="BX90" s="7" t="s">
        <v>235</v>
      </c>
      <c r="BY90" s="4" t="s">
        <v>236</v>
      </c>
      <c r="BZ90" s="4" t="s">
        <v>237</v>
      </c>
      <c r="CA90" s="4" t="s">
        <v>12</v>
      </c>
    </row>
    <row r="91" spans="1:79" ht="14.25" customHeight="1" x14ac:dyDescent="0.3">
      <c r="A91" s="4" t="s">
        <v>253</v>
      </c>
      <c r="B91" s="4">
        <v>4</v>
      </c>
      <c r="C91" s="8">
        <v>4</v>
      </c>
      <c r="D91" s="4">
        <v>4</v>
      </c>
      <c r="E91" s="4">
        <v>4</v>
      </c>
      <c r="F91" s="4">
        <v>7</v>
      </c>
      <c r="G91" s="4">
        <v>1.1425292918330761</v>
      </c>
      <c r="H91" s="4">
        <v>15</v>
      </c>
      <c r="K91" s="4" t="s">
        <v>253</v>
      </c>
      <c r="L91" s="4">
        <v>3</v>
      </c>
      <c r="M91" s="8">
        <v>6.1111111111111107</v>
      </c>
      <c r="N91" s="4">
        <v>1</v>
      </c>
      <c r="O91" s="4">
        <v>1</v>
      </c>
      <c r="P91" s="4">
        <v>10</v>
      </c>
      <c r="Q91" s="4">
        <v>1.1425292918330761</v>
      </c>
      <c r="R91" s="4">
        <v>15</v>
      </c>
      <c r="S91" s="9"/>
      <c r="U91" s="4" t="s">
        <v>253</v>
      </c>
      <c r="V91" s="4">
        <v>5</v>
      </c>
      <c r="W91" s="8">
        <v>4.2222222222222223</v>
      </c>
      <c r="X91" s="4">
        <v>5</v>
      </c>
      <c r="Y91" s="4">
        <v>4</v>
      </c>
      <c r="Z91" s="4">
        <v>7</v>
      </c>
      <c r="AA91" s="4">
        <v>1.1425292918330761</v>
      </c>
      <c r="AB91" s="4">
        <v>15</v>
      </c>
      <c r="AF91" s="4" t="s">
        <v>253</v>
      </c>
      <c r="AG91" s="4">
        <v>2</v>
      </c>
      <c r="AH91" s="8">
        <v>4.666666666666667</v>
      </c>
      <c r="AI91" s="4">
        <v>3</v>
      </c>
      <c r="AJ91" s="4">
        <v>2</v>
      </c>
      <c r="AK91" s="4">
        <v>7</v>
      </c>
      <c r="AL91" s="4">
        <v>1.1425292918330761</v>
      </c>
      <c r="AM91" s="4">
        <v>15</v>
      </c>
      <c r="AP91" s="4" t="s">
        <v>253</v>
      </c>
      <c r="AQ91" s="4">
        <v>5</v>
      </c>
      <c r="AR91" s="8">
        <v>6.1111111111111107</v>
      </c>
      <c r="AS91" s="4">
        <v>5</v>
      </c>
      <c r="AT91" s="4">
        <v>5</v>
      </c>
      <c r="AU91" s="4">
        <v>7</v>
      </c>
      <c r="AV91" s="4">
        <v>1.1425292918330761</v>
      </c>
      <c r="AW91" s="4">
        <v>15</v>
      </c>
      <c r="AZ91" s="4" t="s">
        <v>253</v>
      </c>
      <c r="BA91" s="4">
        <v>10</v>
      </c>
      <c r="BB91" s="8">
        <v>4.666666666666667</v>
      </c>
      <c r="BC91" s="4">
        <v>10</v>
      </c>
      <c r="BD91" s="4">
        <v>10</v>
      </c>
      <c r="BE91" s="4">
        <v>7</v>
      </c>
      <c r="BF91" s="4">
        <v>1.1425292918330761</v>
      </c>
      <c r="BG91" s="4">
        <v>15</v>
      </c>
      <c r="BJ91" s="4" t="s">
        <v>253</v>
      </c>
      <c r="BK91" s="4">
        <v>5</v>
      </c>
      <c r="BL91" s="8">
        <v>5.5555555555555554</v>
      </c>
      <c r="BM91" s="4">
        <v>6</v>
      </c>
      <c r="BN91" s="4">
        <v>6</v>
      </c>
      <c r="BO91" s="4">
        <v>7</v>
      </c>
      <c r="BP91" s="4">
        <v>1.1425292918330761</v>
      </c>
      <c r="BQ91" s="4">
        <v>15</v>
      </c>
      <c r="BT91" s="4" t="s">
        <v>253</v>
      </c>
      <c r="BU91" s="4">
        <v>6</v>
      </c>
      <c r="BV91" s="8">
        <v>4</v>
      </c>
      <c r="BW91" s="4">
        <v>6</v>
      </c>
      <c r="BX91" s="4">
        <v>6</v>
      </c>
      <c r="BY91" s="4">
        <v>7</v>
      </c>
      <c r="BZ91" s="4">
        <v>1.1425292918330761</v>
      </c>
      <c r="CA91" s="4">
        <v>15</v>
      </c>
    </row>
    <row r="92" spans="1:79" ht="14.25" customHeight="1" x14ac:dyDescent="0.3">
      <c r="A92" s="4" t="s">
        <v>254</v>
      </c>
      <c r="B92" s="4">
        <v>8</v>
      </c>
      <c r="C92" s="8">
        <v>7.333333333333333</v>
      </c>
      <c r="D92" s="4">
        <v>6</v>
      </c>
      <c r="E92" s="4">
        <v>8</v>
      </c>
      <c r="F92" s="4">
        <v>12</v>
      </c>
      <c r="G92" s="4">
        <v>0.80154659127182082</v>
      </c>
      <c r="H92" s="4">
        <v>19</v>
      </c>
      <c r="K92" s="4" t="s">
        <v>254</v>
      </c>
      <c r="L92" s="4">
        <v>3</v>
      </c>
      <c r="M92" s="8">
        <v>3.5555555555555554</v>
      </c>
      <c r="N92" s="4">
        <v>0</v>
      </c>
      <c r="O92" s="4">
        <v>0</v>
      </c>
      <c r="P92" s="4">
        <v>8</v>
      </c>
      <c r="Q92" s="4">
        <v>0.80154659127182082</v>
      </c>
      <c r="R92" s="4">
        <v>19</v>
      </c>
      <c r="S92" s="9"/>
      <c r="U92" s="4" t="s">
        <v>254</v>
      </c>
      <c r="V92" s="4">
        <v>2</v>
      </c>
      <c r="W92" s="8">
        <v>3.3333333333333335</v>
      </c>
      <c r="X92" s="4">
        <v>5</v>
      </c>
      <c r="Y92" s="4">
        <v>0</v>
      </c>
      <c r="Z92" s="4">
        <v>8</v>
      </c>
      <c r="AA92" s="4">
        <v>0.80154659127182082</v>
      </c>
      <c r="AB92" s="4">
        <v>19</v>
      </c>
      <c r="AF92" s="4" t="s">
        <v>254</v>
      </c>
      <c r="AG92" s="4">
        <v>3</v>
      </c>
      <c r="AH92" s="8">
        <v>5.2222222222222223</v>
      </c>
      <c r="AI92" s="4">
        <v>1</v>
      </c>
      <c r="AJ92" s="4">
        <v>0</v>
      </c>
      <c r="AK92" s="4">
        <v>8</v>
      </c>
      <c r="AL92" s="4">
        <v>0.80154659127182082</v>
      </c>
      <c r="AM92" s="4">
        <v>19</v>
      </c>
      <c r="AP92" s="4" t="s">
        <v>254</v>
      </c>
      <c r="AQ92" s="4">
        <v>7</v>
      </c>
      <c r="AR92" s="8">
        <v>6.5555555555555554</v>
      </c>
      <c r="AS92" s="4">
        <v>0</v>
      </c>
      <c r="AT92" s="4">
        <v>0</v>
      </c>
      <c r="AU92" s="4">
        <v>8</v>
      </c>
      <c r="AV92" s="4">
        <v>0.80154659127182082</v>
      </c>
      <c r="AW92" s="4">
        <v>19</v>
      </c>
      <c r="AZ92" s="4" t="s">
        <v>254</v>
      </c>
      <c r="BA92" s="4">
        <v>3</v>
      </c>
      <c r="BB92" s="8">
        <v>6.1111111111111107</v>
      </c>
      <c r="BC92" s="4">
        <v>2</v>
      </c>
      <c r="BD92" s="4">
        <v>3</v>
      </c>
      <c r="BE92" s="4">
        <v>8</v>
      </c>
      <c r="BF92" s="4">
        <v>0.80154659127182082</v>
      </c>
      <c r="BG92" s="4">
        <v>19</v>
      </c>
      <c r="BJ92" s="4" t="s">
        <v>254</v>
      </c>
      <c r="BK92" s="4">
        <v>4</v>
      </c>
      <c r="BL92" s="8">
        <v>5.8888888888888893</v>
      </c>
      <c r="BM92" s="4">
        <v>5</v>
      </c>
      <c r="BN92" s="4">
        <v>7</v>
      </c>
      <c r="BO92" s="4">
        <v>8</v>
      </c>
      <c r="BP92" s="4">
        <v>0.80154659127182082</v>
      </c>
      <c r="BQ92" s="4">
        <v>19</v>
      </c>
      <c r="BT92" s="4" t="s">
        <v>254</v>
      </c>
      <c r="BU92" s="4">
        <v>7</v>
      </c>
      <c r="BV92" s="8">
        <v>7.333333333333333</v>
      </c>
      <c r="BW92" s="4">
        <v>5</v>
      </c>
      <c r="BX92" s="4">
        <v>3</v>
      </c>
      <c r="BY92" s="4">
        <v>8</v>
      </c>
      <c r="BZ92" s="4">
        <v>0.80154659127182082</v>
      </c>
      <c r="CA92" s="4">
        <v>19</v>
      </c>
    </row>
    <row r="93" spans="1:79" ht="14.25" customHeight="1" x14ac:dyDescent="0.3">
      <c r="A93" s="4" t="s">
        <v>255</v>
      </c>
      <c r="B93" s="4">
        <v>1</v>
      </c>
      <c r="C93" s="8">
        <v>4.4444444444444446</v>
      </c>
      <c r="D93" s="4">
        <v>1</v>
      </c>
      <c r="E93" s="4">
        <v>1</v>
      </c>
      <c r="F93" s="4">
        <v>6</v>
      </c>
      <c r="G93" s="4">
        <v>0.75176560751023358</v>
      </c>
      <c r="H93" s="4">
        <v>15</v>
      </c>
      <c r="K93" s="4" t="s">
        <v>255</v>
      </c>
      <c r="L93" s="4">
        <v>0</v>
      </c>
      <c r="M93" s="8">
        <v>3.2222222222222223</v>
      </c>
      <c r="N93" s="4">
        <v>1</v>
      </c>
      <c r="O93" s="4">
        <v>1</v>
      </c>
      <c r="P93" s="4">
        <v>6</v>
      </c>
      <c r="Q93" s="4">
        <v>0.75176560751023358</v>
      </c>
      <c r="R93" s="4">
        <v>15</v>
      </c>
      <c r="S93" s="9"/>
      <c r="U93" s="4" t="s">
        <v>255</v>
      </c>
      <c r="V93" s="4">
        <v>4</v>
      </c>
      <c r="W93" s="8">
        <v>2.8888888888888888</v>
      </c>
      <c r="X93" s="4">
        <v>5</v>
      </c>
      <c r="Y93" s="4">
        <v>6</v>
      </c>
      <c r="Z93" s="4">
        <v>7</v>
      </c>
      <c r="AA93" s="4">
        <v>0.75176560751023358</v>
      </c>
      <c r="AB93" s="4">
        <v>15</v>
      </c>
      <c r="AF93" s="4" t="s">
        <v>255</v>
      </c>
      <c r="AG93" s="4">
        <v>1</v>
      </c>
      <c r="AH93" s="8">
        <v>2.6666666666666665</v>
      </c>
      <c r="AI93" s="4">
        <v>3</v>
      </c>
      <c r="AJ93" s="4">
        <v>2</v>
      </c>
      <c r="AK93" s="4">
        <v>7</v>
      </c>
      <c r="AL93" s="4">
        <v>0.75176560751023358</v>
      </c>
      <c r="AM93" s="4">
        <v>15</v>
      </c>
      <c r="AP93" s="4" t="s">
        <v>255</v>
      </c>
      <c r="AQ93" s="4">
        <v>2</v>
      </c>
      <c r="AR93" s="8">
        <v>4.333333333333333</v>
      </c>
      <c r="AS93" s="4">
        <v>1</v>
      </c>
      <c r="AT93" s="4">
        <v>2</v>
      </c>
      <c r="AU93" s="4">
        <v>6</v>
      </c>
      <c r="AV93" s="4">
        <v>0.75176560751023358</v>
      </c>
      <c r="AW93" s="4">
        <v>15</v>
      </c>
      <c r="AZ93" s="4" t="s">
        <v>255</v>
      </c>
      <c r="BA93" s="4">
        <v>1</v>
      </c>
      <c r="BB93" s="8">
        <v>2.1111111111111112</v>
      </c>
      <c r="BC93" s="4">
        <v>1</v>
      </c>
      <c r="BD93" s="4">
        <v>1</v>
      </c>
      <c r="BE93" s="4">
        <v>6</v>
      </c>
      <c r="BF93" s="4">
        <v>0.75176560751023358</v>
      </c>
      <c r="BG93" s="4">
        <v>15</v>
      </c>
      <c r="BJ93" s="4" t="s">
        <v>255</v>
      </c>
      <c r="BK93" s="4">
        <v>7</v>
      </c>
      <c r="BL93" s="8">
        <v>2.4444444444444446</v>
      </c>
      <c r="BM93" s="4">
        <v>7</v>
      </c>
      <c r="BN93" s="4">
        <v>7</v>
      </c>
      <c r="BO93" s="4">
        <v>6</v>
      </c>
      <c r="BP93" s="4">
        <v>0.75176560751023358</v>
      </c>
      <c r="BQ93" s="4">
        <v>15</v>
      </c>
      <c r="BT93" s="4" t="s">
        <v>255</v>
      </c>
      <c r="BU93" s="4">
        <v>4</v>
      </c>
      <c r="BV93" s="8">
        <v>4.4444444444444446</v>
      </c>
      <c r="BW93" s="4">
        <v>3</v>
      </c>
      <c r="BX93" s="4">
        <v>3</v>
      </c>
      <c r="BY93" s="4">
        <v>6</v>
      </c>
      <c r="BZ93" s="4">
        <v>0.75176560751023358</v>
      </c>
      <c r="CA93" s="4">
        <v>15</v>
      </c>
    </row>
    <row r="94" spans="1:79" ht="14.25" customHeight="1" x14ac:dyDescent="0.3">
      <c r="A94" s="4" t="s">
        <v>256</v>
      </c>
      <c r="B94" s="4">
        <v>4</v>
      </c>
      <c r="C94" s="8">
        <v>3.5555555555555554</v>
      </c>
      <c r="D94" s="4">
        <v>4</v>
      </c>
      <c r="E94" s="4">
        <v>4</v>
      </c>
      <c r="F94" s="4">
        <v>7</v>
      </c>
      <c r="G94" s="4">
        <v>0.70267762112263932</v>
      </c>
      <c r="H94" s="4">
        <v>17</v>
      </c>
      <c r="K94" s="4" t="s">
        <v>256</v>
      </c>
      <c r="L94" s="4">
        <v>3</v>
      </c>
      <c r="M94" s="8">
        <v>4.7777777777777777</v>
      </c>
      <c r="N94" s="4">
        <v>4</v>
      </c>
      <c r="O94" s="4">
        <v>1</v>
      </c>
      <c r="P94" s="4">
        <v>7</v>
      </c>
      <c r="Q94" s="4">
        <v>0.70267762112263932</v>
      </c>
      <c r="R94" s="4">
        <v>17</v>
      </c>
      <c r="S94" s="9"/>
      <c r="U94" s="4" t="s">
        <v>256</v>
      </c>
      <c r="V94" s="4">
        <v>6</v>
      </c>
      <c r="W94" s="8">
        <v>5.8888888888888893</v>
      </c>
      <c r="X94" s="4">
        <v>5</v>
      </c>
      <c r="Y94" s="4">
        <v>4</v>
      </c>
      <c r="Z94" s="4">
        <v>11</v>
      </c>
      <c r="AA94" s="4">
        <v>0.70267762112263932</v>
      </c>
      <c r="AB94" s="4">
        <v>17</v>
      </c>
      <c r="AF94" s="4" t="s">
        <v>256</v>
      </c>
      <c r="AG94" s="4">
        <v>5</v>
      </c>
      <c r="AH94" s="8">
        <v>5</v>
      </c>
      <c r="AI94" s="4">
        <v>3</v>
      </c>
      <c r="AJ94" s="4">
        <v>2</v>
      </c>
      <c r="AK94" s="4">
        <v>11</v>
      </c>
      <c r="AL94" s="4">
        <v>0.70267762112263932</v>
      </c>
      <c r="AM94" s="4">
        <v>17</v>
      </c>
      <c r="AP94" s="4" t="s">
        <v>256</v>
      </c>
      <c r="AQ94" s="4">
        <v>1</v>
      </c>
      <c r="AR94" s="8">
        <v>6.7777777777777777</v>
      </c>
      <c r="AS94" s="4">
        <v>5</v>
      </c>
      <c r="AT94" s="4">
        <v>5</v>
      </c>
      <c r="AU94" s="4">
        <v>7</v>
      </c>
      <c r="AV94" s="4">
        <v>0.70267762112263932</v>
      </c>
      <c r="AW94" s="4">
        <v>17</v>
      </c>
      <c r="AZ94" s="4" t="s">
        <v>256</v>
      </c>
      <c r="BA94" s="4">
        <v>9</v>
      </c>
      <c r="BB94" s="8">
        <v>4.666666666666667</v>
      </c>
      <c r="BC94" s="4">
        <v>6</v>
      </c>
      <c r="BD94" s="4">
        <v>5</v>
      </c>
      <c r="BE94" s="4">
        <v>7</v>
      </c>
      <c r="BF94" s="4">
        <v>0.70267762112263932</v>
      </c>
      <c r="BG94" s="4">
        <v>17</v>
      </c>
      <c r="BJ94" s="4" t="s">
        <v>256</v>
      </c>
      <c r="BK94" s="4">
        <v>2</v>
      </c>
      <c r="BL94" s="8">
        <v>5.1111111111111107</v>
      </c>
      <c r="BM94" s="4">
        <v>1</v>
      </c>
      <c r="BN94" s="4">
        <v>0</v>
      </c>
      <c r="BO94" s="4">
        <v>7</v>
      </c>
      <c r="BP94" s="4">
        <v>0.70267762112263932</v>
      </c>
      <c r="BQ94" s="4">
        <v>17</v>
      </c>
      <c r="BT94" s="4" t="s">
        <v>256</v>
      </c>
      <c r="BU94" s="4">
        <v>0</v>
      </c>
      <c r="BV94" s="8">
        <v>3.5555555555555554</v>
      </c>
      <c r="BW94" s="4">
        <v>0</v>
      </c>
      <c r="BX94" s="4">
        <v>0</v>
      </c>
      <c r="BY94" s="4">
        <v>7</v>
      </c>
      <c r="BZ94" s="4">
        <v>0.70267762112263932</v>
      </c>
      <c r="CA94" s="4">
        <v>17</v>
      </c>
    </row>
    <row r="95" spans="1:79" ht="14.25" customHeight="1" x14ac:dyDescent="0.3">
      <c r="A95" s="4" t="s">
        <v>252</v>
      </c>
      <c r="B95" s="4">
        <v>1</v>
      </c>
      <c r="C95" s="8">
        <v>6.5555555555555554</v>
      </c>
      <c r="D95" s="4">
        <v>1</v>
      </c>
      <c r="E95" s="4">
        <v>1</v>
      </c>
      <c r="F95" s="4">
        <v>6</v>
      </c>
      <c r="G95" s="4">
        <v>0.70256358269933272</v>
      </c>
      <c r="H95" s="4">
        <v>15</v>
      </c>
      <c r="K95" s="4" t="s">
        <v>252</v>
      </c>
      <c r="L95" s="4">
        <v>5</v>
      </c>
      <c r="M95" s="8">
        <v>6.7777777777777777</v>
      </c>
      <c r="N95" s="4">
        <v>2</v>
      </c>
      <c r="O95" s="4">
        <v>3</v>
      </c>
      <c r="P95" s="4">
        <v>10</v>
      </c>
      <c r="Q95" s="4">
        <v>0.70256358269933272</v>
      </c>
      <c r="R95" s="4">
        <v>15</v>
      </c>
      <c r="S95" s="9"/>
      <c r="U95" s="4" t="s">
        <v>252</v>
      </c>
      <c r="V95" s="4">
        <v>5</v>
      </c>
      <c r="W95" s="8">
        <v>4.2222222222222223</v>
      </c>
      <c r="X95" s="4">
        <v>5</v>
      </c>
      <c r="Y95" s="4">
        <v>4</v>
      </c>
      <c r="Z95" s="4">
        <v>6</v>
      </c>
      <c r="AA95" s="4">
        <v>0.70256358269933272</v>
      </c>
      <c r="AB95" s="4">
        <v>15</v>
      </c>
      <c r="AF95" s="4" t="s">
        <v>252</v>
      </c>
      <c r="AG95" s="4">
        <v>12</v>
      </c>
      <c r="AH95" s="8">
        <v>6.2222222222222223</v>
      </c>
      <c r="AI95" s="4">
        <v>13</v>
      </c>
      <c r="AJ95" s="4">
        <v>9</v>
      </c>
      <c r="AK95" s="4">
        <v>6</v>
      </c>
      <c r="AL95" s="4">
        <v>0.70256358269933272</v>
      </c>
      <c r="AM95" s="4">
        <v>15</v>
      </c>
      <c r="AP95" s="4" t="s">
        <v>252</v>
      </c>
      <c r="AQ95" s="4">
        <v>10</v>
      </c>
      <c r="AR95" s="8">
        <v>8.1111111111111107</v>
      </c>
      <c r="AS95" s="4">
        <v>10</v>
      </c>
      <c r="AT95" s="4">
        <v>10</v>
      </c>
      <c r="AU95" s="4">
        <v>6</v>
      </c>
      <c r="AV95" s="4">
        <v>0.70256358269933272</v>
      </c>
      <c r="AW95" s="4">
        <v>15</v>
      </c>
      <c r="AZ95" s="4" t="s">
        <v>252</v>
      </c>
      <c r="BA95" s="4">
        <v>9</v>
      </c>
      <c r="BB95" s="8">
        <v>5.5555555555555554</v>
      </c>
      <c r="BC95" s="4">
        <v>9</v>
      </c>
      <c r="BD95" s="4">
        <v>9</v>
      </c>
      <c r="BE95" s="4">
        <v>6</v>
      </c>
      <c r="BF95" s="4">
        <v>0.70256358269933272</v>
      </c>
      <c r="BG95" s="4">
        <v>15</v>
      </c>
      <c r="BJ95" s="4" t="s">
        <v>252</v>
      </c>
      <c r="BK95" s="4">
        <v>11</v>
      </c>
      <c r="BL95" s="8">
        <v>6.666666666666667</v>
      </c>
      <c r="BM95" s="4">
        <v>11</v>
      </c>
      <c r="BN95" s="4">
        <v>11</v>
      </c>
      <c r="BO95" s="4">
        <v>6</v>
      </c>
      <c r="BP95" s="4">
        <v>0.70256358269933272</v>
      </c>
      <c r="BQ95" s="4">
        <v>15</v>
      </c>
      <c r="BT95" s="4" t="s">
        <v>252</v>
      </c>
      <c r="BU95" s="4">
        <v>14</v>
      </c>
      <c r="BV95" s="8">
        <v>6.5555555555555554</v>
      </c>
      <c r="BW95" s="4">
        <v>14</v>
      </c>
      <c r="BX95" s="4">
        <v>15</v>
      </c>
      <c r="BY95" s="4">
        <v>7</v>
      </c>
      <c r="BZ95" s="4">
        <v>0.70256358269933272</v>
      </c>
      <c r="CA95" s="4">
        <v>15</v>
      </c>
    </row>
    <row r="96" spans="1:79" ht="14.25" customHeight="1" x14ac:dyDescent="0.3">
      <c r="A96" s="4" t="s">
        <v>250</v>
      </c>
      <c r="B96" s="4">
        <v>4</v>
      </c>
      <c r="C96" s="8">
        <v>5.4444444444444446</v>
      </c>
      <c r="D96" s="4">
        <v>4</v>
      </c>
      <c r="E96" s="4">
        <v>4</v>
      </c>
      <c r="F96" s="4">
        <v>6</v>
      </c>
      <c r="G96" s="4">
        <v>0.67691586229508371</v>
      </c>
      <c r="H96" s="4">
        <v>15</v>
      </c>
      <c r="K96" s="4" t="s">
        <v>250</v>
      </c>
      <c r="L96" s="4">
        <v>1</v>
      </c>
      <c r="M96" s="8">
        <v>3.8888888888888888</v>
      </c>
      <c r="N96" s="4">
        <v>1</v>
      </c>
      <c r="O96" s="4">
        <v>0</v>
      </c>
      <c r="P96" s="4">
        <v>6</v>
      </c>
      <c r="Q96" s="4">
        <v>0.67691586229508371</v>
      </c>
      <c r="R96" s="4">
        <v>15</v>
      </c>
      <c r="S96" s="9"/>
      <c r="U96" s="4" t="s">
        <v>250</v>
      </c>
      <c r="V96" s="4">
        <v>9</v>
      </c>
      <c r="W96" s="8">
        <v>6.8888888888888893</v>
      </c>
      <c r="X96" s="4">
        <v>5</v>
      </c>
      <c r="Y96" s="4">
        <v>6</v>
      </c>
      <c r="Z96" s="4">
        <v>6</v>
      </c>
      <c r="AA96" s="4">
        <v>0.67691586229508371</v>
      </c>
      <c r="AB96" s="4">
        <v>15</v>
      </c>
      <c r="AF96" s="4" t="s">
        <v>250</v>
      </c>
      <c r="AG96" s="4">
        <v>0</v>
      </c>
      <c r="AH96" s="8">
        <v>1.5555555555555556</v>
      </c>
      <c r="AI96" s="4">
        <v>0</v>
      </c>
      <c r="AJ96" s="4">
        <v>0</v>
      </c>
      <c r="AK96" s="4">
        <v>6</v>
      </c>
      <c r="AL96" s="4">
        <v>0.67691586229508371</v>
      </c>
      <c r="AM96" s="4">
        <v>15</v>
      </c>
      <c r="AP96" s="4" t="s">
        <v>250</v>
      </c>
      <c r="AQ96" s="4">
        <v>7</v>
      </c>
      <c r="AR96" s="8">
        <v>3.1111111111111112</v>
      </c>
      <c r="AS96" s="4">
        <v>2</v>
      </c>
      <c r="AT96" s="4">
        <v>3</v>
      </c>
      <c r="AU96" s="4">
        <v>7</v>
      </c>
      <c r="AV96" s="4">
        <v>0.67691586229508371</v>
      </c>
      <c r="AW96" s="4">
        <v>15</v>
      </c>
      <c r="AZ96" s="4" t="s">
        <v>250</v>
      </c>
      <c r="BA96" s="4">
        <v>2</v>
      </c>
      <c r="BB96" s="8">
        <v>5.1111111111111107</v>
      </c>
      <c r="BC96" s="4">
        <v>3</v>
      </c>
      <c r="BD96" s="4">
        <v>3</v>
      </c>
      <c r="BE96" s="4">
        <v>6</v>
      </c>
      <c r="BF96" s="4">
        <v>0.67691586229508371</v>
      </c>
      <c r="BG96" s="4">
        <v>15</v>
      </c>
      <c r="BJ96" s="4" t="s">
        <v>250</v>
      </c>
      <c r="BK96" s="4">
        <v>7</v>
      </c>
      <c r="BL96" s="8">
        <v>5.333333333333333</v>
      </c>
      <c r="BM96" s="4">
        <v>7</v>
      </c>
      <c r="BN96" s="4">
        <v>7</v>
      </c>
      <c r="BO96" s="4">
        <v>6</v>
      </c>
      <c r="BP96" s="4">
        <v>0.67691586229508371</v>
      </c>
      <c r="BQ96" s="4">
        <v>15</v>
      </c>
      <c r="BT96" s="4" t="s">
        <v>250</v>
      </c>
      <c r="BU96" s="4">
        <v>7</v>
      </c>
      <c r="BV96" s="8">
        <v>5.4444444444444446</v>
      </c>
      <c r="BW96" s="4">
        <v>5</v>
      </c>
      <c r="BX96" s="4">
        <v>5</v>
      </c>
      <c r="BY96" s="4">
        <v>6</v>
      </c>
      <c r="BZ96" s="4">
        <v>0.67691586229508371</v>
      </c>
      <c r="CA96" s="4">
        <v>15</v>
      </c>
    </row>
    <row r="97" spans="1:79" ht="14.25" customHeight="1" x14ac:dyDescent="0.3">
      <c r="A97" s="4" t="s">
        <v>251</v>
      </c>
      <c r="B97" s="4">
        <v>1</v>
      </c>
      <c r="C97" s="8">
        <v>4.666666666666667</v>
      </c>
      <c r="D97" s="4">
        <v>0</v>
      </c>
      <c r="E97" s="4">
        <v>4</v>
      </c>
      <c r="F97" s="4">
        <v>6</v>
      </c>
      <c r="G97" s="4">
        <v>0.655473679459604</v>
      </c>
      <c r="H97" s="4">
        <v>15</v>
      </c>
      <c r="K97" s="4" t="s">
        <v>251</v>
      </c>
      <c r="L97" s="4">
        <v>14</v>
      </c>
      <c r="M97" s="8">
        <v>10</v>
      </c>
      <c r="N97" s="4">
        <v>11</v>
      </c>
      <c r="O97" s="4">
        <v>10</v>
      </c>
      <c r="P97" s="4">
        <v>6</v>
      </c>
      <c r="Q97" s="4">
        <v>0.655473679459604</v>
      </c>
      <c r="R97" s="4">
        <v>15</v>
      </c>
      <c r="S97" s="9"/>
      <c r="U97" s="4" t="s">
        <v>251</v>
      </c>
      <c r="V97" s="4">
        <v>1</v>
      </c>
      <c r="W97" s="8">
        <v>6.2222222222222223</v>
      </c>
      <c r="X97" s="4">
        <v>5</v>
      </c>
      <c r="Y97" s="4">
        <v>0</v>
      </c>
      <c r="Z97" s="4">
        <v>6</v>
      </c>
      <c r="AA97" s="4">
        <v>0.655473679459604</v>
      </c>
      <c r="AB97" s="4">
        <v>15</v>
      </c>
      <c r="AF97" s="4" t="s">
        <v>251</v>
      </c>
      <c r="AG97" s="4">
        <v>11</v>
      </c>
      <c r="AH97" s="8">
        <v>8.3333333333333339</v>
      </c>
      <c r="AI97" s="4">
        <v>11</v>
      </c>
      <c r="AJ97" s="4">
        <v>10</v>
      </c>
      <c r="AK97" s="4">
        <v>6</v>
      </c>
      <c r="AL97" s="4">
        <v>0.655473679459604</v>
      </c>
      <c r="AM97" s="4">
        <v>15</v>
      </c>
      <c r="AP97" s="4" t="s">
        <v>251</v>
      </c>
      <c r="AQ97" s="4">
        <v>10</v>
      </c>
      <c r="AR97" s="8">
        <v>9.2222222222222214</v>
      </c>
      <c r="AS97" s="4">
        <v>7</v>
      </c>
      <c r="AT97" s="4">
        <v>4</v>
      </c>
      <c r="AU97" s="4">
        <v>6</v>
      </c>
      <c r="AV97" s="4">
        <v>0.655473679459604</v>
      </c>
      <c r="AW97" s="4">
        <v>15</v>
      </c>
      <c r="AZ97" s="4" t="s">
        <v>251</v>
      </c>
      <c r="BA97" s="4">
        <v>5</v>
      </c>
      <c r="BB97" s="8">
        <v>3.3333333333333335</v>
      </c>
      <c r="BC97" s="4">
        <v>3</v>
      </c>
      <c r="BD97" s="4">
        <v>2</v>
      </c>
      <c r="BE97" s="4">
        <v>6</v>
      </c>
      <c r="BF97" s="4">
        <v>0.655473679459604</v>
      </c>
      <c r="BG97" s="4">
        <v>15</v>
      </c>
      <c r="BJ97" s="4" t="s">
        <v>251</v>
      </c>
      <c r="BK97" s="4">
        <v>4</v>
      </c>
      <c r="BL97" s="8">
        <v>4.2222222222222223</v>
      </c>
      <c r="BM97" s="4">
        <v>4</v>
      </c>
      <c r="BN97" s="4">
        <v>4</v>
      </c>
      <c r="BO97" s="4">
        <v>6</v>
      </c>
      <c r="BP97" s="4">
        <v>0.655473679459604</v>
      </c>
      <c r="BQ97" s="4">
        <v>15</v>
      </c>
      <c r="BT97" s="4" t="s">
        <v>251</v>
      </c>
      <c r="BU97" s="4">
        <v>7</v>
      </c>
      <c r="BV97" s="8">
        <v>4.666666666666667</v>
      </c>
      <c r="BW97" s="4">
        <v>8</v>
      </c>
      <c r="BX97" s="4">
        <v>8</v>
      </c>
      <c r="BY97" s="4">
        <v>7</v>
      </c>
      <c r="BZ97" s="4">
        <v>0.655473679459604</v>
      </c>
      <c r="CA97" s="4">
        <v>15</v>
      </c>
    </row>
    <row r="98" spans="1:79" ht="14.25" customHeight="1" x14ac:dyDescent="0.3">
      <c r="A98" s="4" t="s">
        <v>248</v>
      </c>
      <c r="B98" s="4">
        <v>2</v>
      </c>
      <c r="C98" s="8">
        <v>5.2222222222222223</v>
      </c>
      <c r="D98" s="4">
        <v>3</v>
      </c>
      <c r="E98" s="4">
        <v>3</v>
      </c>
      <c r="F98" s="4">
        <v>5</v>
      </c>
      <c r="G98" s="4">
        <v>0.62268266964537045</v>
      </c>
      <c r="H98" s="4">
        <v>15</v>
      </c>
      <c r="K98" s="4" t="s">
        <v>248</v>
      </c>
      <c r="L98" s="4">
        <v>0</v>
      </c>
      <c r="M98" s="8">
        <v>3.6666666666666665</v>
      </c>
      <c r="N98" s="4">
        <v>0</v>
      </c>
      <c r="O98" s="4">
        <v>0</v>
      </c>
      <c r="P98" s="4">
        <v>5</v>
      </c>
      <c r="Q98" s="4">
        <v>0.62268266964537045</v>
      </c>
      <c r="R98" s="4">
        <v>15</v>
      </c>
      <c r="S98" s="9"/>
      <c r="U98" s="4" t="s">
        <v>248</v>
      </c>
      <c r="V98" s="4">
        <v>10</v>
      </c>
      <c r="W98" s="8">
        <v>6.4444444444444446</v>
      </c>
      <c r="X98" s="4">
        <v>6</v>
      </c>
      <c r="Y98" s="4">
        <v>10</v>
      </c>
      <c r="Z98" s="4">
        <v>5</v>
      </c>
      <c r="AA98" s="4">
        <v>0.62268266964537045</v>
      </c>
      <c r="AB98" s="4">
        <v>15</v>
      </c>
      <c r="AF98" s="4" t="s">
        <v>248</v>
      </c>
      <c r="AG98" s="4">
        <v>6</v>
      </c>
      <c r="AH98" s="8">
        <v>3.4444444444444446</v>
      </c>
      <c r="AI98" s="4">
        <v>5</v>
      </c>
      <c r="AJ98" s="4">
        <v>5</v>
      </c>
      <c r="AK98" s="4">
        <v>5</v>
      </c>
      <c r="AL98" s="4">
        <v>0.62268266964537045</v>
      </c>
      <c r="AM98" s="4">
        <v>15</v>
      </c>
      <c r="AP98" s="4" t="s">
        <v>248</v>
      </c>
      <c r="AQ98" s="4">
        <v>3</v>
      </c>
      <c r="AR98" s="8">
        <v>4.4444444444444446</v>
      </c>
      <c r="AS98" s="4">
        <v>0</v>
      </c>
      <c r="AT98" s="4">
        <v>1</v>
      </c>
      <c r="AU98" s="4">
        <v>5</v>
      </c>
      <c r="AV98" s="4">
        <v>0.62268266964537045</v>
      </c>
      <c r="AW98" s="4">
        <v>15</v>
      </c>
      <c r="AZ98" s="4" t="s">
        <v>248</v>
      </c>
      <c r="BA98" s="4">
        <v>2</v>
      </c>
      <c r="BB98" s="8">
        <v>2.5555555555555554</v>
      </c>
      <c r="BC98" s="4">
        <v>0</v>
      </c>
      <c r="BD98" s="4">
        <v>8</v>
      </c>
      <c r="BE98" s="4">
        <v>5</v>
      </c>
      <c r="BF98" s="4">
        <v>0.62268266964537045</v>
      </c>
      <c r="BG98" s="4">
        <v>15</v>
      </c>
      <c r="BJ98" s="4" t="s">
        <v>248</v>
      </c>
      <c r="BK98" s="4">
        <v>10</v>
      </c>
      <c r="BL98" s="8">
        <v>4.4444444444444446</v>
      </c>
      <c r="BM98" s="4">
        <v>10</v>
      </c>
      <c r="BN98" s="4">
        <v>10</v>
      </c>
      <c r="BO98" s="4">
        <v>5</v>
      </c>
      <c r="BP98" s="4">
        <v>0.62268266964537045</v>
      </c>
      <c r="BQ98" s="4">
        <v>15</v>
      </c>
      <c r="BT98" s="4" t="s">
        <v>248</v>
      </c>
      <c r="BU98" s="4">
        <v>6</v>
      </c>
      <c r="BV98" s="8">
        <v>5.2222222222222223</v>
      </c>
      <c r="BW98" s="4">
        <v>6</v>
      </c>
      <c r="BX98" s="4">
        <v>6</v>
      </c>
      <c r="BY98" s="4">
        <v>5</v>
      </c>
      <c r="BZ98" s="4">
        <v>0.62268266964537045</v>
      </c>
      <c r="CA98" s="4">
        <v>15</v>
      </c>
    </row>
    <row r="99" spans="1:79" ht="14.25" customHeight="1" x14ac:dyDescent="0.3">
      <c r="A99" s="4" t="s">
        <v>247</v>
      </c>
      <c r="B99" s="4">
        <v>3</v>
      </c>
      <c r="C99" s="8">
        <v>5.5555555555555554</v>
      </c>
      <c r="D99" s="4">
        <v>2</v>
      </c>
      <c r="E99" s="4">
        <v>1</v>
      </c>
      <c r="F99" s="4">
        <v>6</v>
      </c>
      <c r="G99" s="4">
        <v>0.53747605471157822</v>
      </c>
      <c r="H99" s="4">
        <v>15</v>
      </c>
      <c r="K99" s="4" t="s">
        <v>247</v>
      </c>
      <c r="L99" s="4">
        <v>0</v>
      </c>
      <c r="M99" s="8">
        <v>4.5555555555555554</v>
      </c>
      <c r="N99" s="4">
        <v>0</v>
      </c>
      <c r="O99" s="4">
        <v>0</v>
      </c>
      <c r="P99" s="4">
        <v>6</v>
      </c>
      <c r="Q99" s="4">
        <v>0.53747605471157822</v>
      </c>
      <c r="R99" s="4">
        <v>15</v>
      </c>
      <c r="S99" s="9"/>
      <c r="U99" s="4" t="s">
        <v>247</v>
      </c>
      <c r="V99" s="4">
        <v>9</v>
      </c>
      <c r="W99" s="8">
        <v>5.333333333333333</v>
      </c>
      <c r="X99" s="4">
        <v>5</v>
      </c>
      <c r="Y99" s="4">
        <v>0</v>
      </c>
      <c r="Z99" s="4">
        <v>6</v>
      </c>
      <c r="AA99" s="4">
        <v>0.53747605471157822</v>
      </c>
      <c r="AB99" s="4">
        <v>15</v>
      </c>
      <c r="AF99" s="4" t="s">
        <v>247</v>
      </c>
      <c r="AG99" s="4">
        <v>9</v>
      </c>
      <c r="AH99" s="8">
        <v>5.333333333333333</v>
      </c>
      <c r="AI99" s="4">
        <v>1</v>
      </c>
      <c r="AJ99" s="4">
        <v>1</v>
      </c>
      <c r="AK99" s="4">
        <v>6</v>
      </c>
      <c r="AL99" s="4">
        <v>0.53747605471157822</v>
      </c>
      <c r="AM99" s="4">
        <v>15</v>
      </c>
      <c r="AP99" s="4" t="s">
        <v>247</v>
      </c>
      <c r="AQ99" s="4">
        <v>11</v>
      </c>
      <c r="AR99" s="8">
        <v>6.4444444444444446</v>
      </c>
      <c r="AS99" s="4">
        <v>4</v>
      </c>
      <c r="AT99" s="4">
        <v>1</v>
      </c>
      <c r="AU99" s="4">
        <v>6</v>
      </c>
      <c r="AV99" s="4">
        <v>0.53747605471157822</v>
      </c>
      <c r="AW99" s="4">
        <v>15</v>
      </c>
      <c r="AZ99" s="4" t="s">
        <v>247</v>
      </c>
      <c r="BA99" s="4">
        <v>5</v>
      </c>
      <c r="BB99" s="8">
        <v>5.4444444444444446</v>
      </c>
      <c r="BC99" s="4">
        <v>1</v>
      </c>
      <c r="BD99" s="4">
        <v>1</v>
      </c>
      <c r="BE99" s="4">
        <v>6</v>
      </c>
      <c r="BF99" s="4">
        <v>0.53747605471157822</v>
      </c>
      <c r="BG99" s="4">
        <v>15</v>
      </c>
      <c r="BJ99" s="4" t="s">
        <v>247</v>
      </c>
      <c r="BK99" s="4">
        <v>2</v>
      </c>
      <c r="BL99" s="8">
        <v>3.4444444444444446</v>
      </c>
      <c r="BM99" s="4">
        <v>2</v>
      </c>
      <c r="BN99" s="4">
        <v>2</v>
      </c>
      <c r="BO99" s="4">
        <v>6</v>
      </c>
      <c r="BP99" s="4">
        <v>0.53747605471157822</v>
      </c>
      <c r="BQ99" s="4">
        <v>15</v>
      </c>
      <c r="BT99" s="4" t="s">
        <v>247</v>
      </c>
      <c r="BU99" s="4">
        <v>2</v>
      </c>
      <c r="BV99" s="8">
        <v>5.5555555555555554</v>
      </c>
      <c r="BW99" s="4">
        <v>2</v>
      </c>
      <c r="BX99" s="4">
        <v>2</v>
      </c>
      <c r="BY99" s="4">
        <v>6</v>
      </c>
      <c r="BZ99" s="4">
        <v>0.53747605471157822</v>
      </c>
      <c r="CA99" s="4">
        <v>15</v>
      </c>
    </row>
    <row r="100" spans="1:79" ht="14.25" customHeight="1" x14ac:dyDescent="0.3">
      <c r="A100" s="4" t="s">
        <v>249</v>
      </c>
      <c r="B100" s="4">
        <v>2</v>
      </c>
      <c r="C100" s="8">
        <v>5.4444444444444446</v>
      </c>
      <c r="D100" s="4">
        <v>2</v>
      </c>
      <c r="E100" s="4">
        <v>2</v>
      </c>
      <c r="F100" s="4">
        <v>12</v>
      </c>
      <c r="G100" s="4">
        <v>0.52426836588405112</v>
      </c>
      <c r="H100" s="4">
        <v>19</v>
      </c>
      <c r="K100" s="4" t="s">
        <v>249</v>
      </c>
      <c r="L100" s="4">
        <v>8</v>
      </c>
      <c r="M100" s="8">
        <v>5.333333333333333</v>
      </c>
      <c r="N100" s="4">
        <v>7</v>
      </c>
      <c r="O100" s="4">
        <v>7</v>
      </c>
      <c r="P100" s="4">
        <v>8</v>
      </c>
      <c r="Q100" s="4">
        <v>0.52426836588405112</v>
      </c>
      <c r="R100" s="4">
        <v>19</v>
      </c>
      <c r="S100" s="9"/>
      <c r="U100" s="4" t="s">
        <v>249</v>
      </c>
      <c r="V100" s="4">
        <v>10</v>
      </c>
      <c r="W100" s="8">
        <v>8.1111111111111107</v>
      </c>
      <c r="X100" s="4">
        <v>6</v>
      </c>
      <c r="Y100" s="4">
        <v>10</v>
      </c>
      <c r="Z100" s="4">
        <v>10</v>
      </c>
      <c r="AA100" s="4">
        <v>0.52426836588405112</v>
      </c>
      <c r="AB100" s="4">
        <v>19</v>
      </c>
      <c r="AF100" s="4" t="s">
        <v>249</v>
      </c>
      <c r="AG100" s="4">
        <v>2</v>
      </c>
      <c r="AH100" s="8">
        <v>7</v>
      </c>
      <c r="AI100" s="4">
        <v>4</v>
      </c>
      <c r="AJ100" s="4">
        <v>3</v>
      </c>
      <c r="AK100" s="4">
        <v>10</v>
      </c>
      <c r="AL100" s="4">
        <v>0.52426836588405112</v>
      </c>
      <c r="AM100" s="4">
        <v>19</v>
      </c>
      <c r="AP100" s="4" t="s">
        <v>249</v>
      </c>
      <c r="AQ100" s="4">
        <v>4</v>
      </c>
      <c r="AR100" s="8">
        <v>5.5555555555555554</v>
      </c>
      <c r="AS100" s="4">
        <v>2</v>
      </c>
      <c r="AT100" s="4">
        <v>2</v>
      </c>
      <c r="AU100" s="4">
        <v>8</v>
      </c>
      <c r="AV100" s="4">
        <v>0.52426836588405112</v>
      </c>
      <c r="AW100" s="4">
        <v>19</v>
      </c>
      <c r="AZ100" s="4" t="s">
        <v>249</v>
      </c>
      <c r="BA100" s="4">
        <v>11</v>
      </c>
      <c r="BB100" s="8">
        <v>7.5555555555555554</v>
      </c>
      <c r="BC100" s="4">
        <v>11</v>
      </c>
      <c r="BD100" s="4">
        <v>10</v>
      </c>
      <c r="BE100" s="4">
        <v>8</v>
      </c>
      <c r="BF100" s="4">
        <v>0.52426836588405112</v>
      </c>
      <c r="BG100" s="4">
        <v>19</v>
      </c>
      <c r="BJ100" s="4" t="s">
        <v>249</v>
      </c>
      <c r="BK100" s="4">
        <v>5</v>
      </c>
      <c r="BL100" s="8">
        <v>5.5555555555555554</v>
      </c>
      <c r="BM100" s="4">
        <v>4</v>
      </c>
      <c r="BN100" s="4">
        <v>4</v>
      </c>
      <c r="BO100" s="4">
        <v>8</v>
      </c>
      <c r="BP100" s="4">
        <v>0.52426836588405112</v>
      </c>
      <c r="BQ100" s="4">
        <v>19</v>
      </c>
      <c r="BT100" s="4" t="s">
        <v>249</v>
      </c>
      <c r="BU100" s="4">
        <v>2</v>
      </c>
      <c r="BV100" s="8">
        <v>5.4444444444444446</v>
      </c>
      <c r="BW100" s="4">
        <v>1</v>
      </c>
      <c r="BX100" s="4">
        <v>1</v>
      </c>
      <c r="BY100" s="4">
        <v>8</v>
      </c>
      <c r="BZ100" s="4">
        <v>0.52426836588405112</v>
      </c>
      <c r="CA100" s="4">
        <v>19</v>
      </c>
    </row>
    <row r="101" spans="1:79" ht="14.25" customHeight="1" x14ac:dyDescent="0.3">
      <c r="A101" s="4" t="s">
        <v>257</v>
      </c>
      <c r="B101" s="4">
        <v>15</v>
      </c>
      <c r="C101" s="8">
        <v>11</v>
      </c>
      <c r="D101" s="4">
        <v>14</v>
      </c>
      <c r="E101" s="4">
        <v>14</v>
      </c>
      <c r="F101" s="4">
        <v>9</v>
      </c>
      <c r="G101" s="4">
        <v>-0.85169148296274</v>
      </c>
      <c r="H101" s="4">
        <v>17</v>
      </c>
      <c r="K101" s="4" t="s">
        <v>257</v>
      </c>
      <c r="L101" s="4">
        <v>3</v>
      </c>
      <c r="M101" s="8">
        <v>11.222222222222221</v>
      </c>
      <c r="N101" s="4">
        <v>3</v>
      </c>
      <c r="O101" s="4">
        <v>5</v>
      </c>
      <c r="P101" s="4">
        <v>3</v>
      </c>
      <c r="Q101" s="4">
        <v>-0.85169148296274</v>
      </c>
      <c r="R101" s="4">
        <v>17</v>
      </c>
      <c r="S101" s="9"/>
      <c r="U101" s="4" t="s">
        <v>257</v>
      </c>
      <c r="V101" s="4">
        <v>15</v>
      </c>
      <c r="W101" s="8">
        <v>10.333333333333334</v>
      </c>
      <c r="X101" s="4">
        <v>13</v>
      </c>
      <c r="Y101" s="4">
        <v>15</v>
      </c>
      <c r="Z101" s="4">
        <v>3</v>
      </c>
      <c r="AA101" s="4">
        <v>-0.85169148296274</v>
      </c>
      <c r="AB101" s="4">
        <v>17</v>
      </c>
      <c r="AF101" s="4" t="s">
        <v>257</v>
      </c>
      <c r="AG101" s="4">
        <v>10</v>
      </c>
      <c r="AH101" s="8">
        <v>13.555555555555555</v>
      </c>
      <c r="AI101" s="4">
        <v>8</v>
      </c>
      <c r="AJ101" s="4">
        <v>9</v>
      </c>
      <c r="AK101" s="4">
        <v>3</v>
      </c>
      <c r="AL101" s="4">
        <v>-0.85169148296274</v>
      </c>
      <c r="AM101" s="4">
        <v>17</v>
      </c>
      <c r="AP101" s="4" t="s">
        <v>257</v>
      </c>
      <c r="AQ101" s="4">
        <v>11</v>
      </c>
      <c r="AR101" s="8">
        <v>9.8888888888888893</v>
      </c>
      <c r="AS101" s="4">
        <v>10</v>
      </c>
      <c r="AT101" s="4">
        <v>9</v>
      </c>
      <c r="AU101" s="4">
        <v>11</v>
      </c>
      <c r="AV101" s="4">
        <v>-0.85169148296274</v>
      </c>
      <c r="AW101" s="4">
        <v>17</v>
      </c>
      <c r="AZ101" s="4" t="s">
        <v>257</v>
      </c>
      <c r="BA101" s="4">
        <v>6</v>
      </c>
      <c r="BB101" s="8">
        <v>10.555555555555555</v>
      </c>
      <c r="BC101" s="4">
        <v>8</v>
      </c>
      <c r="BD101" s="4">
        <v>9</v>
      </c>
      <c r="BE101" s="4">
        <v>6</v>
      </c>
      <c r="BF101" s="4">
        <v>-0.85169148296274</v>
      </c>
      <c r="BG101" s="4">
        <v>17</v>
      </c>
      <c r="BJ101" s="4" t="s">
        <v>257</v>
      </c>
      <c r="BK101" s="4">
        <v>13</v>
      </c>
      <c r="BL101" s="8">
        <v>11.333333333333334</v>
      </c>
      <c r="BM101" s="4">
        <v>11</v>
      </c>
      <c r="BN101" s="4">
        <v>11</v>
      </c>
      <c r="BO101" s="4">
        <v>13</v>
      </c>
      <c r="BP101" s="4">
        <v>-0.85169148296274</v>
      </c>
      <c r="BQ101" s="4">
        <v>17</v>
      </c>
      <c r="BT101" s="4" t="s">
        <v>257</v>
      </c>
      <c r="BU101" s="4">
        <v>14</v>
      </c>
      <c r="BV101" s="8">
        <v>11</v>
      </c>
      <c r="BW101" s="4">
        <v>14</v>
      </c>
      <c r="BX101" s="4">
        <v>16</v>
      </c>
      <c r="BY101" s="4">
        <v>14</v>
      </c>
      <c r="BZ101" s="4">
        <v>-0.85169148296274</v>
      </c>
      <c r="CA101" s="4">
        <v>17</v>
      </c>
    </row>
    <row r="102" spans="1:79" ht="14.25" customHeight="1" x14ac:dyDescent="0.3">
      <c r="A102" s="4" t="s">
        <v>266</v>
      </c>
      <c r="B102" s="4">
        <v>13</v>
      </c>
      <c r="C102" s="8">
        <v>11.444444444444445</v>
      </c>
      <c r="D102" s="4">
        <v>12</v>
      </c>
      <c r="E102" s="4">
        <v>12</v>
      </c>
      <c r="F102" s="4">
        <v>13</v>
      </c>
      <c r="G102" s="4">
        <v>-0.88310324035056598</v>
      </c>
      <c r="H102" s="4">
        <v>15</v>
      </c>
      <c r="K102" s="4" t="s">
        <v>266</v>
      </c>
      <c r="L102" s="4">
        <v>14</v>
      </c>
      <c r="M102" s="8">
        <v>11.333333333333334</v>
      </c>
      <c r="N102" s="4">
        <v>13</v>
      </c>
      <c r="O102" s="4">
        <v>13</v>
      </c>
      <c r="P102" s="4">
        <v>8</v>
      </c>
      <c r="Q102" s="4">
        <v>-0.88310324035056598</v>
      </c>
      <c r="R102" s="4">
        <v>15</v>
      </c>
      <c r="S102" s="9"/>
      <c r="U102" s="4" t="s">
        <v>266</v>
      </c>
      <c r="V102" s="4">
        <v>5</v>
      </c>
      <c r="W102" s="8">
        <v>9.2222222222222214</v>
      </c>
      <c r="X102" s="4">
        <v>12</v>
      </c>
      <c r="Y102" s="4">
        <v>5</v>
      </c>
      <c r="Z102" s="4">
        <v>5</v>
      </c>
      <c r="AA102" s="4">
        <v>-0.88310324035056598</v>
      </c>
      <c r="AB102" s="4">
        <v>15</v>
      </c>
      <c r="AF102" s="4" t="s">
        <v>266</v>
      </c>
      <c r="AG102" s="4">
        <v>13</v>
      </c>
      <c r="AH102" s="8">
        <v>8.5555555555555554</v>
      </c>
      <c r="AI102" s="4">
        <v>15</v>
      </c>
      <c r="AJ102" s="4">
        <v>15</v>
      </c>
      <c r="AK102" s="4">
        <v>5</v>
      </c>
      <c r="AL102" s="4">
        <v>-0.88310324035056598</v>
      </c>
      <c r="AM102" s="4">
        <v>15</v>
      </c>
      <c r="AP102" s="4" t="s">
        <v>266</v>
      </c>
      <c r="AQ102" s="4">
        <v>10</v>
      </c>
      <c r="AR102" s="8">
        <v>11.777777777777779</v>
      </c>
      <c r="AS102" s="4">
        <v>10</v>
      </c>
      <c r="AT102" s="4">
        <v>10</v>
      </c>
      <c r="AU102" s="4">
        <v>10</v>
      </c>
      <c r="AV102" s="4">
        <v>-0.88310324035056598</v>
      </c>
      <c r="AW102" s="4">
        <v>15</v>
      </c>
      <c r="AZ102" s="4" t="s">
        <v>266</v>
      </c>
      <c r="BA102" s="4">
        <v>9</v>
      </c>
      <c r="BB102" s="8">
        <v>10.777777777777779</v>
      </c>
      <c r="BC102" s="4">
        <v>11</v>
      </c>
      <c r="BD102" s="4">
        <v>12</v>
      </c>
      <c r="BE102" s="4">
        <v>12</v>
      </c>
      <c r="BF102" s="4">
        <v>-0.88310324035056598</v>
      </c>
      <c r="BG102" s="4">
        <v>15</v>
      </c>
      <c r="BJ102" s="4" t="s">
        <v>266</v>
      </c>
      <c r="BK102" s="4">
        <v>10</v>
      </c>
      <c r="BL102" s="8">
        <v>11</v>
      </c>
      <c r="BM102" s="4">
        <v>10</v>
      </c>
      <c r="BN102" s="4">
        <v>10</v>
      </c>
      <c r="BO102" s="4">
        <v>10</v>
      </c>
      <c r="BP102" s="4">
        <v>-0.88310324035056598</v>
      </c>
      <c r="BQ102" s="4">
        <v>15</v>
      </c>
      <c r="BT102" s="4" t="s">
        <v>266</v>
      </c>
      <c r="BU102" s="4">
        <v>10</v>
      </c>
      <c r="BV102" s="8">
        <v>11.444444444444445</v>
      </c>
      <c r="BW102" s="4">
        <v>11</v>
      </c>
      <c r="BX102" s="4">
        <v>11</v>
      </c>
      <c r="BY102" s="4">
        <v>13</v>
      </c>
      <c r="BZ102" s="4">
        <v>-0.88310324035056598</v>
      </c>
      <c r="CA102" s="4">
        <v>15</v>
      </c>
    </row>
    <row r="103" spans="1:79" ht="14.25" customHeight="1" x14ac:dyDescent="0.3">
      <c r="A103" s="4" t="s">
        <v>263</v>
      </c>
      <c r="B103" s="4">
        <v>9</v>
      </c>
      <c r="C103" s="8">
        <v>12</v>
      </c>
      <c r="D103" s="4">
        <v>9</v>
      </c>
      <c r="E103" s="4">
        <v>10</v>
      </c>
      <c r="F103" s="4">
        <v>9</v>
      </c>
      <c r="G103" s="4">
        <v>-0.90834372881365233</v>
      </c>
      <c r="H103" s="4">
        <v>15</v>
      </c>
      <c r="K103" s="4" t="s">
        <v>263</v>
      </c>
      <c r="L103" s="4">
        <v>12</v>
      </c>
      <c r="M103" s="8">
        <v>9.2222222222222214</v>
      </c>
      <c r="N103" s="4">
        <v>12</v>
      </c>
      <c r="O103" s="4">
        <v>12</v>
      </c>
      <c r="P103" s="4">
        <v>12</v>
      </c>
      <c r="Q103" s="4">
        <v>-0.90834372881365233</v>
      </c>
      <c r="R103" s="4">
        <v>15</v>
      </c>
      <c r="S103" s="9"/>
      <c r="U103" s="4" t="s">
        <v>263</v>
      </c>
      <c r="V103" s="4">
        <v>14</v>
      </c>
      <c r="W103" s="8">
        <v>11.333333333333334</v>
      </c>
      <c r="X103" s="4">
        <v>11</v>
      </c>
      <c r="Y103" s="4">
        <v>14</v>
      </c>
      <c r="Z103" s="4">
        <v>3</v>
      </c>
      <c r="AA103" s="4">
        <v>-0.90834372881365233</v>
      </c>
      <c r="AB103" s="4">
        <v>15</v>
      </c>
      <c r="AF103" s="4" t="s">
        <v>263</v>
      </c>
      <c r="AG103" s="4">
        <v>15</v>
      </c>
      <c r="AH103" s="8">
        <v>11.444444444444445</v>
      </c>
      <c r="AI103" s="4">
        <v>15</v>
      </c>
      <c r="AJ103" s="4">
        <v>13</v>
      </c>
      <c r="AK103" s="4">
        <v>3</v>
      </c>
      <c r="AL103" s="4">
        <v>-0.90834372881365233</v>
      </c>
      <c r="AM103" s="4">
        <v>15</v>
      </c>
      <c r="AP103" s="4" t="s">
        <v>263</v>
      </c>
      <c r="AQ103" s="4">
        <v>15</v>
      </c>
      <c r="AR103" s="8">
        <v>11.444444444444445</v>
      </c>
      <c r="AS103" s="4">
        <v>14</v>
      </c>
      <c r="AT103" s="4">
        <v>14</v>
      </c>
      <c r="AU103" s="4">
        <v>12</v>
      </c>
      <c r="AV103" s="4">
        <v>-0.90834372881365233</v>
      </c>
      <c r="AW103" s="4">
        <v>15</v>
      </c>
      <c r="AZ103" s="4" t="s">
        <v>263</v>
      </c>
      <c r="BA103" s="4">
        <v>2</v>
      </c>
      <c r="BB103" s="8">
        <v>9.6666666666666661</v>
      </c>
      <c r="BC103" s="4">
        <v>6</v>
      </c>
      <c r="BD103" s="4">
        <v>6</v>
      </c>
      <c r="BE103" s="4">
        <v>3</v>
      </c>
      <c r="BF103" s="4">
        <v>-0.90834372881365233</v>
      </c>
      <c r="BG103" s="4">
        <v>15</v>
      </c>
      <c r="BJ103" s="4" t="s">
        <v>263</v>
      </c>
      <c r="BK103" s="4">
        <v>13</v>
      </c>
      <c r="BL103" s="8">
        <v>11.333333333333334</v>
      </c>
      <c r="BM103" s="4">
        <v>15</v>
      </c>
      <c r="BN103" s="4">
        <v>15</v>
      </c>
      <c r="BO103" s="4">
        <v>11</v>
      </c>
      <c r="BP103" s="4">
        <v>-0.90834372881365233</v>
      </c>
      <c r="BQ103" s="4">
        <v>15</v>
      </c>
      <c r="BT103" s="4" t="s">
        <v>263</v>
      </c>
      <c r="BU103" s="4">
        <v>14</v>
      </c>
      <c r="BV103" s="8">
        <v>12</v>
      </c>
      <c r="BW103" s="4">
        <v>14</v>
      </c>
      <c r="BX103" s="4">
        <v>14</v>
      </c>
      <c r="BY103" s="4">
        <v>12</v>
      </c>
      <c r="BZ103" s="4">
        <v>-0.90834372881365233</v>
      </c>
      <c r="CA103" s="4">
        <v>15</v>
      </c>
    </row>
    <row r="104" spans="1:79" ht="14.25" customHeight="1" x14ac:dyDescent="0.3">
      <c r="A104" s="4" t="s">
        <v>261</v>
      </c>
      <c r="B104" s="4">
        <v>30</v>
      </c>
      <c r="C104" s="8">
        <v>24.333333333333332</v>
      </c>
      <c r="D104" s="4">
        <v>30</v>
      </c>
      <c r="E104" s="4">
        <v>30</v>
      </c>
      <c r="F104" s="4">
        <v>23</v>
      </c>
      <c r="G104" s="4">
        <v>-0.99095987605964864</v>
      </c>
      <c r="H104" s="4">
        <v>31</v>
      </c>
      <c r="K104" s="4" t="s">
        <v>261</v>
      </c>
      <c r="L104" s="4">
        <v>28</v>
      </c>
      <c r="M104" s="8">
        <v>22.777777777777779</v>
      </c>
      <c r="N104" s="4">
        <v>29</v>
      </c>
      <c r="O104" s="4">
        <v>30</v>
      </c>
      <c r="P104" s="4">
        <v>27</v>
      </c>
      <c r="Q104" s="4">
        <v>-0.99095987605964864</v>
      </c>
      <c r="R104" s="4">
        <v>31</v>
      </c>
      <c r="S104" s="9"/>
      <c r="U104" s="4" t="s">
        <v>261</v>
      </c>
      <c r="V104" s="4">
        <v>17</v>
      </c>
      <c r="W104" s="8">
        <v>21.333333333333332</v>
      </c>
      <c r="X104" s="4">
        <v>24</v>
      </c>
      <c r="Y104" s="4">
        <v>25</v>
      </c>
      <c r="Z104" s="4">
        <v>17</v>
      </c>
      <c r="AA104" s="4">
        <v>-0.99095987605964864</v>
      </c>
      <c r="AB104" s="4">
        <v>31</v>
      </c>
      <c r="AF104" s="4" t="s">
        <v>261</v>
      </c>
      <c r="AG104" s="4">
        <v>31</v>
      </c>
      <c r="AH104" s="8">
        <v>23.222222222222221</v>
      </c>
      <c r="AI104" s="4">
        <v>31</v>
      </c>
      <c r="AJ104" s="4">
        <v>31</v>
      </c>
      <c r="AK104" s="4">
        <v>17</v>
      </c>
      <c r="AL104" s="4">
        <v>-0.99095987605964864</v>
      </c>
      <c r="AM104" s="4">
        <v>31</v>
      </c>
      <c r="AP104" s="4" t="s">
        <v>261</v>
      </c>
      <c r="AQ104" s="4">
        <v>17</v>
      </c>
      <c r="AR104" s="8">
        <v>18.444444444444443</v>
      </c>
      <c r="AS104" s="4">
        <v>15</v>
      </c>
      <c r="AT104" s="4">
        <v>15</v>
      </c>
      <c r="AU104" s="4">
        <v>17</v>
      </c>
      <c r="AV104" s="4">
        <v>-0.99095987605964864</v>
      </c>
      <c r="AW104" s="4">
        <v>31</v>
      </c>
      <c r="AZ104" s="4" t="s">
        <v>261</v>
      </c>
      <c r="BA104" s="4">
        <v>30</v>
      </c>
      <c r="BB104" s="8">
        <v>23.888888888888889</v>
      </c>
      <c r="BC104" s="4">
        <v>30</v>
      </c>
      <c r="BD104" s="4">
        <v>31</v>
      </c>
      <c r="BE104" s="4">
        <v>27</v>
      </c>
      <c r="BF104" s="4">
        <v>-0.99095987605964864</v>
      </c>
      <c r="BG104" s="4">
        <v>31</v>
      </c>
      <c r="BJ104" s="4" t="s">
        <v>261</v>
      </c>
      <c r="BK104" s="4">
        <v>23</v>
      </c>
      <c r="BL104" s="8">
        <v>22</v>
      </c>
      <c r="BM104" s="4">
        <v>30</v>
      </c>
      <c r="BN104" s="4">
        <v>30</v>
      </c>
      <c r="BO104" s="4">
        <v>23</v>
      </c>
      <c r="BP104" s="4">
        <v>-0.99095987605964864</v>
      </c>
      <c r="BQ104" s="4">
        <v>31</v>
      </c>
      <c r="BT104" s="4" t="s">
        <v>261</v>
      </c>
      <c r="BU104" s="4">
        <v>30</v>
      </c>
      <c r="BV104" s="8">
        <v>24.333333333333332</v>
      </c>
      <c r="BW104" s="4">
        <v>30</v>
      </c>
      <c r="BX104" s="4">
        <v>30</v>
      </c>
      <c r="BY104" s="4">
        <v>27</v>
      </c>
      <c r="BZ104" s="4">
        <v>-0.99095987605964864</v>
      </c>
      <c r="CA104" s="4">
        <v>31</v>
      </c>
    </row>
    <row r="105" spans="1:79" ht="14.25" customHeight="1" x14ac:dyDescent="0.3">
      <c r="A105" s="4" t="s">
        <v>260</v>
      </c>
      <c r="B105" s="4">
        <v>16</v>
      </c>
      <c r="C105" s="8">
        <v>11.444444444444445</v>
      </c>
      <c r="D105" s="4">
        <v>16</v>
      </c>
      <c r="E105" s="4">
        <v>16</v>
      </c>
      <c r="F105" s="4">
        <v>16</v>
      </c>
      <c r="G105" s="4">
        <v>-1.072806810743151</v>
      </c>
      <c r="H105" s="4">
        <v>19</v>
      </c>
      <c r="K105" s="4" t="s">
        <v>260</v>
      </c>
      <c r="L105" s="4">
        <v>11</v>
      </c>
      <c r="M105" s="8">
        <v>13.555555555555555</v>
      </c>
      <c r="N105" s="4">
        <v>13</v>
      </c>
      <c r="O105" s="4">
        <v>15</v>
      </c>
      <c r="P105" s="4">
        <v>11</v>
      </c>
      <c r="Q105" s="4">
        <v>-1.072806810743151</v>
      </c>
      <c r="R105" s="4">
        <v>19</v>
      </c>
      <c r="S105" s="9"/>
      <c r="U105" s="4" t="s">
        <v>260</v>
      </c>
      <c r="V105" s="4">
        <v>18</v>
      </c>
      <c r="W105" s="8">
        <v>15</v>
      </c>
      <c r="X105" s="4">
        <v>15</v>
      </c>
      <c r="Y105" s="4">
        <v>9</v>
      </c>
      <c r="Z105" s="4">
        <v>16</v>
      </c>
      <c r="AA105" s="4">
        <v>-1.072806810743151</v>
      </c>
      <c r="AB105" s="4">
        <v>19</v>
      </c>
      <c r="AF105" s="4" t="s">
        <v>260</v>
      </c>
      <c r="AG105" s="4">
        <v>8</v>
      </c>
      <c r="AH105" s="8">
        <v>12.555555555555555</v>
      </c>
      <c r="AI105" s="4">
        <v>8</v>
      </c>
      <c r="AJ105" s="4">
        <v>8</v>
      </c>
      <c r="AK105" s="4">
        <v>16</v>
      </c>
      <c r="AL105" s="4">
        <v>-1.072806810743151</v>
      </c>
      <c r="AM105" s="4">
        <v>19</v>
      </c>
      <c r="AP105" s="4" t="s">
        <v>260</v>
      </c>
      <c r="AQ105" s="4">
        <v>14</v>
      </c>
      <c r="AR105" s="8">
        <v>14.222222222222221</v>
      </c>
      <c r="AS105" s="4">
        <v>14</v>
      </c>
      <c r="AT105" s="4">
        <v>14</v>
      </c>
      <c r="AU105" s="4">
        <v>14</v>
      </c>
      <c r="AV105" s="4">
        <v>-1.072806810743151</v>
      </c>
      <c r="AW105" s="4">
        <v>19</v>
      </c>
      <c r="AZ105" s="4" t="s">
        <v>260</v>
      </c>
      <c r="BA105" s="4">
        <v>13</v>
      </c>
      <c r="BB105" s="8">
        <v>12.777777777777779</v>
      </c>
      <c r="BC105" s="4">
        <v>12</v>
      </c>
      <c r="BD105" s="4">
        <v>11</v>
      </c>
      <c r="BE105" s="4">
        <v>13</v>
      </c>
      <c r="BF105" s="4">
        <v>-1.072806810743151</v>
      </c>
      <c r="BG105" s="4">
        <v>19</v>
      </c>
      <c r="BJ105" s="4" t="s">
        <v>260</v>
      </c>
      <c r="BK105" s="4">
        <v>17</v>
      </c>
      <c r="BL105" s="8">
        <v>12.111111111111111</v>
      </c>
      <c r="BM105" s="4">
        <v>17</v>
      </c>
      <c r="BN105" s="4">
        <v>14</v>
      </c>
      <c r="BO105" s="4">
        <v>16</v>
      </c>
      <c r="BP105" s="4">
        <v>-1.072806810743151</v>
      </c>
      <c r="BQ105" s="4">
        <v>19</v>
      </c>
      <c r="BT105" s="4" t="s">
        <v>260</v>
      </c>
      <c r="BU105" s="4">
        <v>3</v>
      </c>
      <c r="BV105" s="8">
        <v>11.444444444444445</v>
      </c>
      <c r="BW105" s="4">
        <v>3</v>
      </c>
      <c r="BX105" s="4">
        <v>4</v>
      </c>
      <c r="BY105" s="4">
        <v>4</v>
      </c>
      <c r="BZ105" s="4">
        <v>-1.072806810743151</v>
      </c>
      <c r="CA105" s="4">
        <v>19</v>
      </c>
    </row>
    <row r="106" spans="1:79" ht="14.25" customHeight="1" x14ac:dyDescent="0.3">
      <c r="A106" s="4" t="s">
        <v>259</v>
      </c>
      <c r="B106" s="4">
        <v>16</v>
      </c>
      <c r="C106" s="8">
        <v>14.666666666666666</v>
      </c>
      <c r="D106" s="4">
        <v>19</v>
      </c>
      <c r="E106" s="4">
        <v>19</v>
      </c>
      <c r="F106" s="4">
        <v>10</v>
      </c>
      <c r="G106" s="4">
        <v>-1.1154133211974251</v>
      </c>
      <c r="H106" s="4">
        <v>19</v>
      </c>
      <c r="K106" s="4" t="s">
        <v>259</v>
      </c>
      <c r="L106" s="4">
        <v>16</v>
      </c>
      <c r="M106" s="8">
        <v>10.333333333333334</v>
      </c>
      <c r="N106" s="4">
        <v>14</v>
      </c>
      <c r="O106" s="4">
        <v>18</v>
      </c>
      <c r="P106" s="4">
        <v>8</v>
      </c>
      <c r="Q106" s="4">
        <v>-1.1154133211974251</v>
      </c>
      <c r="R106" s="4">
        <v>19</v>
      </c>
      <c r="S106" s="9"/>
      <c r="U106" s="4" t="s">
        <v>259</v>
      </c>
      <c r="V106" s="4">
        <v>14</v>
      </c>
      <c r="W106" s="8">
        <v>12.555555555555555</v>
      </c>
      <c r="X106" s="4">
        <v>15</v>
      </c>
      <c r="Y106" s="4">
        <v>17</v>
      </c>
      <c r="Z106" s="4">
        <v>14</v>
      </c>
      <c r="AA106" s="4">
        <v>-1.1154133211974251</v>
      </c>
      <c r="AB106" s="4">
        <v>19</v>
      </c>
      <c r="AF106" s="4" t="s">
        <v>259</v>
      </c>
      <c r="AG106" s="4">
        <v>7</v>
      </c>
      <c r="AH106" s="8">
        <v>13.111111111111111</v>
      </c>
      <c r="AI106" s="4">
        <v>10</v>
      </c>
      <c r="AJ106" s="4">
        <v>14</v>
      </c>
      <c r="AK106" s="4">
        <v>14</v>
      </c>
      <c r="AL106" s="4">
        <v>-1.1154133211974251</v>
      </c>
      <c r="AM106" s="4">
        <v>19</v>
      </c>
      <c r="AP106" s="4" t="s">
        <v>259</v>
      </c>
      <c r="AQ106" s="4">
        <v>16</v>
      </c>
      <c r="AR106" s="8">
        <v>13.555555555555555</v>
      </c>
      <c r="AS106" s="4">
        <v>18</v>
      </c>
      <c r="AT106" s="4">
        <v>15</v>
      </c>
      <c r="AU106" s="4">
        <v>16</v>
      </c>
      <c r="AV106" s="4">
        <v>-1.1154133211974251</v>
      </c>
      <c r="AW106" s="4">
        <v>19</v>
      </c>
      <c r="AZ106" s="4" t="s">
        <v>259</v>
      </c>
      <c r="BA106" s="4">
        <v>9</v>
      </c>
      <c r="BB106" s="8">
        <v>15.888888888888889</v>
      </c>
      <c r="BC106" s="4">
        <v>6</v>
      </c>
      <c r="BD106" s="4">
        <v>12</v>
      </c>
      <c r="BE106" s="4">
        <v>8</v>
      </c>
      <c r="BF106" s="4">
        <v>-1.1154133211974251</v>
      </c>
      <c r="BG106" s="4">
        <v>19</v>
      </c>
      <c r="BJ106" s="4" t="s">
        <v>259</v>
      </c>
      <c r="BK106" s="4">
        <v>14</v>
      </c>
      <c r="BL106" s="8">
        <v>14.777777777777779</v>
      </c>
      <c r="BM106" s="4">
        <v>15</v>
      </c>
      <c r="BN106" s="4">
        <v>11</v>
      </c>
      <c r="BO106" s="4">
        <v>16</v>
      </c>
      <c r="BP106" s="4">
        <v>-1.1154133211974251</v>
      </c>
      <c r="BQ106" s="4">
        <v>19</v>
      </c>
      <c r="BT106" s="4" t="s">
        <v>259</v>
      </c>
      <c r="BU106" s="4">
        <v>15</v>
      </c>
      <c r="BV106" s="8">
        <v>14.666666666666666</v>
      </c>
      <c r="BW106" s="4">
        <v>17</v>
      </c>
      <c r="BX106" s="4">
        <v>17</v>
      </c>
      <c r="BY106" s="4">
        <v>8</v>
      </c>
      <c r="BZ106" s="4">
        <v>-1.1154133211974251</v>
      </c>
      <c r="CA106" s="4">
        <v>19</v>
      </c>
    </row>
    <row r="107" spans="1:79" ht="14.25" customHeight="1" x14ac:dyDescent="0.3">
      <c r="A107" s="4" t="s">
        <v>258</v>
      </c>
      <c r="B107" s="4">
        <v>6</v>
      </c>
      <c r="C107" s="8">
        <v>11.777777777777779</v>
      </c>
      <c r="D107" s="4">
        <v>12</v>
      </c>
      <c r="E107" s="4">
        <v>13</v>
      </c>
      <c r="F107" s="4">
        <v>7</v>
      </c>
      <c r="G107" s="4">
        <v>-1.12017317951397</v>
      </c>
      <c r="H107" s="4">
        <v>16</v>
      </c>
      <c r="K107" s="4" t="s">
        <v>258</v>
      </c>
      <c r="L107" s="4">
        <v>14</v>
      </c>
      <c r="M107" s="8">
        <v>10.777777777777779</v>
      </c>
      <c r="N107" s="4">
        <v>14</v>
      </c>
      <c r="O107" s="4">
        <v>16</v>
      </c>
      <c r="P107" s="4">
        <v>13</v>
      </c>
      <c r="Q107" s="4">
        <v>-1.12017317951397</v>
      </c>
      <c r="R107" s="4">
        <v>16</v>
      </c>
      <c r="S107" s="9"/>
      <c r="U107" s="4" t="s">
        <v>258</v>
      </c>
      <c r="V107" s="4">
        <v>10</v>
      </c>
      <c r="W107" s="8">
        <v>8.6666666666666661</v>
      </c>
      <c r="X107" s="4">
        <v>12</v>
      </c>
      <c r="Y107" s="4">
        <v>10</v>
      </c>
      <c r="Z107" s="4">
        <v>10</v>
      </c>
      <c r="AA107" s="4">
        <v>-1.12017317951397</v>
      </c>
      <c r="AB107" s="4">
        <v>16</v>
      </c>
      <c r="AF107" s="4" t="s">
        <v>258</v>
      </c>
      <c r="AG107" s="4">
        <v>6</v>
      </c>
      <c r="AH107" s="8">
        <v>7</v>
      </c>
      <c r="AI107" s="4">
        <v>7</v>
      </c>
      <c r="AJ107" s="4">
        <v>5</v>
      </c>
      <c r="AK107" s="4">
        <v>10</v>
      </c>
      <c r="AL107" s="4">
        <v>-1.12017317951397</v>
      </c>
      <c r="AM107" s="4">
        <v>16</v>
      </c>
      <c r="AP107" s="4" t="s">
        <v>258</v>
      </c>
      <c r="AQ107" s="4">
        <v>4</v>
      </c>
      <c r="AR107" s="8">
        <v>8.8888888888888893</v>
      </c>
      <c r="AS107" s="4">
        <v>2</v>
      </c>
      <c r="AT107" s="4">
        <v>3</v>
      </c>
      <c r="AU107" s="4">
        <v>4</v>
      </c>
      <c r="AV107" s="4">
        <v>-1.12017317951397</v>
      </c>
      <c r="AW107" s="4">
        <v>16</v>
      </c>
      <c r="AZ107" s="4" t="s">
        <v>258</v>
      </c>
      <c r="BA107" s="4">
        <v>8</v>
      </c>
      <c r="BB107" s="8">
        <v>10.333333333333334</v>
      </c>
      <c r="BC107" s="4">
        <v>3</v>
      </c>
      <c r="BD107" s="4">
        <v>7</v>
      </c>
      <c r="BE107" s="4">
        <v>8</v>
      </c>
      <c r="BF107" s="4">
        <v>-1.12017317951397</v>
      </c>
      <c r="BG107" s="4">
        <v>16</v>
      </c>
      <c r="BJ107" s="4" t="s">
        <v>258</v>
      </c>
      <c r="BK107" s="4">
        <v>16</v>
      </c>
      <c r="BL107" s="8">
        <v>12.777777777777779</v>
      </c>
      <c r="BM107" s="4">
        <v>13</v>
      </c>
      <c r="BN107" s="4">
        <v>14</v>
      </c>
      <c r="BO107" s="4">
        <v>11</v>
      </c>
      <c r="BP107" s="4">
        <v>-1.12017317951397</v>
      </c>
      <c r="BQ107" s="4">
        <v>16</v>
      </c>
      <c r="BT107" s="4" t="s">
        <v>258</v>
      </c>
      <c r="BU107" s="4">
        <v>14</v>
      </c>
      <c r="BV107" s="8">
        <v>11.777777777777779</v>
      </c>
      <c r="BW107" s="4">
        <v>15</v>
      </c>
      <c r="BX107" s="4">
        <v>15</v>
      </c>
      <c r="BY107" s="4">
        <v>13</v>
      </c>
      <c r="BZ107" s="4">
        <v>-1.12017317951397</v>
      </c>
      <c r="CA107" s="4">
        <v>16</v>
      </c>
    </row>
    <row r="108" spans="1:79" ht="14.25" customHeight="1" x14ac:dyDescent="0.3">
      <c r="A108" s="4" t="s">
        <v>264</v>
      </c>
      <c r="B108" s="4">
        <v>17</v>
      </c>
      <c r="C108" s="8">
        <v>14.333333333333334</v>
      </c>
      <c r="D108" s="4">
        <v>17</v>
      </c>
      <c r="E108" s="4">
        <v>17</v>
      </c>
      <c r="F108" s="4">
        <v>5</v>
      </c>
      <c r="G108" s="4">
        <v>-1.196962071035268</v>
      </c>
      <c r="H108" s="4">
        <v>19</v>
      </c>
      <c r="K108" s="4" t="s">
        <v>264</v>
      </c>
      <c r="L108" s="4">
        <v>8</v>
      </c>
      <c r="M108" s="8">
        <v>13.111111111111111</v>
      </c>
      <c r="N108" s="4">
        <v>11</v>
      </c>
      <c r="O108" s="4">
        <v>11</v>
      </c>
      <c r="P108" s="4">
        <v>8</v>
      </c>
      <c r="Q108" s="4">
        <v>-1.196962071035268</v>
      </c>
      <c r="R108" s="4">
        <v>19</v>
      </c>
      <c r="S108" s="9"/>
      <c r="U108" s="4" t="s">
        <v>264</v>
      </c>
      <c r="V108" s="4">
        <v>2</v>
      </c>
      <c r="W108" s="8">
        <v>9.2222222222222214</v>
      </c>
      <c r="X108" s="4">
        <v>15</v>
      </c>
      <c r="Y108" s="4">
        <v>4</v>
      </c>
      <c r="Z108" s="4">
        <v>14</v>
      </c>
      <c r="AA108" s="4">
        <v>-1.196962071035268</v>
      </c>
      <c r="AB108" s="4">
        <v>19</v>
      </c>
      <c r="AF108" s="4" t="s">
        <v>264</v>
      </c>
      <c r="AG108" s="4">
        <v>12</v>
      </c>
      <c r="AH108" s="8">
        <v>11.111111111111111</v>
      </c>
      <c r="AI108" s="4">
        <v>16</v>
      </c>
      <c r="AJ108" s="4">
        <v>17</v>
      </c>
      <c r="AK108" s="4">
        <v>14</v>
      </c>
      <c r="AL108" s="4">
        <v>-1.196962071035268</v>
      </c>
      <c r="AM108" s="4">
        <v>19</v>
      </c>
      <c r="AP108" s="4" t="s">
        <v>264</v>
      </c>
      <c r="AQ108" s="4">
        <v>7</v>
      </c>
      <c r="AR108" s="8">
        <v>12.666666666666666</v>
      </c>
      <c r="AS108" s="4">
        <v>16</v>
      </c>
      <c r="AT108" s="4">
        <v>14</v>
      </c>
      <c r="AU108" s="4">
        <v>7</v>
      </c>
      <c r="AV108" s="4">
        <v>-1.196962071035268</v>
      </c>
      <c r="AW108" s="4">
        <v>19</v>
      </c>
      <c r="AZ108" s="4" t="s">
        <v>264</v>
      </c>
      <c r="BA108" s="4">
        <v>15</v>
      </c>
      <c r="BB108" s="8">
        <v>13.777777777777779</v>
      </c>
      <c r="BC108" s="4">
        <v>18</v>
      </c>
      <c r="BD108" s="4">
        <v>18</v>
      </c>
      <c r="BE108" s="4">
        <v>15</v>
      </c>
      <c r="BF108" s="4">
        <v>-1.196962071035268</v>
      </c>
      <c r="BG108" s="4">
        <v>19</v>
      </c>
      <c r="BJ108" s="4" t="s">
        <v>264</v>
      </c>
      <c r="BK108" s="4">
        <v>15</v>
      </c>
      <c r="BL108" s="8">
        <v>15.666666666666666</v>
      </c>
      <c r="BM108" s="4">
        <v>14</v>
      </c>
      <c r="BN108" s="4">
        <v>15</v>
      </c>
      <c r="BO108" s="4">
        <v>15</v>
      </c>
      <c r="BP108" s="4">
        <v>-1.196962071035268</v>
      </c>
      <c r="BQ108" s="4">
        <v>19</v>
      </c>
      <c r="BT108" s="4" t="s">
        <v>264</v>
      </c>
      <c r="BU108" s="4">
        <v>16</v>
      </c>
      <c r="BV108" s="8">
        <v>14.333333333333334</v>
      </c>
      <c r="BW108" s="4">
        <v>16</v>
      </c>
      <c r="BX108" s="4">
        <v>16</v>
      </c>
      <c r="BY108" s="4">
        <v>16</v>
      </c>
      <c r="BZ108" s="4">
        <v>-1.196962071035268</v>
      </c>
      <c r="CA108" s="4">
        <v>19</v>
      </c>
    </row>
    <row r="109" spans="1:79" ht="14.25" customHeight="1" x14ac:dyDescent="0.3">
      <c r="A109" s="4" t="s">
        <v>265</v>
      </c>
      <c r="B109" s="4">
        <v>14</v>
      </c>
      <c r="C109" s="8">
        <v>12.222222222222221</v>
      </c>
      <c r="D109" s="4">
        <v>15</v>
      </c>
      <c r="E109" s="4">
        <v>15</v>
      </c>
      <c r="F109" s="4">
        <v>13</v>
      </c>
      <c r="G109" s="4">
        <v>-1.2097705883740471</v>
      </c>
      <c r="H109" s="4">
        <v>15</v>
      </c>
      <c r="K109" s="4" t="s">
        <v>265</v>
      </c>
      <c r="L109" s="4">
        <v>14</v>
      </c>
      <c r="M109" s="8">
        <v>11.222222222222221</v>
      </c>
      <c r="N109" s="4">
        <v>13</v>
      </c>
      <c r="O109" s="4">
        <v>14</v>
      </c>
      <c r="P109" s="4">
        <v>5</v>
      </c>
      <c r="Q109" s="4">
        <v>-1.2097705883740471</v>
      </c>
      <c r="R109" s="4">
        <v>15</v>
      </c>
      <c r="S109" s="9"/>
      <c r="U109" s="4" t="s">
        <v>265</v>
      </c>
      <c r="V109" s="4">
        <v>9</v>
      </c>
      <c r="W109" s="8">
        <v>8.4444444444444446</v>
      </c>
      <c r="X109" s="4">
        <v>12</v>
      </c>
      <c r="Y109" s="4">
        <v>10</v>
      </c>
      <c r="Z109" s="4">
        <v>11</v>
      </c>
      <c r="AA109" s="4">
        <v>-1.2097705883740471</v>
      </c>
      <c r="AB109" s="4">
        <v>15</v>
      </c>
      <c r="AF109" s="4" t="s">
        <v>265</v>
      </c>
      <c r="AG109" s="4">
        <v>4</v>
      </c>
      <c r="AH109" s="8">
        <v>7.333333333333333</v>
      </c>
      <c r="AI109" s="4">
        <v>7</v>
      </c>
      <c r="AJ109" s="4">
        <v>8</v>
      </c>
      <c r="AK109" s="4">
        <v>11</v>
      </c>
      <c r="AL109" s="4">
        <v>-1.2097705883740471</v>
      </c>
      <c r="AM109" s="4">
        <v>15</v>
      </c>
      <c r="AP109" s="4" t="s">
        <v>265</v>
      </c>
      <c r="AQ109" s="4">
        <v>9</v>
      </c>
      <c r="AR109" s="8">
        <v>10.888888888888889</v>
      </c>
      <c r="AS109" s="4">
        <v>5</v>
      </c>
      <c r="AT109" s="4">
        <v>5</v>
      </c>
      <c r="AU109" s="4">
        <v>9</v>
      </c>
      <c r="AV109" s="4">
        <v>-1.2097705883740471</v>
      </c>
      <c r="AW109" s="4">
        <v>15</v>
      </c>
      <c r="AZ109" s="4" t="s">
        <v>265</v>
      </c>
      <c r="BA109" s="4">
        <v>6</v>
      </c>
      <c r="BB109" s="8">
        <v>10.555555555555555</v>
      </c>
      <c r="BC109" s="4">
        <v>11</v>
      </c>
      <c r="BD109" s="4">
        <v>11</v>
      </c>
      <c r="BE109" s="4">
        <v>6</v>
      </c>
      <c r="BF109" s="4">
        <v>-1.2097705883740471</v>
      </c>
      <c r="BG109" s="4">
        <v>15</v>
      </c>
      <c r="BJ109" s="4" t="s">
        <v>265</v>
      </c>
      <c r="BK109" s="4">
        <v>15</v>
      </c>
      <c r="BL109" s="8">
        <v>12.111111111111111</v>
      </c>
      <c r="BM109" s="4">
        <v>14</v>
      </c>
      <c r="BN109" s="4">
        <v>14</v>
      </c>
      <c r="BO109" s="4">
        <v>13</v>
      </c>
      <c r="BP109" s="4">
        <v>-1.2097705883740471</v>
      </c>
      <c r="BQ109" s="4">
        <v>15</v>
      </c>
      <c r="BT109" s="4" t="s">
        <v>265</v>
      </c>
      <c r="BU109" s="4">
        <v>13</v>
      </c>
      <c r="BV109" s="8">
        <v>12.222222222222221</v>
      </c>
      <c r="BW109" s="4">
        <v>12</v>
      </c>
      <c r="BX109" s="4">
        <v>12</v>
      </c>
      <c r="BY109" s="4">
        <v>13</v>
      </c>
      <c r="BZ109" s="4">
        <v>-1.2097705883740471</v>
      </c>
      <c r="CA109" s="4">
        <v>15</v>
      </c>
    </row>
    <row r="110" spans="1:79" ht="14.25" customHeight="1" x14ac:dyDescent="0.3">
      <c r="A110" s="4" t="s">
        <v>262</v>
      </c>
      <c r="B110" s="4">
        <v>26</v>
      </c>
      <c r="C110" s="8">
        <v>21.777777777777779</v>
      </c>
      <c r="D110" s="4">
        <v>26</v>
      </c>
      <c r="E110" s="4">
        <v>27</v>
      </c>
      <c r="F110" s="4">
        <v>14</v>
      </c>
      <c r="G110" s="4">
        <v>-1.679865001322572</v>
      </c>
      <c r="H110" s="4">
        <v>27</v>
      </c>
      <c r="K110" s="4" t="s">
        <v>262</v>
      </c>
      <c r="L110" s="4">
        <v>25</v>
      </c>
      <c r="M110" s="8">
        <v>23.111111111111111</v>
      </c>
      <c r="N110" s="4">
        <v>27</v>
      </c>
      <c r="O110" s="4">
        <v>27</v>
      </c>
      <c r="P110" s="4">
        <v>15</v>
      </c>
      <c r="Q110" s="4">
        <v>-1.679865001322572</v>
      </c>
      <c r="R110" s="4">
        <v>27</v>
      </c>
      <c r="S110" s="9"/>
      <c r="U110" s="4" t="s">
        <v>262</v>
      </c>
      <c r="V110" s="4">
        <v>19</v>
      </c>
      <c r="W110" s="8">
        <v>23.888888888888889</v>
      </c>
      <c r="X110" s="4">
        <v>22</v>
      </c>
      <c r="Y110" s="4">
        <v>22</v>
      </c>
      <c r="Z110" s="4">
        <v>19</v>
      </c>
      <c r="AA110" s="4">
        <v>-1.679865001322572</v>
      </c>
      <c r="AB110" s="4">
        <v>27</v>
      </c>
      <c r="AF110" s="4" t="s">
        <v>262</v>
      </c>
      <c r="AG110" s="4">
        <v>26</v>
      </c>
      <c r="AH110" s="8">
        <v>24.111111111111111</v>
      </c>
      <c r="AI110" s="4">
        <v>26</v>
      </c>
      <c r="AJ110" s="4">
        <v>26</v>
      </c>
      <c r="AK110" s="4">
        <v>19</v>
      </c>
      <c r="AL110" s="4">
        <v>-1.679865001322572</v>
      </c>
      <c r="AM110" s="4">
        <v>27</v>
      </c>
      <c r="AP110" s="4" t="s">
        <v>262</v>
      </c>
      <c r="AQ110" s="4">
        <v>26</v>
      </c>
      <c r="AR110" s="8">
        <v>24</v>
      </c>
      <c r="AS110" s="4">
        <v>24</v>
      </c>
      <c r="AT110" s="4">
        <v>24</v>
      </c>
      <c r="AU110" s="4">
        <v>23</v>
      </c>
      <c r="AV110" s="4">
        <v>-1.679865001322572</v>
      </c>
      <c r="AW110" s="4">
        <v>27</v>
      </c>
      <c r="AZ110" s="4" t="s">
        <v>262</v>
      </c>
      <c r="BA110" s="4">
        <v>27</v>
      </c>
      <c r="BB110" s="8">
        <v>24.555555555555557</v>
      </c>
      <c r="BC110" s="4">
        <v>27</v>
      </c>
      <c r="BD110" s="4">
        <v>27</v>
      </c>
      <c r="BE110" s="4">
        <v>19</v>
      </c>
      <c r="BF110" s="4">
        <v>-1.679865001322572</v>
      </c>
      <c r="BG110" s="4">
        <v>27</v>
      </c>
      <c r="BJ110" s="4" t="s">
        <v>262</v>
      </c>
      <c r="BK110" s="4">
        <v>13</v>
      </c>
      <c r="BL110" s="8">
        <v>18.777777777777779</v>
      </c>
      <c r="BM110" s="4">
        <v>15</v>
      </c>
      <c r="BN110" s="4">
        <v>15</v>
      </c>
      <c r="BO110" s="4">
        <v>13</v>
      </c>
      <c r="BP110" s="4">
        <v>-1.679865001322572</v>
      </c>
      <c r="BQ110" s="4">
        <v>27</v>
      </c>
      <c r="BT110" s="4" t="s">
        <v>262</v>
      </c>
      <c r="BU110" s="4">
        <v>27</v>
      </c>
      <c r="BV110" s="8">
        <v>21.777777777777779</v>
      </c>
      <c r="BW110" s="4">
        <v>27</v>
      </c>
      <c r="BX110" s="4">
        <v>27</v>
      </c>
      <c r="BY110" s="4">
        <v>24</v>
      </c>
      <c r="BZ110" s="4">
        <v>-1.679865001322572</v>
      </c>
      <c r="CA110" s="4">
        <v>27</v>
      </c>
    </row>
    <row r="111" spans="1:79" ht="14.25" customHeight="1" x14ac:dyDescent="0.3">
      <c r="A111" s="4" t="s">
        <v>267</v>
      </c>
      <c r="B111" s="4">
        <f t="shared" ref="B111:F111" si="32">AVERAGE(B91:B100)</f>
        <v>3</v>
      </c>
      <c r="C111" s="8">
        <f t="shared" si="32"/>
        <v>5.2222222222222214</v>
      </c>
      <c r="D111" s="4">
        <f t="shared" si="32"/>
        <v>2.7</v>
      </c>
      <c r="E111" s="4">
        <f t="shared" si="32"/>
        <v>3.2</v>
      </c>
      <c r="F111" s="4">
        <f t="shared" si="32"/>
        <v>7.3</v>
      </c>
      <c r="K111" s="4" t="s">
        <v>267</v>
      </c>
      <c r="L111" s="4">
        <f t="shared" ref="L111:P111" si="33">AVERAGE(L91:L100)</f>
        <v>3.7</v>
      </c>
      <c r="M111" s="8">
        <f t="shared" si="33"/>
        <v>5.1888888888888891</v>
      </c>
      <c r="N111" s="4">
        <f t="shared" si="33"/>
        <v>2.7</v>
      </c>
      <c r="O111" s="4">
        <f t="shared" si="33"/>
        <v>2.2999999999999998</v>
      </c>
      <c r="P111" s="4">
        <f t="shared" si="33"/>
        <v>7.2</v>
      </c>
      <c r="S111" s="9"/>
      <c r="U111" s="4" t="s">
        <v>267</v>
      </c>
      <c r="V111" s="4">
        <f t="shared" ref="V111:Z111" si="34">AVERAGE(V91:V100)</f>
        <v>6.1</v>
      </c>
      <c r="W111" s="8">
        <f t="shared" si="34"/>
        <v>5.3555555555555561</v>
      </c>
      <c r="X111" s="4">
        <f t="shared" si="34"/>
        <v>5.2</v>
      </c>
      <c r="Y111" s="4">
        <f t="shared" si="34"/>
        <v>4.4000000000000004</v>
      </c>
      <c r="Z111" s="4">
        <f t="shared" si="34"/>
        <v>7.2</v>
      </c>
      <c r="AF111" s="4" t="s">
        <v>267</v>
      </c>
      <c r="AG111" s="4">
        <f t="shared" ref="AG111:AK111" si="35">AVERAGE(AG91:AG100)</f>
        <v>5.0999999999999996</v>
      </c>
      <c r="AH111" s="8">
        <f t="shared" si="35"/>
        <v>4.9444444444444446</v>
      </c>
      <c r="AI111" s="4">
        <f t="shared" si="35"/>
        <v>4.4000000000000004</v>
      </c>
      <c r="AJ111" s="4">
        <f t="shared" si="35"/>
        <v>3.4</v>
      </c>
      <c r="AK111" s="4">
        <f t="shared" si="35"/>
        <v>7.2</v>
      </c>
      <c r="AP111" s="4" t="s">
        <v>267</v>
      </c>
      <c r="AQ111" s="4">
        <f t="shared" ref="AQ111:AU111" si="36">AVERAGE(AQ91:AQ100)</f>
        <v>6</v>
      </c>
      <c r="AR111" s="8">
        <f t="shared" si="36"/>
        <v>6.0666666666666664</v>
      </c>
      <c r="AS111" s="4">
        <f t="shared" si="36"/>
        <v>3.6</v>
      </c>
      <c r="AT111" s="4">
        <f t="shared" si="36"/>
        <v>3.3</v>
      </c>
      <c r="AU111" s="4">
        <f t="shared" si="36"/>
        <v>6.6</v>
      </c>
      <c r="AZ111" s="4" t="s">
        <v>267</v>
      </c>
      <c r="BA111" s="4">
        <f t="shared" ref="BA111:BE111" si="37">AVERAGE(BA91:BA100)</f>
        <v>5.7</v>
      </c>
      <c r="BB111" s="8">
        <f t="shared" si="37"/>
        <v>4.7111111111111112</v>
      </c>
      <c r="BC111" s="4">
        <f t="shared" si="37"/>
        <v>4.5999999999999996</v>
      </c>
      <c r="BD111" s="4">
        <f t="shared" si="37"/>
        <v>5.2</v>
      </c>
      <c r="BE111" s="4">
        <f t="shared" si="37"/>
        <v>6.5</v>
      </c>
      <c r="BJ111" s="4" t="s">
        <v>267</v>
      </c>
      <c r="BK111" s="4">
        <f t="shared" ref="BK111:BO111" si="38">AVERAGE(BK91:BK100)</f>
        <v>5.7</v>
      </c>
      <c r="BL111" s="8">
        <f t="shared" si="38"/>
        <v>4.8666666666666663</v>
      </c>
      <c r="BM111" s="4">
        <f t="shared" si="38"/>
        <v>5.7</v>
      </c>
      <c r="BN111" s="4">
        <f t="shared" si="38"/>
        <v>5.8</v>
      </c>
      <c r="BO111" s="4">
        <f t="shared" si="38"/>
        <v>6.5</v>
      </c>
      <c r="BT111" s="4" t="s">
        <v>267</v>
      </c>
      <c r="BU111" s="4">
        <f t="shared" ref="BU111:BY111" si="39">AVERAGE(BU91:BU100)</f>
        <v>5.5</v>
      </c>
      <c r="BV111" s="8">
        <f t="shared" si="39"/>
        <v>5.2222222222222214</v>
      </c>
      <c r="BW111" s="4">
        <f t="shared" si="39"/>
        <v>5</v>
      </c>
      <c r="BX111" s="4">
        <f t="shared" si="39"/>
        <v>4.9000000000000004</v>
      </c>
      <c r="BY111" s="4">
        <f t="shared" si="39"/>
        <v>6.7</v>
      </c>
    </row>
    <row r="112" spans="1:79" ht="14.25" customHeight="1" x14ac:dyDescent="0.3">
      <c r="A112" s="4" t="s">
        <v>268</v>
      </c>
      <c r="B112" s="4">
        <f t="shared" ref="B112:F112" si="40">AVERAGE(B101:B110)</f>
        <v>16.2</v>
      </c>
      <c r="C112" s="8">
        <f t="shared" si="40"/>
        <v>14.499999999999996</v>
      </c>
      <c r="D112" s="4">
        <f t="shared" si="40"/>
        <v>17</v>
      </c>
      <c r="E112" s="4">
        <f t="shared" si="40"/>
        <v>17.3</v>
      </c>
      <c r="F112" s="4">
        <f t="shared" si="40"/>
        <v>11.9</v>
      </c>
      <c r="K112" s="4" t="s">
        <v>268</v>
      </c>
      <c r="L112" s="4">
        <f t="shared" ref="L112:P112" si="41">AVERAGE(L101:L110)</f>
        <v>14.5</v>
      </c>
      <c r="M112" s="8">
        <f t="shared" si="41"/>
        <v>13.666666666666668</v>
      </c>
      <c r="N112" s="4">
        <f t="shared" si="41"/>
        <v>14.9</v>
      </c>
      <c r="O112" s="4">
        <f t="shared" si="41"/>
        <v>16.100000000000001</v>
      </c>
      <c r="P112" s="4">
        <f t="shared" si="41"/>
        <v>11</v>
      </c>
      <c r="S112" s="9"/>
      <c r="U112" s="4" t="s">
        <v>268</v>
      </c>
      <c r="V112" s="4">
        <f t="shared" ref="V112:Z112" si="42">AVERAGE(V101:V110)</f>
        <v>12.3</v>
      </c>
      <c r="W112" s="8">
        <f t="shared" si="42"/>
        <v>13.000000000000004</v>
      </c>
      <c r="X112" s="4">
        <f t="shared" si="42"/>
        <v>15.1</v>
      </c>
      <c r="Y112" s="4">
        <f t="shared" si="42"/>
        <v>13.1</v>
      </c>
      <c r="Z112" s="4">
        <f t="shared" si="42"/>
        <v>11.2</v>
      </c>
      <c r="AF112" s="4" t="s">
        <v>268</v>
      </c>
      <c r="AG112" s="4">
        <f t="shared" ref="AG112:AK112" si="43">AVERAGE(AG101:AG110)</f>
        <v>13.2</v>
      </c>
      <c r="AH112" s="8">
        <f t="shared" si="43"/>
        <v>13.2</v>
      </c>
      <c r="AI112" s="4">
        <f t="shared" si="43"/>
        <v>14.3</v>
      </c>
      <c r="AJ112" s="4">
        <f t="shared" si="43"/>
        <v>14.6</v>
      </c>
      <c r="AK112" s="4">
        <f t="shared" si="43"/>
        <v>11.2</v>
      </c>
      <c r="AP112" s="4" t="s">
        <v>268</v>
      </c>
      <c r="AQ112" s="4">
        <f t="shared" ref="AQ112:AU112" si="44">AVERAGE(AQ101:AQ110)</f>
        <v>12.9</v>
      </c>
      <c r="AR112" s="8">
        <f t="shared" si="44"/>
        <v>13.577777777777778</v>
      </c>
      <c r="AS112" s="4">
        <f t="shared" si="44"/>
        <v>12.8</v>
      </c>
      <c r="AT112" s="4">
        <f t="shared" si="44"/>
        <v>12.3</v>
      </c>
      <c r="AU112" s="4">
        <f t="shared" si="44"/>
        <v>12.3</v>
      </c>
      <c r="AZ112" s="4" t="s">
        <v>268</v>
      </c>
      <c r="BA112" s="4">
        <f t="shared" ref="BA112:BE112" si="45">AVERAGE(BA101:BA110)</f>
        <v>12.5</v>
      </c>
      <c r="BB112" s="8">
        <f t="shared" si="45"/>
        <v>14.277777777777777</v>
      </c>
      <c r="BC112" s="4">
        <f t="shared" si="45"/>
        <v>13.2</v>
      </c>
      <c r="BD112" s="4">
        <f t="shared" si="45"/>
        <v>14.4</v>
      </c>
      <c r="BE112" s="4">
        <f t="shared" si="45"/>
        <v>11.7</v>
      </c>
      <c r="BJ112" s="4" t="s">
        <v>268</v>
      </c>
      <c r="BK112" s="4">
        <f t="shared" ref="BK112:BO112" si="46">AVERAGE(BK101:BK110)</f>
        <v>14.9</v>
      </c>
      <c r="BL112" s="8">
        <f t="shared" si="46"/>
        <v>14.188888888888892</v>
      </c>
      <c r="BM112" s="4">
        <f t="shared" si="46"/>
        <v>15.4</v>
      </c>
      <c r="BN112" s="4">
        <f t="shared" si="46"/>
        <v>14.9</v>
      </c>
      <c r="BO112" s="4">
        <f t="shared" si="46"/>
        <v>14.1</v>
      </c>
      <c r="BT112" s="4" t="s">
        <v>268</v>
      </c>
      <c r="BU112" s="4">
        <f t="shared" ref="BU112:BY112" si="47">AVERAGE(BU101:BU110)</f>
        <v>15.6</v>
      </c>
      <c r="BV112" s="8">
        <f t="shared" si="47"/>
        <v>14.499999999999996</v>
      </c>
      <c r="BW112" s="4">
        <f t="shared" si="47"/>
        <v>15.9</v>
      </c>
      <c r="BX112" s="4">
        <f t="shared" si="47"/>
        <v>16.2</v>
      </c>
      <c r="BY112" s="4">
        <f t="shared" si="47"/>
        <v>14.4</v>
      </c>
    </row>
    <row r="113" spans="1:77" ht="14.25" customHeight="1" x14ac:dyDescent="0.3">
      <c r="A113" s="4" t="s">
        <v>269</v>
      </c>
      <c r="B113" s="4">
        <f>SKEW(B91:B100)</f>
        <v>1.4052626514404793</v>
      </c>
      <c r="C113" s="4"/>
      <c r="D113" s="4"/>
      <c r="E113" s="4"/>
      <c r="F113" s="4">
        <f>SKEW(F91:F100)</f>
        <v>1.5617883635207057</v>
      </c>
      <c r="K113" s="4" t="s">
        <v>269</v>
      </c>
      <c r="L113" s="4">
        <f>SKEW(L91:L100)</f>
        <v>1.6075182799452155</v>
      </c>
      <c r="M113" s="4"/>
      <c r="N113" s="4"/>
      <c r="O113" s="4"/>
      <c r="P113" s="4">
        <f>SKEW(P91:P100)</f>
        <v>0.70759334176193811</v>
      </c>
      <c r="U113" s="4" t="s">
        <v>269</v>
      </c>
      <c r="V113" s="4">
        <f>SKEW(V91:V100)</f>
        <v>-0.18115823158250052</v>
      </c>
      <c r="W113" s="4"/>
      <c r="X113" s="4"/>
      <c r="Y113" s="4"/>
      <c r="Z113" s="4">
        <f>SKEW(Z91:Z100)</f>
        <v>1.1506227072070052</v>
      </c>
      <c r="AF113" s="4" t="s">
        <v>269</v>
      </c>
      <c r="AG113" s="4">
        <f>SKEW(AG91:AG100)</f>
        <v>0.57292980820884731</v>
      </c>
      <c r="AH113" s="4"/>
      <c r="AI113" s="4"/>
      <c r="AJ113" s="4"/>
      <c r="AK113" s="4">
        <f>SKEW(AK91:AK100)</f>
        <v>1.1506227072070052</v>
      </c>
      <c r="AP113" s="4" t="s">
        <v>269</v>
      </c>
      <c r="AQ113" s="4">
        <f>SKEW(AQ91:AQ100)</f>
        <v>9.2426231406088299E-2</v>
      </c>
      <c r="AR113" s="4"/>
      <c r="AS113" s="4"/>
      <c r="AT113" s="4"/>
      <c r="AU113" s="4">
        <f>SKEW(AU91:AU100)</f>
        <v>0.11090339346573688</v>
      </c>
      <c r="AZ113" s="4" t="s">
        <v>269</v>
      </c>
      <c r="BA113" s="4">
        <f>SKEW(BA91:BA100)</f>
        <v>0.19798301359606518</v>
      </c>
      <c r="BB113" s="4"/>
      <c r="BC113" s="4"/>
      <c r="BD113" s="4"/>
      <c r="BE113" s="4">
        <f>SKEW(BE91:BE100)</f>
        <v>0.45396684302428808</v>
      </c>
      <c r="BJ113" s="4" t="s">
        <v>269</v>
      </c>
      <c r="BK113" s="4">
        <f>SKEW(BK91:BK100)</f>
        <v>0.58813774515247708</v>
      </c>
      <c r="BL113" s="4"/>
      <c r="BM113" s="4"/>
      <c r="BN113" s="4"/>
      <c r="BO113" s="4">
        <f>SKEW(BO91:BO100)</f>
        <v>0.45396684302428808</v>
      </c>
      <c r="BT113" s="4" t="s">
        <v>269</v>
      </c>
      <c r="BU113" s="4">
        <f>SKEW(BU91:BU100)</f>
        <v>0.86767814140948862</v>
      </c>
      <c r="BV113" s="4"/>
      <c r="BW113" s="4"/>
      <c r="BX113" s="4"/>
      <c r="BY113" s="4">
        <f>SKEW(BY91:BY100)</f>
        <v>-0.23424278964210296</v>
      </c>
    </row>
    <row r="114" spans="1:77" ht="14.25" customHeight="1" x14ac:dyDescent="0.3">
      <c r="A114" s="4" t="s">
        <v>270</v>
      </c>
      <c r="B114" s="4">
        <f>SKEW(B101:B110)</f>
        <v>0.79550107335082287</v>
      </c>
      <c r="C114" s="4"/>
      <c r="D114" s="4"/>
      <c r="E114" s="4"/>
      <c r="F114" s="4">
        <f>SKEW(F101:F110)</f>
        <v>0.96141356439402215</v>
      </c>
      <c r="K114" s="4" t="s">
        <v>270</v>
      </c>
      <c r="L114" s="4">
        <f>SKEW(L101:L110)</f>
        <v>0.61372097335019193</v>
      </c>
      <c r="M114" s="4"/>
      <c r="N114" s="4"/>
      <c r="O114" s="4"/>
      <c r="P114" s="4">
        <f>SKEW(P101:P110)</f>
        <v>1.5516669055254786</v>
      </c>
      <c r="U114" s="4" t="s">
        <v>270</v>
      </c>
      <c r="V114" s="4">
        <f>SKEW(V101:V110)</f>
        <v>-0.69827251603355278</v>
      </c>
      <c r="W114" s="4"/>
      <c r="X114" s="4"/>
      <c r="Y114" s="4"/>
      <c r="Z114" s="4">
        <f>SKEW(Z101:Z110)</f>
        <v>-0.36051038495013182</v>
      </c>
      <c r="AF114" s="4" t="s">
        <v>270</v>
      </c>
      <c r="AG114" s="4">
        <f>SKEW(AG101:AG110)</f>
        <v>1.2572581843930644</v>
      </c>
      <c r="AH114" s="4"/>
      <c r="AI114" s="4"/>
      <c r="AJ114" s="4"/>
      <c r="AK114" s="4">
        <f>SKEW(AK101:AK110)</f>
        <v>-0.36051038495013182</v>
      </c>
      <c r="AP114" s="4" t="s">
        <v>270</v>
      </c>
      <c r="AQ114" s="4">
        <f>SKEW(AQ101:AQ110)</f>
        <v>0.79415426216157481</v>
      </c>
      <c r="AR114" s="4"/>
      <c r="AS114" s="4"/>
      <c r="AT114" s="4"/>
      <c r="AU114" s="4">
        <f>SKEW(AU101:AU110)</f>
        <v>0.52403239815974323</v>
      </c>
      <c r="AZ114" s="4" t="s">
        <v>270</v>
      </c>
      <c r="BA114" s="4">
        <f>SKEW(BA101:BA110)</f>
        <v>1.1647943195765336</v>
      </c>
      <c r="BB114" s="4"/>
      <c r="BC114" s="4"/>
      <c r="BD114" s="4"/>
      <c r="BE114" s="4">
        <f>SKEW(BE101:BE110)</f>
        <v>1.0658561422069743</v>
      </c>
      <c r="BJ114" s="4" t="s">
        <v>270</v>
      </c>
      <c r="BK114" s="4">
        <f>SKEW(BK101:BK110)</f>
        <v>1.3675901363094816</v>
      </c>
      <c r="BL114" s="4"/>
      <c r="BM114" s="4"/>
      <c r="BN114" s="4"/>
      <c r="BO114" s="4">
        <f>SKEW(BO101:BO110)</f>
        <v>1.5396348874443175</v>
      </c>
      <c r="BT114" s="4" t="s">
        <v>270</v>
      </c>
      <c r="BU114" s="4">
        <f>SKEW(BU101:BU110)</f>
        <v>0.67135492509072126</v>
      </c>
      <c r="BV114" s="4"/>
      <c r="BW114" s="4"/>
      <c r="BX114" s="4"/>
      <c r="BY114" s="4">
        <f>SKEW(BY101:BY110)</f>
        <v>0.65794082909739771</v>
      </c>
    </row>
    <row r="115" spans="1:77" ht="14.25" customHeight="1" x14ac:dyDescent="0.3">
      <c r="A115" s="4" t="s">
        <v>271</v>
      </c>
      <c r="B115" s="4">
        <v>45.19073420130632</v>
      </c>
      <c r="C115" s="5"/>
      <c r="D115" s="5"/>
      <c r="K115" s="4" t="s">
        <v>271</v>
      </c>
      <c r="L115" s="4">
        <v>37.585350031634668</v>
      </c>
      <c r="U115" s="4" t="s">
        <v>271</v>
      </c>
      <c r="V115" s="4">
        <v>9.8937668284417111</v>
      </c>
      <c r="AF115" s="4" t="s">
        <v>271</v>
      </c>
      <c r="AG115" s="4">
        <v>24.22714578922092</v>
      </c>
      <c r="AP115" s="4" t="s">
        <v>271</v>
      </c>
      <c r="AQ115" s="4">
        <v>12.924285667603231</v>
      </c>
      <c r="AZ115" s="4" t="s">
        <v>271</v>
      </c>
      <c r="BA115" s="4">
        <v>14.5398070630867</v>
      </c>
      <c r="BJ115" s="4" t="s">
        <v>271</v>
      </c>
      <c r="BK115" s="4">
        <v>14.67748783253921</v>
      </c>
      <c r="BT115" s="4" t="s">
        <v>271</v>
      </c>
      <c r="BU115" s="4">
        <v>20.175882756635499</v>
      </c>
    </row>
    <row r="116" spans="1:77" ht="14.25" customHeight="1" x14ac:dyDescent="0.3">
      <c r="A116" s="4" t="s">
        <v>272</v>
      </c>
      <c r="B116" s="4">
        <v>15</v>
      </c>
      <c r="C116" s="5"/>
      <c r="D116" s="5"/>
      <c r="K116" s="4" t="s">
        <v>272</v>
      </c>
      <c r="L116" s="4">
        <v>12</v>
      </c>
      <c r="U116" s="4" t="s">
        <v>272</v>
      </c>
      <c r="V116" s="4">
        <v>9</v>
      </c>
      <c r="AF116" s="4" t="s">
        <v>272</v>
      </c>
      <c r="AG116" s="4">
        <v>9</v>
      </c>
      <c r="AP116" s="4" t="s">
        <v>272</v>
      </c>
      <c r="AQ116" s="4">
        <v>9</v>
      </c>
      <c r="AZ116" s="4" t="s">
        <v>272</v>
      </c>
      <c r="BA116" s="4">
        <v>10</v>
      </c>
      <c r="BJ116" s="4" t="s">
        <v>272</v>
      </c>
      <c r="BK116" s="4">
        <v>11</v>
      </c>
      <c r="BT116" s="4" t="s">
        <v>272</v>
      </c>
      <c r="BU116" s="4">
        <v>12</v>
      </c>
    </row>
    <row r="117" spans="1:77" ht="14.25" customHeight="1" x14ac:dyDescent="0.3">
      <c r="A117" s="11" t="s">
        <v>273</v>
      </c>
      <c r="B117" s="4">
        <f>B116*2</f>
        <v>30</v>
      </c>
      <c r="C117" s="5"/>
      <c r="D117" s="5"/>
      <c r="K117" s="11" t="s">
        <v>273</v>
      </c>
      <c r="L117" s="4">
        <f>L116*2</f>
        <v>24</v>
      </c>
      <c r="U117" s="11" t="s">
        <v>273</v>
      </c>
      <c r="V117" s="4">
        <f>V116*2</f>
        <v>18</v>
      </c>
      <c r="AF117" s="11" t="s">
        <v>273</v>
      </c>
      <c r="AG117" s="4">
        <f>AG116*2</f>
        <v>18</v>
      </c>
      <c r="AP117" s="11" t="s">
        <v>273</v>
      </c>
      <c r="AQ117" s="4">
        <f>AQ116*2</f>
        <v>18</v>
      </c>
      <c r="AZ117" s="11" t="s">
        <v>273</v>
      </c>
      <c r="BA117" s="4">
        <f>BA116*2</f>
        <v>20</v>
      </c>
      <c r="BJ117" s="11" t="s">
        <v>273</v>
      </c>
      <c r="BK117" s="4">
        <f>BK116*2</f>
        <v>22</v>
      </c>
      <c r="BT117" s="11" t="s">
        <v>273</v>
      </c>
      <c r="BU117" s="4">
        <f>BU116*2</f>
        <v>24</v>
      </c>
    </row>
    <row r="118" spans="1:77" ht="14.25" customHeight="1" x14ac:dyDescent="0.3"/>
    <row r="119" spans="1:77" ht="14.25" customHeight="1" x14ac:dyDescent="0.3">
      <c r="W119" s="5"/>
      <c r="X119" s="5"/>
      <c r="Y119" s="5"/>
      <c r="Z119" s="5"/>
      <c r="AH119" s="5"/>
      <c r="AI119" s="5"/>
      <c r="AJ119" s="5"/>
      <c r="AK119" s="5"/>
    </row>
    <row r="120" spans="1:77" ht="14.25" customHeight="1" x14ac:dyDescent="0.3">
      <c r="C120" s="5"/>
      <c r="D120" s="5"/>
      <c r="E120" s="5"/>
      <c r="F120" s="5"/>
      <c r="W120" s="5"/>
      <c r="X120" s="5"/>
      <c r="Y120" s="5"/>
      <c r="Z120" s="5"/>
      <c r="AR120" s="5"/>
      <c r="AS120" s="5"/>
      <c r="AT120" s="5"/>
      <c r="AU120" s="5"/>
      <c r="BB120" s="5"/>
      <c r="BC120" s="5"/>
      <c r="BD120" s="5"/>
      <c r="BE120" s="5"/>
      <c r="BL120" s="5"/>
      <c r="BM120" s="5"/>
      <c r="BN120" s="5"/>
      <c r="BO120" s="5"/>
    </row>
    <row r="121" spans="1:77" ht="14.25" customHeight="1" x14ac:dyDescent="0.3">
      <c r="A121" s="4" t="s">
        <v>292</v>
      </c>
      <c r="K121" s="4" t="s">
        <v>293</v>
      </c>
      <c r="M121" s="5"/>
      <c r="N121" s="5"/>
      <c r="O121" s="5"/>
      <c r="P121" s="5"/>
      <c r="U121" s="4" t="s">
        <v>294</v>
      </c>
      <c r="AF121" s="4" t="s">
        <v>295</v>
      </c>
      <c r="AP121" s="4" t="s">
        <v>296</v>
      </c>
      <c r="AZ121" s="4" t="s">
        <v>297</v>
      </c>
      <c r="BJ121" s="4" t="s">
        <v>298</v>
      </c>
    </row>
    <row r="122" spans="1:77" ht="14.25" customHeight="1" x14ac:dyDescent="0.3">
      <c r="A122" s="4" t="s">
        <v>232</v>
      </c>
      <c r="B122" s="4" t="s">
        <v>5</v>
      </c>
      <c r="C122" s="4" t="s">
        <v>242</v>
      </c>
      <c r="D122" s="7" t="s">
        <v>234</v>
      </c>
      <c r="E122" s="7" t="s">
        <v>235</v>
      </c>
      <c r="F122" s="4" t="s">
        <v>236</v>
      </c>
      <c r="G122" s="4" t="s">
        <v>237</v>
      </c>
      <c r="H122" s="4" t="s">
        <v>12</v>
      </c>
      <c r="I122" s="18"/>
      <c r="K122" s="4" t="s">
        <v>232</v>
      </c>
      <c r="L122" s="4" t="s">
        <v>5</v>
      </c>
      <c r="M122" s="4" t="s">
        <v>243</v>
      </c>
      <c r="N122" s="7" t="s">
        <v>234</v>
      </c>
      <c r="O122" s="7" t="s">
        <v>235</v>
      </c>
      <c r="P122" s="4" t="s">
        <v>236</v>
      </c>
      <c r="Q122" s="4" t="s">
        <v>237</v>
      </c>
      <c r="R122" s="4" t="s">
        <v>12</v>
      </c>
      <c r="U122" s="4" t="s">
        <v>232</v>
      </c>
      <c r="V122" s="4" t="s">
        <v>5</v>
      </c>
      <c r="W122" s="4" t="s">
        <v>245</v>
      </c>
      <c r="X122" s="7" t="s">
        <v>234</v>
      </c>
      <c r="Y122" s="7" t="s">
        <v>235</v>
      </c>
      <c r="Z122" s="4" t="s">
        <v>236</v>
      </c>
      <c r="AA122" s="4" t="s">
        <v>237</v>
      </c>
      <c r="AB122" s="4" t="s">
        <v>12</v>
      </c>
      <c r="AF122" s="4" t="s">
        <v>232</v>
      </c>
      <c r="AG122" s="4" t="s">
        <v>5</v>
      </c>
      <c r="AH122" s="4" t="s">
        <v>246</v>
      </c>
      <c r="AI122" s="7" t="s">
        <v>234</v>
      </c>
      <c r="AJ122" s="7" t="s">
        <v>235</v>
      </c>
      <c r="AK122" s="4" t="s">
        <v>236</v>
      </c>
      <c r="AL122" s="4" t="s">
        <v>237</v>
      </c>
      <c r="AM122" s="4" t="s">
        <v>12</v>
      </c>
      <c r="AP122" s="4" t="s">
        <v>232</v>
      </c>
      <c r="AQ122" s="4" t="s">
        <v>5</v>
      </c>
      <c r="AR122" s="4" t="s">
        <v>233</v>
      </c>
      <c r="AS122" s="7" t="s">
        <v>234</v>
      </c>
      <c r="AT122" s="7" t="s">
        <v>235</v>
      </c>
      <c r="AU122" s="4" t="s">
        <v>236</v>
      </c>
      <c r="AV122" s="4" t="s">
        <v>237</v>
      </c>
      <c r="AW122" s="4" t="s">
        <v>12</v>
      </c>
      <c r="AZ122" s="4" t="s">
        <v>232</v>
      </c>
      <c r="BA122" s="4" t="s">
        <v>5</v>
      </c>
      <c r="BB122" s="4" t="s">
        <v>240</v>
      </c>
      <c r="BC122" s="7" t="s">
        <v>234</v>
      </c>
      <c r="BD122" s="7" t="s">
        <v>235</v>
      </c>
      <c r="BE122" s="4" t="s">
        <v>236</v>
      </c>
      <c r="BF122" s="4" t="s">
        <v>237</v>
      </c>
      <c r="BG122" s="4" t="s">
        <v>12</v>
      </c>
      <c r="BJ122" s="4" t="s">
        <v>232</v>
      </c>
      <c r="BK122" s="4" t="s">
        <v>5</v>
      </c>
      <c r="BL122" s="4" t="s">
        <v>241</v>
      </c>
      <c r="BM122" s="7" t="s">
        <v>234</v>
      </c>
      <c r="BN122" s="7" t="s">
        <v>235</v>
      </c>
      <c r="BO122" s="4" t="s">
        <v>236</v>
      </c>
      <c r="BP122" s="4" t="s">
        <v>237</v>
      </c>
      <c r="BQ122" s="4" t="s">
        <v>12</v>
      </c>
    </row>
    <row r="123" spans="1:77" ht="14.25" customHeight="1" x14ac:dyDescent="0.3">
      <c r="A123" s="4" t="s">
        <v>253</v>
      </c>
      <c r="B123" s="4">
        <v>7</v>
      </c>
      <c r="C123" s="8">
        <v>6.1111111111111107</v>
      </c>
      <c r="D123" s="4">
        <v>6</v>
      </c>
      <c r="E123" s="4">
        <v>6</v>
      </c>
      <c r="F123" s="4">
        <v>7</v>
      </c>
      <c r="G123" s="4">
        <v>1.1425292918330761</v>
      </c>
      <c r="H123" s="4">
        <v>15</v>
      </c>
      <c r="I123" s="9"/>
      <c r="K123" s="4" t="s">
        <v>253</v>
      </c>
      <c r="L123" s="4">
        <v>5</v>
      </c>
      <c r="M123" s="8">
        <v>4.2222222222222223</v>
      </c>
      <c r="N123" s="4">
        <v>6</v>
      </c>
      <c r="O123" s="4">
        <v>4</v>
      </c>
      <c r="P123" s="4">
        <v>7</v>
      </c>
      <c r="Q123" s="4">
        <v>1.1425292918330761</v>
      </c>
      <c r="R123" s="4">
        <v>15</v>
      </c>
      <c r="U123" s="4" t="s">
        <v>253</v>
      </c>
      <c r="V123" s="4">
        <v>2</v>
      </c>
      <c r="W123" s="8">
        <v>4.666666666666667</v>
      </c>
      <c r="X123" s="4">
        <v>1</v>
      </c>
      <c r="Y123" s="4">
        <v>1</v>
      </c>
      <c r="Z123" s="4">
        <v>8</v>
      </c>
      <c r="AA123" s="4">
        <v>1.1425292918330761</v>
      </c>
      <c r="AB123" s="4">
        <v>15</v>
      </c>
      <c r="AF123" s="4" t="s">
        <v>253</v>
      </c>
      <c r="AG123" s="4">
        <v>8</v>
      </c>
      <c r="AH123" s="8">
        <v>6.1111111111111107</v>
      </c>
      <c r="AI123" s="4">
        <v>5</v>
      </c>
      <c r="AJ123" s="4">
        <v>1</v>
      </c>
      <c r="AK123" s="4">
        <v>7</v>
      </c>
      <c r="AL123" s="4">
        <v>1.1425292918330761</v>
      </c>
      <c r="AM123" s="4">
        <v>15</v>
      </c>
      <c r="AP123" s="4" t="s">
        <v>253</v>
      </c>
      <c r="AQ123" s="4">
        <v>2</v>
      </c>
      <c r="AR123" s="8">
        <v>4.666666666666667</v>
      </c>
      <c r="AS123" s="4">
        <v>3</v>
      </c>
      <c r="AT123" s="4">
        <v>3</v>
      </c>
      <c r="AU123" s="4">
        <v>7</v>
      </c>
      <c r="AV123" s="4">
        <v>1.1425292918330761</v>
      </c>
      <c r="AW123" s="4">
        <v>15</v>
      </c>
      <c r="AZ123" s="4" t="s">
        <v>253</v>
      </c>
      <c r="BA123" s="4">
        <v>1</v>
      </c>
      <c r="BB123" s="8">
        <v>5.5555555555555554</v>
      </c>
      <c r="BC123" s="4">
        <v>2</v>
      </c>
      <c r="BD123" s="4">
        <v>2</v>
      </c>
      <c r="BE123" s="4">
        <v>7</v>
      </c>
      <c r="BF123" s="4">
        <v>1.1425292918330761</v>
      </c>
      <c r="BG123" s="4">
        <v>15</v>
      </c>
      <c r="BJ123" s="4" t="s">
        <v>253</v>
      </c>
      <c r="BK123" s="4">
        <v>4</v>
      </c>
      <c r="BL123" s="8">
        <v>4</v>
      </c>
      <c r="BM123" s="4">
        <v>4</v>
      </c>
      <c r="BN123" s="4">
        <v>4</v>
      </c>
      <c r="BO123" s="4">
        <v>8</v>
      </c>
      <c r="BP123" s="4">
        <v>1.1425292918330761</v>
      </c>
      <c r="BQ123" s="4">
        <v>15</v>
      </c>
    </row>
    <row r="124" spans="1:77" ht="14.25" customHeight="1" x14ac:dyDescent="0.3">
      <c r="A124" s="4" t="s">
        <v>254</v>
      </c>
      <c r="B124" s="4">
        <v>8</v>
      </c>
      <c r="C124" s="8">
        <v>3.5555555555555554</v>
      </c>
      <c r="D124" s="4">
        <v>3</v>
      </c>
      <c r="E124" s="4">
        <v>1</v>
      </c>
      <c r="F124" s="4">
        <v>8</v>
      </c>
      <c r="G124" s="4">
        <v>0.80154659127182082</v>
      </c>
      <c r="H124" s="4">
        <v>19</v>
      </c>
      <c r="I124" s="9"/>
      <c r="K124" s="4" t="s">
        <v>254</v>
      </c>
      <c r="L124" s="4">
        <v>5</v>
      </c>
      <c r="M124" s="8">
        <v>3.3333333333333335</v>
      </c>
      <c r="N124" s="4">
        <v>1</v>
      </c>
      <c r="O124" s="4">
        <v>0</v>
      </c>
      <c r="P124" s="4">
        <v>12</v>
      </c>
      <c r="Q124" s="4">
        <v>0.80154659127182082</v>
      </c>
      <c r="R124" s="4">
        <v>19</v>
      </c>
      <c r="U124" s="4" t="s">
        <v>254</v>
      </c>
      <c r="V124" s="4">
        <v>1</v>
      </c>
      <c r="W124" s="8">
        <v>5.2222222222222223</v>
      </c>
      <c r="X124" s="4">
        <v>0</v>
      </c>
      <c r="Y124" s="4">
        <v>0</v>
      </c>
      <c r="Z124" s="4">
        <v>8</v>
      </c>
      <c r="AA124" s="4">
        <v>0.80154659127182082</v>
      </c>
      <c r="AB124" s="4">
        <v>19</v>
      </c>
      <c r="AF124" s="4" t="s">
        <v>254</v>
      </c>
      <c r="AG124" s="4">
        <v>1</v>
      </c>
      <c r="AH124" s="8">
        <v>6.5555555555555554</v>
      </c>
      <c r="AI124" s="4">
        <v>0</v>
      </c>
      <c r="AJ124" s="4">
        <v>0</v>
      </c>
      <c r="AK124" s="4">
        <v>8</v>
      </c>
      <c r="AL124" s="4">
        <v>0.80154659127182082</v>
      </c>
      <c r="AM124" s="4">
        <v>19</v>
      </c>
      <c r="AP124" s="4" t="s">
        <v>254</v>
      </c>
      <c r="AQ124" s="4">
        <v>13</v>
      </c>
      <c r="AR124" s="8">
        <v>6.1111111111111107</v>
      </c>
      <c r="AS124" s="4">
        <v>13</v>
      </c>
      <c r="AT124" s="4">
        <v>12</v>
      </c>
      <c r="AU124" s="4">
        <v>8</v>
      </c>
      <c r="AV124" s="4">
        <v>0.80154659127182082</v>
      </c>
      <c r="AW124" s="4">
        <v>19</v>
      </c>
      <c r="AZ124" s="4" t="s">
        <v>254</v>
      </c>
      <c r="BA124" s="4">
        <v>5</v>
      </c>
      <c r="BB124" s="8">
        <v>5.8888888888888893</v>
      </c>
      <c r="BC124" s="4">
        <v>9</v>
      </c>
      <c r="BD124" s="4">
        <v>10</v>
      </c>
      <c r="BE124" s="4">
        <v>8</v>
      </c>
      <c r="BF124" s="4">
        <v>0.80154659127182082</v>
      </c>
      <c r="BG124" s="4">
        <v>19</v>
      </c>
      <c r="BJ124" s="4" t="s">
        <v>254</v>
      </c>
      <c r="BK124" s="4">
        <v>12</v>
      </c>
      <c r="BL124" s="8">
        <v>7.333333333333333</v>
      </c>
      <c r="BM124" s="4">
        <v>13</v>
      </c>
      <c r="BN124" s="4">
        <v>12</v>
      </c>
      <c r="BO124" s="4">
        <v>8</v>
      </c>
      <c r="BP124" s="4">
        <v>0.80154659127182082</v>
      </c>
      <c r="BQ124" s="4">
        <v>19</v>
      </c>
    </row>
    <row r="125" spans="1:77" ht="14.25" customHeight="1" x14ac:dyDescent="0.3">
      <c r="A125" s="4" t="s">
        <v>255</v>
      </c>
      <c r="B125" s="4">
        <v>2</v>
      </c>
      <c r="C125" s="8">
        <v>3.2222222222222223</v>
      </c>
      <c r="D125" s="4">
        <v>1</v>
      </c>
      <c r="E125" s="4">
        <v>1</v>
      </c>
      <c r="F125" s="4">
        <v>6</v>
      </c>
      <c r="G125" s="4">
        <v>0.75176560751023358</v>
      </c>
      <c r="H125" s="4">
        <v>15</v>
      </c>
      <c r="I125" s="9"/>
      <c r="K125" s="4" t="s">
        <v>255</v>
      </c>
      <c r="L125" s="4">
        <v>5</v>
      </c>
      <c r="M125" s="8">
        <v>2.8888888888888888</v>
      </c>
      <c r="N125" s="4">
        <v>1</v>
      </c>
      <c r="O125" s="4">
        <v>1</v>
      </c>
      <c r="P125" s="4">
        <v>6</v>
      </c>
      <c r="Q125" s="4">
        <v>0.75176560751023358</v>
      </c>
      <c r="R125" s="4">
        <v>15</v>
      </c>
      <c r="U125" s="4" t="s">
        <v>255</v>
      </c>
      <c r="V125" s="4">
        <v>1</v>
      </c>
      <c r="W125" s="8">
        <v>2.6666666666666665</v>
      </c>
      <c r="X125" s="4">
        <v>2</v>
      </c>
      <c r="Y125" s="4">
        <v>1</v>
      </c>
      <c r="Z125" s="4">
        <v>6</v>
      </c>
      <c r="AA125" s="4">
        <v>0.75176560751023358</v>
      </c>
      <c r="AB125" s="4">
        <v>15</v>
      </c>
      <c r="AF125" s="4" t="s">
        <v>255</v>
      </c>
      <c r="AG125" s="4">
        <v>1</v>
      </c>
      <c r="AH125" s="8">
        <v>4.333333333333333</v>
      </c>
      <c r="AI125" s="4">
        <v>1</v>
      </c>
      <c r="AJ125" s="4">
        <v>1</v>
      </c>
      <c r="AK125" s="4">
        <v>6</v>
      </c>
      <c r="AL125" s="4">
        <v>0.75176560751023358</v>
      </c>
      <c r="AM125" s="4">
        <v>15</v>
      </c>
      <c r="AP125" s="4" t="s">
        <v>255</v>
      </c>
      <c r="AQ125" s="4">
        <v>6</v>
      </c>
      <c r="AR125" s="8">
        <v>2.1111111111111112</v>
      </c>
      <c r="AS125" s="4">
        <v>4</v>
      </c>
      <c r="AT125" s="4">
        <v>2</v>
      </c>
      <c r="AU125" s="4">
        <v>10</v>
      </c>
      <c r="AV125" s="4">
        <v>0.75176560751023358</v>
      </c>
      <c r="AW125" s="4">
        <v>15</v>
      </c>
      <c r="AZ125" s="4" t="s">
        <v>255</v>
      </c>
      <c r="BA125" s="4">
        <v>7</v>
      </c>
      <c r="BB125" s="8">
        <v>2.4444444444444446</v>
      </c>
      <c r="BC125" s="4">
        <v>8</v>
      </c>
      <c r="BD125" s="4">
        <v>8</v>
      </c>
      <c r="BE125" s="4">
        <v>7</v>
      </c>
      <c r="BF125" s="4">
        <v>0.75176560751023358</v>
      </c>
      <c r="BG125" s="4">
        <v>15</v>
      </c>
      <c r="BJ125" s="4" t="s">
        <v>255</v>
      </c>
      <c r="BK125" s="4">
        <v>3</v>
      </c>
      <c r="BL125" s="8">
        <v>4.4444444444444446</v>
      </c>
      <c r="BM125" s="4">
        <v>3</v>
      </c>
      <c r="BN125" s="4">
        <v>3</v>
      </c>
      <c r="BO125" s="4">
        <v>6</v>
      </c>
      <c r="BP125" s="4">
        <v>0.75176560751023358</v>
      </c>
      <c r="BQ125" s="4">
        <v>15</v>
      </c>
    </row>
    <row r="126" spans="1:77" ht="14.25" customHeight="1" x14ac:dyDescent="0.3">
      <c r="A126" s="4" t="s">
        <v>256</v>
      </c>
      <c r="B126" s="4">
        <v>1</v>
      </c>
      <c r="C126" s="8">
        <v>4.7777777777777777</v>
      </c>
      <c r="D126" s="4">
        <v>13</v>
      </c>
      <c r="E126" s="4">
        <v>13</v>
      </c>
      <c r="F126" s="4">
        <v>9</v>
      </c>
      <c r="G126" s="4">
        <v>0.70267762112263932</v>
      </c>
      <c r="H126" s="4">
        <v>17</v>
      </c>
      <c r="I126" s="9"/>
      <c r="K126" s="4" t="s">
        <v>256</v>
      </c>
      <c r="L126" s="4">
        <v>5</v>
      </c>
      <c r="M126" s="8">
        <v>5.8888888888888893</v>
      </c>
      <c r="N126" s="4">
        <v>2</v>
      </c>
      <c r="O126" s="4">
        <v>3</v>
      </c>
      <c r="P126" s="4">
        <v>8</v>
      </c>
      <c r="Q126" s="4">
        <v>0.70267762112263932</v>
      </c>
      <c r="R126" s="4">
        <v>17</v>
      </c>
      <c r="U126" s="4" t="s">
        <v>256</v>
      </c>
      <c r="V126" s="4">
        <v>2</v>
      </c>
      <c r="W126" s="8">
        <v>5</v>
      </c>
      <c r="X126" s="4">
        <v>1</v>
      </c>
      <c r="Y126" s="4">
        <v>0</v>
      </c>
      <c r="Z126" s="4">
        <v>7</v>
      </c>
      <c r="AA126" s="4">
        <v>0.70267762112263932</v>
      </c>
      <c r="AB126" s="4">
        <v>17</v>
      </c>
      <c r="AF126" s="4" t="s">
        <v>256</v>
      </c>
      <c r="AG126" s="4">
        <v>12</v>
      </c>
      <c r="AH126" s="8">
        <v>6.7777777777777777</v>
      </c>
      <c r="AI126" s="4">
        <v>9</v>
      </c>
      <c r="AJ126" s="4">
        <v>6</v>
      </c>
      <c r="AK126" s="4">
        <v>7</v>
      </c>
      <c r="AL126" s="4">
        <v>0.70267762112263932</v>
      </c>
      <c r="AM126" s="4">
        <v>17</v>
      </c>
      <c r="AP126" s="4" t="s">
        <v>256</v>
      </c>
      <c r="AQ126" s="4">
        <v>4</v>
      </c>
      <c r="AR126" s="8">
        <v>4.666666666666667</v>
      </c>
      <c r="AS126" s="4">
        <v>3</v>
      </c>
      <c r="AT126" s="4">
        <v>1</v>
      </c>
      <c r="AU126" s="4">
        <v>11</v>
      </c>
      <c r="AV126" s="4">
        <v>0.70267762112263932</v>
      </c>
      <c r="AW126" s="4">
        <v>17</v>
      </c>
      <c r="AZ126" s="4" t="s">
        <v>256</v>
      </c>
      <c r="BA126" s="4">
        <v>9</v>
      </c>
      <c r="BB126" s="8">
        <v>5.1111111111111107</v>
      </c>
      <c r="BC126" s="4">
        <v>6</v>
      </c>
      <c r="BD126" s="4">
        <v>7</v>
      </c>
      <c r="BE126" s="4">
        <v>7</v>
      </c>
      <c r="BF126" s="4">
        <v>0.70267762112263932</v>
      </c>
      <c r="BG126" s="4">
        <v>17</v>
      </c>
      <c r="BJ126" s="4" t="s">
        <v>256</v>
      </c>
      <c r="BK126" s="4">
        <v>6</v>
      </c>
      <c r="BL126" s="8">
        <v>3.5555555555555554</v>
      </c>
      <c r="BM126" s="4">
        <v>4</v>
      </c>
      <c r="BN126" s="4">
        <v>7</v>
      </c>
      <c r="BO126" s="4">
        <v>7</v>
      </c>
      <c r="BP126" s="4">
        <v>0.70267762112263932</v>
      </c>
      <c r="BQ126" s="4">
        <v>17</v>
      </c>
    </row>
    <row r="127" spans="1:77" ht="14.25" customHeight="1" x14ac:dyDescent="0.3">
      <c r="A127" s="4" t="s">
        <v>252</v>
      </c>
      <c r="B127" s="4">
        <v>14</v>
      </c>
      <c r="C127" s="8">
        <v>6.7777777777777777</v>
      </c>
      <c r="D127" s="4">
        <v>10</v>
      </c>
      <c r="E127" s="4">
        <v>10</v>
      </c>
      <c r="F127" s="4">
        <v>6</v>
      </c>
      <c r="G127" s="4">
        <v>0.70256358269933272</v>
      </c>
      <c r="H127" s="4">
        <v>15</v>
      </c>
      <c r="I127" s="9"/>
      <c r="K127" s="4" t="s">
        <v>252</v>
      </c>
      <c r="L127" s="4">
        <v>5</v>
      </c>
      <c r="M127" s="8">
        <v>4.2222222222222223</v>
      </c>
      <c r="N127" s="4">
        <v>8</v>
      </c>
      <c r="O127" s="4">
        <v>8</v>
      </c>
      <c r="P127" s="4">
        <v>8</v>
      </c>
      <c r="Q127" s="4">
        <v>0.70256358269933272</v>
      </c>
      <c r="R127" s="4">
        <v>15</v>
      </c>
      <c r="U127" s="4" t="s">
        <v>252</v>
      </c>
      <c r="V127" s="4">
        <v>7</v>
      </c>
      <c r="W127" s="8">
        <v>6.2222222222222223</v>
      </c>
      <c r="X127" s="4">
        <v>8</v>
      </c>
      <c r="Y127" s="4">
        <v>7</v>
      </c>
      <c r="Z127" s="4">
        <v>6</v>
      </c>
      <c r="AA127" s="4">
        <v>0.70256358269933272</v>
      </c>
      <c r="AB127" s="4">
        <v>15</v>
      </c>
      <c r="AF127" s="4" t="s">
        <v>252</v>
      </c>
      <c r="AG127" s="4">
        <v>13</v>
      </c>
      <c r="AH127" s="8">
        <v>8.1111111111111107</v>
      </c>
      <c r="AI127" s="4">
        <v>8</v>
      </c>
      <c r="AJ127" s="4">
        <v>7</v>
      </c>
      <c r="AK127" s="4">
        <v>6</v>
      </c>
      <c r="AL127" s="4">
        <v>0.70256358269933272</v>
      </c>
      <c r="AM127" s="4">
        <v>15</v>
      </c>
      <c r="AP127" s="4" t="s">
        <v>252</v>
      </c>
      <c r="AQ127" s="4">
        <v>4</v>
      </c>
      <c r="AR127" s="8">
        <v>5.5555555555555554</v>
      </c>
      <c r="AS127" s="4">
        <v>4</v>
      </c>
      <c r="AT127" s="4">
        <v>5</v>
      </c>
      <c r="AU127" s="4">
        <v>6</v>
      </c>
      <c r="AV127" s="4">
        <v>0.70256358269933272</v>
      </c>
      <c r="AW127" s="4">
        <v>15</v>
      </c>
      <c r="AZ127" s="4" t="s">
        <v>252</v>
      </c>
      <c r="BA127" s="4">
        <v>4</v>
      </c>
      <c r="BB127" s="8">
        <v>6.666666666666667</v>
      </c>
      <c r="BC127" s="4">
        <v>3</v>
      </c>
      <c r="BD127" s="4">
        <v>3</v>
      </c>
      <c r="BE127" s="4">
        <v>6</v>
      </c>
      <c r="BF127" s="4">
        <v>0.70256358269933272</v>
      </c>
      <c r="BG127" s="4">
        <v>15</v>
      </c>
      <c r="BJ127" s="4" t="s">
        <v>252</v>
      </c>
      <c r="BK127" s="4">
        <v>3</v>
      </c>
      <c r="BL127" s="8">
        <v>6.5555555555555554</v>
      </c>
      <c r="BM127" s="4">
        <v>4</v>
      </c>
      <c r="BN127" s="4">
        <v>4</v>
      </c>
      <c r="BO127" s="4">
        <v>6</v>
      </c>
      <c r="BP127" s="4">
        <v>0.70256358269933272</v>
      </c>
      <c r="BQ127" s="4">
        <v>15</v>
      </c>
    </row>
    <row r="128" spans="1:77" ht="14.25" customHeight="1" x14ac:dyDescent="0.3">
      <c r="A128" s="4" t="s">
        <v>250</v>
      </c>
      <c r="B128" s="4">
        <v>4</v>
      </c>
      <c r="C128" s="8">
        <v>3.8888888888888888</v>
      </c>
      <c r="D128" s="4">
        <v>2</v>
      </c>
      <c r="E128" s="4">
        <v>2</v>
      </c>
      <c r="F128" s="4">
        <v>9</v>
      </c>
      <c r="G128" s="4">
        <v>0.67691586229508371</v>
      </c>
      <c r="H128" s="4">
        <v>15</v>
      </c>
      <c r="I128" s="9"/>
      <c r="K128" s="4" t="s">
        <v>250</v>
      </c>
      <c r="L128" s="4">
        <v>5</v>
      </c>
      <c r="M128" s="8">
        <v>6.8888888888888893</v>
      </c>
      <c r="N128" s="4">
        <v>6</v>
      </c>
      <c r="O128" s="4">
        <v>6</v>
      </c>
      <c r="P128" s="4">
        <v>6</v>
      </c>
      <c r="Q128" s="4">
        <v>0.67691586229508371</v>
      </c>
      <c r="R128" s="4">
        <v>15</v>
      </c>
      <c r="U128" s="4" t="s">
        <v>250</v>
      </c>
      <c r="V128" s="4">
        <v>0</v>
      </c>
      <c r="W128" s="8">
        <v>1.5555555555555556</v>
      </c>
      <c r="X128" s="4">
        <v>0</v>
      </c>
      <c r="Y128" s="4">
        <v>0</v>
      </c>
      <c r="Z128" s="4">
        <v>6</v>
      </c>
      <c r="AA128" s="4">
        <v>0.67691586229508371</v>
      </c>
      <c r="AB128" s="4">
        <v>15</v>
      </c>
      <c r="AF128" s="4" t="s">
        <v>250</v>
      </c>
      <c r="AG128" s="4">
        <v>1</v>
      </c>
      <c r="AH128" s="8">
        <v>3.1111111111111112</v>
      </c>
      <c r="AI128" s="4">
        <v>3</v>
      </c>
      <c r="AJ128" s="4">
        <v>3</v>
      </c>
      <c r="AK128" s="4">
        <v>6</v>
      </c>
      <c r="AL128" s="4">
        <v>0.67691586229508371</v>
      </c>
      <c r="AM128" s="4">
        <v>15</v>
      </c>
      <c r="AP128" s="4" t="s">
        <v>250</v>
      </c>
      <c r="AQ128" s="4">
        <v>8</v>
      </c>
      <c r="AR128" s="8">
        <v>5.1111111111111107</v>
      </c>
      <c r="AS128" s="4">
        <v>9</v>
      </c>
      <c r="AT128" s="4">
        <v>8</v>
      </c>
      <c r="AU128" s="4">
        <v>8</v>
      </c>
      <c r="AV128" s="4">
        <v>0.67691586229508371</v>
      </c>
      <c r="AW128" s="4">
        <v>15</v>
      </c>
      <c r="AZ128" s="4" t="s">
        <v>250</v>
      </c>
      <c r="BA128" s="4">
        <v>6</v>
      </c>
      <c r="BB128" s="8">
        <v>5.333333333333333</v>
      </c>
      <c r="BC128" s="4">
        <v>6</v>
      </c>
      <c r="BD128" s="4">
        <v>6</v>
      </c>
      <c r="BE128" s="4">
        <v>6</v>
      </c>
      <c r="BF128" s="4">
        <v>0.67691586229508371</v>
      </c>
      <c r="BG128" s="4">
        <v>15</v>
      </c>
      <c r="BJ128" s="4" t="s">
        <v>250</v>
      </c>
      <c r="BK128" s="4">
        <v>7</v>
      </c>
      <c r="BL128" s="8">
        <v>5.4444444444444446</v>
      </c>
      <c r="BM128" s="4">
        <v>7</v>
      </c>
      <c r="BN128" s="4">
        <v>7</v>
      </c>
      <c r="BO128" s="4">
        <v>7</v>
      </c>
      <c r="BP128" s="4">
        <v>0.67691586229508371</v>
      </c>
      <c r="BQ128" s="4">
        <v>15</v>
      </c>
    </row>
    <row r="129" spans="1:69" ht="14.25" customHeight="1" x14ac:dyDescent="0.3">
      <c r="A129" s="4" t="s">
        <v>251</v>
      </c>
      <c r="B129" s="4">
        <v>10</v>
      </c>
      <c r="C129" s="8">
        <v>10</v>
      </c>
      <c r="D129" s="4">
        <v>5</v>
      </c>
      <c r="E129" s="4">
        <v>2</v>
      </c>
      <c r="F129" s="4">
        <v>10</v>
      </c>
      <c r="G129" s="4">
        <v>0.655473679459604</v>
      </c>
      <c r="H129" s="4">
        <v>15</v>
      </c>
      <c r="I129" s="9"/>
      <c r="K129" s="4" t="s">
        <v>251</v>
      </c>
      <c r="L129" s="4">
        <v>5</v>
      </c>
      <c r="M129" s="8">
        <v>6.2222222222222223</v>
      </c>
      <c r="N129" s="4">
        <v>2</v>
      </c>
      <c r="O129" s="4">
        <v>1</v>
      </c>
      <c r="P129" s="4">
        <v>6</v>
      </c>
      <c r="Q129" s="4">
        <v>0.655473679459604</v>
      </c>
      <c r="R129" s="4">
        <v>15</v>
      </c>
      <c r="U129" s="4" t="s">
        <v>251</v>
      </c>
      <c r="V129" s="4">
        <v>14</v>
      </c>
      <c r="W129" s="8">
        <v>8.3333333333333339</v>
      </c>
      <c r="X129" s="4">
        <v>10</v>
      </c>
      <c r="Y129" s="4">
        <v>11</v>
      </c>
      <c r="Z129" s="4">
        <v>6</v>
      </c>
      <c r="AA129" s="4">
        <v>0.655473679459604</v>
      </c>
      <c r="AB129" s="4">
        <v>15</v>
      </c>
      <c r="AF129" s="4" t="s">
        <v>251</v>
      </c>
      <c r="AG129" s="4">
        <v>8</v>
      </c>
      <c r="AH129" s="8">
        <v>9.2222222222222214</v>
      </c>
      <c r="AI129" s="4">
        <v>4</v>
      </c>
      <c r="AJ129" s="4">
        <v>5</v>
      </c>
      <c r="AK129" s="4">
        <v>6</v>
      </c>
      <c r="AL129" s="4">
        <v>0.655473679459604</v>
      </c>
      <c r="AM129" s="4">
        <v>15</v>
      </c>
      <c r="AP129" s="4" t="s">
        <v>251</v>
      </c>
      <c r="AQ129" s="4">
        <v>7</v>
      </c>
      <c r="AR129" s="8">
        <v>3.3333333333333335</v>
      </c>
      <c r="AS129" s="4">
        <v>8</v>
      </c>
      <c r="AT129" s="4">
        <v>8</v>
      </c>
      <c r="AU129" s="4">
        <v>7</v>
      </c>
      <c r="AV129" s="4">
        <v>0.655473679459604</v>
      </c>
      <c r="AW129" s="4">
        <v>15</v>
      </c>
      <c r="AZ129" s="4" t="s">
        <v>251</v>
      </c>
      <c r="BA129" s="4">
        <v>6</v>
      </c>
      <c r="BB129" s="8">
        <v>4.2222222222222223</v>
      </c>
      <c r="BC129" s="4">
        <v>7</v>
      </c>
      <c r="BD129" s="4">
        <v>7</v>
      </c>
      <c r="BE129" s="4">
        <v>6</v>
      </c>
      <c r="BF129" s="4">
        <v>0.655473679459604</v>
      </c>
      <c r="BG129" s="4">
        <v>15</v>
      </c>
      <c r="BJ129" s="4" t="s">
        <v>251</v>
      </c>
      <c r="BK129" s="4">
        <v>4</v>
      </c>
      <c r="BL129" s="8">
        <v>4.666666666666667</v>
      </c>
      <c r="BM129" s="4">
        <v>3</v>
      </c>
      <c r="BN129" s="4">
        <v>4</v>
      </c>
      <c r="BO129" s="4">
        <v>6</v>
      </c>
      <c r="BP129" s="4">
        <v>0.655473679459604</v>
      </c>
      <c r="BQ129" s="4">
        <v>15</v>
      </c>
    </row>
    <row r="130" spans="1:69" ht="14.25" customHeight="1" x14ac:dyDescent="0.3">
      <c r="A130" s="4" t="s">
        <v>248</v>
      </c>
      <c r="B130" s="4">
        <v>8</v>
      </c>
      <c r="C130" s="8">
        <v>3.6666666666666665</v>
      </c>
      <c r="D130" s="4">
        <v>11</v>
      </c>
      <c r="E130" s="4">
        <v>11</v>
      </c>
      <c r="F130" s="4">
        <v>8</v>
      </c>
      <c r="G130" s="4">
        <v>0.62268266964537045</v>
      </c>
      <c r="H130" s="4">
        <v>15</v>
      </c>
      <c r="I130" s="9"/>
      <c r="K130" s="4" t="s">
        <v>248</v>
      </c>
      <c r="L130" s="4">
        <v>6</v>
      </c>
      <c r="M130" s="8">
        <v>6.4444444444444446</v>
      </c>
      <c r="N130" s="4">
        <v>1</v>
      </c>
      <c r="O130" s="4">
        <v>0</v>
      </c>
      <c r="P130" s="4">
        <v>5</v>
      </c>
      <c r="Q130" s="4">
        <v>0.62268266964537045</v>
      </c>
      <c r="R130" s="4">
        <v>15</v>
      </c>
      <c r="U130" s="4" t="s">
        <v>248</v>
      </c>
      <c r="V130" s="4">
        <v>1</v>
      </c>
      <c r="W130" s="8">
        <v>3.4444444444444446</v>
      </c>
      <c r="X130" s="4">
        <v>0</v>
      </c>
      <c r="Y130" s="4">
        <v>0</v>
      </c>
      <c r="Z130" s="4">
        <v>5</v>
      </c>
      <c r="AA130" s="4">
        <v>0.62268266964537045</v>
      </c>
      <c r="AB130" s="4">
        <v>15</v>
      </c>
      <c r="AF130" s="4" t="s">
        <v>248</v>
      </c>
      <c r="AG130" s="4">
        <v>1</v>
      </c>
      <c r="AH130" s="8">
        <v>4.4444444444444446</v>
      </c>
      <c r="AI130" s="4">
        <v>0</v>
      </c>
      <c r="AJ130" s="4">
        <v>0</v>
      </c>
      <c r="AK130" s="4">
        <v>5</v>
      </c>
      <c r="AL130" s="4">
        <v>0.62268266964537045</v>
      </c>
      <c r="AM130" s="4">
        <v>15</v>
      </c>
      <c r="AP130" s="4" t="s">
        <v>248</v>
      </c>
      <c r="AQ130" s="4">
        <v>0</v>
      </c>
      <c r="AR130" s="8">
        <v>2.5555555555555554</v>
      </c>
      <c r="AS130" s="4">
        <v>1</v>
      </c>
      <c r="AT130" s="4">
        <v>1</v>
      </c>
      <c r="AU130" s="4">
        <v>5</v>
      </c>
      <c r="AV130" s="4">
        <v>0.62268266964537045</v>
      </c>
      <c r="AW130" s="4">
        <v>15</v>
      </c>
      <c r="AZ130" s="4" t="s">
        <v>248</v>
      </c>
      <c r="BA130" s="4">
        <v>5</v>
      </c>
      <c r="BB130" s="8">
        <v>4.4444444444444446</v>
      </c>
      <c r="BC130" s="4">
        <v>5</v>
      </c>
      <c r="BD130" s="4">
        <v>5</v>
      </c>
      <c r="BE130" s="4">
        <v>5</v>
      </c>
      <c r="BF130" s="4">
        <v>0.62268266964537045</v>
      </c>
      <c r="BG130" s="4">
        <v>15</v>
      </c>
      <c r="BJ130" s="4" t="s">
        <v>248</v>
      </c>
      <c r="BK130" s="4">
        <v>5</v>
      </c>
      <c r="BL130" s="8">
        <v>5.2222222222222223</v>
      </c>
      <c r="BM130" s="4">
        <v>7</v>
      </c>
      <c r="BN130" s="4">
        <v>7</v>
      </c>
      <c r="BO130" s="4">
        <v>5</v>
      </c>
      <c r="BP130" s="4">
        <v>0.62268266964537045</v>
      </c>
      <c r="BQ130" s="4">
        <v>15</v>
      </c>
    </row>
    <row r="131" spans="1:69" ht="14.25" customHeight="1" x14ac:dyDescent="0.3">
      <c r="A131" s="4" t="s">
        <v>247</v>
      </c>
      <c r="B131" s="4">
        <v>12</v>
      </c>
      <c r="C131" s="8">
        <v>4.5555555555555554</v>
      </c>
      <c r="D131" s="4">
        <v>0</v>
      </c>
      <c r="E131" s="4">
        <v>0</v>
      </c>
      <c r="F131" s="4">
        <v>7</v>
      </c>
      <c r="G131" s="4">
        <v>0.53747605471157822</v>
      </c>
      <c r="H131" s="4">
        <v>15</v>
      </c>
      <c r="I131" s="9"/>
      <c r="K131" s="4" t="s">
        <v>247</v>
      </c>
      <c r="L131" s="4">
        <v>5</v>
      </c>
      <c r="M131" s="8">
        <v>5.333333333333333</v>
      </c>
      <c r="N131" s="4">
        <v>0</v>
      </c>
      <c r="O131" s="4">
        <v>0</v>
      </c>
      <c r="P131" s="4">
        <v>6</v>
      </c>
      <c r="Q131" s="4">
        <v>0.53747605471157822</v>
      </c>
      <c r="R131" s="4">
        <v>15</v>
      </c>
      <c r="U131" s="4" t="s">
        <v>247</v>
      </c>
      <c r="V131" s="4">
        <v>0</v>
      </c>
      <c r="W131" s="8">
        <v>5.333333333333333</v>
      </c>
      <c r="X131" s="4">
        <v>0</v>
      </c>
      <c r="Y131" s="4">
        <v>0</v>
      </c>
      <c r="Z131" s="4">
        <v>6</v>
      </c>
      <c r="AA131" s="4">
        <v>0.53747605471157822</v>
      </c>
      <c r="AB131" s="4">
        <v>15</v>
      </c>
      <c r="AF131" s="4" t="s">
        <v>247</v>
      </c>
      <c r="AG131" s="4">
        <v>7</v>
      </c>
      <c r="AH131" s="8">
        <v>6.4444444444444446</v>
      </c>
      <c r="AI131" s="4">
        <v>0</v>
      </c>
      <c r="AJ131" s="4">
        <v>0</v>
      </c>
      <c r="AK131" s="4">
        <v>6</v>
      </c>
      <c r="AL131" s="4">
        <v>0.53747605471157822</v>
      </c>
      <c r="AM131" s="4">
        <v>15</v>
      </c>
      <c r="AP131" s="4" t="s">
        <v>247</v>
      </c>
      <c r="AQ131" s="4">
        <v>6</v>
      </c>
      <c r="AR131" s="8">
        <v>5.4444444444444446</v>
      </c>
      <c r="AS131" s="4">
        <v>4</v>
      </c>
      <c r="AT131" s="4">
        <v>4</v>
      </c>
      <c r="AU131" s="4">
        <v>6</v>
      </c>
      <c r="AV131" s="4">
        <v>0.53747605471157822</v>
      </c>
      <c r="AW131" s="4">
        <v>15</v>
      </c>
      <c r="AZ131" s="4" t="s">
        <v>247</v>
      </c>
      <c r="BA131" s="4">
        <v>1</v>
      </c>
      <c r="BB131" s="8">
        <v>3.4444444444444446</v>
      </c>
      <c r="BC131" s="4">
        <v>0</v>
      </c>
      <c r="BD131" s="4">
        <v>0</v>
      </c>
      <c r="BE131" s="4">
        <v>6</v>
      </c>
      <c r="BF131" s="4">
        <v>0.53747605471157822</v>
      </c>
      <c r="BG131" s="4">
        <v>15</v>
      </c>
      <c r="BJ131" s="4" t="s">
        <v>247</v>
      </c>
      <c r="BK131" s="4">
        <v>12</v>
      </c>
      <c r="BL131" s="8">
        <v>5.5555555555555554</v>
      </c>
      <c r="BM131" s="4">
        <v>13</v>
      </c>
      <c r="BN131" s="4">
        <v>13</v>
      </c>
      <c r="BO131" s="4">
        <v>7</v>
      </c>
      <c r="BP131" s="4">
        <v>0.53747605471157822</v>
      </c>
      <c r="BQ131" s="4">
        <v>15</v>
      </c>
    </row>
    <row r="132" spans="1:69" ht="14.25" customHeight="1" x14ac:dyDescent="0.3">
      <c r="A132" s="4" t="s">
        <v>249</v>
      </c>
      <c r="B132" s="4">
        <v>12</v>
      </c>
      <c r="C132" s="8">
        <v>5.333333333333333</v>
      </c>
      <c r="D132" s="4">
        <v>11</v>
      </c>
      <c r="E132" s="4">
        <v>11</v>
      </c>
      <c r="F132" s="4">
        <v>8</v>
      </c>
      <c r="G132" s="4">
        <v>0.52426836588405112</v>
      </c>
      <c r="H132" s="4">
        <v>19</v>
      </c>
      <c r="I132" s="9"/>
      <c r="K132" s="4" t="s">
        <v>249</v>
      </c>
      <c r="L132" s="4">
        <v>6</v>
      </c>
      <c r="M132" s="8">
        <v>8.1111111111111107</v>
      </c>
      <c r="N132" s="4">
        <v>8</v>
      </c>
      <c r="O132" s="4">
        <v>8</v>
      </c>
      <c r="P132" s="4">
        <v>8</v>
      </c>
      <c r="Q132" s="4">
        <v>0.52426836588405112</v>
      </c>
      <c r="R132" s="4">
        <v>19</v>
      </c>
      <c r="U132" s="4" t="s">
        <v>249</v>
      </c>
      <c r="V132" s="4">
        <v>5</v>
      </c>
      <c r="W132" s="8">
        <v>7</v>
      </c>
      <c r="X132" s="4">
        <v>3</v>
      </c>
      <c r="Y132" s="4">
        <v>3</v>
      </c>
      <c r="Z132" s="4">
        <v>9</v>
      </c>
      <c r="AA132" s="4">
        <v>0.52426836588405112</v>
      </c>
      <c r="AB132" s="4">
        <v>19</v>
      </c>
      <c r="AF132" s="4" t="s">
        <v>249</v>
      </c>
      <c r="AG132" s="4">
        <v>5</v>
      </c>
      <c r="AH132" s="8">
        <v>5.5555555555555554</v>
      </c>
      <c r="AI132" s="4">
        <v>3</v>
      </c>
      <c r="AJ132" s="4">
        <v>1</v>
      </c>
      <c r="AK132" s="4">
        <v>12</v>
      </c>
      <c r="AL132" s="4">
        <v>0.52426836588405112</v>
      </c>
      <c r="AM132" s="4">
        <v>19</v>
      </c>
      <c r="AP132" s="4" t="s">
        <v>249</v>
      </c>
      <c r="AQ132" s="4">
        <v>7</v>
      </c>
      <c r="AR132" s="8">
        <v>7.5555555555555554</v>
      </c>
      <c r="AS132" s="4">
        <v>7</v>
      </c>
      <c r="AT132" s="4">
        <v>7</v>
      </c>
      <c r="AU132" s="4">
        <v>8</v>
      </c>
      <c r="AV132" s="4">
        <v>0.52426836588405112</v>
      </c>
      <c r="AW132" s="4">
        <v>19</v>
      </c>
      <c r="AZ132" s="4" t="s">
        <v>249</v>
      </c>
      <c r="BA132" s="4">
        <v>8</v>
      </c>
      <c r="BB132" s="8">
        <v>5.5555555555555554</v>
      </c>
      <c r="BC132" s="4">
        <v>8</v>
      </c>
      <c r="BD132" s="4">
        <v>8</v>
      </c>
      <c r="BE132" s="4">
        <v>8</v>
      </c>
      <c r="BF132" s="4">
        <v>0.52426836588405112</v>
      </c>
      <c r="BG132" s="4">
        <v>19</v>
      </c>
      <c r="BJ132" s="4" t="s">
        <v>249</v>
      </c>
      <c r="BK132" s="4">
        <v>6</v>
      </c>
      <c r="BL132" s="8">
        <v>5.4444444444444446</v>
      </c>
      <c r="BM132" s="4">
        <v>6</v>
      </c>
      <c r="BN132" s="4">
        <v>6</v>
      </c>
      <c r="BO132" s="4">
        <v>8</v>
      </c>
      <c r="BP132" s="4">
        <v>0.52426836588405112</v>
      </c>
      <c r="BQ132" s="4">
        <v>19</v>
      </c>
    </row>
    <row r="133" spans="1:69" ht="14.25" customHeight="1" x14ac:dyDescent="0.3">
      <c r="A133" s="4" t="s">
        <v>257</v>
      </c>
      <c r="B133" s="4">
        <v>12</v>
      </c>
      <c r="C133" s="8">
        <v>11.222222222222221</v>
      </c>
      <c r="D133" s="4">
        <v>13</v>
      </c>
      <c r="E133" s="4">
        <v>14</v>
      </c>
      <c r="F133" s="4">
        <v>14</v>
      </c>
      <c r="G133" s="4">
        <v>-0.85169148296274</v>
      </c>
      <c r="H133" s="4">
        <v>17</v>
      </c>
      <c r="I133" s="9"/>
      <c r="K133" s="4" t="s">
        <v>257</v>
      </c>
      <c r="L133" s="4">
        <v>13</v>
      </c>
      <c r="M133" s="8">
        <v>10.333333333333334</v>
      </c>
      <c r="N133" s="4">
        <v>14</v>
      </c>
      <c r="O133" s="4">
        <v>15</v>
      </c>
      <c r="P133" s="4">
        <v>13</v>
      </c>
      <c r="Q133" s="4">
        <v>-0.85169148296274</v>
      </c>
      <c r="R133" s="4">
        <v>17</v>
      </c>
      <c r="U133" s="4" t="s">
        <v>257</v>
      </c>
      <c r="V133" s="4">
        <v>17</v>
      </c>
      <c r="W133" s="8">
        <v>13.555555555555555</v>
      </c>
      <c r="X133" s="4">
        <v>17</v>
      </c>
      <c r="Y133" s="4">
        <v>16</v>
      </c>
      <c r="Z133" s="4">
        <v>10</v>
      </c>
      <c r="AA133" s="4">
        <v>-0.85169148296274</v>
      </c>
      <c r="AB133" s="4">
        <v>17</v>
      </c>
      <c r="AF133" s="4" t="s">
        <v>257</v>
      </c>
      <c r="AG133" s="4">
        <v>11</v>
      </c>
      <c r="AH133" s="8">
        <v>9.8888888888888893</v>
      </c>
      <c r="AI133" s="4">
        <v>14</v>
      </c>
      <c r="AJ133" s="4">
        <v>16</v>
      </c>
      <c r="AK133" s="4">
        <v>11</v>
      </c>
      <c r="AL133" s="4">
        <v>-0.85169148296274</v>
      </c>
      <c r="AM133" s="4">
        <v>17</v>
      </c>
      <c r="AP133" s="4" t="s">
        <v>257</v>
      </c>
      <c r="AQ133" s="4">
        <v>14</v>
      </c>
      <c r="AR133" s="8">
        <v>10.555555555555555</v>
      </c>
      <c r="AS133" s="4">
        <v>13</v>
      </c>
      <c r="AT133" s="4">
        <v>14</v>
      </c>
      <c r="AU133" s="4">
        <v>14</v>
      </c>
      <c r="AV133" s="4">
        <v>-0.85169148296274</v>
      </c>
      <c r="AW133" s="4">
        <v>17</v>
      </c>
      <c r="AZ133" s="4" t="s">
        <v>257</v>
      </c>
      <c r="BA133" s="4">
        <v>14</v>
      </c>
      <c r="BB133" s="8">
        <v>11.333333333333334</v>
      </c>
      <c r="BC133" s="4">
        <v>16</v>
      </c>
      <c r="BD133" s="4">
        <v>16</v>
      </c>
      <c r="BE133" s="4">
        <v>14</v>
      </c>
      <c r="BF133" s="4">
        <v>-0.85169148296274</v>
      </c>
      <c r="BG133" s="4">
        <v>17</v>
      </c>
      <c r="BJ133" s="4" t="s">
        <v>257</v>
      </c>
      <c r="BK133" s="4">
        <v>7</v>
      </c>
      <c r="BL133" s="8">
        <v>11</v>
      </c>
      <c r="BM133" s="4">
        <v>4</v>
      </c>
      <c r="BN133" s="4">
        <v>4</v>
      </c>
      <c r="BO133" s="4">
        <v>14</v>
      </c>
      <c r="BP133" s="4">
        <v>-0.85169148296274</v>
      </c>
      <c r="BQ133" s="4">
        <v>17</v>
      </c>
    </row>
    <row r="134" spans="1:69" ht="14.25" customHeight="1" x14ac:dyDescent="0.3">
      <c r="A134" s="4" t="s">
        <v>266</v>
      </c>
      <c r="B134" s="4">
        <v>14</v>
      </c>
      <c r="C134" s="8">
        <v>11.333333333333334</v>
      </c>
      <c r="D134" s="4">
        <v>14</v>
      </c>
      <c r="E134" s="4">
        <v>13</v>
      </c>
      <c r="F134" s="4">
        <v>13</v>
      </c>
      <c r="G134" s="4">
        <v>-0.88310324035056598</v>
      </c>
      <c r="H134" s="4">
        <v>15</v>
      </c>
      <c r="I134" s="9"/>
      <c r="K134" s="4" t="s">
        <v>266</v>
      </c>
      <c r="L134" s="4">
        <v>12</v>
      </c>
      <c r="M134" s="8">
        <v>9.2222222222222214</v>
      </c>
      <c r="N134" s="4">
        <v>7</v>
      </c>
      <c r="O134" s="4">
        <v>9</v>
      </c>
      <c r="P134" s="4">
        <v>12</v>
      </c>
      <c r="Q134" s="4">
        <v>-0.88310324035056598</v>
      </c>
      <c r="R134" s="4">
        <v>15</v>
      </c>
      <c r="U134" s="4" t="s">
        <v>266</v>
      </c>
      <c r="V134" s="4">
        <v>10</v>
      </c>
      <c r="W134" s="8">
        <v>8.5555555555555554</v>
      </c>
      <c r="X134" s="4">
        <v>10</v>
      </c>
      <c r="Y134" s="4">
        <v>11</v>
      </c>
      <c r="Z134" s="4">
        <v>13</v>
      </c>
      <c r="AA134" s="4">
        <v>-0.88310324035056598</v>
      </c>
      <c r="AB134" s="4">
        <v>15</v>
      </c>
      <c r="AF134" s="4" t="s">
        <v>266</v>
      </c>
      <c r="AG134" s="4">
        <v>15</v>
      </c>
      <c r="AH134" s="8">
        <v>11.777777777777779</v>
      </c>
      <c r="AI134" s="4">
        <v>14</v>
      </c>
      <c r="AJ134" s="4">
        <v>15</v>
      </c>
      <c r="AK134" s="4">
        <v>2</v>
      </c>
      <c r="AL134" s="4">
        <v>-0.88310324035056598</v>
      </c>
      <c r="AM134" s="4">
        <v>15</v>
      </c>
      <c r="AP134" s="4" t="s">
        <v>266</v>
      </c>
      <c r="AQ134" s="4">
        <v>15</v>
      </c>
      <c r="AR134" s="8">
        <v>10.777777777777779</v>
      </c>
      <c r="AS134" s="4">
        <v>14</v>
      </c>
      <c r="AT134" s="4">
        <v>13</v>
      </c>
      <c r="AU134" s="4">
        <v>3</v>
      </c>
      <c r="AV134" s="4">
        <v>-0.88310324035056598</v>
      </c>
      <c r="AW134" s="4">
        <v>15</v>
      </c>
      <c r="AZ134" s="4" t="s">
        <v>266</v>
      </c>
      <c r="BA134" s="4">
        <v>12</v>
      </c>
      <c r="BB134" s="8">
        <v>11</v>
      </c>
      <c r="BC134" s="4">
        <v>12</v>
      </c>
      <c r="BD134" s="4">
        <v>11</v>
      </c>
      <c r="BE134" s="4">
        <v>12</v>
      </c>
      <c r="BF134" s="4">
        <v>-0.88310324035056598</v>
      </c>
      <c r="BG134" s="4">
        <v>15</v>
      </c>
      <c r="BJ134" s="4" t="s">
        <v>266</v>
      </c>
      <c r="BK134" s="4">
        <v>12</v>
      </c>
      <c r="BL134" s="8">
        <v>11.444444444444445</v>
      </c>
      <c r="BM134" s="4">
        <v>11</v>
      </c>
      <c r="BN134" s="4">
        <v>11</v>
      </c>
      <c r="BO134" s="4">
        <v>12</v>
      </c>
      <c r="BP134" s="4">
        <v>-0.88310324035056598</v>
      </c>
      <c r="BQ134" s="4">
        <v>15</v>
      </c>
    </row>
    <row r="135" spans="1:69" ht="14.25" customHeight="1" x14ac:dyDescent="0.3">
      <c r="A135" s="4" t="s">
        <v>263</v>
      </c>
      <c r="B135" s="4">
        <v>13</v>
      </c>
      <c r="C135" s="8">
        <v>9.2222222222222214</v>
      </c>
      <c r="D135" s="4">
        <v>14</v>
      </c>
      <c r="E135" s="4">
        <v>14</v>
      </c>
      <c r="F135" s="4">
        <v>3</v>
      </c>
      <c r="G135" s="4">
        <v>-0.90834372881365233</v>
      </c>
      <c r="H135" s="4">
        <v>15</v>
      </c>
      <c r="I135" s="9"/>
      <c r="K135" s="4" t="s">
        <v>263</v>
      </c>
      <c r="L135" s="4">
        <v>11</v>
      </c>
      <c r="M135" s="8">
        <v>11.333333333333334</v>
      </c>
      <c r="N135" s="4">
        <v>12</v>
      </c>
      <c r="O135" s="4">
        <v>12</v>
      </c>
      <c r="P135" s="4">
        <v>3</v>
      </c>
      <c r="Q135" s="4">
        <v>-0.90834372881365233</v>
      </c>
      <c r="R135" s="4">
        <v>15</v>
      </c>
      <c r="U135" s="4" t="s">
        <v>263</v>
      </c>
      <c r="V135" s="4">
        <v>15</v>
      </c>
      <c r="W135" s="8">
        <v>11.444444444444445</v>
      </c>
      <c r="X135" s="4">
        <v>13</v>
      </c>
      <c r="Y135" s="4">
        <v>14</v>
      </c>
      <c r="Z135" s="4">
        <v>3</v>
      </c>
      <c r="AA135" s="4">
        <v>-0.90834372881365233</v>
      </c>
      <c r="AB135" s="4">
        <v>15</v>
      </c>
      <c r="AF135" s="4" t="s">
        <v>263</v>
      </c>
      <c r="AG135" s="4">
        <v>14</v>
      </c>
      <c r="AH135" s="8">
        <v>11.444444444444445</v>
      </c>
      <c r="AI135" s="4">
        <v>8</v>
      </c>
      <c r="AJ135" s="4">
        <v>12</v>
      </c>
      <c r="AK135" s="4">
        <v>12</v>
      </c>
      <c r="AL135" s="4">
        <v>-0.90834372881365233</v>
      </c>
      <c r="AM135" s="4">
        <v>15</v>
      </c>
      <c r="AP135" s="4" t="s">
        <v>263</v>
      </c>
      <c r="AQ135" s="4">
        <v>9</v>
      </c>
      <c r="AR135" s="8">
        <v>9.6666666666666661</v>
      </c>
      <c r="AS135" s="4">
        <v>10</v>
      </c>
      <c r="AT135" s="4">
        <v>11</v>
      </c>
      <c r="AU135" s="4">
        <v>9</v>
      </c>
      <c r="AV135" s="4">
        <v>-0.90834372881365233</v>
      </c>
      <c r="AW135" s="4">
        <v>15</v>
      </c>
      <c r="AZ135" s="4" t="s">
        <v>263</v>
      </c>
      <c r="BA135" s="4">
        <v>5</v>
      </c>
      <c r="BB135" s="8">
        <v>11.333333333333334</v>
      </c>
      <c r="BC135" s="4">
        <v>3</v>
      </c>
      <c r="BD135" s="4">
        <v>3</v>
      </c>
      <c r="BE135" s="4">
        <v>5</v>
      </c>
      <c r="BF135" s="4">
        <v>-0.90834372881365233</v>
      </c>
      <c r="BG135" s="4">
        <v>15</v>
      </c>
      <c r="BJ135" s="4" t="s">
        <v>263</v>
      </c>
      <c r="BK135" s="4">
        <v>15</v>
      </c>
      <c r="BL135" s="8">
        <v>12</v>
      </c>
      <c r="BM135" s="4">
        <v>15</v>
      </c>
      <c r="BN135" s="4">
        <v>15</v>
      </c>
      <c r="BO135" s="4">
        <v>12</v>
      </c>
      <c r="BP135" s="4">
        <v>-0.90834372881365233</v>
      </c>
      <c r="BQ135" s="4">
        <v>15</v>
      </c>
    </row>
    <row r="136" spans="1:69" ht="14.25" customHeight="1" x14ac:dyDescent="0.3">
      <c r="A136" s="4" t="s">
        <v>261</v>
      </c>
      <c r="B136" s="4">
        <v>29</v>
      </c>
      <c r="C136" s="8">
        <v>22.777777777777779</v>
      </c>
      <c r="D136" s="4">
        <v>29</v>
      </c>
      <c r="E136" s="4">
        <v>28</v>
      </c>
      <c r="F136" s="4">
        <v>27</v>
      </c>
      <c r="G136" s="4">
        <v>-0.99095987605964864</v>
      </c>
      <c r="H136" s="4">
        <v>31</v>
      </c>
      <c r="I136" s="9"/>
      <c r="K136" s="4" t="s">
        <v>261</v>
      </c>
      <c r="L136" s="4">
        <v>24</v>
      </c>
      <c r="M136" s="8">
        <v>21.333333333333332</v>
      </c>
      <c r="N136" s="4">
        <v>29</v>
      </c>
      <c r="O136" s="4">
        <v>30</v>
      </c>
      <c r="P136" s="4">
        <v>24</v>
      </c>
      <c r="Q136" s="4">
        <v>-0.99095987605964864</v>
      </c>
      <c r="R136" s="4">
        <v>31</v>
      </c>
      <c r="U136" s="4" t="s">
        <v>261</v>
      </c>
      <c r="V136" s="4">
        <v>28</v>
      </c>
      <c r="W136" s="8">
        <v>23.222222222222221</v>
      </c>
      <c r="X136" s="4">
        <v>29</v>
      </c>
      <c r="Y136" s="4">
        <v>29</v>
      </c>
      <c r="Z136" s="4">
        <v>25</v>
      </c>
      <c r="AA136" s="4">
        <v>-0.99095987605964864</v>
      </c>
      <c r="AB136" s="4">
        <v>31</v>
      </c>
      <c r="AF136" s="4" t="s">
        <v>261</v>
      </c>
      <c r="AG136" s="4">
        <v>10</v>
      </c>
      <c r="AH136" s="8">
        <v>18.444444444444443</v>
      </c>
      <c r="AI136" s="4">
        <v>15</v>
      </c>
      <c r="AJ136" s="4">
        <v>13</v>
      </c>
      <c r="AK136" s="4">
        <v>23</v>
      </c>
      <c r="AL136" s="4">
        <v>-0.99095987605964864</v>
      </c>
      <c r="AM136" s="4">
        <v>31</v>
      </c>
      <c r="AP136" s="4" t="s">
        <v>261</v>
      </c>
      <c r="AQ136" s="4">
        <v>28</v>
      </c>
      <c r="AR136" s="8">
        <v>23.888888888888889</v>
      </c>
      <c r="AS136" s="4">
        <v>29</v>
      </c>
      <c r="AT136" s="4">
        <v>29</v>
      </c>
      <c r="AU136" s="4">
        <v>27</v>
      </c>
      <c r="AV136" s="4">
        <v>-0.99095987605964864</v>
      </c>
      <c r="AW136" s="4">
        <v>31</v>
      </c>
      <c r="AZ136" s="4" t="s">
        <v>261</v>
      </c>
      <c r="BA136" s="4">
        <v>27</v>
      </c>
      <c r="BB136" s="8">
        <v>22</v>
      </c>
      <c r="BC136" s="4">
        <v>25</v>
      </c>
      <c r="BD136" s="4">
        <v>25</v>
      </c>
      <c r="BE136" s="4">
        <v>27</v>
      </c>
      <c r="BF136" s="4">
        <v>-0.99095987605964864</v>
      </c>
      <c r="BG136" s="4">
        <v>31</v>
      </c>
      <c r="BJ136" s="4" t="s">
        <v>261</v>
      </c>
      <c r="BK136" s="4">
        <v>29</v>
      </c>
      <c r="BL136" s="8">
        <v>24.333333333333332</v>
      </c>
      <c r="BM136" s="4">
        <v>29</v>
      </c>
      <c r="BN136" s="4">
        <v>29</v>
      </c>
      <c r="BO136" s="4">
        <v>24</v>
      </c>
      <c r="BP136" s="4">
        <v>-0.99095987605964864</v>
      </c>
      <c r="BQ136" s="4">
        <v>31</v>
      </c>
    </row>
    <row r="137" spans="1:69" ht="14.25" customHeight="1" x14ac:dyDescent="0.3">
      <c r="A137" s="4" t="s">
        <v>260</v>
      </c>
      <c r="B137" s="4">
        <v>13</v>
      </c>
      <c r="C137" s="8">
        <v>13.555555555555555</v>
      </c>
      <c r="D137" s="4">
        <v>13</v>
      </c>
      <c r="E137" s="4">
        <v>15</v>
      </c>
      <c r="F137" s="4">
        <v>13</v>
      </c>
      <c r="G137" s="4">
        <v>-1.072806810743151</v>
      </c>
      <c r="H137" s="4">
        <v>19</v>
      </c>
      <c r="I137" s="9"/>
      <c r="K137" s="4" t="s">
        <v>260</v>
      </c>
      <c r="L137" s="4">
        <v>15</v>
      </c>
      <c r="M137" s="8">
        <v>15</v>
      </c>
      <c r="N137" s="4">
        <v>7</v>
      </c>
      <c r="O137" s="4">
        <v>8</v>
      </c>
      <c r="P137" s="4">
        <v>15</v>
      </c>
      <c r="Q137" s="4">
        <v>-1.072806810743151</v>
      </c>
      <c r="R137" s="4">
        <v>19</v>
      </c>
      <c r="U137" s="4" t="s">
        <v>260</v>
      </c>
      <c r="V137" s="4">
        <v>8</v>
      </c>
      <c r="W137" s="8">
        <v>12.555555555555555</v>
      </c>
      <c r="X137" s="4">
        <v>15</v>
      </c>
      <c r="Y137" s="4">
        <v>15</v>
      </c>
      <c r="Z137" s="4">
        <v>8</v>
      </c>
      <c r="AA137" s="4">
        <v>-1.072806810743151</v>
      </c>
      <c r="AB137" s="4">
        <v>19</v>
      </c>
      <c r="AF137" s="4" t="s">
        <v>260</v>
      </c>
      <c r="AG137" s="4">
        <v>16</v>
      </c>
      <c r="AH137" s="8">
        <v>14.222222222222221</v>
      </c>
      <c r="AI137" s="4">
        <v>16</v>
      </c>
      <c r="AJ137" s="4">
        <v>14</v>
      </c>
      <c r="AK137" s="4">
        <v>16</v>
      </c>
      <c r="AL137" s="4">
        <v>-1.072806810743151</v>
      </c>
      <c r="AM137" s="4">
        <v>19</v>
      </c>
      <c r="AP137" s="4" t="s">
        <v>260</v>
      </c>
      <c r="AQ137" s="4">
        <v>14</v>
      </c>
      <c r="AR137" s="8">
        <v>12.777777777777779</v>
      </c>
      <c r="AS137" s="4">
        <v>15</v>
      </c>
      <c r="AT137" s="4">
        <v>16</v>
      </c>
      <c r="AU137" s="4">
        <v>14</v>
      </c>
      <c r="AV137" s="4">
        <v>-1.072806810743151</v>
      </c>
      <c r="AW137" s="4">
        <v>19</v>
      </c>
      <c r="AZ137" s="4" t="s">
        <v>260</v>
      </c>
      <c r="BA137" s="4">
        <v>11</v>
      </c>
      <c r="BB137" s="8">
        <v>12.111111111111111</v>
      </c>
      <c r="BC137" s="4">
        <v>9</v>
      </c>
      <c r="BD137" s="4">
        <v>9</v>
      </c>
      <c r="BE137" s="4">
        <v>16</v>
      </c>
      <c r="BF137" s="4">
        <v>-1.072806810743151</v>
      </c>
      <c r="BG137" s="4">
        <v>19</v>
      </c>
      <c r="BJ137" s="4" t="s">
        <v>260</v>
      </c>
      <c r="BK137" s="4">
        <v>4</v>
      </c>
      <c r="BL137" s="8">
        <v>11.444444444444445</v>
      </c>
      <c r="BM137" s="4">
        <v>3</v>
      </c>
      <c r="BN137" s="4">
        <v>1</v>
      </c>
      <c r="BO137" s="4">
        <v>6</v>
      </c>
      <c r="BP137" s="4">
        <v>-1.072806810743151</v>
      </c>
      <c r="BQ137" s="4">
        <v>19</v>
      </c>
    </row>
    <row r="138" spans="1:69" ht="14.25" customHeight="1" x14ac:dyDescent="0.3">
      <c r="A138" s="4" t="s">
        <v>259</v>
      </c>
      <c r="B138" s="4">
        <v>3</v>
      </c>
      <c r="C138" s="8">
        <v>10.333333333333334</v>
      </c>
      <c r="D138" s="4">
        <v>2</v>
      </c>
      <c r="E138" s="4">
        <v>2</v>
      </c>
      <c r="F138" s="4">
        <v>16</v>
      </c>
      <c r="G138" s="4">
        <v>-1.1154133211974251</v>
      </c>
      <c r="H138" s="4">
        <v>19</v>
      </c>
      <c r="I138" s="9"/>
      <c r="K138" s="4" t="s">
        <v>259</v>
      </c>
      <c r="L138" s="4">
        <v>15</v>
      </c>
      <c r="M138" s="8">
        <v>12.555555555555555</v>
      </c>
      <c r="N138" s="4">
        <v>6</v>
      </c>
      <c r="O138" s="4">
        <v>6</v>
      </c>
      <c r="P138" s="4">
        <v>3</v>
      </c>
      <c r="Q138" s="4">
        <v>-1.1154133211974251</v>
      </c>
      <c r="R138" s="4">
        <v>19</v>
      </c>
      <c r="U138" s="4" t="s">
        <v>259</v>
      </c>
      <c r="V138" s="4">
        <v>18</v>
      </c>
      <c r="W138" s="8">
        <v>13.111111111111111</v>
      </c>
      <c r="X138" s="4">
        <v>18</v>
      </c>
      <c r="Y138" s="4">
        <v>18</v>
      </c>
      <c r="Z138" s="4">
        <v>3</v>
      </c>
      <c r="AA138" s="4">
        <v>-1.1154133211974251</v>
      </c>
      <c r="AB138" s="4">
        <v>19</v>
      </c>
      <c r="AF138" s="4" t="s">
        <v>259</v>
      </c>
      <c r="AG138" s="4">
        <v>16</v>
      </c>
      <c r="AH138" s="8">
        <v>13.555555555555555</v>
      </c>
      <c r="AI138" s="4">
        <v>15</v>
      </c>
      <c r="AJ138" s="4">
        <v>15</v>
      </c>
      <c r="AK138" s="4">
        <v>16</v>
      </c>
      <c r="AL138" s="4">
        <v>-1.1154133211974251</v>
      </c>
      <c r="AM138" s="4">
        <v>19</v>
      </c>
      <c r="AP138" s="4" t="s">
        <v>259</v>
      </c>
      <c r="AQ138" s="4">
        <v>19</v>
      </c>
      <c r="AR138" s="8">
        <v>15.888888888888889</v>
      </c>
      <c r="AS138" s="4">
        <v>18</v>
      </c>
      <c r="AT138" s="4">
        <v>17</v>
      </c>
      <c r="AU138" s="4">
        <v>10</v>
      </c>
      <c r="AV138" s="4">
        <v>-1.1154133211974251</v>
      </c>
      <c r="AW138" s="4">
        <v>19</v>
      </c>
      <c r="AZ138" s="4" t="s">
        <v>259</v>
      </c>
      <c r="BA138" s="4">
        <v>13</v>
      </c>
      <c r="BB138" s="8">
        <v>14.777777777777779</v>
      </c>
      <c r="BC138" s="4">
        <v>14</v>
      </c>
      <c r="BD138" s="4">
        <v>12</v>
      </c>
      <c r="BE138" s="4">
        <v>5</v>
      </c>
      <c r="BF138" s="4">
        <v>-1.1154133211974251</v>
      </c>
      <c r="BG138" s="4">
        <v>19</v>
      </c>
      <c r="BJ138" s="4" t="s">
        <v>259</v>
      </c>
      <c r="BK138" s="4">
        <v>15</v>
      </c>
      <c r="BL138" s="8">
        <v>14.666666666666666</v>
      </c>
      <c r="BM138" s="4">
        <v>17</v>
      </c>
      <c r="BN138" s="4">
        <v>16</v>
      </c>
      <c r="BO138" s="4">
        <v>15</v>
      </c>
      <c r="BP138" s="4">
        <v>-1.1154133211974251</v>
      </c>
      <c r="BQ138" s="4">
        <v>19</v>
      </c>
    </row>
    <row r="139" spans="1:69" ht="14.25" customHeight="1" x14ac:dyDescent="0.3">
      <c r="A139" s="4" t="s">
        <v>258</v>
      </c>
      <c r="B139" s="4">
        <v>9</v>
      </c>
      <c r="C139" s="8">
        <v>10.777777777777779</v>
      </c>
      <c r="D139" s="4">
        <v>6</v>
      </c>
      <c r="E139" s="4">
        <v>7</v>
      </c>
      <c r="F139" s="4">
        <v>9</v>
      </c>
      <c r="G139" s="4">
        <v>-1.12017317951397</v>
      </c>
      <c r="H139" s="4">
        <v>16</v>
      </c>
      <c r="I139" s="9"/>
      <c r="K139" s="4" t="s">
        <v>258</v>
      </c>
      <c r="L139" s="4">
        <v>12</v>
      </c>
      <c r="M139" s="8">
        <v>8.6666666666666661</v>
      </c>
      <c r="N139" s="4">
        <v>13</v>
      </c>
      <c r="O139" s="4">
        <v>12</v>
      </c>
      <c r="P139" s="4">
        <v>12</v>
      </c>
      <c r="Q139" s="4">
        <v>-1.12017317951397</v>
      </c>
      <c r="R139" s="4">
        <v>16</v>
      </c>
      <c r="U139" s="4" t="s">
        <v>258</v>
      </c>
      <c r="V139" s="4">
        <v>9</v>
      </c>
      <c r="W139" s="8">
        <v>7</v>
      </c>
      <c r="X139" s="4">
        <v>8</v>
      </c>
      <c r="Y139" s="4">
        <v>7</v>
      </c>
      <c r="Z139" s="4">
        <v>9</v>
      </c>
      <c r="AA139" s="4">
        <v>-1.12017317951397</v>
      </c>
      <c r="AB139" s="4">
        <v>16</v>
      </c>
      <c r="AF139" s="4" t="s">
        <v>258</v>
      </c>
      <c r="AG139" s="4">
        <v>12</v>
      </c>
      <c r="AH139" s="8">
        <v>8.8888888888888893</v>
      </c>
      <c r="AI139" s="4">
        <v>12</v>
      </c>
      <c r="AJ139" s="4">
        <v>14</v>
      </c>
      <c r="AK139" s="4">
        <v>13</v>
      </c>
      <c r="AL139" s="4">
        <v>-1.12017317951397</v>
      </c>
      <c r="AM139" s="4">
        <v>16</v>
      </c>
      <c r="AP139" s="4" t="s">
        <v>258</v>
      </c>
      <c r="AQ139" s="4">
        <v>9</v>
      </c>
      <c r="AR139" s="8">
        <v>10.333333333333334</v>
      </c>
      <c r="AS139" s="4">
        <v>9</v>
      </c>
      <c r="AT139" s="4">
        <v>8</v>
      </c>
      <c r="AU139" s="4">
        <v>9</v>
      </c>
      <c r="AV139" s="4">
        <v>-1.12017317951397</v>
      </c>
      <c r="AW139" s="4">
        <v>16</v>
      </c>
      <c r="AZ139" s="4" t="s">
        <v>258</v>
      </c>
      <c r="BA139" s="4">
        <v>16</v>
      </c>
      <c r="BB139" s="8">
        <v>12.777777777777779</v>
      </c>
      <c r="BC139" s="4">
        <v>14</v>
      </c>
      <c r="BD139" s="4">
        <v>15</v>
      </c>
      <c r="BE139" s="4">
        <v>13</v>
      </c>
      <c r="BF139" s="4">
        <v>-1.12017317951397</v>
      </c>
      <c r="BG139" s="4">
        <v>16</v>
      </c>
      <c r="BJ139" s="4" t="s">
        <v>258</v>
      </c>
      <c r="BK139" s="4">
        <v>12</v>
      </c>
      <c r="BL139" s="8">
        <v>11.777777777777779</v>
      </c>
      <c r="BM139" s="4">
        <v>12</v>
      </c>
      <c r="BN139" s="4">
        <v>12</v>
      </c>
      <c r="BO139" s="4">
        <v>12</v>
      </c>
      <c r="BP139" s="4">
        <v>-1.12017317951397</v>
      </c>
      <c r="BQ139" s="4">
        <v>16</v>
      </c>
    </row>
    <row r="140" spans="1:69" ht="14.25" customHeight="1" x14ac:dyDescent="0.3">
      <c r="A140" s="4" t="s">
        <v>264</v>
      </c>
      <c r="B140" s="4">
        <v>18</v>
      </c>
      <c r="C140" s="8">
        <v>13.111111111111111</v>
      </c>
      <c r="D140" s="4">
        <v>7</v>
      </c>
      <c r="E140" s="4">
        <v>8</v>
      </c>
      <c r="F140" s="4">
        <v>16</v>
      </c>
      <c r="G140" s="4">
        <v>-1.196962071035268</v>
      </c>
      <c r="H140" s="4">
        <v>19</v>
      </c>
      <c r="I140" s="9"/>
      <c r="K140" s="4" t="s">
        <v>264</v>
      </c>
      <c r="L140" s="4">
        <v>15</v>
      </c>
      <c r="M140" s="8">
        <v>9.2222222222222214</v>
      </c>
      <c r="N140" s="4">
        <v>12</v>
      </c>
      <c r="O140" s="4">
        <v>11</v>
      </c>
      <c r="P140" s="4">
        <v>15</v>
      </c>
      <c r="Q140" s="4">
        <v>-1.196962071035268</v>
      </c>
      <c r="R140" s="4">
        <v>19</v>
      </c>
      <c r="U140" s="4" t="s">
        <v>264</v>
      </c>
      <c r="V140" s="4">
        <v>8</v>
      </c>
      <c r="W140" s="8">
        <v>11.111111111111111</v>
      </c>
      <c r="X140" s="4">
        <v>12</v>
      </c>
      <c r="Y140" s="4">
        <v>17</v>
      </c>
      <c r="Z140" s="4">
        <v>8</v>
      </c>
      <c r="AA140" s="4">
        <v>-1.196962071035268</v>
      </c>
      <c r="AB140" s="4">
        <v>19</v>
      </c>
      <c r="AF140" s="4" t="s">
        <v>264</v>
      </c>
      <c r="AG140" s="4">
        <v>13</v>
      </c>
      <c r="AH140" s="8">
        <v>12.666666666666666</v>
      </c>
      <c r="AI140" s="4">
        <v>14</v>
      </c>
      <c r="AJ140" s="4">
        <v>19</v>
      </c>
      <c r="AK140" s="4">
        <v>13</v>
      </c>
      <c r="AL140" s="4">
        <v>-1.196962071035268</v>
      </c>
      <c r="AM140" s="4">
        <v>19</v>
      </c>
      <c r="AP140" s="4" t="s">
        <v>264</v>
      </c>
      <c r="AQ140" s="4">
        <v>17</v>
      </c>
      <c r="AR140" s="8">
        <v>13.777777777777779</v>
      </c>
      <c r="AS140" s="4">
        <v>17</v>
      </c>
      <c r="AT140" s="4">
        <v>18</v>
      </c>
      <c r="AU140" s="4">
        <v>14</v>
      </c>
      <c r="AV140" s="4">
        <v>-1.196962071035268</v>
      </c>
      <c r="AW140" s="4">
        <v>19</v>
      </c>
      <c r="AZ140" s="4" t="s">
        <v>264</v>
      </c>
      <c r="BA140" s="4">
        <v>19</v>
      </c>
      <c r="BB140" s="8">
        <v>15.666666666666666</v>
      </c>
      <c r="BC140" s="4">
        <v>12</v>
      </c>
      <c r="BD140" s="4">
        <v>13</v>
      </c>
      <c r="BE140" s="4">
        <v>15</v>
      </c>
      <c r="BF140" s="4">
        <v>-1.196962071035268</v>
      </c>
      <c r="BG140" s="4">
        <v>19</v>
      </c>
      <c r="BJ140" s="4" t="s">
        <v>264</v>
      </c>
      <c r="BK140" s="4">
        <v>18</v>
      </c>
      <c r="BL140" s="8">
        <v>14.333333333333334</v>
      </c>
      <c r="BM140" s="4">
        <v>18</v>
      </c>
      <c r="BN140" s="4">
        <v>18</v>
      </c>
      <c r="BO140" s="4">
        <v>16</v>
      </c>
      <c r="BP140" s="4">
        <v>-1.196962071035268</v>
      </c>
      <c r="BQ140" s="4">
        <v>19</v>
      </c>
    </row>
    <row r="141" spans="1:69" ht="14.25" customHeight="1" x14ac:dyDescent="0.3">
      <c r="A141" s="4" t="s">
        <v>265</v>
      </c>
      <c r="B141" s="4">
        <v>10</v>
      </c>
      <c r="C141" s="8">
        <v>11.222222222222221</v>
      </c>
      <c r="D141" s="4">
        <v>15</v>
      </c>
      <c r="E141" s="4">
        <v>15</v>
      </c>
      <c r="F141" s="4">
        <v>10</v>
      </c>
      <c r="G141" s="4">
        <v>-1.2097705883740471</v>
      </c>
      <c r="H141" s="4">
        <v>15</v>
      </c>
      <c r="I141" s="9"/>
      <c r="K141" s="4" t="s">
        <v>265</v>
      </c>
      <c r="L141" s="4">
        <v>12</v>
      </c>
      <c r="M141" s="8">
        <v>8.4444444444444446</v>
      </c>
      <c r="N141" s="4">
        <v>1</v>
      </c>
      <c r="O141" s="4">
        <v>5</v>
      </c>
      <c r="P141" s="4">
        <v>12</v>
      </c>
      <c r="Q141" s="4">
        <v>-1.2097705883740471</v>
      </c>
      <c r="R141" s="4">
        <v>15</v>
      </c>
      <c r="U141" s="4" t="s">
        <v>265</v>
      </c>
      <c r="V141" s="4">
        <v>11</v>
      </c>
      <c r="W141" s="8">
        <v>7.333333333333333</v>
      </c>
      <c r="X141" s="4">
        <v>14</v>
      </c>
      <c r="Y141" s="4">
        <v>14</v>
      </c>
      <c r="Z141" s="4">
        <v>11</v>
      </c>
      <c r="AA141" s="4">
        <v>-1.2097705883740471</v>
      </c>
      <c r="AB141" s="4">
        <v>15</v>
      </c>
      <c r="AF141" s="4" t="s">
        <v>265</v>
      </c>
      <c r="AG141" s="4">
        <v>14</v>
      </c>
      <c r="AH141" s="8">
        <v>10.888888888888889</v>
      </c>
      <c r="AI141" s="4">
        <v>14</v>
      </c>
      <c r="AJ141" s="4">
        <v>13</v>
      </c>
      <c r="AK141" s="4">
        <v>13</v>
      </c>
      <c r="AL141" s="4">
        <v>-1.2097705883740471</v>
      </c>
      <c r="AM141" s="4">
        <v>15</v>
      </c>
      <c r="AP141" s="4" t="s">
        <v>265</v>
      </c>
      <c r="AQ141" s="4">
        <v>10</v>
      </c>
      <c r="AR141" s="8">
        <v>10.555555555555555</v>
      </c>
      <c r="AS141" s="4">
        <v>10</v>
      </c>
      <c r="AT141" s="4">
        <v>10</v>
      </c>
      <c r="AU141" s="4">
        <v>13</v>
      </c>
      <c r="AV141" s="4">
        <v>-1.2097705883740471</v>
      </c>
      <c r="AW141" s="4">
        <v>15</v>
      </c>
      <c r="AZ141" s="4" t="s">
        <v>265</v>
      </c>
      <c r="BA141" s="4">
        <v>11</v>
      </c>
      <c r="BB141" s="8">
        <v>12.111111111111111</v>
      </c>
      <c r="BC141" s="4">
        <v>13</v>
      </c>
      <c r="BD141" s="4">
        <v>10</v>
      </c>
      <c r="BE141" s="4">
        <v>13</v>
      </c>
      <c r="BF141" s="4">
        <v>-1.2097705883740471</v>
      </c>
      <c r="BG141" s="4">
        <v>15</v>
      </c>
      <c r="BJ141" s="4" t="s">
        <v>265</v>
      </c>
      <c r="BK141" s="4">
        <v>15</v>
      </c>
      <c r="BL141" s="8">
        <v>12.222222222222221</v>
      </c>
      <c r="BM141" s="4">
        <v>14</v>
      </c>
      <c r="BN141" s="4">
        <v>13</v>
      </c>
      <c r="BO141" s="4">
        <v>13</v>
      </c>
      <c r="BP141" s="4">
        <v>-1.2097705883740471</v>
      </c>
      <c r="BQ141" s="4">
        <v>15</v>
      </c>
    </row>
    <row r="142" spans="1:69" ht="14.25" customHeight="1" x14ac:dyDescent="0.3">
      <c r="A142" s="4" t="s">
        <v>262</v>
      </c>
      <c r="B142" s="4">
        <v>24</v>
      </c>
      <c r="C142" s="8">
        <v>23.111111111111111</v>
      </c>
      <c r="D142" s="4">
        <v>26</v>
      </c>
      <c r="E142" s="4">
        <v>27</v>
      </c>
      <c r="F142" s="4">
        <v>24</v>
      </c>
      <c r="G142" s="4">
        <v>-1.679865001322572</v>
      </c>
      <c r="H142" s="4">
        <v>27</v>
      </c>
      <c r="I142" s="9"/>
      <c r="K142" s="4" t="s">
        <v>262</v>
      </c>
      <c r="L142" s="4">
        <v>22</v>
      </c>
      <c r="M142" s="8">
        <v>23.888888888888889</v>
      </c>
      <c r="N142" s="4">
        <v>24</v>
      </c>
      <c r="O142" s="4">
        <v>24</v>
      </c>
      <c r="P142" s="4">
        <v>22</v>
      </c>
      <c r="Q142" s="4">
        <v>-1.679865001322572</v>
      </c>
      <c r="R142" s="4">
        <v>27</v>
      </c>
      <c r="U142" s="4" t="s">
        <v>262</v>
      </c>
      <c r="V142" s="4">
        <v>21</v>
      </c>
      <c r="W142" s="8">
        <v>24.111111111111111</v>
      </c>
      <c r="X142" s="4">
        <v>22</v>
      </c>
      <c r="Y142" s="4">
        <v>22</v>
      </c>
      <c r="Z142" s="4">
        <v>21</v>
      </c>
      <c r="AA142" s="4">
        <v>-1.679865001322572</v>
      </c>
      <c r="AB142" s="4">
        <v>27</v>
      </c>
      <c r="AF142" s="4" t="s">
        <v>262</v>
      </c>
      <c r="AG142" s="4">
        <v>26</v>
      </c>
      <c r="AH142" s="8">
        <v>24</v>
      </c>
      <c r="AI142" s="4">
        <v>27</v>
      </c>
      <c r="AJ142" s="4">
        <v>27</v>
      </c>
      <c r="AK142" s="4">
        <v>16</v>
      </c>
      <c r="AL142" s="4">
        <v>-1.679865001322572</v>
      </c>
      <c r="AM142" s="4">
        <v>27</v>
      </c>
      <c r="AP142" s="4" t="s">
        <v>262</v>
      </c>
      <c r="AQ142" s="4">
        <v>21</v>
      </c>
      <c r="AR142" s="8">
        <v>24.555555555555557</v>
      </c>
      <c r="AS142" s="4">
        <v>20</v>
      </c>
      <c r="AT142" s="4">
        <v>23</v>
      </c>
      <c r="AU142" s="4">
        <v>24</v>
      </c>
      <c r="AV142" s="4">
        <v>-1.679865001322572</v>
      </c>
      <c r="AW142" s="4">
        <v>27</v>
      </c>
      <c r="AZ142" s="4" t="s">
        <v>262</v>
      </c>
      <c r="BA142" s="4">
        <v>25</v>
      </c>
      <c r="BB142" s="8">
        <v>18.777777777777779</v>
      </c>
      <c r="BC142" s="4">
        <v>21</v>
      </c>
      <c r="BD142" s="4">
        <v>22</v>
      </c>
      <c r="BE142" s="4">
        <v>19</v>
      </c>
      <c r="BF142" s="4">
        <v>-1.679865001322572</v>
      </c>
      <c r="BG142" s="4">
        <v>27</v>
      </c>
      <c r="BJ142" s="4" t="s">
        <v>262</v>
      </c>
      <c r="BK142" s="4">
        <v>26</v>
      </c>
      <c r="BL142" s="8">
        <v>21.777777777777779</v>
      </c>
      <c r="BM142" s="4">
        <v>27</v>
      </c>
      <c r="BN142" s="4">
        <v>27</v>
      </c>
      <c r="BO142" s="4">
        <v>23</v>
      </c>
      <c r="BP142" s="4">
        <v>-1.679865001322572</v>
      </c>
      <c r="BQ142" s="4">
        <v>27</v>
      </c>
    </row>
    <row r="143" spans="1:69" ht="14.25" customHeight="1" x14ac:dyDescent="0.3">
      <c r="A143" s="4" t="s">
        <v>267</v>
      </c>
      <c r="B143" s="4">
        <f t="shared" ref="B143:F143" si="48">AVERAGE(B123:B132)</f>
        <v>7.8</v>
      </c>
      <c r="C143" s="8">
        <f t="shared" si="48"/>
        <v>5.1888888888888891</v>
      </c>
      <c r="D143" s="4">
        <f t="shared" si="48"/>
        <v>6.2</v>
      </c>
      <c r="E143" s="4">
        <f t="shared" si="48"/>
        <v>5.7</v>
      </c>
      <c r="F143" s="4">
        <f t="shared" si="48"/>
        <v>7.8</v>
      </c>
      <c r="I143" s="9"/>
      <c r="K143" s="4" t="s">
        <v>267</v>
      </c>
      <c r="L143" s="4">
        <f t="shared" ref="L143:P143" si="49">AVERAGE(L123:L132)</f>
        <v>5.2</v>
      </c>
      <c r="M143" s="8">
        <f t="shared" si="49"/>
        <v>5.3555555555555561</v>
      </c>
      <c r="N143" s="4">
        <f t="shared" si="49"/>
        <v>3.5</v>
      </c>
      <c r="O143" s="4">
        <f t="shared" si="49"/>
        <v>3.1</v>
      </c>
      <c r="P143" s="4">
        <f t="shared" si="49"/>
        <v>7.2</v>
      </c>
      <c r="U143" s="4" t="s">
        <v>267</v>
      </c>
      <c r="V143" s="4">
        <f t="shared" ref="V143:Z143" si="50">AVERAGE(V123:V132)</f>
        <v>3.3</v>
      </c>
      <c r="W143" s="8">
        <f t="shared" si="50"/>
        <v>4.9444444444444446</v>
      </c>
      <c r="X143" s="4">
        <f t="shared" si="50"/>
        <v>2.5</v>
      </c>
      <c r="Y143" s="4">
        <f t="shared" si="50"/>
        <v>2.2999999999999998</v>
      </c>
      <c r="Z143" s="4">
        <f t="shared" si="50"/>
        <v>6.7</v>
      </c>
      <c r="AF143" s="4" t="s">
        <v>267</v>
      </c>
      <c r="AG143" s="4">
        <f t="shared" ref="AG143:AK143" si="51">AVERAGE(AG123:AG132)</f>
        <v>5.7</v>
      </c>
      <c r="AH143" s="8">
        <f t="shared" si="51"/>
        <v>6.0666666666666664</v>
      </c>
      <c r="AI143" s="4">
        <f t="shared" si="51"/>
        <v>3.3</v>
      </c>
      <c r="AJ143" s="4">
        <f t="shared" si="51"/>
        <v>2.4</v>
      </c>
      <c r="AK143" s="4">
        <f t="shared" si="51"/>
        <v>6.9</v>
      </c>
      <c r="AP143" s="4" t="s">
        <v>267</v>
      </c>
      <c r="AQ143" s="4">
        <f t="shared" ref="AQ143:AU143" si="52">AVERAGE(AQ123:AQ132)</f>
        <v>5.7</v>
      </c>
      <c r="AR143" s="8">
        <f t="shared" si="52"/>
        <v>4.7111111111111112</v>
      </c>
      <c r="AS143" s="4">
        <f t="shared" si="52"/>
        <v>5.6</v>
      </c>
      <c r="AT143" s="4">
        <f t="shared" si="52"/>
        <v>5.0999999999999996</v>
      </c>
      <c r="AU143" s="4">
        <f t="shared" si="52"/>
        <v>7.6</v>
      </c>
      <c r="AZ143" s="4" t="s">
        <v>267</v>
      </c>
      <c r="BA143" s="4">
        <f t="shared" ref="BA143:BE143" si="53">AVERAGE(BA123:BA132)</f>
        <v>5.2</v>
      </c>
      <c r="BB143" s="8">
        <f t="shared" si="53"/>
        <v>4.8666666666666663</v>
      </c>
      <c r="BC143" s="4">
        <f t="shared" si="53"/>
        <v>5.4</v>
      </c>
      <c r="BD143" s="4">
        <f t="shared" si="53"/>
        <v>5.6</v>
      </c>
      <c r="BE143" s="4">
        <f t="shared" si="53"/>
        <v>6.6</v>
      </c>
      <c r="BJ143" s="4" t="s">
        <v>267</v>
      </c>
      <c r="BK143" s="4">
        <f t="shared" ref="BK143:BO143" si="54">AVERAGE(BK123:BK132)</f>
        <v>6.2</v>
      </c>
      <c r="BL143" s="8">
        <f t="shared" si="54"/>
        <v>5.2222222222222214</v>
      </c>
      <c r="BM143" s="4">
        <f t="shared" si="54"/>
        <v>6.4</v>
      </c>
      <c r="BN143" s="4">
        <f t="shared" si="54"/>
        <v>6.7</v>
      </c>
      <c r="BO143" s="4">
        <f t="shared" si="54"/>
        <v>6.8</v>
      </c>
    </row>
    <row r="144" spans="1:69" ht="14.25" customHeight="1" x14ac:dyDescent="0.3">
      <c r="A144" s="4" t="s">
        <v>268</v>
      </c>
      <c r="B144" s="4">
        <f t="shared" ref="B144:F144" si="55">AVERAGE(B133:B142)</f>
        <v>14.5</v>
      </c>
      <c r="C144" s="8">
        <f t="shared" si="55"/>
        <v>13.666666666666668</v>
      </c>
      <c r="D144" s="4">
        <f t="shared" si="55"/>
        <v>13.9</v>
      </c>
      <c r="E144" s="4">
        <f t="shared" si="55"/>
        <v>14.3</v>
      </c>
      <c r="F144" s="4">
        <f t="shared" si="55"/>
        <v>14.5</v>
      </c>
      <c r="I144" s="9"/>
      <c r="K144" s="4" t="s">
        <v>268</v>
      </c>
      <c r="L144" s="4">
        <f t="shared" ref="L144:P144" si="56">AVERAGE(L133:L142)</f>
        <v>15.1</v>
      </c>
      <c r="M144" s="8">
        <f t="shared" si="56"/>
        <v>13.000000000000004</v>
      </c>
      <c r="N144" s="4">
        <f t="shared" si="56"/>
        <v>12.5</v>
      </c>
      <c r="O144" s="4">
        <f t="shared" si="56"/>
        <v>13.2</v>
      </c>
      <c r="P144" s="4">
        <f t="shared" si="56"/>
        <v>13.1</v>
      </c>
      <c r="U144" s="4" t="s">
        <v>268</v>
      </c>
      <c r="V144" s="4">
        <f t="shared" ref="V144:Z144" si="57">AVERAGE(V133:V142)</f>
        <v>14.5</v>
      </c>
      <c r="W144" s="8">
        <f t="shared" si="57"/>
        <v>13.2</v>
      </c>
      <c r="X144" s="4">
        <f t="shared" si="57"/>
        <v>15.8</v>
      </c>
      <c r="Y144" s="4">
        <f t="shared" si="57"/>
        <v>16.3</v>
      </c>
      <c r="Z144" s="4">
        <f t="shared" si="57"/>
        <v>11.1</v>
      </c>
      <c r="AF144" s="4" t="s">
        <v>268</v>
      </c>
      <c r="AG144" s="4">
        <f t="shared" ref="AG144:AK144" si="58">AVERAGE(AG133:AG142)</f>
        <v>14.7</v>
      </c>
      <c r="AH144" s="8">
        <f t="shared" si="58"/>
        <v>13.577777777777778</v>
      </c>
      <c r="AI144" s="4">
        <f t="shared" si="58"/>
        <v>14.9</v>
      </c>
      <c r="AJ144" s="4">
        <f t="shared" si="58"/>
        <v>15.8</v>
      </c>
      <c r="AK144" s="4">
        <f t="shared" si="58"/>
        <v>13.5</v>
      </c>
      <c r="AP144" s="4" t="s">
        <v>268</v>
      </c>
      <c r="AQ144" s="4">
        <f t="shared" ref="AQ144:AU144" si="59">AVERAGE(AQ133:AQ142)</f>
        <v>15.6</v>
      </c>
      <c r="AR144" s="8">
        <f t="shared" si="59"/>
        <v>14.277777777777777</v>
      </c>
      <c r="AS144" s="4">
        <f t="shared" si="59"/>
        <v>15.5</v>
      </c>
      <c r="AT144" s="4">
        <f t="shared" si="59"/>
        <v>15.9</v>
      </c>
      <c r="AU144" s="4">
        <f t="shared" si="59"/>
        <v>13.7</v>
      </c>
      <c r="AZ144" s="4" t="s">
        <v>268</v>
      </c>
      <c r="BA144" s="4">
        <f t="shared" ref="BA144:BE144" si="60">AVERAGE(BA133:BA142)</f>
        <v>15.3</v>
      </c>
      <c r="BB144" s="8">
        <f t="shared" si="60"/>
        <v>14.188888888888892</v>
      </c>
      <c r="BC144" s="4">
        <f t="shared" si="60"/>
        <v>13.9</v>
      </c>
      <c r="BD144" s="4">
        <f t="shared" si="60"/>
        <v>13.6</v>
      </c>
      <c r="BE144" s="4">
        <f t="shared" si="60"/>
        <v>13.9</v>
      </c>
      <c r="BJ144" s="4" t="s">
        <v>268</v>
      </c>
      <c r="BK144" s="4">
        <f t="shared" ref="BK144:BO144" si="61">AVERAGE(BK133:BK142)</f>
        <v>15.3</v>
      </c>
      <c r="BL144" s="8">
        <f t="shared" si="61"/>
        <v>14.499999999999996</v>
      </c>
      <c r="BM144" s="4">
        <f t="shared" si="61"/>
        <v>15</v>
      </c>
      <c r="BN144" s="4">
        <f t="shared" si="61"/>
        <v>14.6</v>
      </c>
      <c r="BO144" s="4">
        <f t="shared" si="61"/>
        <v>14.7</v>
      </c>
    </row>
    <row r="145" spans="1:67" ht="14.25" customHeight="1" x14ac:dyDescent="0.3">
      <c r="A145" s="4" t="s">
        <v>269</v>
      </c>
      <c r="B145" s="4">
        <f>SKEW(B123:B132)</f>
        <v>-0.27503952159149642</v>
      </c>
      <c r="C145" s="4"/>
      <c r="D145" s="4"/>
      <c r="E145" s="4"/>
      <c r="F145" s="4">
        <f>SKEW(F123:F132)</f>
        <v>8.7640906766856166E-2</v>
      </c>
      <c r="K145" s="4" t="s">
        <v>269</v>
      </c>
      <c r="L145" s="4">
        <f>SKEW(L123:L132)</f>
        <v>1.7787811838447123</v>
      </c>
      <c r="M145" s="4"/>
      <c r="N145" s="4"/>
      <c r="O145" s="4"/>
      <c r="P145" s="4">
        <f>SKEW(P123:P132)</f>
        <v>1.6694127816741928</v>
      </c>
      <c r="U145" s="4" t="s">
        <v>269</v>
      </c>
      <c r="V145" s="4">
        <f>SKEW(V123:V132)</f>
        <v>1.9397390483333099</v>
      </c>
      <c r="W145" s="4"/>
      <c r="X145" s="4"/>
      <c r="Y145" s="4"/>
      <c r="Z145" s="4">
        <f>SKEW(Z123:Z132)</f>
        <v>0.70544301426348643</v>
      </c>
      <c r="AF145" s="4" t="s">
        <v>269</v>
      </c>
      <c r="AG145" s="4">
        <f>SKEW(AG123:AG132)</f>
        <v>0.34662787174003656</v>
      </c>
      <c r="AH145" s="4"/>
      <c r="AI145" s="4"/>
      <c r="AJ145" s="4"/>
      <c r="AK145" s="4">
        <f>SKEW(AK123:AK132)</f>
        <v>2.2458965504713095</v>
      </c>
      <c r="AP145" s="4" t="s">
        <v>269</v>
      </c>
      <c r="AQ145" s="4">
        <f>SKEW(AQ123:AQ132)</f>
        <v>0.49216893316098514</v>
      </c>
      <c r="AR145" s="4"/>
      <c r="AS145" s="4"/>
      <c r="AT145" s="4"/>
      <c r="AU145" s="4">
        <f>SKEW(AU123:AU132)</f>
        <v>0.60675110720549563</v>
      </c>
      <c r="AZ145" s="4" t="s">
        <v>269</v>
      </c>
      <c r="BA145" s="4">
        <f>SKEW(BA123:BA132)</f>
        <v>-0.48974038468458736</v>
      </c>
      <c r="BB145" s="4"/>
      <c r="BC145" s="4"/>
      <c r="BD145" s="4"/>
      <c r="BE145" s="4">
        <f>SKEW(BE123:BE132)</f>
        <v>0.11090339346573688</v>
      </c>
      <c r="BJ145" s="4" t="s">
        <v>269</v>
      </c>
      <c r="BK145" s="4">
        <f>SKEW(BK123:BK132)</f>
        <v>1.139932752351007</v>
      </c>
      <c r="BL145" s="4"/>
      <c r="BM145" s="4"/>
      <c r="BN145" s="4"/>
      <c r="BO145" s="4">
        <f>SKEW(BO123:BO132)</f>
        <v>-0.27231914153020825</v>
      </c>
    </row>
    <row r="146" spans="1:67" ht="14.25" customHeight="1" x14ac:dyDescent="0.3">
      <c r="A146" s="4" t="s">
        <v>270</v>
      </c>
      <c r="B146" s="4">
        <f>SKEW(B133:B142)</f>
        <v>0.70663699440023009</v>
      </c>
      <c r="C146" s="4"/>
      <c r="D146" s="4"/>
      <c r="E146" s="4"/>
      <c r="F146" s="4">
        <f>SKEW(F133:F142)</f>
        <v>0.42146019956917152</v>
      </c>
      <c r="K146" s="4" t="s">
        <v>270</v>
      </c>
      <c r="L146" s="4">
        <f>SKEW(L133:L142)</f>
        <v>1.3801213964968317</v>
      </c>
      <c r="M146" s="4"/>
      <c r="N146" s="4"/>
      <c r="O146" s="4"/>
      <c r="P146" s="4">
        <f>SKEW(P133:P142)</f>
        <v>-2.2741077909183685E-2</v>
      </c>
      <c r="U146" s="4" t="s">
        <v>270</v>
      </c>
      <c r="V146" s="4">
        <f>SKEW(V133:V142)</f>
        <v>0.94470447154977888</v>
      </c>
      <c r="W146" s="4"/>
      <c r="X146" s="4"/>
      <c r="Y146" s="4"/>
      <c r="Z146" s="4">
        <f>SKEW(Z133:Z142)</f>
        <v>0.99079400257586836</v>
      </c>
      <c r="AF146" s="4" t="s">
        <v>270</v>
      </c>
      <c r="AG146" s="4">
        <f>SKEW(AG133:AG142)</f>
        <v>1.9998798948105021</v>
      </c>
      <c r="AH146" s="4"/>
      <c r="AI146" s="4"/>
      <c r="AJ146" s="4"/>
      <c r="AK146" s="4">
        <f>SKEW(AK133:AK142)</f>
        <v>-0.60155700451163818</v>
      </c>
      <c r="AP146" s="4" t="s">
        <v>270</v>
      </c>
      <c r="AQ146" s="4">
        <f>SKEW(AQ133:AQ142)</f>
        <v>0.88084357431258242</v>
      </c>
      <c r="AR146" s="19"/>
      <c r="AS146" s="19"/>
      <c r="AT146" s="19"/>
      <c r="AU146" s="19">
        <f>SKEW(AU133:AU142)</f>
        <v>0.75524356650978186</v>
      </c>
      <c r="AZ146" s="4" t="s">
        <v>270</v>
      </c>
      <c r="BA146" s="4">
        <f>SKEW(BA133:BA142)</f>
        <v>0.5788521523567598</v>
      </c>
      <c r="BB146" s="4"/>
      <c r="BC146" s="4"/>
      <c r="BD146" s="4"/>
      <c r="BE146" s="4">
        <f>SKEW(BE133:BE142)</f>
        <v>0.51922817010409739</v>
      </c>
      <c r="BJ146" s="4" t="s">
        <v>270</v>
      </c>
      <c r="BK146" s="4">
        <f>SKEW(BK133:BK142)</f>
        <v>0.5343951598759259</v>
      </c>
      <c r="BL146" s="19"/>
      <c r="BM146" s="19"/>
      <c r="BN146" s="19"/>
      <c r="BO146" s="19">
        <f>SKEW(BO133:BO142)</f>
        <v>0.59287304759201864</v>
      </c>
    </row>
    <row r="147" spans="1:67" ht="14.25" customHeight="1" x14ac:dyDescent="0.3">
      <c r="A147" s="4" t="s">
        <v>271</v>
      </c>
      <c r="B147" s="4">
        <v>7.2754170439936923</v>
      </c>
      <c r="C147" s="5"/>
      <c r="D147" s="5"/>
      <c r="E147" s="5"/>
      <c r="F147" s="5"/>
      <c r="G147" s="5"/>
      <c r="H147" s="5"/>
      <c r="K147" s="4" t="s">
        <v>271</v>
      </c>
      <c r="L147" s="4">
        <v>17.091108486035289</v>
      </c>
      <c r="U147" s="4" t="s">
        <v>271</v>
      </c>
      <c r="V147" s="4">
        <v>43.576547187556017</v>
      </c>
      <c r="AF147" s="4" t="s">
        <v>271</v>
      </c>
      <c r="AG147" s="4">
        <v>19.789513066722321</v>
      </c>
      <c r="AP147" s="4" t="s">
        <v>271</v>
      </c>
      <c r="AQ147" s="4">
        <v>19.062484846712842</v>
      </c>
      <c r="AZ147" s="4" t="s">
        <v>271</v>
      </c>
      <c r="BA147" s="4">
        <v>18.089095743773431</v>
      </c>
      <c r="BJ147" s="4" t="s">
        <v>271</v>
      </c>
      <c r="BK147" s="4">
        <v>12.464933293167769</v>
      </c>
    </row>
    <row r="148" spans="1:67" ht="14.25" customHeight="1" x14ac:dyDescent="0.3">
      <c r="A148" s="4" t="s">
        <v>272</v>
      </c>
      <c r="B148" s="4">
        <v>7</v>
      </c>
      <c r="C148" s="5"/>
      <c r="D148" s="5"/>
      <c r="E148" s="5"/>
      <c r="F148" s="5"/>
      <c r="G148" s="5"/>
      <c r="H148" s="5"/>
      <c r="K148" s="4" t="s">
        <v>272</v>
      </c>
      <c r="L148" s="4">
        <v>9</v>
      </c>
      <c r="U148" s="4" t="s">
        <v>272</v>
      </c>
      <c r="V148" s="4">
        <v>11</v>
      </c>
      <c r="AF148" s="4" t="s">
        <v>272</v>
      </c>
      <c r="AG148" s="4">
        <v>10</v>
      </c>
      <c r="AP148" s="4" t="s">
        <v>272</v>
      </c>
      <c r="AQ148" s="4">
        <v>9</v>
      </c>
      <c r="AZ148" s="4" t="s">
        <v>272</v>
      </c>
      <c r="BA148" s="4">
        <v>7</v>
      </c>
      <c r="BJ148" s="4" t="s">
        <v>272</v>
      </c>
      <c r="BK148" s="4">
        <v>10</v>
      </c>
    </row>
    <row r="149" spans="1:67" ht="14.25" customHeight="1" x14ac:dyDescent="0.3">
      <c r="A149" s="11" t="s">
        <v>273</v>
      </c>
      <c r="B149" s="4">
        <f>B148*2</f>
        <v>14</v>
      </c>
      <c r="C149" s="5"/>
      <c r="D149" s="5"/>
      <c r="K149" s="11" t="s">
        <v>273</v>
      </c>
      <c r="L149" s="4">
        <f>L148*2</f>
        <v>18</v>
      </c>
      <c r="U149" s="11" t="s">
        <v>273</v>
      </c>
      <c r="V149" s="4">
        <f>V148*2</f>
        <v>22</v>
      </c>
      <c r="AF149" s="11" t="s">
        <v>273</v>
      </c>
      <c r="AG149" s="4">
        <f>AG148*2</f>
        <v>20</v>
      </c>
      <c r="AP149" s="11" t="s">
        <v>273</v>
      </c>
      <c r="AQ149" s="4">
        <f>AQ148*2</f>
        <v>18</v>
      </c>
      <c r="AZ149" s="11" t="s">
        <v>273</v>
      </c>
      <c r="BA149" s="4">
        <f>BA148*2</f>
        <v>14</v>
      </c>
      <c r="BJ149" s="11" t="s">
        <v>273</v>
      </c>
      <c r="BK149" s="4">
        <f>BK148*2</f>
        <v>20</v>
      </c>
    </row>
    <row r="150" spans="1:67" ht="14.25" customHeight="1" x14ac:dyDescent="0.3"/>
    <row r="151" spans="1:67" ht="14.25" customHeight="1" x14ac:dyDescent="0.3"/>
    <row r="152" spans="1:67" ht="14.25" customHeight="1" x14ac:dyDescent="0.3"/>
    <row r="153" spans="1:67" ht="14.25" customHeight="1" x14ac:dyDescent="0.3"/>
    <row r="154" spans="1:67" ht="14.25" customHeight="1" x14ac:dyDescent="0.3">
      <c r="B154" s="3" t="s">
        <v>299</v>
      </c>
      <c r="J154" s="3" t="s">
        <v>300</v>
      </c>
      <c r="R154" s="3" t="s">
        <v>301</v>
      </c>
      <c r="Z154" s="3" t="s">
        <v>302</v>
      </c>
      <c r="AF154" s="3" t="s">
        <v>303</v>
      </c>
      <c r="AN154" s="3" t="s">
        <v>304</v>
      </c>
      <c r="AV154" s="3" t="s">
        <v>305</v>
      </c>
    </row>
    <row r="155" spans="1:67" ht="14.25" customHeight="1" x14ac:dyDescent="0.3">
      <c r="B155" s="4" t="s">
        <v>232</v>
      </c>
      <c r="C155" s="4"/>
      <c r="D155" s="4"/>
      <c r="E155" s="4"/>
      <c r="F155" s="11" t="s">
        <v>306</v>
      </c>
      <c r="G155" s="4" t="s">
        <v>237</v>
      </c>
      <c r="H155" s="4" t="s">
        <v>12</v>
      </c>
      <c r="J155" s="4" t="s">
        <v>232</v>
      </c>
      <c r="K155" s="11" t="s">
        <v>306</v>
      </c>
      <c r="L155" s="4" t="s">
        <v>237</v>
      </c>
      <c r="M155" s="4"/>
      <c r="N155" s="4"/>
      <c r="O155" s="4"/>
      <c r="P155" s="4" t="s">
        <v>12</v>
      </c>
      <c r="R155" s="4" t="s">
        <v>232</v>
      </c>
      <c r="S155" s="11" t="s">
        <v>306</v>
      </c>
      <c r="T155" s="4" t="s">
        <v>237</v>
      </c>
      <c r="U155" s="4" t="s">
        <v>12</v>
      </c>
      <c r="Z155" s="4" t="s">
        <v>232</v>
      </c>
      <c r="AA155" s="11" t="s">
        <v>306</v>
      </c>
      <c r="AB155" s="4" t="s">
        <v>237</v>
      </c>
      <c r="AC155" s="4" t="s">
        <v>12</v>
      </c>
      <c r="AF155" s="4" t="s">
        <v>232</v>
      </c>
      <c r="AG155" s="11" t="s">
        <v>306</v>
      </c>
      <c r="AH155" s="11"/>
      <c r="AI155" s="11"/>
      <c r="AJ155" s="11"/>
      <c r="AK155" s="4" t="s">
        <v>237</v>
      </c>
      <c r="AL155" s="4" t="s">
        <v>12</v>
      </c>
      <c r="AN155" s="4" t="s">
        <v>232</v>
      </c>
      <c r="AO155" s="11" t="s">
        <v>306</v>
      </c>
      <c r="AP155" s="4" t="s">
        <v>237</v>
      </c>
      <c r="AQ155" s="4" t="s">
        <v>12</v>
      </c>
      <c r="AV155" s="4" t="s">
        <v>232</v>
      </c>
      <c r="AW155" s="11" t="s">
        <v>306</v>
      </c>
      <c r="AX155" s="4" t="s">
        <v>237</v>
      </c>
      <c r="AY155" s="4" t="s">
        <v>12</v>
      </c>
    </row>
    <row r="156" spans="1:67" ht="14.25" customHeight="1" x14ac:dyDescent="0.3">
      <c r="B156" s="4" t="s">
        <v>247</v>
      </c>
      <c r="C156" s="4"/>
      <c r="D156" s="4"/>
      <c r="E156" s="4"/>
      <c r="F156" s="4">
        <f t="shared" ref="F156:F175" si="62">AVERAGE(AK8,Z58,P91,F123)</f>
        <v>7.75</v>
      </c>
      <c r="G156" s="4">
        <v>0.53747605471157822</v>
      </c>
      <c r="H156" s="4">
        <v>15</v>
      </c>
      <c r="J156" s="4" t="s">
        <v>247</v>
      </c>
      <c r="K156" s="4">
        <f t="shared" ref="K156:K175" si="63">AVERAGE(AU8,AK58,Z91,P123)</f>
        <v>6.75</v>
      </c>
      <c r="L156" s="4">
        <v>0.53747605471157822</v>
      </c>
      <c r="M156" s="4"/>
      <c r="N156" s="4"/>
      <c r="O156" s="4"/>
      <c r="P156" s="4">
        <v>15</v>
      </c>
      <c r="R156" s="4" t="s">
        <v>247</v>
      </c>
      <c r="S156" s="4">
        <f t="shared" ref="S156:S175" si="64">AVERAGE(BE8,AU58,AK91,Z123)</f>
        <v>7.5</v>
      </c>
      <c r="T156" s="4">
        <v>0.53747605471157822</v>
      </c>
      <c r="U156" s="4">
        <v>15</v>
      </c>
      <c r="Z156" s="4" t="s">
        <v>247</v>
      </c>
      <c r="AA156" s="4">
        <f t="shared" ref="AA156:AA175" si="65">AVERAGE(BO8,BE58,AU91,AK123)</f>
        <v>7.25</v>
      </c>
      <c r="AB156" s="4">
        <v>0.53747605471157822</v>
      </c>
      <c r="AC156" s="4">
        <v>15</v>
      </c>
      <c r="AF156" s="4" t="s">
        <v>247</v>
      </c>
      <c r="AG156" s="4">
        <f t="shared" ref="AG156:AG175" si="66">AVERAGE(F8,BY8,BO58,BE91,AU123)</f>
        <v>7</v>
      </c>
      <c r="AH156" s="4"/>
      <c r="AI156" s="4"/>
      <c r="AJ156" s="4"/>
      <c r="AK156" s="4">
        <v>0.53747605471157822</v>
      </c>
      <c r="AL156" s="4">
        <v>15</v>
      </c>
      <c r="AN156" s="4" t="s">
        <v>247</v>
      </c>
      <c r="AO156" s="4">
        <f t="shared" ref="AO156:AO175" si="67">AVERAGE(P8,F58,BY58,BO91,BE123)</f>
        <v>7</v>
      </c>
      <c r="AP156" s="4">
        <v>0.53747605471157822</v>
      </c>
      <c r="AQ156" s="4">
        <v>15</v>
      </c>
      <c r="AV156" s="4">
        <v>1</v>
      </c>
      <c r="AW156" s="4">
        <f t="shared" ref="AW156:AW175" si="68">AVERAGE(Z8,P58,F91,BY91,BO123)</f>
        <v>7.2</v>
      </c>
      <c r="AX156" s="4">
        <v>0.53747605471157822</v>
      </c>
      <c r="AY156" s="4">
        <v>15</v>
      </c>
      <c r="BA156" s="4" t="s">
        <v>307</v>
      </c>
      <c r="BB156" s="4"/>
      <c r="BC156" s="4"/>
      <c r="BD156" s="4"/>
      <c r="BE156" s="4">
        <f t="shared" ref="BE156:BE157" si="69">F176+K176+S176+AA176+AG176+AO176+AW176</f>
        <v>148.12501408792275</v>
      </c>
    </row>
    <row r="157" spans="1:67" ht="14.25" customHeight="1" x14ac:dyDescent="0.3">
      <c r="B157" s="4" t="s">
        <v>248</v>
      </c>
      <c r="C157" s="4"/>
      <c r="D157" s="4"/>
      <c r="E157" s="4"/>
      <c r="F157" s="4">
        <f t="shared" si="62"/>
        <v>8</v>
      </c>
      <c r="G157" s="4">
        <v>0.62268266964537045</v>
      </c>
      <c r="H157" s="4">
        <v>15</v>
      </c>
      <c r="J157" s="4" t="s">
        <v>248</v>
      </c>
      <c r="K157" s="4">
        <f t="shared" si="63"/>
        <v>8.25</v>
      </c>
      <c r="L157" s="4">
        <v>0.62268266964537045</v>
      </c>
      <c r="M157" s="4"/>
      <c r="N157" s="4"/>
      <c r="O157" s="4"/>
      <c r="P157" s="4">
        <v>15</v>
      </c>
      <c r="R157" s="4" t="s">
        <v>248</v>
      </c>
      <c r="S157" s="4">
        <f t="shared" si="64"/>
        <v>9</v>
      </c>
      <c r="T157" s="4">
        <v>0.62268266964537045</v>
      </c>
      <c r="U157" s="4">
        <v>15</v>
      </c>
      <c r="Z157" s="4" t="s">
        <v>248</v>
      </c>
      <c r="AA157" s="4">
        <f t="shared" si="65"/>
        <v>9</v>
      </c>
      <c r="AB157" s="4">
        <v>0.62268266964537045</v>
      </c>
      <c r="AC157" s="4">
        <v>15</v>
      </c>
      <c r="AF157" s="4" t="s">
        <v>248</v>
      </c>
      <c r="AG157" s="4">
        <f t="shared" si="66"/>
        <v>8.8000000000000007</v>
      </c>
      <c r="AH157" s="4"/>
      <c r="AI157" s="4"/>
      <c r="AJ157" s="4"/>
      <c r="AK157" s="4">
        <v>0.62268266964537045</v>
      </c>
      <c r="AL157" s="4">
        <v>15</v>
      </c>
      <c r="AN157" s="4" t="s">
        <v>248</v>
      </c>
      <c r="AO157" s="4">
        <f t="shared" si="67"/>
        <v>8.6</v>
      </c>
      <c r="AP157" s="4">
        <v>0.62268266964537045</v>
      </c>
      <c r="AQ157" s="4">
        <v>15</v>
      </c>
      <c r="AV157" s="4">
        <v>2</v>
      </c>
      <c r="AW157" s="4">
        <f t="shared" si="68"/>
        <v>9.6</v>
      </c>
      <c r="AX157" s="4">
        <v>0.62268266964537045</v>
      </c>
      <c r="AY157" s="4">
        <v>15</v>
      </c>
      <c r="BA157" s="4" t="s">
        <v>308</v>
      </c>
      <c r="BB157" s="4"/>
      <c r="BC157" s="4"/>
      <c r="BD157" s="4"/>
      <c r="BE157" s="4">
        <f t="shared" si="69"/>
        <v>68.850000000000009</v>
      </c>
    </row>
    <row r="158" spans="1:67" ht="14.25" customHeight="1" x14ac:dyDescent="0.3">
      <c r="B158" s="4" t="s">
        <v>249</v>
      </c>
      <c r="C158" s="4"/>
      <c r="D158" s="4"/>
      <c r="E158" s="4"/>
      <c r="F158" s="4">
        <f t="shared" si="62"/>
        <v>6.5</v>
      </c>
      <c r="G158" s="4">
        <v>0.52426836588405112</v>
      </c>
      <c r="H158" s="4">
        <v>19</v>
      </c>
      <c r="J158" s="4" t="s">
        <v>249</v>
      </c>
      <c r="K158" s="4">
        <f t="shared" si="63"/>
        <v>7.5</v>
      </c>
      <c r="L158" s="4">
        <v>0.52426836588405112</v>
      </c>
      <c r="M158" s="4"/>
      <c r="N158" s="4"/>
      <c r="O158" s="4"/>
      <c r="P158" s="4">
        <v>19</v>
      </c>
      <c r="R158" s="4" t="s">
        <v>249</v>
      </c>
      <c r="S158" s="4">
        <f t="shared" si="64"/>
        <v>6.25</v>
      </c>
      <c r="T158" s="4">
        <v>0.52426836588405112</v>
      </c>
      <c r="U158" s="4">
        <v>19</v>
      </c>
      <c r="Z158" s="4" t="s">
        <v>249</v>
      </c>
      <c r="AA158" s="4">
        <f t="shared" si="65"/>
        <v>6.5</v>
      </c>
      <c r="AB158" s="4">
        <v>0.52426836588405112</v>
      </c>
      <c r="AC158" s="4">
        <v>19</v>
      </c>
      <c r="AF158" s="4" t="s">
        <v>249</v>
      </c>
      <c r="AG158" s="4">
        <f t="shared" si="66"/>
        <v>6.8</v>
      </c>
      <c r="AH158" s="4"/>
      <c r="AI158" s="4"/>
      <c r="AJ158" s="4"/>
      <c r="AK158" s="4">
        <v>0.52426836588405112</v>
      </c>
      <c r="AL158" s="4">
        <v>19</v>
      </c>
      <c r="AN158" s="4" t="s">
        <v>249</v>
      </c>
      <c r="AO158" s="4">
        <f t="shared" si="67"/>
        <v>6.2</v>
      </c>
      <c r="AP158" s="4">
        <v>0.52426836588405112</v>
      </c>
      <c r="AQ158" s="4">
        <v>19</v>
      </c>
      <c r="AV158" s="4">
        <v>3</v>
      </c>
      <c r="AW158" s="4">
        <f t="shared" si="68"/>
        <v>6</v>
      </c>
      <c r="AX158" s="4">
        <v>0.52426836588405112</v>
      </c>
      <c r="AY158" s="4">
        <v>19</v>
      </c>
    </row>
    <row r="159" spans="1:67" ht="14.25" customHeight="1" x14ac:dyDescent="0.3">
      <c r="B159" s="4" t="s">
        <v>250</v>
      </c>
      <c r="C159" s="4"/>
      <c r="D159" s="4"/>
      <c r="E159" s="4"/>
      <c r="F159" s="4">
        <f t="shared" si="62"/>
        <v>7.5</v>
      </c>
      <c r="G159" s="4">
        <v>0.67691586229508371</v>
      </c>
      <c r="H159" s="4">
        <v>15</v>
      </c>
      <c r="J159" s="4" t="s">
        <v>250</v>
      </c>
      <c r="K159" s="4">
        <f t="shared" si="63"/>
        <v>8</v>
      </c>
      <c r="L159" s="4">
        <v>0.67691586229508371</v>
      </c>
      <c r="M159" s="4"/>
      <c r="N159" s="4"/>
      <c r="O159" s="4"/>
      <c r="P159" s="4">
        <v>15</v>
      </c>
      <c r="R159" s="4" t="s">
        <v>250</v>
      </c>
      <c r="S159" s="4">
        <f t="shared" si="64"/>
        <v>10</v>
      </c>
      <c r="T159" s="4">
        <v>0.67691586229508371</v>
      </c>
      <c r="U159" s="4">
        <v>15</v>
      </c>
      <c r="Z159" s="4" t="s">
        <v>250</v>
      </c>
      <c r="AA159" s="4">
        <f t="shared" si="65"/>
        <v>8</v>
      </c>
      <c r="AB159" s="4">
        <v>0.67691586229508371</v>
      </c>
      <c r="AC159" s="4">
        <v>15</v>
      </c>
      <c r="AF159" s="4" t="s">
        <v>250</v>
      </c>
      <c r="AG159" s="4">
        <f t="shared" si="66"/>
        <v>8.6</v>
      </c>
      <c r="AH159" s="4"/>
      <c r="AI159" s="4"/>
      <c r="AJ159" s="4"/>
      <c r="AK159" s="4">
        <v>0.67691586229508371</v>
      </c>
      <c r="AL159" s="4">
        <v>15</v>
      </c>
      <c r="AN159" s="4" t="s">
        <v>250</v>
      </c>
      <c r="AO159" s="4">
        <f t="shared" si="67"/>
        <v>7.8</v>
      </c>
      <c r="AP159" s="4">
        <v>0.67691586229508371</v>
      </c>
      <c r="AQ159" s="4">
        <v>15</v>
      </c>
      <c r="AV159" s="4">
        <v>4</v>
      </c>
      <c r="AW159" s="4">
        <f t="shared" si="68"/>
        <v>7.2</v>
      </c>
      <c r="AX159" s="4">
        <v>0.67691586229508371</v>
      </c>
      <c r="AY159" s="4">
        <v>15</v>
      </c>
      <c r="BA159" s="3" t="s">
        <v>309</v>
      </c>
    </row>
    <row r="160" spans="1:67" ht="14.25" customHeight="1" x14ac:dyDescent="0.3">
      <c r="B160" s="4" t="s">
        <v>251</v>
      </c>
      <c r="C160" s="4"/>
      <c r="D160" s="4"/>
      <c r="E160" s="4"/>
      <c r="F160" s="4">
        <f t="shared" si="62"/>
        <v>7</v>
      </c>
      <c r="G160" s="4">
        <v>0.655473679459604</v>
      </c>
      <c r="H160" s="4">
        <v>15</v>
      </c>
      <c r="J160" s="4" t="s">
        <v>251</v>
      </c>
      <c r="K160" s="4">
        <f t="shared" si="63"/>
        <v>6.75</v>
      </c>
      <c r="L160" s="4">
        <v>0.655473679459604</v>
      </c>
      <c r="M160" s="4"/>
      <c r="N160" s="4"/>
      <c r="O160" s="4"/>
      <c r="P160" s="4">
        <v>15</v>
      </c>
      <c r="R160" s="4" t="s">
        <v>251</v>
      </c>
      <c r="S160" s="4">
        <f t="shared" si="64"/>
        <v>7</v>
      </c>
      <c r="T160" s="4">
        <v>0.655473679459604</v>
      </c>
      <c r="U160" s="4">
        <v>15</v>
      </c>
      <c r="Z160" s="4" t="s">
        <v>251</v>
      </c>
      <c r="AA160" s="4">
        <f t="shared" si="65"/>
        <v>6.75</v>
      </c>
      <c r="AB160" s="4">
        <v>0.655473679459604</v>
      </c>
      <c r="AC160" s="4">
        <v>15</v>
      </c>
      <c r="AF160" s="4" t="s">
        <v>251</v>
      </c>
      <c r="AG160" s="4">
        <f t="shared" si="66"/>
        <v>6.4</v>
      </c>
      <c r="AH160" s="4"/>
      <c r="AI160" s="4"/>
      <c r="AJ160" s="4"/>
      <c r="AK160" s="4">
        <v>0.655473679459604</v>
      </c>
      <c r="AL160" s="4">
        <v>15</v>
      </c>
      <c r="AN160" s="4" t="s">
        <v>251</v>
      </c>
      <c r="AO160" s="4">
        <f t="shared" si="67"/>
        <v>6.6</v>
      </c>
      <c r="AP160" s="4">
        <v>0.655473679459604</v>
      </c>
      <c r="AQ160" s="4">
        <v>15</v>
      </c>
      <c r="AV160" s="4">
        <v>5</v>
      </c>
      <c r="AW160" s="4">
        <f t="shared" si="68"/>
        <v>6.6</v>
      </c>
      <c r="AX160" s="4">
        <v>0.655473679459604</v>
      </c>
      <c r="AY160" s="4">
        <v>15</v>
      </c>
      <c r="BA160" s="3" t="s">
        <v>310</v>
      </c>
    </row>
    <row r="161" spans="2:53" ht="14.25" customHeight="1" x14ac:dyDescent="0.3">
      <c r="B161" s="4" t="s">
        <v>252</v>
      </c>
      <c r="C161" s="4"/>
      <c r="D161" s="4"/>
      <c r="E161" s="4"/>
      <c r="F161" s="4">
        <f t="shared" si="62"/>
        <v>7</v>
      </c>
      <c r="G161" s="4">
        <v>0.70256358269933272</v>
      </c>
      <c r="H161" s="4">
        <v>15</v>
      </c>
      <c r="J161" s="4" t="s">
        <v>252</v>
      </c>
      <c r="K161" s="4">
        <f t="shared" si="63"/>
        <v>6</v>
      </c>
      <c r="L161" s="4">
        <v>0.70256358269933272</v>
      </c>
      <c r="M161" s="4"/>
      <c r="N161" s="4"/>
      <c r="O161" s="4"/>
      <c r="P161" s="4">
        <v>15</v>
      </c>
      <c r="R161" s="4" t="s">
        <v>252</v>
      </c>
      <c r="S161" s="4">
        <f t="shared" si="64"/>
        <v>6.5</v>
      </c>
      <c r="T161" s="4">
        <v>0.70256358269933272</v>
      </c>
      <c r="U161" s="4">
        <v>15</v>
      </c>
      <c r="Z161" s="4" t="s">
        <v>252</v>
      </c>
      <c r="AA161" s="4">
        <f t="shared" si="65"/>
        <v>6.5</v>
      </c>
      <c r="AB161" s="4">
        <v>0.70256358269933272</v>
      </c>
      <c r="AC161" s="4">
        <v>15</v>
      </c>
      <c r="AF161" s="4" t="s">
        <v>252</v>
      </c>
      <c r="AG161" s="4">
        <f t="shared" si="66"/>
        <v>6.4</v>
      </c>
      <c r="AH161" s="4"/>
      <c r="AI161" s="4"/>
      <c r="AJ161" s="4"/>
      <c r="AK161" s="4">
        <v>0.70256358269933272</v>
      </c>
      <c r="AL161" s="4">
        <v>15</v>
      </c>
      <c r="AN161" s="4" t="s">
        <v>252</v>
      </c>
      <c r="AO161" s="4">
        <f t="shared" si="67"/>
        <v>6</v>
      </c>
      <c r="AP161" s="4">
        <v>0.70256358269933272</v>
      </c>
      <c r="AQ161" s="4">
        <v>15</v>
      </c>
      <c r="AV161" s="4">
        <v>6</v>
      </c>
      <c r="AW161" s="4">
        <f t="shared" si="68"/>
        <v>6.2</v>
      </c>
      <c r="AX161" s="4">
        <v>0.70256358269933272</v>
      </c>
      <c r="AY161" s="4">
        <v>15</v>
      </c>
      <c r="BA161" s="3" t="s">
        <v>311</v>
      </c>
    </row>
    <row r="162" spans="2:53" ht="14.25" customHeight="1" x14ac:dyDescent="0.3">
      <c r="B162" s="4" t="s">
        <v>253</v>
      </c>
      <c r="C162" s="4"/>
      <c r="D162" s="4"/>
      <c r="E162" s="4"/>
      <c r="F162" s="4">
        <f t="shared" si="62"/>
        <v>7</v>
      </c>
      <c r="G162" s="4">
        <v>1.1425292918330761</v>
      </c>
      <c r="H162" s="4">
        <v>15</v>
      </c>
      <c r="J162" s="4" t="s">
        <v>253</v>
      </c>
      <c r="K162" s="4">
        <f t="shared" si="63"/>
        <v>6.25</v>
      </c>
      <c r="L162" s="4">
        <v>1.1425292918330761</v>
      </c>
      <c r="M162" s="4"/>
      <c r="N162" s="4"/>
      <c r="O162" s="4"/>
      <c r="P162" s="4">
        <v>15</v>
      </c>
      <c r="R162" s="4" t="s">
        <v>253</v>
      </c>
      <c r="S162" s="4">
        <f t="shared" si="64"/>
        <v>6</v>
      </c>
      <c r="T162" s="4">
        <v>1.1425292918330761</v>
      </c>
      <c r="U162" s="4">
        <v>15</v>
      </c>
      <c r="Z162" s="4" t="s">
        <v>253</v>
      </c>
      <c r="AA162" s="4">
        <f t="shared" si="65"/>
        <v>7.5</v>
      </c>
      <c r="AB162" s="4">
        <v>1.1425292918330761</v>
      </c>
      <c r="AC162" s="4">
        <v>15</v>
      </c>
      <c r="AF162" s="4" t="s">
        <v>253</v>
      </c>
      <c r="AG162" s="4">
        <f t="shared" si="66"/>
        <v>7.8</v>
      </c>
      <c r="AH162" s="4"/>
      <c r="AI162" s="4"/>
      <c r="AJ162" s="4"/>
      <c r="AK162" s="4">
        <v>1.1425292918330761</v>
      </c>
      <c r="AL162" s="4">
        <v>15</v>
      </c>
      <c r="AN162" s="4" t="s">
        <v>253</v>
      </c>
      <c r="AO162" s="4">
        <f t="shared" si="67"/>
        <v>6</v>
      </c>
      <c r="AP162" s="4">
        <v>1.1425292918330761</v>
      </c>
      <c r="AQ162" s="4">
        <v>15</v>
      </c>
      <c r="AV162" s="4">
        <v>7</v>
      </c>
      <c r="AW162" s="4">
        <f t="shared" si="68"/>
        <v>6.2</v>
      </c>
      <c r="AX162" s="4">
        <v>1.1425292918330761</v>
      </c>
      <c r="AY162" s="4">
        <v>15</v>
      </c>
    </row>
    <row r="163" spans="2:53" ht="14.25" customHeight="1" x14ac:dyDescent="0.3">
      <c r="B163" s="4" t="s">
        <v>254</v>
      </c>
      <c r="C163" s="4"/>
      <c r="D163" s="4"/>
      <c r="E163" s="4"/>
      <c r="F163" s="4">
        <f t="shared" si="62"/>
        <v>5.75</v>
      </c>
      <c r="G163" s="4">
        <v>0.80154659127182082</v>
      </c>
      <c r="H163" s="4">
        <v>19</v>
      </c>
      <c r="J163" s="4" t="s">
        <v>254</v>
      </c>
      <c r="K163" s="4">
        <f t="shared" si="63"/>
        <v>5.75</v>
      </c>
      <c r="L163" s="4">
        <v>0.80154659127182082</v>
      </c>
      <c r="M163" s="4"/>
      <c r="N163" s="4"/>
      <c r="O163" s="4"/>
      <c r="P163" s="4">
        <v>19</v>
      </c>
      <c r="R163" s="4" t="s">
        <v>254</v>
      </c>
      <c r="S163" s="4">
        <f t="shared" si="64"/>
        <v>5</v>
      </c>
      <c r="T163" s="4">
        <v>0.80154659127182082</v>
      </c>
      <c r="U163" s="4">
        <v>19</v>
      </c>
      <c r="Z163" s="4" t="s">
        <v>254</v>
      </c>
      <c r="AA163" s="4">
        <f t="shared" si="65"/>
        <v>6.25</v>
      </c>
      <c r="AB163" s="4">
        <v>0.80154659127182082</v>
      </c>
      <c r="AC163" s="4">
        <v>19</v>
      </c>
      <c r="AF163" s="4" t="s">
        <v>254</v>
      </c>
      <c r="AG163" s="4">
        <f t="shared" si="66"/>
        <v>5</v>
      </c>
      <c r="AH163" s="4"/>
      <c r="AI163" s="4"/>
      <c r="AJ163" s="4"/>
      <c r="AK163" s="4">
        <v>0.80154659127182082</v>
      </c>
      <c r="AL163" s="4">
        <v>19</v>
      </c>
      <c r="AN163" s="4" t="s">
        <v>254</v>
      </c>
      <c r="AO163" s="4">
        <f t="shared" si="67"/>
        <v>5</v>
      </c>
      <c r="AP163" s="4">
        <v>0.80154659127182082</v>
      </c>
      <c r="AQ163" s="4">
        <v>19</v>
      </c>
      <c r="AV163" s="4">
        <v>8</v>
      </c>
      <c r="AW163" s="4">
        <f t="shared" si="68"/>
        <v>5</v>
      </c>
      <c r="AX163" s="4">
        <v>0.80154659127182082</v>
      </c>
      <c r="AY163" s="4">
        <v>19</v>
      </c>
    </row>
    <row r="164" spans="2:53" ht="14.25" customHeight="1" x14ac:dyDescent="0.3">
      <c r="B164" s="4" t="s">
        <v>255</v>
      </c>
      <c r="C164" s="4"/>
      <c r="D164" s="4"/>
      <c r="E164" s="4"/>
      <c r="F164" s="4">
        <f t="shared" si="62"/>
        <v>6.25</v>
      </c>
      <c r="G164" s="4">
        <v>0.75176560751023358</v>
      </c>
      <c r="H164" s="4">
        <v>15</v>
      </c>
      <c r="J164" s="4" t="s">
        <v>255</v>
      </c>
      <c r="K164" s="4">
        <f t="shared" si="63"/>
        <v>6</v>
      </c>
      <c r="L164" s="4">
        <v>0.75176560751023358</v>
      </c>
      <c r="M164" s="4"/>
      <c r="N164" s="4"/>
      <c r="O164" s="4"/>
      <c r="P164" s="4">
        <v>15</v>
      </c>
      <c r="R164" s="4" t="s">
        <v>255</v>
      </c>
      <c r="S164" s="4">
        <f t="shared" si="64"/>
        <v>6.5</v>
      </c>
      <c r="T164" s="4">
        <v>0.75176560751023358</v>
      </c>
      <c r="U164" s="4">
        <v>15</v>
      </c>
      <c r="Z164" s="4" t="s">
        <v>255</v>
      </c>
      <c r="AA164" s="4">
        <f t="shared" si="65"/>
        <v>6</v>
      </c>
      <c r="AB164" s="4">
        <v>0.75176560751023358</v>
      </c>
      <c r="AC164" s="4">
        <v>15</v>
      </c>
      <c r="AF164" s="4" t="s">
        <v>255</v>
      </c>
      <c r="AG164" s="4">
        <f t="shared" si="66"/>
        <v>6</v>
      </c>
      <c r="AH164" s="4"/>
      <c r="AI164" s="4"/>
      <c r="AJ164" s="4"/>
      <c r="AK164" s="4">
        <v>0.75176560751023358</v>
      </c>
      <c r="AL164" s="4">
        <v>15</v>
      </c>
      <c r="AN164" s="4" t="s">
        <v>255</v>
      </c>
      <c r="AO164" s="4">
        <f t="shared" si="67"/>
        <v>6</v>
      </c>
      <c r="AP164" s="4">
        <v>0.75176560751023358</v>
      </c>
      <c r="AQ164" s="4">
        <v>15</v>
      </c>
      <c r="AV164" s="4">
        <v>9</v>
      </c>
      <c r="AW164" s="4">
        <f t="shared" si="68"/>
        <v>6.2</v>
      </c>
      <c r="AX164" s="4">
        <v>0.75176560751023358</v>
      </c>
      <c r="AY164" s="4">
        <v>15</v>
      </c>
    </row>
    <row r="165" spans="2:53" ht="14.25" customHeight="1" x14ac:dyDescent="0.3">
      <c r="B165" s="4" t="s">
        <v>256</v>
      </c>
      <c r="C165" s="4"/>
      <c r="D165" s="4"/>
      <c r="E165" s="4"/>
      <c r="F165" s="4">
        <f t="shared" si="62"/>
        <v>8.25</v>
      </c>
      <c r="G165" s="4">
        <v>0.70267762112263932</v>
      </c>
      <c r="H165" s="4">
        <v>17</v>
      </c>
      <c r="J165" s="4" t="s">
        <v>256</v>
      </c>
      <c r="K165" s="4">
        <f t="shared" si="63"/>
        <v>9.25</v>
      </c>
      <c r="L165" s="4">
        <v>0.70267762112263932</v>
      </c>
      <c r="M165" s="4"/>
      <c r="N165" s="4"/>
      <c r="O165" s="4"/>
      <c r="P165" s="4">
        <v>17</v>
      </c>
      <c r="R165" s="4" t="s">
        <v>256</v>
      </c>
      <c r="S165" s="4">
        <f t="shared" si="64"/>
        <v>8.75</v>
      </c>
      <c r="T165" s="4">
        <v>0.70267762112263932</v>
      </c>
      <c r="U165" s="4">
        <v>17</v>
      </c>
      <c r="Z165" s="4" t="s">
        <v>256</v>
      </c>
      <c r="AA165" s="4">
        <f t="shared" si="65"/>
        <v>9.5</v>
      </c>
      <c r="AB165" s="4">
        <v>0.70267762112263932</v>
      </c>
      <c r="AC165" s="4">
        <v>17</v>
      </c>
      <c r="AF165" s="4" t="s">
        <v>256</v>
      </c>
      <c r="AG165" s="4">
        <f t="shared" si="66"/>
        <v>8.1999999999999993</v>
      </c>
      <c r="AH165" s="4"/>
      <c r="AI165" s="4"/>
      <c r="AJ165" s="4"/>
      <c r="AK165" s="4">
        <v>0.70267762112263932</v>
      </c>
      <c r="AL165" s="4">
        <v>17</v>
      </c>
      <c r="AN165" s="4" t="s">
        <v>256</v>
      </c>
      <c r="AO165" s="4">
        <f t="shared" si="67"/>
        <v>8</v>
      </c>
      <c r="AP165" s="4">
        <v>0.70267762112263932</v>
      </c>
      <c r="AQ165" s="4">
        <v>17</v>
      </c>
      <c r="AV165" s="4">
        <v>10</v>
      </c>
      <c r="AW165" s="4">
        <f t="shared" si="68"/>
        <v>8.8000000000000007</v>
      </c>
      <c r="AX165" s="4">
        <v>0.70267762112263932</v>
      </c>
      <c r="AY165" s="4">
        <v>17</v>
      </c>
    </row>
    <row r="166" spans="2:53" ht="14.25" customHeight="1" x14ac:dyDescent="0.3">
      <c r="B166" s="4" t="s">
        <v>257</v>
      </c>
      <c r="C166" s="4"/>
      <c r="D166" s="4"/>
      <c r="E166" s="4"/>
      <c r="F166" s="4">
        <f t="shared" si="62"/>
        <v>10.5</v>
      </c>
      <c r="G166" s="4">
        <v>-0.85169148296274</v>
      </c>
      <c r="H166" s="4">
        <v>17</v>
      </c>
      <c r="J166" s="4" t="s">
        <v>257</v>
      </c>
      <c r="K166" s="4">
        <f t="shared" si="63"/>
        <v>7.25</v>
      </c>
      <c r="L166" s="4">
        <v>-0.85169148296274</v>
      </c>
      <c r="M166" s="4"/>
      <c r="N166" s="4"/>
      <c r="O166" s="4"/>
      <c r="P166" s="4">
        <v>17</v>
      </c>
      <c r="R166" s="4" t="s">
        <v>257</v>
      </c>
      <c r="S166" s="4">
        <f t="shared" si="64"/>
        <v>9.5</v>
      </c>
      <c r="T166" s="4">
        <v>-0.85169148296274</v>
      </c>
      <c r="U166" s="4">
        <v>17</v>
      </c>
      <c r="Z166" s="4" t="s">
        <v>257</v>
      </c>
      <c r="AA166" s="4">
        <f t="shared" si="65"/>
        <v>9.25</v>
      </c>
      <c r="AB166" s="4">
        <v>-0.85169148296274</v>
      </c>
      <c r="AC166" s="4">
        <v>17</v>
      </c>
      <c r="AF166" s="4" t="s">
        <v>257</v>
      </c>
      <c r="AG166" s="4">
        <f t="shared" si="66"/>
        <v>10</v>
      </c>
      <c r="AH166" s="4"/>
      <c r="AI166" s="4"/>
      <c r="AJ166" s="4"/>
      <c r="AK166" s="4">
        <v>-0.85169148296274</v>
      </c>
      <c r="AL166" s="4">
        <v>17</v>
      </c>
      <c r="AN166" s="4" t="s">
        <v>257</v>
      </c>
      <c r="AO166" s="4">
        <f t="shared" si="67"/>
        <v>13</v>
      </c>
      <c r="AP166" s="4">
        <v>-0.85169148296274</v>
      </c>
      <c r="AQ166" s="4">
        <v>17</v>
      </c>
      <c r="AV166" s="4">
        <v>11</v>
      </c>
      <c r="AW166" s="4">
        <f t="shared" si="68"/>
        <v>12.2</v>
      </c>
      <c r="AX166" s="4">
        <v>-0.85169148296274</v>
      </c>
      <c r="AY166" s="4">
        <v>17</v>
      </c>
    </row>
    <row r="167" spans="2:53" ht="14.25" customHeight="1" x14ac:dyDescent="0.3">
      <c r="B167" s="4" t="s">
        <v>258</v>
      </c>
      <c r="C167" s="4"/>
      <c r="D167" s="4"/>
      <c r="E167" s="4"/>
      <c r="F167" s="4">
        <f t="shared" si="62"/>
        <v>10</v>
      </c>
      <c r="G167" s="4">
        <v>-1.12017317951397</v>
      </c>
      <c r="H167" s="4">
        <v>16</v>
      </c>
      <c r="J167" s="4" t="s">
        <v>258</v>
      </c>
      <c r="K167" s="4">
        <f t="shared" si="63"/>
        <v>6.75</v>
      </c>
      <c r="L167" s="4">
        <v>-1.12017317951397</v>
      </c>
      <c r="M167" s="4"/>
      <c r="N167" s="4"/>
      <c r="O167" s="4"/>
      <c r="P167" s="4">
        <v>16</v>
      </c>
      <c r="R167" s="4" t="s">
        <v>258</v>
      </c>
      <c r="S167" s="4">
        <f t="shared" si="64"/>
        <v>7.75</v>
      </c>
      <c r="T167" s="4">
        <v>-1.12017317951397</v>
      </c>
      <c r="U167" s="4">
        <v>16</v>
      </c>
      <c r="Z167" s="4" t="s">
        <v>258</v>
      </c>
      <c r="AA167" s="4">
        <f t="shared" si="65"/>
        <v>9</v>
      </c>
      <c r="AB167" s="4">
        <v>-1.12017317951397</v>
      </c>
      <c r="AC167" s="4">
        <v>16</v>
      </c>
      <c r="AF167" s="4" t="s">
        <v>258</v>
      </c>
      <c r="AG167" s="4">
        <f t="shared" si="66"/>
        <v>9.8000000000000007</v>
      </c>
      <c r="AH167" s="4"/>
      <c r="AI167" s="4"/>
      <c r="AJ167" s="4"/>
      <c r="AK167" s="4">
        <v>-1.12017317951397</v>
      </c>
      <c r="AL167" s="4">
        <v>16</v>
      </c>
      <c r="AN167" s="4" t="s">
        <v>258</v>
      </c>
      <c r="AO167" s="4">
        <f t="shared" si="67"/>
        <v>11.4</v>
      </c>
      <c r="AP167" s="4">
        <v>-1.12017317951397</v>
      </c>
      <c r="AQ167" s="4">
        <v>16</v>
      </c>
      <c r="AV167" s="4">
        <v>12</v>
      </c>
      <c r="AW167" s="4">
        <f t="shared" si="68"/>
        <v>12.6</v>
      </c>
      <c r="AX167" s="4">
        <v>-1.12017317951397</v>
      </c>
      <c r="AY167" s="4">
        <v>16</v>
      </c>
    </row>
    <row r="168" spans="2:53" ht="14.25" customHeight="1" x14ac:dyDescent="0.3">
      <c r="B168" s="4" t="s">
        <v>259</v>
      </c>
      <c r="C168" s="4"/>
      <c r="D168" s="4"/>
      <c r="E168" s="4"/>
      <c r="F168" s="4">
        <f t="shared" si="62"/>
        <v>6.25</v>
      </c>
      <c r="G168" s="4">
        <v>-1.1154133211974251</v>
      </c>
      <c r="H168" s="4">
        <v>19</v>
      </c>
      <c r="J168" s="4" t="s">
        <v>259</v>
      </c>
      <c r="K168" s="4">
        <f t="shared" si="63"/>
        <v>4.25</v>
      </c>
      <c r="L168" s="4">
        <v>-1.1154133211974251</v>
      </c>
      <c r="M168" s="4"/>
      <c r="N168" s="4"/>
      <c r="O168" s="4"/>
      <c r="P168" s="4">
        <v>19</v>
      </c>
      <c r="R168" s="4" t="s">
        <v>259</v>
      </c>
      <c r="S168" s="4">
        <f t="shared" si="64"/>
        <v>5.25</v>
      </c>
      <c r="T168" s="4">
        <v>-1.1154133211974251</v>
      </c>
      <c r="U168" s="4">
        <v>19</v>
      </c>
      <c r="Z168" s="4" t="s">
        <v>259</v>
      </c>
      <c r="AA168" s="4">
        <f t="shared" si="65"/>
        <v>11.25</v>
      </c>
      <c r="AB168" s="4">
        <v>-1.1154133211974251</v>
      </c>
      <c r="AC168" s="4">
        <v>19</v>
      </c>
      <c r="AF168" s="4" t="s">
        <v>259</v>
      </c>
      <c r="AG168" s="4">
        <f t="shared" si="66"/>
        <v>5</v>
      </c>
      <c r="AH168" s="4"/>
      <c r="AI168" s="4"/>
      <c r="AJ168" s="4"/>
      <c r="AK168" s="4">
        <v>-1.1154133211974251</v>
      </c>
      <c r="AL168" s="4">
        <v>19</v>
      </c>
      <c r="AN168" s="4" t="s">
        <v>259</v>
      </c>
      <c r="AO168" s="4">
        <f t="shared" si="67"/>
        <v>7.6</v>
      </c>
      <c r="AP168" s="4">
        <v>-1.1154133211974251</v>
      </c>
      <c r="AQ168" s="4">
        <v>19</v>
      </c>
      <c r="AV168" s="4">
        <v>13</v>
      </c>
      <c r="AW168" s="4">
        <f t="shared" si="68"/>
        <v>9.4</v>
      </c>
      <c r="AX168" s="4">
        <v>-1.1154133211974251</v>
      </c>
      <c r="AY168" s="4">
        <v>19</v>
      </c>
    </row>
    <row r="169" spans="2:53" ht="14.25" customHeight="1" x14ac:dyDescent="0.3">
      <c r="B169" s="4" t="s">
        <v>260</v>
      </c>
      <c r="C169" s="4"/>
      <c r="D169" s="4"/>
      <c r="E169" s="4"/>
      <c r="F169" s="4">
        <f t="shared" si="62"/>
        <v>21.5</v>
      </c>
      <c r="G169" s="4">
        <v>-1.072806810743151</v>
      </c>
      <c r="H169" s="4">
        <v>19</v>
      </c>
      <c r="J169" s="4" t="s">
        <v>260</v>
      </c>
      <c r="K169" s="4">
        <f t="shared" si="63"/>
        <v>17.5</v>
      </c>
      <c r="L169" s="4">
        <v>-1.072806810743151</v>
      </c>
      <c r="M169" s="4"/>
      <c r="N169" s="4"/>
      <c r="O169" s="4"/>
      <c r="P169" s="4">
        <v>19</v>
      </c>
      <c r="R169" s="4" t="s">
        <v>260</v>
      </c>
      <c r="S169" s="4">
        <f t="shared" si="64"/>
        <v>18.5</v>
      </c>
      <c r="T169" s="4">
        <v>-1.072806810743151</v>
      </c>
      <c r="U169" s="4">
        <v>19</v>
      </c>
      <c r="Z169" s="4" t="s">
        <v>260</v>
      </c>
      <c r="AA169" s="4">
        <f t="shared" si="65"/>
        <v>21.25</v>
      </c>
      <c r="AB169" s="4">
        <v>-1.072806810743151</v>
      </c>
      <c r="AC169" s="4">
        <v>19</v>
      </c>
      <c r="AF169" s="4" t="s">
        <v>260</v>
      </c>
      <c r="AG169" s="4">
        <f t="shared" si="66"/>
        <v>25</v>
      </c>
      <c r="AH169" s="4"/>
      <c r="AI169" s="4"/>
      <c r="AJ169" s="4"/>
      <c r="AK169" s="4">
        <v>-1.072806810743151</v>
      </c>
      <c r="AL169" s="4">
        <v>19</v>
      </c>
      <c r="AN169" s="4" t="s">
        <v>260</v>
      </c>
      <c r="AO169" s="4">
        <f t="shared" si="67"/>
        <v>20.2</v>
      </c>
      <c r="AP169" s="4">
        <v>-1.072806810743151</v>
      </c>
      <c r="AQ169" s="4">
        <v>19</v>
      </c>
      <c r="AV169" s="4">
        <v>14</v>
      </c>
      <c r="AW169" s="4">
        <f t="shared" si="68"/>
        <v>24.8</v>
      </c>
      <c r="AX169" s="4">
        <v>-1.072806810743151</v>
      </c>
      <c r="AY169" s="4">
        <v>19</v>
      </c>
    </row>
    <row r="170" spans="2:53" ht="14.25" customHeight="1" x14ac:dyDescent="0.3">
      <c r="B170" s="4" t="s">
        <v>261</v>
      </c>
      <c r="C170" s="4"/>
      <c r="D170" s="4"/>
      <c r="E170" s="4"/>
      <c r="F170" s="4">
        <f t="shared" si="62"/>
        <v>11</v>
      </c>
      <c r="G170" s="4">
        <v>-0.99095987605964864</v>
      </c>
      <c r="H170" s="4">
        <v>31</v>
      </c>
      <c r="J170" s="4" t="s">
        <v>261</v>
      </c>
      <c r="K170" s="4">
        <f t="shared" si="63"/>
        <v>17.5</v>
      </c>
      <c r="L170" s="4">
        <v>-0.99095987605964864</v>
      </c>
      <c r="M170" s="4"/>
      <c r="N170" s="4"/>
      <c r="O170" s="4"/>
      <c r="P170" s="4">
        <v>31</v>
      </c>
      <c r="R170" s="4" t="s">
        <v>261</v>
      </c>
      <c r="S170" s="4">
        <f t="shared" si="64"/>
        <v>12.5</v>
      </c>
      <c r="T170" s="4">
        <v>-0.99095987605964864</v>
      </c>
      <c r="U170" s="4">
        <v>31</v>
      </c>
      <c r="Z170" s="4" t="s">
        <v>261</v>
      </c>
      <c r="AA170" s="4">
        <f t="shared" si="65"/>
        <v>15.5</v>
      </c>
      <c r="AB170" s="4">
        <v>-0.99095987605964864</v>
      </c>
      <c r="AC170" s="4">
        <v>31</v>
      </c>
      <c r="AF170" s="4" t="s">
        <v>261</v>
      </c>
      <c r="AG170" s="4">
        <f t="shared" si="66"/>
        <v>11.8</v>
      </c>
      <c r="AH170" s="4"/>
      <c r="AI170" s="4"/>
      <c r="AJ170" s="4"/>
      <c r="AK170" s="4">
        <v>-0.99095987605964864</v>
      </c>
      <c r="AL170" s="4">
        <v>31</v>
      </c>
      <c r="AN170" s="4" t="s">
        <v>261</v>
      </c>
      <c r="AO170" s="4">
        <f t="shared" si="67"/>
        <v>14.4</v>
      </c>
      <c r="AP170" s="4">
        <v>-0.99095987605964864</v>
      </c>
      <c r="AQ170" s="4">
        <v>31</v>
      </c>
      <c r="AV170" s="4">
        <v>15</v>
      </c>
      <c r="AW170" s="4">
        <f t="shared" si="68"/>
        <v>11.4</v>
      </c>
      <c r="AX170" s="4">
        <v>-0.99095987605964864</v>
      </c>
      <c r="AY170" s="4">
        <v>31</v>
      </c>
    </row>
    <row r="171" spans="2:53" ht="14.25" customHeight="1" x14ac:dyDescent="0.3">
      <c r="B171" s="4" t="s">
        <v>262</v>
      </c>
      <c r="C171" s="4"/>
      <c r="D171" s="4"/>
      <c r="E171" s="4"/>
      <c r="F171" s="4">
        <f t="shared" si="62"/>
        <v>9.5</v>
      </c>
      <c r="G171" s="4">
        <v>-1.679865001322572</v>
      </c>
      <c r="H171" s="4">
        <v>27</v>
      </c>
      <c r="J171" s="4" t="s">
        <v>262</v>
      </c>
      <c r="K171" s="4">
        <f t="shared" si="63"/>
        <v>8.25</v>
      </c>
      <c r="L171" s="4">
        <v>-1.679865001322572</v>
      </c>
      <c r="M171" s="4"/>
      <c r="N171" s="4"/>
      <c r="O171" s="4"/>
      <c r="P171" s="4">
        <v>27</v>
      </c>
      <c r="R171" s="4" t="s">
        <v>262</v>
      </c>
      <c r="S171" s="4">
        <f t="shared" si="64"/>
        <v>10.25</v>
      </c>
      <c r="T171" s="4">
        <v>-1.679865001322572</v>
      </c>
      <c r="U171" s="4">
        <v>27</v>
      </c>
      <c r="Z171" s="4" t="s">
        <v>262</v>
      </c>
      <c r="AA171" s="4">
        <f t="shared" si="65"/>
        <v>12.5</v>
      </c>
      <c r="AB171" s="4">
        <v>-1.679865001322572</v>
      </c>
      <c r="AC171" s="4">
        <v>27</v>
      </c>
      <c r="AF171" s="4" t="s">
        <v>262</v>
      </c>
      <c r="AG171" s="4">
        <f t="shared" si="66"/>
        <v>6.6</v>
      </c>
      <c r="AH171" s="4"/>
      <c r="AI171" s="4"/>
      <c r="AJ171" s="4"/>
      <c r="AK171" s="4">
        <v>-1.679865001322572</v>
      </c>
      <c r="AL171" s="4">
        <v>27</v>
      </c>
      <c r="AN171" s="4" t="s">
        <v>262</v>
      </c>
      <c r="AO171" s="4">
        <f t="shared" si="67"/>
        <v>9.4</v>
      </c>
      <c r="AP171" s="4">
        <v>-1.679865001322572</v>
      </c>
      <c r="AQ171" s="4">
        <v>27</v>
      </c>
      <c r="AV171" s="4">
        <v>16</v>
      </c>
      <c r="AW171" s="4">
        <f t="shared" si="68"/>
        <v>10.4</v>
      </c>
      <c r="AX171" s="4">
        <v>-1.679865001322572</v>
      </c>
      <c r="AY171" s="4">
        <v>27</v>
      </c>
    </row>
    <row r="172" spans="2:53" ht="14.25" customHeight="1" x14ac:dyDescent="0.3">
      <c r="B172" s="4" t="s">
        <v>263</v>
      </c>
      <c r="C172" s="4"/>
      <c r="D172" s="4"/>
      <c r="E172" s="4"/>
      <c r="F172" s="4">
        <f t="shared" si="62"/>
        <v>10.75</v>
      </c>
      <c r="G172" s="4">
        <v>-0.90834372881365233</v>
      </c>
      <c r="H172" s="4">
        <v>15</v>
      </c>
      <c r="J172" s="4" t="s">
        <v>263</v>
      </c>
      <c r="K172" s="4">
        <f t="shared" si="63"/>
        <v>8</v>
      </c>
      <c r="L172" s="4">
        <v>-0.90834372881365233</v>
      </c>
      <c r="M172" s="4"/>
      <c r="N172" s="4"/>
      <c r="O172" s="4"/>
      <c r="P172" s="4">
        <v>15</v>
      </c>
      <c r="R172" s="4" t="s">
        <v>263</v>
      </c>
      <c r="S172" s="4">
        <f t="shared" si="64"/>
        <v>9.25</v>
      </c>
      <c r="T172" s="4">
        <v>-0.90834372881365233</v>
      </c>
      <c r="U172" s="4">
        <v>15</v>
      </c>
      <c r="Z172" s="4" t="s">
        <v>263</v>
      </c>
      <c r="AA172" s="4">
        <f t="shared" si="65"/>
        <v>7</v>
      </c>
      <c r="AB172" s="4">
        <v>-0.90834372881365233</v>
      </c>
      <c r="AC172" s="4">
        <v>15</v>
      </c>
      <c r="AF172" s="4" t="s">
        <v>263</v>
      </c>
      <c r="AG172" s="4">
        <f t="shared" si="66"/>
        <v>6.8</v>
      </c>
      <c r="AH172" s="4"/>
      <c r="AI172" s="4"/>
      <c r="AJ172" s="4"/>
      <c r="AK172" s="4">
        <v>-0.90834372881365233</v>
      </c>
      <c r="AL172" s="4">
        <v>15</v>
      </c>
      <c r="AN172" s="4" t="s">
        <v>263</v>
      </c>
      <c r="AO172" s="4">
        <f t="shared" si="67"/>
        <v>11.8</v>
      </c>
      <c r="AP172" s="4">
        <v>-0.90834372881365233</v>
      </c>
      <c r="AQ172" s="4">
        <v>15</v>
      </c>
      <c r="AV172" s="4">
        <v>17</v>
      </c>
      <c r="AW172" s="4">
        <f t="shared" si="68"/>
        <v>11.4</v>
      </c>
      <c r="AX172" s="4">
        <v>-0.90834372881365233</v>
      </c>
      <c r="AY172" s="4">
        <v>15</v>
      </c>
    </row>
    <row r="173" spans="2:53" ht="14.25" customHeight="1" x14ac:dyDescent="0.3">
      <c r="B173" s="4" t="s">
        <v>264</v>
      </c>
      <c r="C173" s="4"/>
      <c r="D173" s="4"/>
      <c r="E173" s="4"/>
      <c r="F173" s="4">
        <f t="shared" si="62"/>
        <v>13</v>
      </c>
      <c r="G173" s="4">
        <v>-1.196962071035268</v>
      </c>
      <c r="H173" s="4">
        <v>19</v>
      </c>
      <c r="J173" s="4" t="s">
        <v>264</v>
      </c>
      <c r="K173" s="4">
        <f t="shared" si="63"/>
        <v>15</v>
      </c>
      <c r="L173" s="4">
        <v>-1.196962071035268</v>
      </c>
      <c r="M173" s="4"/>
      <c r="N173" s="4"/>
      <c r="O173" s="4"/>
      <c r="P173" s="4">
        <v>19</v>
      </c>
      <c r="R173" s="4" t="s">
        <v>264</v>
      </c>
      <c r="S173" s="4">
        <f t="shared" si="64"/>
        <v>13.25</v>
      </c>
      <c r="T173" s="4">
        <v>-1.196962071035268</v>
      </c>
      <c r="U173" s="4">
        <v>19</v>
      </c>
      <c r="Z173" s="4" t="s">
        <v>264</v>
      </c>
      <c r="AA173" s="4">
        <f t="shared" si="65"/>
        <v>12.25</v>
      </c>
      <c r="AB173" s="4">
        <v>-1.196962071035268</v>
      </c>
      <c r="AC173" s="4">
        <v>19</v>
      </c>
      <c r="AF173" s="4" t="s">
        <v>264</v>
      </c>
      <c r="AG173" s="4">
        <f t="shared" si="66"/>
        <v>12.8</v>
      </c>
      <c r="AH173" s="4"/>
      <c r="AI173" s="4"/>
      <c r="AJ173" s="4"/>
      <c r="AK173" s="4">
        <v>-1.196962071035268</v>
      </c>
      <c r="AL173" s="4">
        <v>19</v>
      </c>
      <c r="AN173" s="4" t="s">
        <v>264</v>
      </c>
      <c r="AO173" s="4">
        <f t="shared" si="67"/>
        <v>13</v>
      </c>
      <c r="AP173" s="4">
        <v>-1.196962071035268</v>
      </c>
      <c r="AQ173" s="4">
        <v>19</v>
      </c>
      <c r="AV173" s="4">
        <v>18</v>
      </c>
      <c r="AW173" s="4">
        <f t="shared" si="68"/>
        <v>12.4</v>
      </c>
      <c r="AX173" s="4">
        <v>-1.196962071035268</v>
      </c>
      <c r="AY173" s="4">
        <v>19</v>
      </c>
    </row>
    <row r="174" spans="2:53" ht="14.25" customHeight="1" x14ac:dyDescent="0.3">
      <c r="B174" s="4" t="s">
        <v>265</v>
      </c>
      <c r="C174" s="4"/>
      <c r="D174" s="4"/>
      <c r="E174" s="4"/>
      <c r="F174" s="4">
        <f t="shared" si="62"/>
        <v>9.5</v>
      </c>
      <c r="G174" s="4">
        <v>-1.2097705883740471</v>
      </c>
      <c r="H174" s="4">
        <v>15</v>
      </c>
      <c r="J174" s="4" t="s">
        <v>265</v>
      </c>
      <c r="K174" s="4">
        <f t="shared" si="63"/>
        <v>11</v>
      </c>
      <c r="L174" s="4">
        <v>-1.2097705883740471</v>
      </c>
      <c r="M174" s="4"/>
      <c r="N174" s="4"/>
      <c r="O174" s="4"/>
      <c r="P174" s="4">
        <v>15</v>
      </c>
      <c r="R174" s="4" t="s">
        <v>265</v>
      </c>
      <c r="S174" s="4">
        <f t="shared" si="64"/>
        <v>9.75</v>
      </c>
      <c r="T174" s="4">
        <v>-1.2097705883740471</v>
      </c>
      <c r="U174" s="4">
        <v>15</v>
      </c>
      <c r="Z174" s="4" t="s">
        <v>265</v>
      </c>
      <c r="AA174" s="4">
        <f t="shared" si="65"/>
        <v>10.25</v>
      </c>
      <c r="AB174" s="4">
        <v>-1.2097705883740471</v>
      </c>
      <c r="AC174" s="4">
        <v>15</v>
      </c>
      <c r="AF174" s="4" t="s">
        <v>265</v>
      </c>
      <c r="AG174" s="4">
        <f t="shared" si="66"/>
        <v>10</v>
      </c>
      <c r="AH174" s="4"/>
      <c r="AI174" s="4"/>
      <c r="AJ174" s="4"/>
      <c r="AK174" s="4">
        <v>-1.2097705883740471</v>
      </c>
      <c r="AL174" s="4">
        <v>15</v>
      </c>
      <c r="AN174" s="4" t="s">
        <v>265</v>
      </c>
      <c r="AO174" s="4">
        <f t="shared" si="67"/>
        <v>12.4</v>
      </c>
      <c r="AP174" s="4">
        <v>-1.2097705883740471</v>
      </c>
      <c r="AQ174" s="4">
        <v>15</v>
      </c>
      <c r="AV174" s="4">
        <v>19</v>
      </c>
      <c r="AW174" s="4">
        <f t="shared" si="68"/>
        <v>12.8</v>
      </c>
      <c r="AX174" s="4">
        <v>-1.2097705883740471</v>
      </c>
      <c r="AY174" s="4">
        <v>15</v>
      </c>
    </row>
    <row r="175" spans="2:53" ht="14.25" customHeight="1" x14ac:dyDescent="0.3">
      <c r="B175" s="4" t="s">
        <v>266</v>
      </c>
      <c r="C175" s="4"/>
      <c r="D175" s="4"/>
      <c r="E175" s="4"/>
      <c r="F175" s="4">
        <f t="shared" si="62"/>
        <v>21.25</v>
      </c>
      <c r="G175" s="4">
        <v>-0.88310324035056598</v>
      </c>
      <c r="H175" s="4">
        <v>15</v>
      </c>
      <c r="J175" s="4" t="s">
        <v>266</v>
      </c>
      <c r="K175" s="4">
        <f t="shared" si="63"/>
        <v>15.25</v>
      </c>
      <c r="L175" s="4">
        <v>-0.88310324035056598</v>
      </c>
      <c r="M175" s="4"/>
      <c r="N175" s="4"/>
      <c r="O175" s="4"/>
      <c r="P175" s="4">
        <v>15</v>
      </c>
      <c r="R175" s="4" t="s">
        <v>266</v>
      </c>
      <c r="S175" s="4">
        <f t="shared" si="64"/>
        <v>19.75</v>
      </c>
      <c r="T175" s="4">
        <v>-0.88310324035056598</v>
      </c>
      <c r="U175" s="4">
        <v>15</v>
      </c>
      <c r="Z175" s="4" t="s">
        <v>266</v>
      </c>
      <c r="AA175" s="4">
        <f t="shared" si="65"/>
        <v>21.25</v>
      </c>
      <c r="AB175" s="4">
        <v>-0.88310324035056598</v>
      </c>
      <c r="AC175" s="4">
        <v>15</v>
      </c>
      <c r="AF175" s="4" t="s">
        <v>266</v>
      </c>
      <c r="AG175" s="4">
        <f t="shared" si="66"/>
        <v>19.399999999999999</v>
      </c>
      <c r="AH175" s="4"/>
      <c r="AI175" s="4"/>
      <c r="AJ175" s="4"/>
      <c r="AK175" s="4">
        <v>-0.88310324035056598</v>
      </c>
      <c r="AL175" s="4">
        <v>15</v>
      </c>
      <c r="AN175" s="4" t="s">
        <v>266</v>
      </c>
      <c r="AO175" s="4">
        <f t="shared" si="67"/>
        <v>18</v>
      </c>
      <c r="AP175" s="4">
        <v>-0.88310324035056598</v>
      </c>
      <c r="AQ175" s="4">
        <v>15</v>
      </c>
      <c r="AV175" s="4">
        <v>20</v>
      </c>
      <c r="AW175" s="4">
        <f t="shared" si="68"/>
        <v>20.6</v>
      </c>
      <c r="AX175" s="4">
        <v>-0.88310324035056598</v>
      </c>
      <c r="AY175" s="4">
        <v>15</v>
      </c>
    </row>
    <row r="176" spans="2:53" ht="14.25" customHeight="1" x14ac:dyDescent="0.3">
      <c r="B176" s="4" t="s">
        <v>312</v>
      </c>
      <c r="C176" s="4"/>
      <c r="D176" s="4"/>
      <c r="E176" s="4"/>
      <c r="F176" s="4">
        <f t="shared" ref="F176:F177" si="70">AVERAGE(AG32,V82,L115,B147)</f>
        <v>23.130042948499284</v>
      </c>
      <c r="J176" s="4" t="s">
        <v>312</v>
      </c>
      <c r="K176" s="4">
        <f t="shared" ref="K176:K177" si="71">AVERAGE(AQ32,AG82,V115,L147)</f>
        <v>24.747528803693278</v>
      </c>
      <c r="R176" s="4" t="s">
        <v>312</v>
      </c>
      <c r="S176" s="4">
        <f t="shared" ref="S176:S177" si="72">AVERAGE(BA32,AQ82,AG115,V147)</f>
        <v>23.569811241679965</v>
      </c>
      <c r="Z176" s="4" t="s">
        <v>312</v>
      </c>
      <c r="AA176" s="4">
        <f t="shared" ref="AA176:AA177" si="73">AVERAGE(BK32,BA82,AQ115,AG147)</f>
        <v>10.351842997065329</v>
      </c>
      <c r="AF176" s="4" t="s">
        <v>312</v>
      </c>
      <c r="AG176" s="4">
        <f t="shared" ref="AG176:AG177" si="74">AVERAGE(B32,BU32,BK82,BA115,AQ147)</f>
        <v>24.799262791936911</v>
      </c>
      <c r="AN176" s="4" t="s">
        <v>312</v>
      </c>
      <c r="AO176" s="4">
        <f t="shared" ref="AO176:AO177" si="75">AVERAGE(L32,B82,BU82,BK115,BA147)</f>
        <v>20.716487173361408</v>
      </c>
      <c r="AV176" s="4" t="s">
        <v>312</v>
      </c>
      <c r="AW176" s="4">
        <f t="shared" ref="AW176:AW177" si="76">AVERAGE(V32,L82,B115,BU115,BK147)</f>
        <v>20.810038131686554</v>
      </c>
    </row>
    <row r="177" spans="2:49" ht="14.25" customHeight="1" x14ac:dyDescent="0.3">
      <c r="B177" s="4" t="s">
        <v>313</v>
      </c>
      <c r="C177" s="4"/>
      <c r="D177" s="4"/>
      <c r="E177" s="4"/>
      <c r="F177" s="4">
        <f t="shared" si="70"/>
        <v>9.25</v>
      </c>
      <c r="J177" s="4" t="s">
        <v>313</v>
      </c>
      <c r="K177" s="4">
        <f t="shared" si="71"/>
        <v>10.5</v>
      </c>
      <c r="R177" s="4" t="s">
        <v>313</v>
      </c>
      <c r="S177" s="4">
        <f t="shared" si="72"/>
        <v>9.5</v>
      </c>
      <c r="Z177" s="4" t="s">
        <v>313</v>
      </c>
      <c r="AA177" s="4">
        <f t="shared" si="73"/>
        <v>8</v>
      </c>
      <c r="AF177" s="4" t="s">
        <v>313</v>
      </c>
      <c r="AG177" s="4">
        <f t="shared" si="74"/>
        <v>10.6</v>
      </c>
      <c r="AN177" s="4" t="s">
        <v>313</v>
      </c>
      <c r="AO177" s="4">
        <f t="shared" si="75"/>
        <v>9.6</v>
      </c>
      <c r="AV177" s="4" t="s">
        <v>313</v>
      </c>
      <c r="AW177" s="4">
        <f t="shared" si="76"/>
        <v>11.4</v>
      </c>
    </row>
    <row r="178" spans="2:49" ht="14.25" customHeight="1" x14ac:dyDescent="0.3"/>
    <row r="179" spans="2:49" ht="14.25" customHeight="1" x14ac:dyDescent="0.3"/>
    <row r="180" spans="2:49" ht="14.25" customHeight="1" x14ac:dyDescent="0.3">
      <c r="J180" s="4" t="s">
        <v>314</v>
      </c>
      <c r="K180" s="4"/>
      <c r="L180" s="4">
        <f>SUM(F176,K176,S176,AA176,AG176,AO176,AW176)</f>
        <v>148.12501408792275</v>
      </c>
    </row>
    <row r="181" spans="2:49" ht="14.25" customHeight="1" x14ac:dyDescent="0.3">
      <c r="B181" s="3" t="s">
        <v>315</v>
      </c>
      <c r="F181" s="3">
        <v>60</v>
      </c>
      <c r="H181" s="3" t="s">
        <v>316</v>
      </c>
      <c r="J181" s="4" t="s">
        <v>317</v>
      </c>
      <c r="K181" s="4"/>
      <c r="L181" s="4">
        <f>L180*4</f>
        <v>592.500056351691</v>
      </c>
    </row>
    <row r="182" spans="2:49" ht="14.25" customHeight="1" x14ac:dyDescent="0.3">
      <c r="B182" s="3" t="s">
        <v>318</v>
      </c>
      <c r="J182" s="4" t="s">
        <v>319</v>
      </c>
      <c r="K182" s="4"/>
      <c r="L182" s="4">
        <f>AVERAGE(F177,K177,S177,AA177,AG177,AO177,AW177)</f>
        <v>9.8357142857142872</v>
      </c>
    </row>
    <row r="183" spans="2:49" ht="14.25" customHeight="1" x14ac:dyDescent="0.3">
      <c r="B183" s="3" t="s">
        <v>320</v>
      </c>
      <c r="J183" s="4" t="s">
        <v>321</v>
      </c>
      <c r="K183" s="4"/>
      <c r="L183" s="4">
        <f>L182*2</f>
        <v>19.671428571428574</v>
      </c>
    </row>
    <row r="184" spans="2:49" ht="14.25" customHeight="1" x14ac:dyDescent="0.3">
      <c r="B184" s="3" t="s">
        <v>322</v>
      </c>
    </row>
    <row r="185" spans="2:49" ht="14.25" customHeight="1" x14ac:dyDescent="0.3">
      <c r="B185" s="3" t="s">
        <v>323</v>
      </c>
    </row>
    <row r="186" spans="2:49" ht="14.25" customHeight="1" x14ac:dyDescent="0.3"/>
    <row r="187" spans="2:49" ht="14.25" customHeight="1" x14ac:dyDescent="0.3"/>
    <row r="188" spans="2:49" ht="14.25" customHeight="1" x14ac:dyDescent="0.3">
      <c r="B188" s="3" t="s">
        <v>324</v>
      </c>
    </row>
    <row r="189" spans="2:49" ht="14.25" customHeight="1" x14ac:dyDescent="0.3"/>
    <row r="190" spans="2:49" ht="14.25" customHeight="1" x14ac:dyDescent="0.3"/>
    <row r="191" spans="2:49" ht="14.25" customHeight="1" x14ac:dyDescent="0.3"/>
    <row r="192" spans="2:49"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V1000"/>
  <sheetViews>
    <sheetView topLeftCell="Q1" workbookViewId="0">
      <selection activeCell="V1" sqref="V1:V21"/>
    </sheetView>
  </sheetViews>
  <sheetFormatPr baseColWidth="10" defaultColWidth="14.44140625" defaultRowHeight="15" customHeight="1" x14ac:dyDescent="0.3"/>
  <cols>
    <col min="1" max="1" width="26.33203125" customWidth="1"/>
    <col min="2" max="4" width="10.6640625" customWidth="1"/>
    <col min="5" max="5" width="43.88671875" customWidth="1"/>
    <col min="6" max="6" width="31.88671875" customWidth="1"/>
    <col min="7" max="7" width="21.88671875" customWidth="1"/>
    <col min="8" max="8" width="10.6640625" customWidth="1"/>
    <col min="9" max="9" width="34.44140625" customWidth="1"/>
    <col min="10" max="10" width="10.6640625" customWidth="1"/>
    <col min="11" max="11" width="37.44140625" customWidth="1"/>
    <col min="12" max="15" width="10.6640625" customWidth="1"/>
    <col min="16" max="16" width="42.44140625" customWidth="1"/>
    <col min="17" max="17" width="18.6640625" customWidth="1"/>
    <col min="18" max="18" width="11.5546875" customWidth="1"/>
    <col min="19" max="19" width="10.6640625" customWidth="1"/>
    <col min="20" max="20" width="35" bestFit="1" customWidth="1"/>
    <col min="21" max="21" width="12.6640625" bestFit="1" customWidth="1"/>
    <col min="22" max="22" width="6.77734375" bestFit="1" customWidth="1"/>
    <col min="23" max="25" width="10.6640625" customWidth="1"/>
  </cols>
  <sheetData>
    <row r="1" spans="1:22" ht="14.25" customHeight="1" x14ac:dyDescent="0.3">
      <c r="A1" s="4" t="s">
        <v>232</v>
      </c>
      <c r="B1" s="4" t="s">
        <v>237</v>
      </c>
      <c r="C1" t="s">
        <v>398</v>
      </c>
      <c r="E1" s="1" t="s">
        <v>232</v>
      </c>
      <c r="F1" s="1" t="s">
        <v>325</v>
      </c>
      <c r="G1" s="1" t="s">
        <v>326</v>
      </c>
      <c r="I1" s="1" t="s">
        <v>232</v>
      </c>
      <c r="J1" s="1" t="s">
        <v>325</v>
      </c>
      <c r="K1" s="1" t="s">
        <v>326</v>
      </c>
      <c r="P1" s="4" t="s">
        <v>232</v>
      </c>
      <c r="Q1" s="1" t="s">
        <v>325</v>
      </c>
      <c r="R1" s="4" t="s">
        <v>237</v>
      </c>
      <c r="S1" s="44"/>
      <c r="T1" s="26" t="s">
        <v>232</v>
      </c>
      <c r="U1" s="26" t="s">
        <v>237</v>
      </c>
      <c r="V1" s="24" t="s">
        <v>398</v>
      </c>
    </row>
    <row r="2" spans="1:22" ht="14.25" customHeight="1" x14ac:dyDescent="0.3">
      <c r="A2" s="4" t="s">
        <v>247</v>
      </c>
      <c r="B2" s="4">
        <v>0.53747605471157822</v>
      </c>
      <c r="C2" t="s">
        <v>384</v>
      </c>
      <c r="E2" s="3" t="s">
        <v>247</v>
      </c>
      <c r="F2" s="3">
        <v>0</v>
      </c>
      <c r="G2" s="3" t="s">
        <v>327</v>
      </c>
      <c r="I2" s="3" t="s">
        <v>247</v>
      </c>
      <c r="J2" s="3">
        <v>5</v>
      </c>
      <c r="K2" s="3" t="s">
        <v>328</v>
      </c>
      <c r="L2" s="4">
        <v>0.53747605471157822</v>
      </c>
      <c r="M2" s="4">
        <v>5</v>
      </c>
      <c r="P2" s="4" t="s">
        <v>253</v>
      </c>
      <c r="Q2" s="3">
        <v>7</v>
      </c>
      <c r="R2" s="4">
        <v>1.1425292918330761</v>
      </c>
      <c r="T2" s="26" t="s">
        <v>253</v>
      </c>
      <c r="U2" s="26">
        <v>1.1425292918330761</v>
      </c>
      <c r="V2" s="24" t="s">
        <v>388</v>
      </c>
    </row>
    <row r="3" spans="1:22" ht="14.25" customHeight="1" x14ac:dyDescent="0.3">
      <c r="A3" s="4" t="s">
        <v>248</v>
      </c>
      <c r="B3" s="4">
        <v>0.62268266964537045</v>
      </c>
      <c r="C3" t="s">
        <v>385</v>
      </c>
      <c r="E3" s="3" t="s">
        <v>248</v>
      </c>
      <c r="F3" s="3">
        <v>1</v>
      </c>
      <c r="G3" s="3" t="s">
        <v>327</v>
      </c>
      <c r="I3" s="3" t="s">
        <v>248</v>
      </c>
      <c r="J3" s="3">
        <v>6</v>
      </c>
      <c r="K3" s="3" t="s">
        <v>328</v>
      </c>
      <c r="L3" s="4">
        <v>0.62268266964537045</v>
      </c>
      <c r="M3" s="4">
        <v>3</v>
      </c>
      <c r="P3" s="4" t="s">
        <v>254</v>
      </c>
      <c r="Q3" s="3">
        <v>8</v>
      </c>
      <c r="R3" s="4">
        <v>0.80154659127182082</v>
      </c>
      <c r="T3" s="26" t="s">
        <v>254</v>
      </c>
      <c r="U3" s="26">
        <v>0.80154659127182082</v>
      </c>
      <c r="V3" s="24" t="s">
        <v>386</v>
      </c>
    </row>
    <row r="4" spans="1:22" ht="14.25" customHeight="1" x14ac:dyDescent="0.3">
      <c r="A4" s="4" t="s">
        <v>249</v>
      </c>
      <c r="B4" s="4">
        <v>0.52426836588405112</v>
      </c>
      <c r="C4" t="s">
        <v>386</v>
      </c>
      <c r="E4" s="3" t="s">
        <v>249</v>
      </c>
      <c r="F4" s="3">
        <v>5</v>
      </c>
      <c r="G4" s="3" t="s">
        <v>327</v>
      </c>
      <c r="I4" s="3" t="s">
        <v>249</v>
      </c>
      <c r="J4" s="3">
        <v>6</v>
      </c>
      <c r="K4" s="3" t="s">
        <v>328</v>
      </c>
      <c r="L4" s="4">
        <v>0.52426836588405112</v>
      </c>
      <c r="M4" s="4">
        <v>0</v>
      </c>
      <c r="P4" s="4" t="s">
        <v>255</v>
      </c>
      <c r="Q4" s="3">
        <v>6</v>
      </c>
      <c r="R4" s="4">
        <v>0.75176560751023358</v>
      </c>
      <c r="T4" s="26" t="s">
        <v>255</v>
      </c>
      <c r="U4" s="26">
        <v>0.75176560751023358</v>
      </c>
      <c r="V4" s="24" t="s">
        <v>384</v>
      </c>
    </row>
    <row r="5" spans="1:22" ht="14.25" customHeight="1" x14ac:dyDescent="0.3">
      <c r="A5" s="4" t="s">
        <v>250</v>
      </c>
      <c r="B5" s="4">
        <v>0.67691586229508371</v>
      </c>
      <c r="C5" t="s">
        <v>387</v>
      </c>
      <c r="E5" s="3" t="s">
        <v>250</v>
      </c>
      <c r="F5" s="3">
        <v>7</v>
      </c>
      <c r="G5" s="3" t="s">
        <v>327</v>
      </c>
      <c r="I5" s="3" t="s">
        <v>250</v>
      </c>
      <c r="J5" s="3">
        <v>5</v>
      </c>
      <c r="K5" s="3" t="s">
        <v>328</v>
      </c>
      <c r="L5" s="4">
        <v>0.67691586229508371</v>
      </c>
      <c r="M5" s="4">
        <v>2</v>
      </c>
      <c r="P5" s="4" t="s">
        <v>256</v>
      </c>
      <c r="Q5" s="3">
        <v>11</v>
      </c>
      <c r="R5" s="4">
        <v>0.70267762112263932</v>
      </c>
      <c r="T5" s="26" t="s">
        <v>256</v>
      </c>
      <c r="U5" s="26">
        <v>0.70267762112263932</v>
      </c>
      <c r="V5" s="24" t="s">
        <v>389</v>
      </c>
    </row>
    <row r="6" spans="1:22" ht="14.25" customHeight="1" x14ac:dyDescent="0.3">
      <c r="A6" s="4" t="s">
        <v>251</v>
      </c>
      <c r="B6" s="4">
        <v>0.655473679459604</v>
      </c>
      <c r="C6" t="s">
        <v>384</v>
      </c>
      <c r="E6" s="3" t="s">
        <v>251</v>
      </c>
      <c r="F6" s="3">
        <v>0</v>
      </c>
      <c r="G6" s="3" t="s">
        <v>327</v>
      </c>
      <c r="I6" s="3" t="s">
        <v>251</v>
      </c>
      <c r="J6" s="3">
        <v>5</v>
      </c>
      <c r="K6" s="3" t="s">
        <v>328</v>
      </c>
      <c r="L6" s="4">
        <v>0.655473679459604</v>
      </c>
      <c r="M6" s="4">
        <v>0</v>
      </c>
      <c r="P6" s="4" t="s">
        <v>252</v>
      </c>
      <c r="Q6" s="3">
        <v>6</v>
      </c>
      <c r="R6" s="4">
        <v>0.70256358269933272</v>
      </c>
      <c r="T6" s="26" t="s">
        <v>252</v>
      </c>
      <c r="U6" s="26">
        <v>0.70256358269933272</v>
      </c>
      <c r="V6" s="24" t="s">
        <v>384</v>
      </c>
    </row>
    <row r="7" spans="1:22" ht="14.25" customHeight="1" x14ac:dyDescent="0.3">
      <c r="A7" s="4" t="s">
        <v>252</v>
      </c>
      <c r="B7" s="4">
        <v>0.70256358269933272</v>
      </c>
      <c r="C7" t="s">
        <v>384</v>
      </c>
      <c r="E7" s="3" t="s">
        <v>252</v>
      </c>
      <c r="F7" s="3">
        <v>0</v>
      </c>
      <c r="G7" s="3" t="s">
        <v>327</v>
      </c>
      <c r="I7" s="3" t="s">
        <v>252</v>
      </c>
      <c r="J7" s="3">
        <v>5</v>
      </c>
      <c r="K7" s="3" t="s">
        <v>328</v>
      </c>
      <c r="L7" s="4">
        <v>0.70256358269933272</v>
      </c>
      <c r="M7" s="4">
        <v>7</v>
      </c>
      <c r="P7" s="4" t="s">
        <v>250</v>
      </c>
      <c r="Q7" s="3">
        <v>6</v>
      </c>
      <c r="R7" s="4">
        <v>0.67691586229508371</v>
      </c>
      <c r="T7" s="26" t="s">
        <v>250</v>
      </c>
      <c r="U7" s="26">
        <v>0.67691586229508371</v>
      </c>
      <c r="V7" s="24" t="s">
        <v>387</v>
      </c>
    </row>
    <row r="8" spans="1:22" ht="14.25" customHeight="1" x14ac:dyDescent="0.3">
      <c r="A8" s="4" t="s">
        <v>253</v>
      </c>
      <c r="B8" s="4">
        <v>1.1425292918330761</v>
      </c>
      <c r="C8" t="s">
        <v>388</v>
      </c>
      <c r="E8" s="3" t="s">
        <v>253</v>
      </c>
      <c r="F8" s="3">
        <v>4</v>
      </c>
      <c r="G8" s="3" t="s">
        <v>327</v>
      </c>
      <c r="I8" s="3" t="s">
        <v>253</v>
      </c>
      <c r="J8" s="3">
        <v>5</v>
      </c>
      <c r="K8" s="3" t="s">
        <v>328</v>
      </c>
      <c r="L8" s="4">
        <v>1.1425292918330761</v>
      </c>
      <c r="M8" s="4">
        <v>0</v>
      </c>
      <c r="P8" s="4" t="s">
        <v>251</v>
      </c>
      <c r="Q8" s="3">
        <v>6</v>
      </c>
      <c r="R8" s="4">
        <v>0.655473679459604</v>
      </c>
      <c r="T8" s="26" t="s">
        <v>251</v>
      </c>
      <c r="U8" s="26">
        <v>0.655473679459604</v>
      </c>
      <c r="V8" s="24" t="s">
        <v>384</v>
      </c>
    </row>
    <row r="9" spans="1:22" ht="14.25" customHeight="1" x14ac:dyDescent="0.3">
      <c r="A9" s="4" t="s">
        <v>254</v>
      </c>
      <c r="B9" s="4">
        <v>0.80154659127182082</v>
      </c>
      <c r="C9" t="s">
        <v>386</v>
      </c>
      <c r="E9" s="3" t="s">
        <v>254</v>
      </c>
      <c r="F9" s="3">
        <v>4</v>
      </c>
      <c r="G9" s="3" t="s">
        <v>327</v>
      </c>
      <c r="I9" s="3" t="s">
        <v>254</v>
      </c>
      <c r="J9" s="3">
        <v>5</v>
      </c>
      <c r="K9" s="3" t="s">
        <v>328</v>
      </c>
      <c r="L9" s="4">
        <v>0.80154659127182082</v>
      </c>
      <c r="M9" s="4">
        <v>0</v>
      </c>
      <c r="P9" s="4" t="s">
        <v>248</v>
      </c>
      <c r="Q9" s="3">
        <v>5</v>
      </c>
      <c r="R9" s="4">
        <v>0.62268266964537045</v>
      </c>
      <c r="T9" s="26" t="s">
        <v>248</v>
      </c>
      <c r="U9" s="26">
        <v>0.62268266964537045</v>
      </c>
      <c r="V9" s="24" t="s">
        <v>385</v>
      </c>
    </row>
    <row r="10" spans="1:22" ht="14.25" customHeight="1" x14ac:dyDescent="0.3">
      <c r="A10" s="4" t="s">
        <v>255</v>
      </c>
      <c r="B10" s="4">
        <v>0.75176560751023358</v>
      </c>
      <c r="C10" t="s">
        <v>384</v>
      </c>
      <c r="E10" s="3" t="s">
        <v>255</v>
      </c>
      <c r="F10" s="3">
        <v>2</v>
      </c>
      <c r="G10" s="3" t="s">
        <v>327</v>
      </c>
      <c r="I10" s="3" t="s">
        <v>255</v>
      </c>
      <c r="J10" s="3">
        <v>5</v>
      </c>
      <c r="K10" s="3" t="s">
        <v>328</v>
      </c>
      <c r="L10" s="4">
        <v>0.75176560751023358</v>
      </c>
      <c r="M10" s="4">
        <v>0</v>
      </c>
      <c r="P10" s="4" t="s">
        <v>247</v>
      </c>
      <c r="Q10" s="3">
        <v>6</v>
      </c>
      <c r="R10" s="4">
        <v>0.53747605471157822</v>
      </c>
      <c r="T10" s="26" t="s">
        <v>247</v>
      </c>
      <c r="U10" s="26">
        <v>0.53747605471157822</v>
      </c>
      <c r="V10" s="24" t="s">
        <v>384</v>
      </c>
    </row>
    <row r="11" spans="1:22" ht="14.25" customHeight="1" x14ac:dyDescent="0.3">
      <c r="A11" s="4" t="s">
        <v>256</v>
      </c>
      <c r="B11" s="4">
        <v>0.70267762112263932</v>
      </c>
      <c r="C11" t="s">
        <v>389</v>
      </c>
      <c r="E11" s="3" t="s">
        <v>256</v>
      </c>
      <c r="F11" s="3">
        <v>1</v>
      </c>
      <c r="G11" s="3" t="s">
        <v>327</v>
      </c>
      <c r="I11" s="3" t="s">
        <v>256</v>
      </c>
      <c r="J11" s="3">
        <v>5</v>
      </c>
      <c r="K11" s="3" t="s">
        <v>328</v>
      </c>
      <c r="L11" s="4">
        <v>0.70267762112263932</v>
      </c>
      <c r="M11" s="4">
        <v>6</v>
      </c>
      <c r="P11" s="4" t="s">
        <v>249</v>
      </c>
      <c r="Q11" s="3">
        <v>8</v>
      </c>
      <c r="R11" s="4">
        <v>0.52426836588405112</v>
      </c>
      <c r="T11" s="26" t="s">
        <v>249</v>
      </c>
      <c r="U11" s="26">
        <v>0.52426836588405112</v>
      </c>
      <c r="V11" s="24" t="s">
        <v>386</v>
      </c>
    </row>
    <row r="12" spans="1:22" ht="14.25" customHeight="1" x14ac:dyDescent="0.3">
      <c r="A12" s="4" t="s">
        <v>257</v>
      </c>
      <c r="B12" s="4">
        <v>-0.85169148296274</v>
      </c>
      <c r="C12" t="s">
        <v>390</v>
      </c>
      <c r="E12" s="3" t="s">
        <v>257</v>
      </c>
      <c r="F12" s="3">
        <v>6</v>
      </c>
      <c r="G12" s="3" t="s">
        <v>327</v>
      </c>
      <c r="I12" s="3" t="s">
        <v>257</v>
      </c>
      <c r="J12" s="3">
        <v>13</v>
      </c>
      <c r="K12" s="3" t="s">
        <v>328</v>
      </c>
      <c r="L12" s="4">
        <v>-0.85169148296274</v>
      </c>
      <c r="M12" s="4">
        <v>7</v>
      </c>
      <c r="P12" s="4" t="s">
        <v>257</v>
      </c>
      <c r="Q12" s="3">
        <v>10</v>
      </c>
      <c r="R12" s="4">
        <v>-0.85169148296274</v>
      </c>
      <c r="T12" s="26" t="s">
        <v>257</v>
      </c>
      <c r="U12" s="26">
        <v>-0.85169148296274</v>
      </c>
      <c r="V12" s="24" t="s">
        <v>390</v>
      </c>
    </row>
    <row r="13" spans="1:22" ht="14.25" customHeight="1" x14ac:dyDescent="0.3">
      <c r="A13" s="4" t="s">
        <v>258</v>
      </c>
      <c r="B13" s="4">
        <v>-1.12017317951397</v>
      </c>
      <c r="C13" t="s">
        <v>391</v>
      </c>
      <c r="E13" s="3" t="s">
        <v>258</v>
      </c>
      <c r="F13" s="3">
        <v>14</v>
      </c>
      <c r="G13" s="3" t="s">
        <v>327</v>
      </c>
      <c r="I13" s="3" t="s">
        <v>258</v>
      </c>
      <c r="J13" s="3">
        <v>12</v>
      </c>
      <c r="K13" s="3" t="s">
        <v>328</v>
      </c>
      <c r="L13" s="4">
        <v>-1.12017317951397</v>
      </c>
      <c r="M13" s="4">
        <v>14</v>
      </c>
      <c r="P13" s="4" t="s">
        <v>266</v>
      </c>
      <c r="Q13" s="3">
        <v>13</v>
      </c>
      <c r="R13" s="4">
        <v>-0.88310324035056598</v>
      </c>
      <c r="T13" s="26" t="s">
        <v>266</v>
      </c>
      <c r="U13" s="26">
        <v>-0.88310324035056598</v>
      </c>
      <c r="V13" s="24" t="s">
        <v>396</v>
      </c>
    </row>
    <row r="14" spans="1:22" ht="14.25" customHeight="1" x14ac:dyDescent="0.3">
      <c r="A14" s="4" t="s">
        <v>259</v>
      </c>
      <c r="B14" s="4">
        <v>-1.1154133211974251</v>
      </c>
      <c r="C14" t="s">
        <v>392</v>
      </c>
      <c r="E14" s="3" t="s">
        <v>259</v>
      </c>
      <c r="F14" s="3">
        <v>16</v>
      </c>
      <c r="G14" s="3" t="s">
        <v>327</v>
      </c>
      <c r="I14" s="3" t="s">
        <v>259</v>
      </c>
      <c r="J14" s="3">
        <v>15</v>
      </c>
      <c r="K14" s="3" t="s">
        <v>328</v>
      </c>
      <c r="L14" s="4">
        <v>-1.1154133211974251</v>
      </c>
      <c r="M14" s="4">
        <v>12</v>
      </c>
      <c r="P14" s="4" t="s">
        <v>263</v>
      </c>
      <c r="Q14" s="3">
        <v>6</v>
      </c>
      <c r="R14" s="4">
        <v>-0.90834372881365233</v>
      </c>
      <c r="T14" s="26" t="s">
        <v>263</v>
      </c>
      <c r="U14" s="26">
        <v>-0.90834372881365233</v>
      </c>
      <c r="V14" s="24" t="s">
        <v>395</v>
      </c>
    </row>
    <row r="15" spans="1:22" ht="14.25" customHeight="1" x14ac:dyDescent="0.3">
      <c r="A15" s="4" t="s">
        <v>260</v>
      </c>
      <c r="B15" s="4">
        <v>-1.072806810743151</v>
      </c>
      <c r="C15" t="s">
        <v>392</v>
      </c>
      <c r="E15" s="3" t="s">
        <v>260</v>
      </c>
      <c r="F15" s="3">
        <v>18</v>
      </c>
      <c r="G15" s="3" t="s">
        <v>327</v>
      </c>
      <c r="I15" s="3" t="s">
        <v>260</v>
      </c>
      <c r="J15" s="3">
        <v>15</v>
      </c>
      <c r="K15" s="3" t="s">
        <v>328</v>
      </c>
      <c r="L15" s="4">
        <v>-1.072806810743151</v>
      </c>
      <c r="M15" s="4">
        <v>30</v>
      </c>
      <c r="P15" s="4" t="s">
        <v>261</v>
      </c>
      <c r="Q15" s="3">
        <v>27</v>
      </c>
      <c r="R15" s="4">
        <v>-0.99095987605964864</v>
      </c>
      <c r="T15" s="26" t="s">
        <v>261</v>
      </c>
      <c r="U15" s="26">
        <v>-0.99095987605964864</v>
      </c>
      <c r="V15" s="24" t="s">
        <v>393</v>
      </c>
    </row>
    <row r="16" spans="1:22" ht="14.25" customHeight="1" x14ac:dyDescent="0.3">
      <c r="A16" s="4" t="s">
        <v>261</v>
      </c>
      <c r="B16" s="4">
        <v>-0.99095987605964864</v>
      </c>
      <c r="C16" t="s">
        <v>393</v>
      </c>
      <c r="E16" s="3" t="s">
        <v>261</v>
      </c>
      <c r="F16" s="3">
        <v>30</v>
      </c>
      <c r="G16" s="3" t="s">
        <v>327</v>
      </c>
      <c r="I16" s="3" t="s">
        <v>261</v>
      </c>
      <c r="J16" s="3">
        <v>24</v>
      </c>
      <c r="K16" s="3" t="s">
        <v>328</v>
      </c>
      <c r="L16" s="4">
        <v>-0.99095987605964864</v>
      </c>
      <c r="M16" s="4">
        <v>15</v>
      </c>
      <c r="P16" s="4" t="s">
        <v>260</v>
      </c>
      <c r="Q16" s="3">
        <v>16</v>
      </c>
      <c r="R16" s="4">
        <v>-1.072806810743151</v>
      </c>
      <c r="T16" s="26" t="s">
        <v>260</v>
      </c>
      <c r="U16" s="26">
        <v>-1.072806810743151</v>
      </c>
      <c r="V16" s="24" t="s">
        <v>392</v>
      </c>
    </row>
    <row r="17" spans="1:22" ht="14.25" customHeight="1" x14ac:dyDescent="0.3">
      <c r="A17" s="4" t="s">
        <v>262</v>
      </c>
      <c r="B17" s="4">
        <v>-1.679865001322572</v>
      </c>
      <c r="C17" t="s">
        <v>394</v>
      </c>
      <c r="E17" s="3" t="s">
        <v>262</v>
      </c>
      <c r="F17" s="3">
        <v>25</v>
      </c>
      <c r="G17" s="3" t="s">
        <v>327</v>
      </c>
      <c r="I17" s="3" t="s">
        <v>262</v>
      </c>
      <c r="J17" s="3">
        <v>22</v>
      </c>
      <c r="K17" s="3" t="s">
        <v>328</v>
      </c>
      <c r="L17" s="4">
        <v>-1.679865001322572</v>
      </c>
      <c r="M17" s="4">
        <v>14</v>
      </c>
      <c r="P17" s="4" t="s">
        <v>259</v>
      </c>
      <c r="Q17" s="3">
        <v>9</v>
      </c>
      <c r="R17" s="4">
        <v>-1.1154133211974251</v>
      </c>
      <c r="T17" s="26" t="s">
        <v>259</v>
      </c>
      <c r="U17" s="26">
        <v>-1.1154133211974251</v>
      </c>
      <c r="V17" s="24" t="s">
        <v>392</v>
      </c>
    </row>
    <row r="18" spans="1:22" ht="14.25" customHeight="1" x14ac:dyDescent="0.3">
      <c r="A18" s="4" t="s">
        <v>263</v>
      </c>
      <c r="B18" s="4">
        <v>-0.90834372881365233</v>
      </c>
      <c r="C18" t="s">
        <v>395</v>
      </c>
      <c r="E18" s="3" t="s">
        <v>263</v>
      </c>
      <c r="F18" s="3">
        <v>11</v>
      </c>
      <c r="G18" s="3" t="s">
        <v>327</v>
      </c>
      <c r="I18" s="3" t="s">
        <v>263</v>
      </c>
      <c r="J18" s="3">
        <v>11</v>
      </c>
      <c r="K18" s="3" t="s">
        <v>328</v>
      </c>
      <c r="L18" s="4">
        <v>-0.90834372881365233</v>
      </c>
      <c r="M18" s="4">
        <v>13</v>
      </c>
      <c r="P18" s="4" t="s">
        <v>258</v>
      </c>
      <c r="Q18" s="3">
        <v>3</v>
      </c>
      <c r="R18" s="4">
        <v>-1.12017317951397</v>
      </c>
      <c r="T18" s="26" t="s">
        <v>258</v>
      </c>
      <c r="U18" s="26">
        <v>-1.12017317951397</v>
      </c>
      <c r="V18" s="24" t="s">
        <v>391</v>
      </c>
    </row>
    <row r="19" spans="1:22" ht="14.25" customHeight="1" x14ac:dyDescent="0.3">
      <c r="A19" s="4" t="s">
        <v>264</v>
      </c>
      <c r="B19" s="4">
        <v>-1.196962071035268</v>
      </c>
      <c r="C19" t="s">
        <v>392</v>
      </c>
      <c r="E19" s="3" t="s">
        <v>264</v>
      </c>
      <c r="F19" s="3">
        <v>12</v>
      </c>
      <c r="G19" s="3" t="s">
        <v>327</v>
      </c>
      <c r="I19" s="3" t="s">
        <v>264</v>
      </c>
      <c r="J19" s="3">
        <v>15</v>
      </c>
      <c r="K19" s="3" t="s">
        <v>328</v>
      </c>
      <c r="L19" s="4">
        <v>-1.196962071035268</v>
      </c>
      <c r="M19" s="4">
        <v>12</v>
      </c>
      <c r="P19" s="4" t="s">
        <v>264</v>
      </c>
      <c r="Q19" s="3">
        <v>11</v>
      </c>
      <c r="R19" s="4">
        <v>-1.196962071035268</v>
      </c>
      <c r="T19" s="26" t="s">
        <v>264</v>
      </c>
      <c r="U19" s="26">
        <v>-1.196962071035268</v>
      </c>
      <c r="V19" s="24" t="s">
        <v>392</v>
      </c>
    </row>
    <row r="20" spans="1:22" ht="14.25" customHeight="1" x14ac:dyDescent="0.3">
      <c r="A20" s="4" t="s">
        <v>265</v>
      </c>
      <c r="B20" s="4">
        <v>-1.2097705883740471</v>
      </c>
      <c r="C20" t="s">
        <v>396</v>
      </c>
      <c r="E20" s="3" t="s">
        <v>265</v>
      </c>
      <c r="F20" s="3">
        <v>8</v>
      </c>
      <c r="G20" s="3" t="s">
        <v>327</v>
      </c>
      <c r="I20" s="3" t="s">
        <v>265</v>
      </c>
      <c r="J20" s="3">
        <v>12</v>
      </c>
      <c r="K20" s="3" t="s">
        <v>328</v>
      </c>
      <c r="L20" s="4">
        <v>-1.2097705883740471</v>
      </c>
      <c r="M20" s="4">
        <v>6</v>
      </c>
      <c r="P20" s="4" t="s">
        <v>265</v>
      </c>
      <c r="Q20" s="3">
        <v>13</v>
      </c>
      <c r="R20" s="4">
        <v>-1.2097705883740471</v>
      </c>
      <c r="T20" s="26" t="s">
        <v>265</v>
      </c>
      <c r="U20" s="26">
        <v>-1.2097705883740471</v>
      </c>
      <c r="V20" s="24" t="s">
        <v>396</v>
      </c>
    </row>
    <row r="21" spans="1:22" ht="14.25" customHeight="1" x14ac:dyDescent="0.3">
      <c r="A21" s="4" t="s">
        <v>266</v>
      </c>
      <c r="B21" s="4">
        <v>-0.88310324035056598</v>
      </c>
      <c r="C21" t="s">
        <v>396</v>
      </c>
      <c r="E21" s="3" t="s">
        <v>266</v>
      </c>
      <c r="F21" s="3">
        <v>13</v>
      </c>
      <c r="G21" s="3" t="s">
        <v>327</v>
      </c>
      <c r="I21" s="3" t="s">
        <v>266</v>
      </c>
      <c r="J21" s="3">
        <v>12</v>
      </c>
      <c r="K21" s="3" t="s">
        <v>328</v>
      </c>
      <c r="L21" s="4">
        <v>-0.88310324035056598</v>
      </c>
      <c r="M21" s="4">
        <v>25</v>
      </c>
      <c r="P21" s="4" t="s">
        <v>262</v>
      </c>
      <c r="Q21" s="3">
        <v>19</v>
      </c>
      <c r="R21" s="4">
        <v>-1.679865001322572</v>
      </c>
      <c r="T21" s="26" t="s">
        <v>262</v>
      </c>
      <c r="U21" s="26">
        <v>-1.679865001322572</v>
      </c>
      <c r="V21" s="24" t="s">
        <v>394</v>
      </c>
    </row>
    <row r="22" spans="1:22" ht="14.25" customHeight="1" x14ac:dyDescent="0.3">
      <c r="A22" s="4" t="s">
        <v>267</v>
      </c>
      <c r="T22" s="41"/>
      <c r="U22" s="42"/>
      <c r="V22" s="42"/>
    </row>
    <row r="23" spans="1:22" ht="14.25" customHeight="1" x14ac:dyDescent="0.3">
      <c r="A23" s="4" t="s">
        <v>268</v>
      </c>
      <c r="C23" s="40"/>
      <c r="D23" s="40"/>
      <c r="E23" s="37"/>
      <c r="T23" s="41"/>
      <c r="U23" s="42"/>
      <c r="V23" s="43"/>
    </row>
    <row r="24" spans="1:22" ht="14.25" customHeight="1" x14ac:dyDescent="0.3"/>
    <row r="25" spans="1:22" ht="14.25" customHeight="1" x14ac:dyDescent="0.3">
      <c r="C25" s="3"/>
      <c r="D25" s="3"/>
      <c r="E25" t="s">
        <v>364</v>
      </c>
      <c r="F25" s="38" t="str">
        <f>MID(E25, FIND(",",E25)+2,LEN(E25))</f>
        <v>5.533385495081708</v>
      </c>
      <c r="G25" t="str">
        <f>MID(E25, 1, FIND(",",E25)-1)</f>
        <v>10.004090559629871</v>
      </c>
      <c r="H25" t="e">
        <f>MID(F25,1, FIND(",",F25)-1)</f>
        <v>#VALUE!</v>
      </c>
      <c r="I25" t="e">
        <f>MID(G25,1, FIND(",",G25)-1)</f>
        <v>#VALUE!</v>
      </c>
      <c r="K25" s="39" t="s">
        <v>397</v>
      </c>
    </row>
    <row r="26" spans="1:22" ht="14.25" customHeight="1" x14ac:dyDescent="0.3">
      <c r="E26" t="s">
        <v>365</v>
      </c>
      <c r="F26" s="38" t="str">
        <f t="shared" ref="F26:F44" si="0">MID(E26, FIND(",",E26)+2,LEN(E26))</f>
        <v>4.987276455643605</v>
      </c>
      <c r="G26" t="str">
        <f t="shared" ref="G26:G44" si="1">MID(E26, 1, FIND(",",E26)-1)</f>
        <v>10.635406214001765</v>
      </c>
      <c r="K26" t="s">
        <v>384</v>
      </c>
    </row>
    <row r="27" spans="1:22" ht="14.25" customHeight="1" x14ac:dyDescent="0.3">
      <c r="E27" t="s">
        <v>366</v>
      </c>
      <c r="F27" s="38" t="str">
        <f t="shared" si="0"/>
        <v>7.089509224319054</v>
      </c>
      <c r="G27" t="str">
        <f t="shared" si="1"/>
        <v>12.434759141564998</v>
      </c>
      <c r="K27" t="s">
        <v>385</v>
      </c>
    </row>
    <row r="28" spans="1:22" ht="14.25" customHeight="1" x14ac:dyDescent="0.3">
      <c r="E28" t="s">
        <v>367</v>
      </c>
      <c r="F28" s="38" t="str">
        <f t="shared" si="0"/>
        <v>5.8252172823557515</v>
      </c>
      <c r="G28" t="str">
        <f t="shared" si="1"/>
        <v>9.851698579939331</v>
      </c>
      <c r="K28" t="s">
        <v>386</v>
      </c>
    </row>
    <row r="29" spans="1:22" ht="14.25" customHeight="1" x14ac:dyDescent="0.3">
      <c r="E29" t="s">
        <v>368</v>
      </c>
      <c r="F29" s="38" t="str">
        <f t="shared" si="0"/>
        <v>5.417276727184288</v>
      </c>
      <c r="G29" t="str">
        <f t="shared" si="1"/>
        <v>10.238196952275317</v>
      </c>
      <c r="K29" t="s">
        <v>387</v>
      </c>
    </row>
    <row r="30" spans="1:22" ht="14.25" customHeight="1" x14ac:dyDescent="0.3">
      <c r="E30" t="s">
        <v>369</v>
      </c>
      <c r="F30" s="38" t="str">
        <f t="shared" si="0"/>
        <v>5.527547928390382</v>
      </c>
      <c r="G30" t="str">
        <f t="shared" si="1"/>
        <v>10.17501565430895</v>
      </c>
      <c r="K30" t="s">
        <v>384</v>
      </c>
    </row>
    <row r="31" spans="1:22" ht="14.25" customHeight="1" x14ac:dyDescent="0.3">
      <c r="E31" t="s">
        <v>370</v>
      </c>
      <c r="F31" s="38" t="str">
        <f t="shared" si="0"/>
        <v>6.043128267233983</v>
      </c>
      <c r="G31" t="str">
        <f t="shared" si="1"/>
        <v>10.099401024599093</v>
      </c>
      <c r="K31" t="s">
        <v>384</v>
      </c>
    </row>
    <row r="32" spans="1:22" ht="14.25" customHeight="1" x14ac:dyDescent="0.3">
      <c r="E32" t="s">
        <v>371</v>
      </c>
      <c r="F32" s="38" t="str">
        <f t="shared" si="0"/>
        <v>7.749664391299598</v>
      </c>
      <c r="G32" t="str">
        <f t="shared" si="1"/>
        <v>12.051882199972221</v>
      </c>
      <c r="K32" t="s">
        <v>388</v>
      </c>
    </row>
    <row r="33" spans="5:11" ht="14.25" customHeight="1" x14ac:dyDescent="0.3">
      <c r="E33" t="s">
        <v>372</v>
      </c>
      <c r="F33" s="38" t="str">
        <f t="shared" si="0"/>
        <v>5.43199005301033</v>
      </c>
      <c r="G33" t="str">
        <f t="shared" si="1"/>
        <v>10.319775554499904</v>
      </c>
      <c r="K33" t="s">
        <v>386</v>
      </c>
    </row>
    <row r="34" spans="5:11" ht="14.25" customHeight="1" x14ac:dyDescent="0.3">
      <c r="E34" t="s">
        <v>373</v>
      </c>
      <c r="F34" s="38" t="str">
        <f t="shared" si="0"/>
        <v>6.656701273321994</v>
      </c>
      <c r="G34" t="str">
        <f t="shared" si="1"/>
        <v>11.045976347800645</v>
      </c>
      <c r="K34" t="s">
        <v>384</v>
      </c>
    </row>
    <row r="35" spans="5:11" ht="14.25" customHeight="1" x14ac:dyDescent="0.3">
      <c r="E35" t="s">
        <v>374</v>
      </c>
      <c r="F35" s="38" t="str">
        <f t="shared" si="0"/>
        <v>2.16021185038067</v>
      </c>
      <c r="G35" t="str">
        <f t="shared" si="1"/>
        <v>14.839788149619329</v>
      </c>
      <c r="K35" t="s">
        <v>389</v>
      </c>
    </row>
    <row r="36" spans="5:11" ht="14.25" customHeight="1" x14ac:dyDescent="0.3">
      <c r="E36" t="s">
        <v>375</v>
      </c>
      <c r="F36" s="38" t="str">
        <f t="shared" si="0"/>
        <v>2.223104932141675</v>
      </c>
      <c r="G36" t="str">
        <f t="shared" si="1"/>
        <v>13.776895067858325</v>
      </c>
      <c r="K36" t="s">
        <v>390</v>
      </c>
    </row>
    <row r="37" spans="5:11" ht="14.25" customHeight="1" x14ac:dyDescent="0.3">
      <c r="E37" t="s">
        <v>376</v>
      </c>
      <c r="F37" s="38" t="str">
        <f t="shared" si="0"/>
        <v>2.319430652101955</v>
      </c>
      <c r="G37" t="str">
        <f t="shared" si="1"/>
        <v>16.680569347898047</v>
      </c>
      <c r="K37" t="s">
        <v>391</v>
      </c>
    </row>
    <row r="38" spans="5:11" ht="14.25" customHeight="1" x14ac:dyDescent="0.3">
      <c r="E38" t="s">
        <v>377</v>
      </c>
      <c r="F38" s="38" t="str">
        <f t="shared" si="0"/>
        <v>2.2512413108242297</v>
      </c>
      <c r="G38" t="str">
        <f t="shared" si="1"/>
        <v>16.74875868917577</v>
      </c>
      <c r="K38" t="s">
        <v>392</v>
      </c>
    </row>
    <row r="39" spans="5:11" ht="14.25" customHeight="1" x14ac:dyDescent="0.3">
      <c r="E39" t="s">
        <v>378</v>
      </c>
      <c r="F39" s="38" t="str">
        <f t="shared" si="0"/>
        <v>3.7178021978022002</v>
      </c>
      <c r="G39" t="str">
        <f t="shared" si="1"/>
        <v>27.2821978021978</v>
      </c>
      <c r="K39" t="s">
        <v>392</v>
      </c>
    </row>
    <row r="40" spans="5:11" ht="14.25" customHeight="1" x14ac:dyDescent="0.3">
      <c r="E40" t="s">
        <v>379</v>
      </c>
      <c r="F40" s="38" t="str">
        <f t="shared" si="0"/>
        <v>2.5032858707557506</v>
      </c>
      <c r="G40" t="str">
        <f t="shared" si="1"/>
        <v>24.496714129244246</v>
      </c>
      <c r="K40" t="s">
        <v>393</v>
      </c>
    </row>
    <row r="41" spans="5:11" ht="14.25" customHeight="1" x14ac:dyDescent="0.3">
      <c r="E41" t="s">
        <v>380</v>
      </c>
      <c r="F41" s="38" t="str">
        <f t="shared" si="0"/>
        <v>2.006930693069305</v>
      </c>
      <c r="G41" t="str">
        <f t="shared" si="1"/>
        <v>12.993069306930696</v>
      </c>
      <c r="K41" t="s">
        <v>394</v>
      </c>
    </row>
    <row r="42" spans="5:11" ht="14.25" customHeight="1" x14ac:dyDescent="0.3">
      <c r="E42" t="s">
        <v>381</v>
      </c>
      <c r="F42" s="38" t="str">
        <f t="shared" si="0"/>
        <v>2.3091691492883153</v>
      </c>
      <c r="G42" t="str">
        <f t="shared" si="1"/>
        <v>16.690830850711684</v>
      </c>
      <c r="K42" t="s">
        <v>395</v>
      </c>
    </row>
    <row r="43" spans="5:11" ht="14.25" customHeight="1" x14ac:dyDescent="0.3">
      <c r="E43" t="s">
        <v>382</v>
      </c>
      <c r="F43" s="38" t="str">
        <f t="shared" si="0"/>
        <v>1.9006951340615696</v>
      </c>
      <c r="G43" t="str">
        <f t="shared" si="1"/>
        <v>13.09930486593843</v>
      </c>
      <c r="K43" t="s">
        <v>392</v>
      </c>
    </row>
    <row r="44" spans="5:11" ht="14.25" customHeight="1" x14ac:dyDescent="0.3">
      <c r="E44" t="s">
        <v>383</v>
      </c>
      <c r="F44" s="38" t="str">
        <f t="shared" si="0"/>
        <v>1.9808010592519047</v>
      </c>
      <c r="G44" t="str">
        <f t="shared" si="1"/>
        <v>13.019198940748096</v>
      </c>
      <c r="K44" t="s">
        <v>396</v>
      </c>
    </row>
    <row r="45" spans="5:11" ht="14.25" customHeight="1" x14ac:dyDescent="0.3">
      <c r="K45" t="s">
        <v>396</v>
      </c>
    </row>
    <row r="46" spans="5:11" ht="14.25" customHeight="1" x14ac:dyDescent="0.3"/>
    <row r="47" spans="5:11" ht="14.25" customHeight="1" x14ac:dyDescent="0.3"/>
    <row r="48" spans="5: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sortState xmlns:xlrd2="http://schemas.microsoft.com/office/spreadsheetml/2017/richdata2" ref="T2:V21">
    <sortCondition descending="1" ref="U2:U21"/>
  </sortState>
  <conditionalFormatting sqref="I2">
    <cfRule type="cellIs" dxfId="0" priority="1" operator="equal">
      <formula>$A$2</formula>
    </cfRule>
  </conditionalFormatting>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A1000"/>
  <sheetViews>
    <sheetView workbookViewId="0"/>
  </sheetViews>
  <sheetFormatPr baseColWidth="10" defaultColWidth="14.44140625" defaultRowHeight="15" customHeight="1" x14ac:dyDescent="0.3"/>
  <cols>
    <col min="1" max="39" width="10.6640625" customWidth="1"/>
  </cols>
  <sheetData>
    <row r="1" spans="1:1" ht="14.25" customHeight="1" x14ac:dyDescent="0.3">
      <c r="A1" s="3" t="s">
        <v>329</v>
      </c>
    </row>
    <row r="2" spans="1:1" ht="14.25" customHeight="1" x14ac:dyDescent="0.3"/>
    <row r="3" spans="1:1" ht="14.25" customHeight="1" x14ac:dyDescent="0.3"/>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spans="1:1" ht="14.25" customHeight="1" x14ac:dyDescent="0.3"/>
    <row r="18" spans="1:1" ht="14.25" customHeight="1" x14ac:dyDescent="0.3"/>
    <row r="19" spans="1:1" ht="14.25" customHeight="1" x14ac:dyDescent="0.3"/>
    <row r="20" spans="1:1" ht="14.25" customHeight="1" x14ac:dyDescent="0.3"/>
    <row r="21" spans="1:1" ht="14.25" customHeight="1" x14ac:dyDescent="0.3">
      <c r="A21" s="3" t="s">
        <v>300</v>
      </c>
    </row>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spans="1:1" ht="14.25" customHeight="1" x14ac:dyDescent="0.3"/>
    <row r="34" spans="1:1" ht="14.25" customHeight="1" x14ac:dyDescent="0.3"/>
    <row r="35" spans="1:1" ht="14.25" customHeight="1" x14ac:dyDescent="0.3"/>
    <row r="36" spans="1:1" ht="14.25" customHeight="1" x14ac:dyDescent="0.3"/>
    <row r="37" spans="1:1" ht="14.25" customHeight="1" x14ac:dyDescent="0.3"/>
    <row r="38" spans="1:1" ht="14.25" customHeight="1" x14ac:dyDescent="0.3"/>
    <row r="39" spans="1:1" ht="14.25" customHeight="1" x14ac:dyDescent="0.3"/>
    <row r="40" spans="1:1" ht="14.25" customHeight="1" x14ac:dyDescent="0.3"/>
    <row r="41" spans="1:1" ht="14.25" customHeight="1" x14ac:dyDescent="0.3"/>
    <row r="42" spans="1:1" ht="14.25" customHeight="1" x14ac:dyDescent="0.3">
      <c r="A42" s="3" t="s">
        <v>301</v>
      </c>
    </row>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spans="1:1" ht="14.25" customHeight="1" x14ac:dyDescent="0.3"/>
    <row r="50" spans="1:1" ht="14.25" customHeight="1" x14ac:dyDescent="0.3"/>
    <row r="51" spans="1:1" ht="14.25" customHeight="1" x14ac:dyDescent="0.3"/>
    <row r="52" spans="1:1" ht="14.25" customHeight="1" x14ac:dyDescent="0.3"/>
    <row r="53" spans="1:1" ht="14.25" customHeight="1" x14ac:dyDescent="0.3"/>
    <row r="54" spans="1:1" ht="14.25" customHeight="1" x14ac:dyDescent="0.3"/>
    <row r="55" spans="1:1" ht="14.25" customHeight="1" x14ac:dyDescent="0.3"/>
    <row r="56" spans="1:1" ht="14.25" customHeight="1" x14ac:dyDescent="0.3"/>
    <row r="57" spans="1:1" ht="14.25" customHeight="1" x14ac:dyDescent="0.3"/>
    <row r="58" spans="1:1" ht="14.25" customHeight="1" x14ac:dyDescent="0.3"/>
    <row r="59" spans="1:1" ht="14.25" customHeight="1" x14ac:dyDescent="0.3"/>
    <row r="60" spans="1:1" ht="14.25" customHeight="1" x14ac:dyDescent="0.3"/>
    <row r="61" spans="1:1" ht="14.25" customHeight="1" x14ac:dyDescent="0.3">
      <c r="A61" s="3" t="s">
        <v>302</v>
      </c>
    </row>
    <row r="62" spans="1:1" ht="14.25" customHeight="1" x14ac:dyDescent="0.3"/>
    <row r="63" spans="1:1" ht="14.25" customHeight="1" x14ac:dyDescent="0.3"/>
    <row r="64" spans="1:1" ht="14.25" customHeight="1" x14ac:dyDescent="0.3"/>
    <row r="65" spans="1:1" ht="14.25" customHeight="1" x14ac:dyDescent="0.3"/>
    <row r="66" spans="1:1" ht="14.25" customHeight="1" x14ac:dyDescent="0.3"/>
    <row r="67" spans="1:1" ht="14.25" customHeight="1" x14ac:dyDescent="0.3"/>
    <row r="68" spans="1:1" ht="14.25" customHeight="1" x14ac:dyDescent="0.3"/>
    <row r="69" spans="1:1" ht="14.25" customHeight="1" x14ac:dyDescent="0.3"/>
    <row r="70" spans="1:1" ht="14.25" customHeight="1" x14ac:dyDescent="0.3"/>
    <row r="71" spans="1:1" ht="14.25" customHeight="1" x14ac:dyDescent="0.3"/>
    <row r="72" spans="1:1" ht="14.25" customHeight="1" x14ac:dyDescent="0.3"/>
    <row r="73" spans="1:1" ht="14.25" customHeight="1" x14ac:dyDescent="0.3"/>
    <row r="74" spans="1:1" ht="14.25" customHeight="1" x14ac:dyDescent="0.3"/>
    <row r="75" spans="1:1" ht="14.25" customHeight="1" x14ac:dyDescent="0.3"/>
    <row r="76" spans="1:1" ht="14.25" customHeight="1" x14ac:dyDescent="0.3"/>
    <row r="77" spans="1:1" ht="14.25" customHeight="1" x14ac:dyDescent="0.3"/>
    <row r="78" spans="1:1" ht="14.25" customHeight="1" x14ac:dyDescent="0.3">
      <c r="A78" s="3" t="s">
        <v>303</v>
      </c>
    </row>
    <row r="79" spans="1:1" ht="14.25" customHeight="1" x14ac:dyDescent="0.3"/>
    <row r="80" spans="1:1" ht="14.25" customHeight="1" x14ac:dyDescent="0.3"/>
    <row r="81" spans="1:1" ht="14.25" customHeight="1" x14ac:dyDescent="0.3"/>
    <row r="82" spans="1:1" ht="14.25" customHeight="1" x14ac:dyDescent="0.3"/>
    <row r="83" spans="1:1" ht="14.25" customHeight="1" x14ac:dyDescent="0.3"/>
    <row r="84" spans="1:1" ht="14.25" customHeight="1" x14ac:dyDescent="0.3"/>
    <row r="85" spans="1:1" ht="14.25" customHeight="1" x14ac:dyDescent="0.3"/>
    <row r="86" spans="1:1" ht="14.25" customHeight="1" x14ac:dyDescent="0.3"/>
    <row r="87" spans="1:1" ht="14.25" customHeight="1" x14ac:dyDescent="0.3"/>
    <row r="88" spans="1:1" ht="14.25" customHeight="1" x14ac:dyDescent="0.3"/>
    <row r="89" spans="1:1" ht="14.25" customHeight="1" x14ac:dyDescent="0.3"/>
    <row r="90" spans="1:1" ht="14.25" customHeight="1" x14ac:dyDescent="0.3"/>
    <row r="91" spans="1:1" ht="14.25" customHeight="1" x14ac:dyDescent="0.3"/>
    <row r="92" spans="1:1" ht="14.25" customHeight="1" x14ac:dyDescent="0.3"/>
    <row r="93" spans="1:1" ht="14.25" customHeight="1" x14ac:dyDescent="0.3"/>
    <row r="94" spans="1:1" ht="14.25" customHeight="1" x14ac:dyDescent="0.3"/>
    <row r="95" spans="1:1" ht="14.25" customHeight="1" x14ac:dyDescent="0.3">
      <c r="A95" s="3" t="s">
        <v>304</v>
      </c>
    </row>
    <row r="96" spans="1:1" ht="14.25" customHeight="1" x14ac:dyDescent="0.3"/>
    <row r="97" spans="1:1" ht="14.25" customHeight="1" x14ac:dyDescent="0.3"/>
    <row r="98" spans="1:1" ht="14.25" customHeight="1" x14ac:dyDescent="0.3"/>
    <row r="99" spans="1:1" ht="14.25" customHeight="1" x14ac:dyDescent="0.3"/>
    <row r="100" spans="1:1" ht="14.25" customHeight="1" x14ac:dyDescent="0.3"/>
    <row r="101" spans="1:1" ht="14.25" customHeight="1" x14ac:dyDescent="0.3"/>
    <row r="102" spans="1:1" ht="14.25" customHeight="1" x14ac:dyDescent="0.3"/>
    <row r="103" spans="1:1" ht="14.25" customHeight="1" x14ac:dyDescent="0.3"/>
    <row r="104" spans="1:1" ht="14.25" customHeight="1" x14ac:dyDescent="0.3"/>
    <row r="105" spans="1:1" ht="14.25" customHeight="1" x14ac:dyDescent="0.3"/>
    <row r="106" spans="1:1" ht="14.25" customHeight="1" x14ac:dyDescent="0.3"/>
    <row r="107" spans="1:1" ht="14.25" customHeight="1" x14ac:dyDescent="0.3"/>
    <row r="108" spans="1:1" ht="14.25" customHeight="1" x14ac:dyDescent="0.3"/>
    <row r="109" spans="1:1" ht="14.25" customHeight="1" x14ac:dyDescent="0.3"/>
    <row r="110" spans="1:1" ht="14.25" customHeight="1" x14ac:dyDescent="0.3"/>
    <row r="111" spans="1:1" ht="14.25" customHeight="1" x14ac:dyDescent="0.3"/>
    <row r="112" spans="1:1" ht="14.25" customHeight="1" x14ac:dyDescent="0.3">
      <c r="A112" s="3" t="s">
        <v>305</v>
      </c>
    </row>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U1000"/>
  <sheetViews>
    <sheetView workbookViewId="0"/>
  </sheetViews>
  <sheetFormatPr baseColWidth="10" defaultColWidth="14.44140625" defaultRowHeight="15" customHeight="1" x14ac:dyDescent="0.3"/>
  <cols>
    <col min="1" max="1" width="58.6640625" customWidth="1"/>
    <col min="2" max="2" width="21.88671875" customWidth="1"/>
    <col min="3" max="10" width="10.6640625" customWidth="1"/>
    <col min="11" max="11" width="21.6640625" customWidth="1"/>
    <col min="12" max="12" width="37.6640625" customWidth="1"/>
    <col min="13" max="26" width="10.6640625" customWidth="1"/>
  </cols>
  <sheetData>
    <row r="1" spans="1:21" ht="14.25" customHeight="1" x14ac:dyDescent="0.3">
      <c r="A1" s="4" t="s">
        <v>330</v>
      </c>
      <c r="B1" s="4" t="s">
        <v>331</v>
      </c>
      <c r="S1" s="3" t="s">
        <v>232</v>
      </c>
      <c r="T1" s="9"/>
    </row>
    <row r="2" spans="1:21" ht="14.25" customHeight="1" x14ac:dyDescent="0.3">
      <c r="A2" s="4" t="s">
        <v>232</v>
      </c>
      <c r="B2" s="4" t="s">
        <v>332</v>
      </c>
      <c r="C2" s="4" t="s">
        <v>333</v>
      </c>
      <c r="D2" s="4" t="s">
        <v>334</v>
      </c>
      <c r="E2" s="20" t="s">
        <v>335</v>
      </c>
      <c r="F2" s="20" t="s">
        <v>336</v>
      </c>
      <c r="G2" s="20" t="s">
        <v>337</v>
      </c>
      <c r="H2" s="20" t="s">
        <v>338</v>
      </c>
      <c r="I2" s="20" t="s">
        <v>339</v>
      </c>
      <c r="J2" s="20" t="s">
        <v>340</v>
      </c>
      <c r="K2" s="4" t="s">
        <v>242</v>
      </c>
      <c r="L2" s="21" t="s">
        <v>341</v>
      </c>
      <c r="M2" s="5" t="s">
        <v>247</v>
      </c>
      <c r="N2" s="5">
        <v>4</v>
      </c>
      <c r="O2" s="3" t="s">
        <v>261</v>
      </c>
      <c r="S2" s="3" t="s">
        <v>247</v>
      </c>
      <c r="T2" s="9">
        <v>4.5555555555555554</v>
      </c>
      <c r="U2" s="4">
        <v>0.53747605471157822</v>
      </c>
    </row>
    <row r="3" spans="1:21" ht="14.25" customHeight="1" x14ac:dyDescent="0.3">
      <c r="A3" s="3" t="s">
        <v>247</v>
      </c>
      <c r="B3" s="4">
        <v>8</v>
      </c>
      <c r="C3" s="3">
        <v>7</v>
      </c>
      <c r="D3" s="3">
        <v>2</v>
      </c>
      <c r="E3" s="3">
        <v>6</v>
      </c>
      <c r="F3" s="3">
        <v>0</v>
      </c>
      <c r="G3" s="3">
        <v>2</v>
      </c>
      <c r="H3" s="5">
        <v>0</v>
      </c>
      <c r="I3" s="5">
        <v>12</v>
      </c>
      <c r="J3" s="5">
        <v>4</v>
      </c>
      <c r="K3" s="8">
        <f t="shared" ref="K3:K22" si="0">AVERAGE(B3:J3)</f>
        <v>4.5555555555555554</v>
      </c>
      <c r="M3" s="5" t="s">
        <v>258</v>
      </c>
      <c r="N3" s="5">
        <v>15</v>
      </c>
      <c r="O3" s="3" t="s">
        <v>248</v>
      </c>
      <c r="S3" s="3" t="s">
        <v>248</v>
      </c>
      <c r="T3" s="9">
        <v>3.6666666666666665</v>
      </c>
      <c r="U3" s="4">
        <v>0.62268266964537045</v>
      </c>
    </row>
    <row r="4" spans="1:21" ht="14.25" customHeight="1" x14ac:dyDescent="0.3">
      <c r="A4" s="3" t="s">
        <v>248</v>
      </c>
      <c r="B4" s="4">
        <v>2</v>
      </c>
      <c r="C4" s="3">
        <v>4</v>
      </c>
      <c r="D4" s="3">
        <v>9</v>
      </c>
      <c r="E4" s="3">
        <v>0</v>
      </c>
      <c r="F4" s="3">
        <v>9</v>
      </c>
      <c r="G4" s="3">
        <v>0</v>
      </c>
      <c r="H4" s="5">
        <v>0</v>
      </c>
      <c r="I4" s="5">
        <v>8</v>
      </c>
      <c r="J4" s="5">
        <v>1</v>
      </c>
      <c r="K4" s="8">
        <f t="shared" si="0"/>
        <v>3.6666666666666665</v>
      </c>
      <c r="M4" s="5" t="s">
        <v>259</v>
      </c>
      <c r="N4" s="5">
        <v>15</v>
      </c>
      <c r="O4" s="3" t="s">
        <v>249</v>
      </c>
      <c r="S4" s="3" t="s">
        <v>249</v>
      </c>
      <c r="T4" s="9">
        <v>5.333333333333333</v>
      </c>
      <c r="U4" s="4">
        <v>0.52426836588405112</v>
      </c>
    </row>
    <row r="5" spans="1:21" ht="14.25" customHeight="1" x14ac:dyDescent="0.3">
      <c r="A5" s="3" t="s">
        <v>249</v>
      </c>
      <c r="B5" s="4">
        <v>10</v>
      </c>
      <c r="C5" s="3">
        <v>0</v>
      </c>
      <c r="D5" s="3">
        <v>0</v>
      </c>
      <c r="E5" s="3">
        <v>2</v>
      </c>
      <c r="F5" s="3">
        <v>5</v>
      </c>
      <c r="G5" s="3">
        <v>6</v>
      </c>
      <c r="H5" s="5">
        <v>8</v>
      </c>
      <c r="I5" s="5">
        <v>12</v>
      </c>
      <c r="J5" s="5">
        <v>5</v>
      </c>
      <c r="K5" s="8">
        <f t="shared" si="0"/>
        <v>5.333333333333333</v>
      </c>
      <c r="M5" s="5" t="s">
        <v>260</v>
      </c>
      <c r="N5" s="5">
        <v>16</v>
      </c>
      <c r="O5" s="3" t="s">
        <v>250</v>
      </c>
      <c r="S5" s="3" t="s">
        <v>250</v>
      </c>
      <c r="T5" s="9">
        <v>3.8888888888888888</v>
      </c>
      <c r="U5" s="4">
        <v>0.67691586229508371</v>
      </c>
    </row>
    <row r="6" spans="1:21" ht="14.25" customHeight="1" x14ac:dyDescent="0.3">
      <c r="A6" s="3" t="s">
        <v>250</v>
      </c>
      <c r="B6" s="4">
        <v>2</v>
      </c>
      <c r="C6" s="3">
        <v>4</v>
      </c>
      <c r="D6" s="3">
        <v>1</v>
      </c>
      <c r="E6" s="3">
        <v>5</v>
      </c>
      <c r="F6" s="3">
        <v>2</v>
      </c>
      <c r="G6" s="3">
        <v>11</v>
      </c>
      <c r="H6" s="5">
        <v>1</v>
      </c>
      <c r="I6" s="5">
        <v>4</v>
      </c>
      <c r="J6" s="5">
        <v>5</v>
      </c>
      <c r="K6" s="8">
        <f t="shared" si="0"/>
        <v>3.8888888888888888</v>
      </c>
      <c r="M6" s="5" t="s">
        <v>261</v>
      </c>
      <c r="N6" s="5">
        <v>30</v>
      </c>
      <c r="O6" s="3" t="s">
        <v>251</v>
      </c>
      <c r="S6" s="3" t="s">
        <v>251</v>
      </c>
      <c r="T6" s="9">
        <v>10</v>
      </c>
      <c r="U6" s="4">
        <v>0.655473679459604</v>
      </c>
    </row>
    <row r="7" spans="1:21" ht="14.25" customHeight="1" x14ac:dyDescent="0.3">
      <c r="A7" s="3" t="s">
        <v>251</v>
      </c>
      <c r="B7" s="4">
        <v>4</v>
      </c>
      <c r="C7" s="3">
        <v>13</v>
      </c>
      <c r="D7" s="3">
        <v>8</v>
      </c>
      <c r="E7" s="3">
        <v>10</v>
      </c>
      <c r="F7" s="3">
        <v>10</v>
      </c>
      <c r="G7" s="3">
        <v>10</v>
      </c>
      <c r="H7" s="5">
        <v>14</v>
      </c>
      <c r="I7" s="5">
        <v>10</v>
      </c>
      <c r="J7" s="5">
        <v>11</v>
      </c>
      <c r="K7" s="8">
        <f t="shared" si="0"/>
        <v>10</v>
      </c>
      <c r="M7" s="5" t="s">
        <v>262</v>
      </c>
      <c r="N7" s="5">
        <v>26</v>
      </c>
      <c r="O7" s="3" t="s">
        <v>252</v>
      </c>
      <c r="S7" s="3" t="s">
        <v>252</v>
      </c>
      <c r="T7" s="9">
        <v>6.7777777777777777</v>
      </c>
      <c r="U7" s="4">
        <v>0.70256358269933272</v>
      </c>
    </row>
    <row r="8" spans="1:21" ht="14.25" customHeight="1" x14ac:dyDescent="0.3">
      <c r="A8" s="3" t="s">
        <v>252</v>
      </c>
      <c r="B8" s="4">
        <v>9</v>
      </c>
      <c r="C8" s="3">
        <v>11</v>
      </c>
      <c r="D8" s="3">
        <v>3</v>
      </c>
      <c r="E8" s="3">
        <v>8</v>
      </c>
      <c r="F8" s="3">
        <v>5</v>
      </c>
      <c r="G8" s="3">
        <v>6</v>
      </c>
      <c r="H8" s="5">
        <v>5</v>
      </c>
      <c r="I8" s="5">
        <v>14</v>
      </c>
      <c r="J8" s="5">
        <v>0</v>
      </c>
      <c r="K8" s="8">
        <f t="shared" si="0"/>
        <v>6.7777777777777777</v>
      </c>
      <c r="M8" s="5" t="s">
        <v>263</v>
      </c>
      <c r="N8" s="5">
        <v>10</v>
      </c>
      <c r="O8" s="3" t="s">
        <v>253</v>
      </c>
      <c r="S8" s="3" t="s">
        <v>253</v>
      </c>
      <c r="T8" s="9">
        <v>6.1111111111111107</v>
      </c>
      <c r="U8" s="4">
        <v>1.1425292918330761</v>
      </c>
    </row>
    <row r="9" spans="1:21" ht="14.25" customHeight="1" x14ac:dyDescent="0.3">
      <c r="A9" s="3" t="s">
        <v>253</v>
      </c>
      <c r="B9" s="4">
        <v>4</v>
      </c>
      <c r="C9" s="3">
        <v>1</v>
      </c>
      <c r="D9" s="3">
        <v>11</v>
      </c>
      <c r="E9" s="3">
        <v>5</v>
      </c>
      <c r="F9" s="3">
        <v>6</v>
      </c>
      <c r="G9" s="3">
        <v>8</v>
      </c>
      <c r="H9" s="5">
        <v>3</v>
      </c>
      <c r="I9" s="5">
        <v>7</v>
      </c>
      <c r="J9" s="5">
        <v>10</v>
      </c>
      <c r="K9" s="8">
        <f t="shared" si="0"/>
        <v>6.1111111111111107</v>
      </c>
      <c r="M9" s="5" t="s">
        <v>264</v>
      </c>
      <c r="N9" s="5">
        <v>12</v>
      </c>
      <c r="O9" s="3" t="s">
        <v>254</v>
      </c>
      <c r="S9" s="3" t="s">
        <v>254</v>
      </c>
      <c r="T9" s="9">
        <v>3.5555555555555554</v>
      </c>
      <c r="U9" s="4">
        <v>0.80154659127182082</v>
      </c>
    </row>
    <row r="10" spans="1:21" ht="14.25" customHeight="1" x14ac:dyDescent="0.3">
      <c r="A10" s="3" t="s">
        <v>254</v>
      </c>
      <c r="B10" s="4">
        <v>9</v>
      </c>
      <c r="C10" s="3">
        <v>4</v>
      </c>
      <c r="D10" s="3">
        <v>2</v>
      </c>
      <c r="E10" s="3">
        <v>1</v>
      </c>
      <c r="F10" s="3">
        <v>2</v>
      </c>
      <c r="G10" s="3">
        <v>2</v>
      </c>
      <c r="H10" s="5">
        <v>3</v>
      </c>
      <c r="I10" s="5">
        <v>8</v>
      </c>
      <c r="J10" s="5">
        <v>1</v>
      </c>
      <c r="K10" s="8">
        <f t="shared" si="0"/>
        <v>3.5555555555555554</v>
      </c>
      <c r="M10" s="5" t="s">
        <v>265</v>
      </c>
      <c r="N10" s="5">
        <v>12</v>
      </c>
      <c r="O10" s="3" t="s">
        <v>255</v>
      </c>
      <c r="S10" s="3" t="s">
        <v>255</v>
      </c>
      <c r="T10" s="3">
        <v>3.2222222222222223</v>
      </c>
      <c r="U10" s="4">
        <v>0.75176560751023358</v>
      </c>
    </row>
    <row r="11" spans="1:21" ht="14.25" customHeight="1" x14ac:dyDescent="0.3">
      <c r="A11" s="3" t="s">
        <v>255</v>
      </c>
      <c r="B11" s="4">
        <v>2</v>
      </c>
      <c r="C11" s="3">
        <v>5</v>
      </c>
      <c r="D11" s="3">
        <v>7</v>
      </c>
      <c r="E11" s="3">
        <v>0</v>
      </c>
      <c r="F11" s="3">
        <v>8</v>
      </c>
      <c r="G11" s="3">
        <v>0</v>
      </c>
      <c r="H11" s="5">
        <v>0</v>
      </c>
      <c r="I11" s="5">
        <v>2</v>
      </c>
      <c r="J11" s="5">
        <v>5</v>
      </c>
      <c r="K11" s="8">
        <f t="shared" si="0"/>
        <v>3.2222222222222223</v>
      </c>
      <c r="M11" s="5" t="s">
        <v>266</v>
      </c>
      <c r="N11" s="5">
        <v>11</v>
      </c>
      <c r="O11" s="3" t="s">
        <v>256</v>
      </c>
      <c r="S11" s="3" t="s">
        <v>256</v>
      </c>
      <c r="T11" s="3">
        <v>4.7777777777777777</v>
      </c>
      <c r="U11" s="4">
        <v>0.70267762112263932</v>
      </c>
    </row>
    <row r="12" spans="1:21" ht="14.25" customHeight="1" x14ac:dyDescent="0.3">
      <c r="A12" s="3" t="s">
        <v>256</v>
      </c>
      <c r="B12" s="4">
        <v>4</v>
      </c>
      <c r="C12" s="3">
        <v>14</v>
      </c>
      <c r="D12" s="3">
        <v>3</v>
      </c>
      <c r="E12" s="3">
        <v>5</v>
      </c>
      <c r="F12" s="3">
        <v>8</v>
      </c>
      <c r="G12" s="3">
        <v>3</v>
      </c>
      <c r="H12" s="5">
        <v>3</v>
      </c>
      <c r="I12" s="5">
        <v>1</v>
      </c>
      <c r="J12" s="5">
        <v>2</v>
      </c>
      <c r="K12" s="8">
        <f t="shared" si="0"/>
        <v>4.7777777777777777</v>
      </c>
      <c r="S12" s="3" t="s">
        <v>257</v>
      </c>
      <c r="T12" s="9">
        <v>11.222222222222221</v>
      </c>
      <c r="U12" s="4">
        <v>-0.85169148296274</v>
      </c>
    </row>
    <row r="13" spans="1:21" ht="14.25" customHeight="1" x14ac:dyDescent="0.3">
      <c r="A13" s="3" t="s">
        <v>257</v>
      </c>
      <c r="B13" s="4">
        <v>10</v>
      </c>
      <c r="C13" s="3">
        <v>12</v>
      </c>
      <c r="D13" s="3">
        <v>11</v>
      </c>
      <c r="E13" s="3">
        <v>12</v>
      </c>
      <c r="F13" s="3">
        <v>12</v>
      </c>
      <c r="G13" s="3">
        <v>13</v>
      </c>
      <c r="H13" s="5">
        <v>3</v>
      </c>
      <c r="I13" s="5">
        <v>12</v>
      </c>
      <c r="J13" s="5">
        <v>16</v>
      </c>
      <c r="K13" s="8">
        <f t="shared" si="0"/>
        <v>11.222222222222221</v>
      </c>
      <c r="M13" s="5" t="s">
        <v>252</v>
      </c>
      <c r="N13" s="5">
        <v>0</v>
      </c>
      <c r="O13" s="3" t="s">
        <v>258</v>
      </c>
      <c r="S13" s="3" t="s">
        <v>258</v>
      </c>
      <c r="T13" s="9">
        <v>10.777777777777779</v>
      </c>
      <c r="U13" s="4">
        <v>-1.12017317951397</v>
      </c>
    </row>
    <row r="14" spans="1:21" ht="14.25" customHeight="1" x14ac:dyDescent="0.3">
      <c r="A14" s="3" t="s">
        <v>258</v>
      </c>
      <c r="B14" s="4">
        <v>6</v>
      </c>
      <c r="C14" s="3">
        <v>7</v>
      </c>
      <c r="D14" s="3">
        <v>5</v>
      </c>
      <c r="E14" s="3">
        <v>13</v>
      </c>
      <c r="F14" s="3">
        <v>14</v>
      </c>
      <c r="G14" s="3">
        <v>14</v>
      </c>
      <c r="H14" s="5">
        <v>14</v>
      </c>
      <c r="I14" s="5">
        <v>9</v>
      </c>
      <c r="J14" s="5">
        <v>15</v>
      </c>
      <c r="K14" s="8">
        <f t="shared" si="0"/>
        <v>10.777777777777779</v>
      </c>
      <c r="M14" s="5" t="s">
        <v>253</v>
      </c>
      <c r="N14" s="5">
        <v>10</v>
      </c>
      <c r="O14" s="3" t="s">
        <v>259</v>
      </c>
      <c r="S14" s="3" t="s">
        <v>259</v>
      </c>
      <c r="T14" s="9">
        <v>10.333333333333334</v>
      </c>
      <c r="U14" s="4">
        <v>-1.1154133211974251</v>
      </c>
    </row>
    <row r="15" spans="1:21" ht="14.25" customHeight="1" x14ac:dyDescent="0.3">
      <c r="A15" s="3" t="s">
        <v>259</v>
      </c>
      <c r="B15" s="4">
        <v>9</v>
      </c>
      <c r="C15" s="3">
        <v>7</v>
      </c>
      <c r="D15" s="3">
        <v>11</v>
      </c>
      <c r="E15" s="3">
        <v>10</v>
      </c>
      <c r="F15" s="3">
        <v>6</v>
      </c>
      <c r="G15" s="3">
        <v>16</v>
      </c>
      <c r="H15" s="5">
        <v>16</v>
      </c>
      <c r="I15" s="5">
        <v>3</v>
      </c>
      <c r="J15" s="5">
        <v>15</v>
      </c>
      <c r="K15" s="8">
        <f t="shared" si="0"/>
        <v>10.333333333333334</v>
      </c>
      <c r="M15" s="5" t="s">
        <v>254</v>
      </c>
      <c r="N15" s="5">
        <v>1</v>
      </c>
      <c r="O15" s="3" t="s">
        <v>264</v>
      </c>
      <c r="S15" s="3" t="s">
        <v>260</v>
      </c>
      <c r="T15" s="9">
        <v>13.555555555555555</v>
      </c>
      <c r="U15" s="4">
        <v>-1.072806810743151</v>
      </c>
    </row>
    <row r="16" spans="1:21" ht="14.25" customHeight="1" x14ac:dyDescent="0.3">
      <c r="A16" s="3" t="s">
        <v>260</v>
      </c>
      <c r="B16" s="4">
        <v>14</v>
      </c>
      <c r="C16" s="3">
        <v>11</v>
      </c>
      <c r="D16" s="3">
        <v>13</v>
      </c>
      <c r="E16" s="3">
        <v>15</v>
      </c>
      <c r="F16" s="3">
        <v>11</v>
      </c>
      <c r="G16" s="3">
        <v>18</v>
      </c>
      <c r="H16" s="5">
        <v>11</v>
      </c>
      <c r="I16" s="5">
        <v>13</v>
      </c>
      <c r="J16" s="5">
        <v>16</v>
      </c>
      <c r="K16" s="8">
        <f t="shared" si="0"/>
        <v>13.555555555555555</v>
      </c>
      <c r="M16" s="5" t="s">
        <v>250</v>
      </c>
      <c r="N16" s="5">
        <v>5</v>
      </c>
      <c r="O16" s="3" t="s">
        <v>263</v>
      </c>
      <c r="S16" s="3" t="s">
        <v>261</v>
      </c>
      <c r="T16" s="9">
        <v>22.777777777777779</v>
      </c>
      <c r="U16" s="4">
        <v>-0.99095987605964864</v>
      </c>
    </row>
    <row r="17" spans="1:21" ht="14.25" customHeight="1" x14ac:dyDescent="0.3">
      <c r="A17" s="3" t="s">
        <v>261</v>
      </c>
      <c r="B17" s="4">
        <v>19</v>
      </c>
      <c r="C17" s="3">
        <v>17</v>
      </c>
      <c r="D17" s="3">
        <v>15</v>
      </c>
      <c r="E17" s="3">
        <v>28</v>
      </c>
      <c r="F17" s="3">
        <v>10</v>
      </c>
      <c r="G17" s="3">
        <v>29</v>
      </c>
      <c r="H17" s="5">
        <v>28</v>
      </c>
      <c r="I17" s="5">
        <v>29</v>
      </c>
      <c r="J17" s="5">
        <v>30</v>
      </c>
      <c r="K17" s="8">
        <f t="shared" si="0"/>
        <v>22.777777777777779</v>
      </c>
      <c r="M17" s="5" t="s">
        <v>248</v>
      </c>
      <c r="N17" s="5">
        <v>1</v>
      </c>
      <c r="O17" s="3" t="s">
        <v>262</v>
      </c>
      <c r="S17" s="3" t="s">
        <v>262</v>
      </c>
      <c r="T17" s="9">
        <v>23.111111111111111</v>
      </c>
      <c r="U17" s="4">
        <v>-1.679865001322572</v>
      </c>
    </row>
    <row r="18" spans="1:21" ht="14.25" customHeight="1" x14ac:dyDescent="0.3">
      <c r="A18" s="3" t="s">
        <v>262</v>
      </c>
      <c r="B18" s="4">
        <v>4</v>
      </c>
      <c r="C18" s="3">
        <v>25</v>
      </c>
      <c r="D18" s="3">
        <v>27</v>
      </c>
      <c r="E18" s="3">
        <v>27</v>
      </c>
      <c r="F18" s="3">
        <v>23</v>
      </c>
      <c r="G18" s="3">
        <v>27</v>
      </c>
      <c r="H18" s="5">
        <v>25</v>
      </c>
      <c r="I18" s="5">
        <v>24</v>
      </c>
      <c r="J18" s="5">
        <v>26</v>
      </c>
      <c r="K18" s="8">
        <f t="shared" si="0"/>
        <v>23.111111111111111</v>
      </c>
      <c r="M18" s="5" t="s">
        <v>249</v>
      </c>
      <c r="N18" s="5">
        <v>5</v>
      </c>
      <c r="O18" s="3" t="s">
        <v>260</v>
      </c>
      <c r="S18" s="3" t="s">
        <v>263</v>
      </c>
      <c r="T18" s="9">
        <v>9.2222222222222214</v>
      </c>
      <c r="U18" s="4">
        <v>-0.90834372881365233</v>
      </c>
    </row>
    <row r="19" spans="1:21" ht="14.25" customHeight="1" x14ac:dyDescent="0.3">
      <c r="A19" s="3" t="s">
        <v>263</v>
      </c>
      <c r="B19" s="4">
        <v>5</v>
      </c>
      <c r="C19" s="3">
        <v>7</v>
      </c>
      <c r="D19" s="3">
        <v>13</v>
      </c>
      <c r="E19" s="3">
        <v>0</v>
      </c>
      <c r="F19" s="3">
        <v>10</v>
      </c>
      <c r="G19" s="3">
        <v>13</v>
      </c>
      <c r="H19" s="5">
        <v>12</v>
      </c>
      <c r="I19" s="5">
        <v>13</v>
      </c>
      <c r="J19" s="5">
        <v>10</v>
      </c>
      <c r="K19" s="8">
        <f t="shared" si="0"/>
        <v>9.2222222222222214</v>
      </c>
      <c r="M19" s="5" t="s">
        <v>251</v>
      </c>
      <c r="N19" s="5">
        <v>11</v>
      </c>
      <c r="O19" s="3" t="s">
        <v>257</v>
      </c>
      <c r="S19" s="3" t="s">
        <v>264</v>
      </c>
      <c r="T19" s="9">
        <v>13.111111111111111</v>
      </c>
      <c r="U19" s="4">
        <v>-1.196962071035268</v>
      </c>
    </row>
    <row r="20" spans="1:21" ht="14.25" customHeight="1" x14ac:dyDescent="0.3">
      <c r="A20" s="3" t="s">
        <v>264</v>
      </c>
      <c r="B20" s="4">
        <v>6</v>
      </c>
      <c r="C20" s="3">
        <v>15</v>
      </c>
      <c r="D20" s="3">
        <v>16</v>
      </c>
      <c r="E20" s="3">
        <v>15</v>
      </c>
      <c r="F20" s="3">
        <v>16</v>
      </c>
      <c r="G20" s="3">
        <v>12</v>
      </c>
      <c r="H20" s="5">
        <v>8</v>
      </c>
      <c r="I20" s="5">
        <v>18</v>
      </c>
      <c r="J20" s="5">
        <v>12</v>
      </c>
      <c r="K20" s="8">
        <f t="shared" si="0"/>
        <v>13.111111111111111</v>
      </c>
      <c r="M20" s="5" t="s">
        <v>255</v>
      </c>
      <c r="N20" s="5">
        <v>5</v>
      </c>
      <c r="O20" s="3" t="s">
        <v>266</v>
      </c>
      <c r="S20" s="3" t="s">
        <v>265</v>
      </c>
      <c r="T20" s="9">
        <v>11.222222222222221</v>
      </c>
      <c r="U20" s="4">
        <v>-1.2097705883740471</v>
      </c>
    </row>
    <row r="21" spans="1:21" ht="14.25" customHeight="1" x14ac:dyDescent="0.3">
      <c r="A21" s="3" t="s">
        <v>265</v>
      </c>
      <c r="B21" s="4">
        <v>13</v>
      </c>
      <c r="C21" s="3">
        <v>12</v>
      </c>
      <c r="D21" s="3">
        <v>12</v>
      </c>
      <c r="E21" s="3">
        <v>15</v>
      </c>
      <c r="F21" s="3">
        <v>10</v>
      </c>
      <c r="G21" s="3">
        <v>3</v>
      </c>
      <c r="H21" s="5">
        <v>14</v>
      </c>
      <c r="I21" s="5">
        <v>10</v>
      </c>
      <c r="J21" s="5">
        <v>12</v>
      </c>
      <c r="K21" s="8">
        <f t="shared" si="0"/>
        <v>11.222222222222221</v>
      </c>
      <c r="M21" s="5" t="s">
        <v>257</v>
      </c>
      <c r="N21" s="5">
        <v>16</v>
      </c>
      <c r="O21" s="3" t="s">
        <v>247</v>
      </c>
      <c r="S21" s="3" t="s">
        <v>266</v>
      </c>
      <c r="T21" s="9">
        <v>11.333333333333334</v>
      </c>
      <c r="U21" s="4">
        <v>-0.88310324035056598</v>
      </c>
    </row>
    <row r="22" spans="1:21" ht="14.25" customHeight="1" x14ac:dyDescent="0.3">
      <c r="A22" s="3" t="s">
        <v>266</v>
      </c>
      <c r="B22" s="4">
        <v>15</v>
      </c>
      <c r="C22" s="3">
        <v>15</v>
      </c>
      <c r="D22" s="3">
        <v>7</v>
      </c>
      <c r="E22" s="3">
        <v>14</v>
      </c>
      <c r="F22" s="3">
        <v>6</v>
      </c>
      <c r="G22" s="3">
        <v>6</v>
      </c>
      <c r="H22" s="5">
        <v>14</v>
      </c>
      <c r="I22" s="5">
        <v>14</v>
      </c>
      <c r="J22" s="5">
        <v>11</v>
      </c>
      <c r="K22" s="8">
        <f t="shared" si="0"/>
        <v>11.333333333333334</v>
      </c>
      <c r="M22" s="5" t="s">
        <v>256</v>
      </c>
      <c r="N22" s="5">
        <v>2</v>
      </c>
      <c r="O22" s="3" t="s">
        <v>265</v>
      </c>
    </row>
    <row r="23" spans="1:21" ht="14.25" customHeight="1" x14ac:dyDescent="0.3"/>
    <row r="24" spans="1:21" ht="14.25" customHeight="1" x14ac:dyDescent="0.3">
      <c r="A24" s="4" t="s">
        <v>330</v>
      </c>
      <c r="B24" s="4" t="s">
        <v>342</v>
      </c>
      <c r="N24" s="4"/>
    </row>
    <row r="25" spans="1:21" ht="14.25" customHeight="1" x14ac:dyDescent="0.3">
      <c r="A25" s="4" t="s">
        <v>232</v>
      </c>
      <c r="B25" s="20">
        <v>45938</v>
      </c>
      <c r="C25" s="20">
        <v>45945</v>
      </c>
      <c r="D25" s="20">
        <v>45952</v>
      </c>
      <c r="E25" s="20">
        <v>45959</v>
      </c>
      <c r="F25" s="20">
        <v>45966</v>
      </c>
      <c r="G25" s="20">
        <v>45973</v>
      </c>
      <c r="H25" s="20">
        <v>45980</v>
      </c>
      <c r="I25" s="20">
        <v>45987</v>
      </c>
      <c r="J25" s="20">
        <v>45994</v>
      </c>
      <c r="K25" s="4" t="s">
        <v>243</v>
      </c>
      <c r="O25" s="9"/>
    </row>
    <row r="26" spans="1:21" ht="14.25" customHeight="1" x14ac:dyDescent="0.3">
      <c r="A26" s="3" t="s">
        <v>247</v>
      </c>
      <c r="B26" s="3">
        <v>2</v>
      </c>
      <c r="C26" s="3">
        <v>5</v>
      </c>
      <c r="D26" s="3">
        <v>3</v>
      </c>
      <c r="E26" s="3">
        <v>7</v>
      </c>
      <c r="F26" s="3">
        <v>2</v>
      </c>
      <c r="G26" s="3">
        <v>8</v>
      </c>
      <c r="H26" s="5">
        <v>5</v>
      </c>
      <c r="I26" s="5">
        <v>9</v>
      </c>
      <c r="J26" s="5">
        <v>7</v>
      </c>
      <c r="K26" s="8">
        <f t="shared" ref="K26:K45" si="1">AVERAGE(B26:J26)</f>
        <v>5.333333333333333</v>
      </c>
      <c r="O26" s="9"/>
    </row>
    <row r="27" spans="1:21" ht="14.25" customHeight="1" x14ac:dyDescent="0.3">
      <c r="A27" s="3" t="s">
        <v>248</v>
      </c>
      <c r="B27" s="3">
        <v>12</v>
      </c>
      <c r="C27" s="3">
        <v>2</v>
      </c>
      <c r="D27" s="3">
        <v>12</v>
      </c>
      <c r="E27" s="3">
        <v>11</v>
      </c>
      <c r="F27" s="3">
        <v>1</v>
      </c>
      <c r="G27" s="3">
        <v>1</v>
      </c>
      <c r="H27" s="5">
        <v>6</v>
      </c>
      <c r="I27" s="5">
        <v>10</v>
      </c>
      <c r="J27" s="5">
        <v>3</v>
      </c>
      <c r="K27" s="8">
        <f t="shared" si="1"/>
        <v>6.4444444444444446</v>
      </c>
      <c r="O27" s="9"/>
    </row>
    <row r="28" spans="1:21" ht="14.25" customHeight="1" x14ac:dyDescent="0.3">
      <c r="A28" s="3" t="s">
        <v>249</v>
      </c>
      <c r="B28" s="3">
        <v>12</v>
      </c>
      <c r="C28" s="3">
        <v>3</v>
      </c>
      <c r="D28" s="3">
        <v>11</v>
      </c>
      <c r="E28" s="3">
        <v>12</v>
      </c>
      <c r="F28" s="3">
        <v>3</v>
      </c>
      <c r="G28" s="3">
        <v>11</v>
      </c>
      <c r="H28" s="5">
        <v>1</v>
      </c>
      <c r="I28" s="5">
        <v>10</v>
      </c>
      <c r="J28" s="5">
        <v>10</v>
      </c>
      <c r="K28" s="8">
        <f t="shared" si="1"/>
        <v>8.1111111111111107</v>
      </c>
      <c r="O28" s="9"/>
    </row>
    <row r="29" spans="1:21" ht="14.25" customHeight="1" x14ac:dyDescent="0.3">
      <c r="A29" s="3" t="s">
        <v>250</v>
      </c>
      <c r="B29" s="3">
        <v>10</v>
      </c>
      <c r="C29" s="3">
        <v>11</v>
      </c>
      <c r="D29" s="3">
        <v>4</v>
      </c>
      <c r="E29" s="3">
        <v>6</v>
      </c>
      <c r="F29" s="3">
        <v>10</v>
      </c>
      <c r="G29" s="3">
        <v>2</v>
      </c>
      <c r="H29" s="5">
        <v>2</v>
      </c>
      <c r="I29" s="5">
        <v>9</v>
      </c>
      <c r="J29" s="5">
        <v>8</v>
      </c>
      <c r="K29" s="8">
        <f t="shared" si="1"/>
        <v>6.8888888888888893</v>
      </c>
      <c r="O29" s="9"/>
    </row>
    <row r="30" spans="1:21" ht="14.25" customHeight="1" x14ac:dyDescent="0.3">
      <c r="A30" s="3" t="s">
        <v>251</v>
      </c>
      <c r="B30" s="3">
        <v>2</v>
      </c>
      <c r="C30" s="3">
        <v>7</v>
      </c>
      <c r="D30" s="3">
        <v>10</v>
      </c>
      <c r="E30" s="3">
        <v>7</v>
      </c>
      <c r="F30" s="3">
        <v>6</v>
      </c>
      <c r="G30" s="3">
        <v>7</v>
      </c>
      <c r="H30" s="5">
        <v>9</v>
      </c>
      <c r="I30" s="5">
        <v>1</v>
      </c>
      <c r="J30" s="5">
        <v>7</v>
      </c>
      <c r="K30" s="8">
        <f t="shared" si="1"/>
        <v>6.2222222222222223</v>
      </c>
      <c r="O30" s="9"/>
    </row>
    <row r="31" spans="1:21" ht="14.25" customHeight="1" x14ac:dyDescent="0.3">
      <c r="A31" s="3" t="s">
        <v>252</v>
      </c>
      <c r="B31" s="3">
        <v>2</v>
      </c>
      <c r="C31" s="3">
        <v>10</v>
      </c>
      <c r="D31" s="3">
        <v>0</v>
      </c>
      <c r="E31" s="3">
        <v>4</v>
      </c>
      <c r="F31" s="3">
        <v>5</v>
      </c>
      <c r="G31" s="3">
        <v>0</v>
      </c>
      <c r="H31" s="5">
        <v>2</v>
      </c>
      <c r="I31" s="5">
        <v>5</v>
      </c>
      <c r="J31" s="5">
        <v>10</v>
      </c>
      <c r="K31" s="8">
        <f t="shared" si="1"/>
        <v>4.2222222222222223</v>
      </c>
      <c r="O31" s="9"/>
    </row>
    <row r="32" spans="1:21" ht="14.25" customHeight="1" x14ac:dyDescent="0.3">
      <c r="A32" s="3" t="s">
        <v>253</v>
      </c>
      <c r="B32" s="3">
        <v>3</v>
      </c>
      <c r="C32" s="3">
        <v>5</v>
      </c>
      <c r="D32" s="3">
        <v>7</v>
      </c>
      <c r="E32" s="3">
        <v>7</v>
      </c>
      <c r="F32" s="3">
        <v>3</v>
      </c>
      <c r="G32" s="3">
        <v>2</v>
      </c>
      <c r="H32" s="5">
        <v>0</v>
      </c>
      <c r="I32" s="5">
        <v>5</v>
      </c>
      <c r="J32" s="5">
        <v>6</v>
      </c>
      <c r="K32" s="8">
        <f t="shared" si="1"/>
        <v>4.2222222222222223</v>
      </c>
      <c r="O32" s="9"/>
    </row>
    <row r="33" spans="1:15" ht="14.25" customHeight="1" x14ac:dyDescent="0.3">
      <c r="A33" s="3" t="s">
        <v>254</v>
      </c>
      <c r="B33" s="3">
        <v>10</v>
      </c>
      <c r="C33" s="3">
        <v>0</v>
      </c>
      <c r="D33" s="3">
        <v>2</v>
      </c>
      <c r="E33" s="3">
        <v>3</v>
      </c>
      <c r="F33" s="3">
        <v>4</v>
      </c>
      <c r="G33" s="3">
        <v>6</v>
      </c>
      <c r="H33" s="5">
        <v>2</v>
      </c>
      <c r="I33" s="5">
        <v>2</v>
      </c>
      <c r="J33" s="5">
        <v>1</v>
      </c>
      <c r="K33" s="8">
        <f t="shared" si="1"/>
        <v>3.3333333333333335</v>
      </c>
      <c r="O33" s="9"/>
    </row>
    <row r="34" spans="1:15" ht="14.25" customHeight="1" x14ac:dyDescent="0.3">
      <c r="A34" s="3" t="s">
        <v>255</v>
      </c>
      <c r="B34" s="3">
        <v>2</v>
      </c>
      <c r="C34" s="3">
        <v>3</v>
      </c>
      <c r="D34" s="3">
        <v>4</v>
      </c>
      <c r="E34" s="3">
        <v>8</v>
      </c>
      <c r="F34" s="3">
        <v>0</v>
      </c>
      <c r="G34" s="3">
        <v>2</v>
      </c>
      <c r="H34" s="5">
        <v>2</v>
      </c>
      <c r="I34" s="5">
        <v>4</v>
      </c>
      <c r="J34" s="5">
        <v>1</v>
      </c>
      <c r="K34" s="8">
        <f t="shared" si="1"/>
        <v>2.8888888888888888</v>
      </c>
      <c r="O34" s="9"/>
    </row>
    <row r="35" spans="1:15" ht="14.25" customHeight="1" x14ac:dyDescent="0.3">
      <c r="A35" s="3" t="s">
        <v>256</v>
      </c>
      <c r="B35" s="3">
        <v>9</v>
      </c>
      <c r="C35" s="3">
        <v>6</v>
      </c>
      <c r="D35" s="3">
        <v>10</v>
      </c>
      <c r="E35" s="3">
        <v>8</v>
      </c>
      <c r="F35" s="3">
        <v>3</v>
      </c>
      <c r="G35" s="3">
        <v>4</v>
      </c>
      <c r="H35" s="5">
        <v>3</v>
      </c>
      <c r="I35" s="5">
        <v>6</v>
      </c>
      <c r="J35" s="5">
        <v>4</v>
      </c>
      <c r="K35" s="8">
        <f t="shared" si="1"/>
        <v>5.8888888888888893</v>
      </c>
      <c r="O35" s="9"/>
    </row>
    <row r="36" spans="1:15" ht="14.25" customHeight="1" x14ac:dyDescent="0.3">
      <c r="A36" s="3" t="s">
        <v>257</v>
      </c>
      <c r="B36" s="3">
        <v>5</v>
      </c>
      <c r="C36" s="3">
        <v>15</v>
      </c>
      <c r="D36" s="3">
        <v>5</v>
      </c>
      <c r="E36" s="3">
        <v>14</v>
      </c>
      <c r="F36" s="3">
        <v>16</v>
      </c>
      <c r="G36" s="3">
        <v>10</v>
      </c>
      <c r="H36" s="5">
        <v>0</v>
      </c>
      <c r="I36" s="5">
        <v>15</v>
      </c>
      <c r="J36" s="5">
        <v>13</v>
      </c>
      <c r="K36" s="8">
        <f t="shared" si="1"/>
        <v>10.333333333333334</v>
      </c>
      <c r="O36" s="9"/>
    </row>
    <row r="37" spans="1:15" ht="14.25" customHeight="1" x14ac:dyDescent="0.3">
      <c r="A37" s="3" t="s">
        <v>258</v>
      </c>
      <c r="B37" s="3">
        <v>4</v>
      </c>
      <c r="C37" s="3">
        <v>8</v>
      </c>
      <c r="D37" s="3">
        <v>10</v>
      </c>
      <c r="E37" s="3">
        <v>11</v>
      </c>
      <c r="F37" s="3">
        <v>7</v>
      </c>
      <c r="G37" s="3">
        <v>5</v>
      </c>
      <c r="H37" s="5">
        <v>14</v>
      </c>
      <c r="I37" s="5">
        <v>10</v>
      </c>
      <c r="J37" s="5">
        <v>9</v>
      </c>
      <c r="K37" s="8">
        <f t="shared" si="1"/>
        <v>8.6666666666666661</v>
      </c>
      <c r="O37" s="9"/>
    </row>
    <row r="38" spans="1:15" ht="14.25" customHeight="1" x14ac:dyDescent="0.3">
      <c r="A38" s="3" t="s">
        <v>259</v>
      </c>
      <c r="B38" s="3">
        <v>19</v>
      </c>
      <c r="C38" s="3">
        <v>17</v>
      </c>
      <c r="D38" s="3">
        <v>11</v>
      </c>
      <c r="E38" s="3">
        <v>13</v>
      </c>
      <c r="F38" s="3">
        <v>17</v>
      </c>
      <c r="G38" s="3">
        <v>1</v>
      </c>
      <c r="H38" s="5">
        <v>14</v>
      </c>
      <c r="I38" s="5">
        <v>14</v>
      </c>
      <c r="J38" s="5">
        <v>7</v>
      </c>
      <c r="K38" s="8">
        <f t="shared" si="1"/>
        <v>12.555555555555555</v>
      </c>
      <c r="O38" s="9"/>
    </row>
    <row r="39" spans="1:15" ht="14.25" customHeight="1" x14ac:dyDescent="0.3">
      <c r="A39" s="3" t="s">
        <v>260</v>
      </c>
      <c r="B39" s="3">
        <v>17</v>
      </c>
      <c r="C39" s="3">
        <v>14</v>
      </c>
      <c r="D39" s="3">
        <v>19</v>
      </c>
      <c r="E39" s="3">
        <v>17</v>
      </c>
      <c r="F39" s="3">
        <v>16</v>
      </c>
      <c r="G39" s="3">
        <v>9</v>
      </c>
      <c r="H39" s="5">
        <v>19</v>
      </c>
      <c r="I39" s="5">
        <v>18</v>
      </c>
      <c r="J39" s="5">
        <v>6</v>
      </c>
      <c r="K39" s="8">
        <f t="shared" si="1"/>
        <v>15</v>
      </c>
      <c r="O39" s="9"/>
    </row>
    <row r="40" spans="1:15" ht="14.25" customHeight="1" x14ac:dyDescent="0.3">
      <c r="A40" s="3" t="s">
        <v>261</v>
      </c>
      <c r="B40" s="3">
        <v>12</v>
      </c>
      <c r="C40" s="3">
        <v>13</v>
      </c>
      <c r="D40" s="3">
        <v>27</v>
      </c>
      <c r="E40" s="3">
        <v>21</v>
      </c>
      <c r="F40" s="3">
        <v>30</v>
      </c>
      <c r="G40" s="3">
        <v>18</v>
      </c>
      <c r="H40" s="5">
        <v>26</v>
      </c>
      <c r="I40" s="5">
        <v>17</v>
      </c>
      <c r="J40" s="5">
        <v>28</v>
      </c>
      <c r="K40" s="8">
        <f t="shared" si="1"/>
        <v>21.333333333333332</v>
      </c>
      <c r="O40" s="9"/>
    </row>
    <row r="41" spans="1:15" ht="14.25" customHeight="1" x14ac:dyDescent="0.3">
      <c r="A41" s="3" t="s">
        <v>262</v>
      </c>
      <c r="B41" s="3">
        <v>24</v>
      </c>
      <c r="C41" s="3">
        <v>25</v>
      </c>
      <c r="D41" s="3">
        <v>27</v>
      </c>
      <c r="E41" s="3">
        <v>23</v>
      </c>
      <c r="F41" s="3">
        <v>23</v>
      </c>
      <c r="G41" s="3">
        <v>26</v>
      </c>
      <c r="H41" s="5">
        <v>26</v>
      </c>
      <c r="I41" s="5">
        <v>19</v>
      </c>
      <c r="J41" s="5">
        <v>22</v>
      </c>
      <c r="K41" s="8">
        <f t="shared" si="1"/>
        <v>23.888888888888889</v>
      </c>
      <c r="O41" s="9"/>
    </row>
    <row r="42" spans="1:15" ht="14.25" customHeight="1" x14ac:dyDescent="0.3">
      <c r="A42" s="3" t="s">
        <v>263</v>
      </c>
      <c r="B42" s="3">
        <v>14</v>
      </c>
      <c r="C42" s="3">
        <v>7</v>
      </c>
      <c r="D42" s="3">
        <v>13</v>
      </c>
      <c r="E42" s="3">
        <v>12</v>
      </c>
      <c r="F42" s="3">
        <v>15</v>
      </c>
      <c r="G42" s="3">
        <v>12</v>
      </c>
      <c r="H42" s="5">
        <v>8</v>
      </c>
      <c r="I42" s="5">
        <v>14</v>
      </c>
      <c r="J42" s="5">
        <v>7</v>
      </c>
      <c r="K42" s="8">
        <f t="shared" si="1"/>
        <v>11.333333333333334</v>
      </c>
      <c r="O42" s="9"/>
    </row>
    <row r="43" spans="1:15" ht="14.25" customHeight="1" x14ac:dyDescent="0.3">
      <c r="A43" s="3" t="s">
        <v>264</v>
      </c>
      <c r="B43" s="3">
        <v>1</v>
      </c>
      <c r="C43" s="3">
        <v>6</v>
      </c>
      <c r="D43" s="3">
        <v>6</v>
      </c>
      <c r="E43" s="3">
        <v>16</v>
      </c>
      <c r="F43" s="3">
        <v>11</v>
      </c>
      <c r="G43" s="3">
        <v>16</v>
      </c>
      <c r="H43" s="5">
        <v>18</v>
      </c>
      <c r="I43" s="5">
        <v>2</v>
      </c>
      <c r="J43" s="5">
        <v>7</v>
      </c>
      <c r="K43" s="8">
        <f t="shared" si="1"/>
        <v>9.2222222222222214</v>
      </c>
      <c r="O43" s="9"/>
    </row>
    <row r="44" spans="1:15" ht="14.25" customHeight="1" x14ac:dyDescent="0.3">
      <c r="A44" s="3" t="s">
        <v>265</v>
      </c>
      <c r="B44" s="3">
        <v>4</v>
      </c>
      <c r="C44" s="3">
        <v>4</v>
      </c>
      <c r="D44" s="3">
        <v>12</v>
      </c>
      <c r="E44" s="3">
        <v>10</v>
      </c>
      <c r="F44" s="3">
        <v>12</v>
      </c>
      <c r="G44" s="3">
        <v>8</v>
      </c>
      <c r="H44" s="5">
        <v>14</v>
      </c>
      <c r="I44" s="5">
        <v>9</v>
      </c>
      <c r="J44" s="5">
        <v>3</v>
      </c>
      <c r="K44" s="8">
        <f t="shared" si="1"/>
        <v>8.4444444444444446</v>
      </c>
      <c r="O44" s="9"/>
    </row>
    <row r="45" spans="1:15" ht="14.25" customHeight="1" x14ac:dyDescent="0.3">
      <c r="A45" s="3" t="s">
        <v>266</v>
      </c>
      <c r="B45" s="3">
        <v>11</v>
      </c>
      <c r="C45" s="3">
        <v>1</v>
      </c>
      <c r="D45" s="3">
        <v>11</v>
      </c>
      <c r="E45" s="3">
        <v>7</v>
      </c>
      <c r="F45" s="3">
        <v>15</v>
      </c>
      <c r="G45" s="3">
        <v>14</v>
      </c>
      <c r="H45" s="5">
        <v>5</v>
      </c>
      <c r="I45" s="5">
        <v>5</v>
      </c>
      <c r="J45" s="5">
        <v>14</v>
      </c>
      <c r="K45" s="8">
        <f t="shared" si="1"/>
        <v>9.2222222222222214</v>
      </c>
    </row>
    <row r="46" spans="1:15" ht="14.25" customHeight="1" x14ac:dyDescent="0.3">
      <c r="H46" s="5"/>
    </row>
    <row r="47" spans="1:15" ht="14.25" customHeight="1" x14ac:dyDescent="0.3"/>
    <row r="48" spans="1:15" ht="14.25" customHeight="1" x14ac:dyDescent="0.3">
      <c r="A48" s="4" t="s">
        <v>330</v>
      </c>
      <c r="B48" s="4" t="s">
        <v>343</v>
      </c>
    </row>
    <row r="49" spans="1:11" ht="14.25" customHeight="1" x14ac:dyDescent="0.3">
      <c r="A49" s="4" t="s">
        <v>232</v>
      </c>
      <c r="B49" s="20">
        <v>45939</v>
      </c>
      <c r="C49" s="20">
        <v>45946</v>
      </c>
      <c r="D49" s="20">
        <v>45953</v>
      </c>
      <c r="E49" s="20">
        <v>45960</v>
      </c>
      <c r="F49" s="20">
        <v>45967</v>
      </c>
      <c r="G49" s="20">
        <v>45974</v>
      </c>
      <c r="H49" s="20">
        <v>45981</v>
      </c>
      <c r="I49" s="20">
        <v>45988</v>
      </c>
      <c r="J49" s="20">
        <v>45995</v>
      </c>
      <c r="K49" s="4" t="s">
        <v>245</v>
      </c>
    </row>
    <row r="50" spans="1:11" ht="14.25" customHeight="1" x14ac:dyDescent="0.3">
      <c r="A50" s="3" t="s">
        <v>247</v>
      </c>
      <c r="B50" s="3">
        <v>8</v>
      </c>
      <c r="C50" s="3">
        <v>1</v>
      </c>
      <c r="D50" s="3">
        <v>1</v>
      </c>
      <c r="E50" s="3">
        <v>10</v>
      </c>
      <c r="F50" s="3">
        <v>9</v>
      </c>
      <c r="G50" s="3">
        <v>2</v>
      </c>
      <c r="H50" s="5">
        <v>8</v>
      </c>
      <c r="I50" s="5">
        <v>9</v>
      </c>
      <c r="J50" s="5">
        <v>0</v>
      </c>
      <c r="K50" s="8">
        <f t="shared" ref="K50:K69" si="2">AVERAGE(B50:J50)</f>
        <v>5.333333333333333</v>
      </c>
    </row>
    <row r="51" spans="1:11" ht="14.25" customHeight="1" x14ac:dyDescent="0.3">
      <c r="A51" s="3" t="s">
        <v>248</v>
      </c>
      <c r="B51" s="3">
        <v>8</v>
      </c>
      <c r="C51" s="3">
        <v>6</v>
      </c>
      <c r="D51" s="3">
        <v>1</v>
      </c>
      <c r="E51" s="3">
        <v>5</v>
      </c>
      <c r="F51" s="3">
        <v>0</v>
      </c>
      <c r="G51" s="3">
        <v>3</v>
      </c>
      <c r="H51" s="5">
        <v>1</v>
      </c>
      <c r="I51" s="5">
        <v>6</v>
      </c>
      <c r="J51" s="5">
        <v>1</v>
      </c>
      <c r="K51" s="8">
        <f t="shared" si="2"/>
        <v>3.4444444444444446</v>
      </c>
    </row>
    <row r="52" spans="1:11" ht="14.25" customHeight="1" x14ac:dyDescent="0.3">
      <c r="A52" s="3" t="s">
        <v>249</v>
      </c>
      <c r="B52" s="3">
        <v>7</v>
      </c>
      <c r="C52" s="3">
        <v>9</v>
      </c>
      <c r="D52" s="3">
        <v>3</v>
      </c>
      <c r="E52" s="3">
        <v>1</v>
      </c>
      <c r="F52" s="3">
        <v>13</v>
      </c>
      <c r="G52" s="3">
        <v>9</v>
      </c>
      <c r="H52" s="5">
        <v>14</v>
      </c>
      <c r="I52" s="5">
        <v>2</v>
      </c>
      <c r="J52" s="5">
        <v>5</v>
      </c>
      <c r="K52" s="8">
        <f t="shared" si="2"/>
        <v>7</v>
      </c>
    </row>
    <row r="53" spans="1:11" ht="14.25" customHeight="1" x14ac:dyDescent="0.3">
      <c r="A53" s="3" t="s">
        <v>250</v>
      </c>
      <c r="B53" s="3">
        <v>4</v>
      </c>
      <c r="C53" s="3">
        <v>1</v>
      </c>
      <c r="D53" s="3">
        <v>1</v>
      </c>
      <c r="E53" s="3">
        <v>2</v>
      </c>
      <c r="F53" s="3">
        <v>0</v>
      </c>
      <c r="G53" s="3">
        <v>2</v>
      </c>
      <c r="H53" s="5">
        <v>4</v>
      </c>
      <c r="I53" s="5">
        <v>0</v>
      </c>
      <c r="J53" s="5">
        <v>0</v>
      </c>
      <c r="K53" s="8">
        <f t="shared" si="2"/>
        <v>1.5555555555555556</v>
      </c>
    </row>
    <row r="54" spans="1:11" ht="14.25" customHeight="1" x14ac:dyDescent="0.3">
      <c r="A54" s="3" t="s">
        <v>251</v>
      </c>
      <c r="B54" s="3">
        <v>10</v>
      </c>
      <c r="C54" s="3">
        <v>11</v>
      </c>
      <c r="D54" s="3">
        <v>9</v>
      </c>
      <c r="E54" s="3">
        <v>6</v>
      </c>
      <c r="F54" s="3">
        <v>8</v>
      </c>
      <c r="G54" s="3">
        <v>1</v>
      </c>
      <c r="H54" s="5">
        <v>5</v>
      </c>
      <c r="I54" s="5">
        <v>11</v>
      </c>
      <c r="J54" s="5">
        <v>14</v>
      </c>
      <c r="K54" s="8">
        <f t="shared" si="2"/>
        <v>8.3333333333333339</v>
      </c>
    </row>
    <row r="55" spans="1:11" ht="14.25" customHeight="1" x14ac:dyDescent="0.3">
      <c r="A55" s="3" t="s">
        <v>252</v>
      </c>
      <c r="B55" s="3">
        <v>6</v>
      </c>
      <c r="C55" s="3">
        <v>6</v>
      </c>
      <c r="D55" s="3">
        <v>0</v>
      </c>
      <c r="E55" s="3">
        <v>4</v>
      </c>
      <c r="F55" s="3">
        <v>1</v>
      </c>
      <c r="G55" s="3">
        <v>9</v>
      </c>
      <c r="H55" s="5">
        <v>11</v>
      </c>
      <c r="I55" s="5">
        <v>12</v>
      </c>
      <c r="J55" s="5">
        <v>7</v>
      </c>
      <c r="K55" s="8">
        <f t="shared" si="2"/>
        <v>6.2222222222222223</v>
      </c>
    </row>
    <row r="56" spans="1:11" ht="14.25" customHeight="1" x14ac:dyDescent="0.3">
      <c r="A56" s="3" t="s">
        <v>253</v>
      </c>
      <c r="B56" s="3">
        <v>3</v>
      </c>
      <c r="C56" s="3">
        <v>9</v>
      </c>
      <c r="D56" s="3">
        <v>0</v>
      </c>
      <c r="E56" s="3">
        <v>6</v>
      </c>
      <c r="F56" s="3">
        <v>2</v>
      </c>
      <c r="G56" s="3">
        <v>10</v>
      </c>
      <c r="H56" s="5">
        <v>8</v>
      </c>
      <c r="I56" s="5">
        <v>2</v>
      </c>
      <c r="J56" s="5">
        <v>2</v>
      </c>
      <c r="K56" s="8">
        <f t="shared" si="2"/>
        <v>4.666666666666667</v>
      </c>
    </row>
    <row r="57" spans="1:11" ht="14.25" customHeight="1" x14ac:dyDescent="0.3">
      <c r="A57" s="3" t="s">
        <v>254</v>
      </c>
      <c r="B57" s="3">
        <v>6</v>
      </c>
      <c r="C57" s="3">
        <v>4</v>
      </c>
      <c r="D57" s="3">
        <v>8</v>
      </c>
      <c r="E57" s="3">
        <v>4</v>
      </c>
      <c r="F57" s="3">
        <v>7</v>
      </c>
      <c r="G57" s="3">
        <v>3</v>
      </c>
      <c r="H57" s="5">
        <v>11</v>
      </c>
      <c r="I57" s="5">
        <v>3</v>
      </c>
      <c r="J57" s="5">
        <v>1</v>
      </c>
      <c r="K57" s="8">
        <f t="shared" si="2"/>
        <v>5.2222222222222223</v>
      </c>
    </row>
    <row r="58" spans="1:11" ht="14.25" customHeight="1" x14ac:dyDescent="0.3">
      <c r="A58" s="3" t="s">
        <v>255</v>
      </c>
      <c r="B58" s="3">
        <v>2</v>
      </c>
      <c r="C58" s="3">
        <v>10</v>
      </c>
      <c r="D58" s="3">
        <v>0</v>
      </c>
      <c r="E58" s="3">
        <v>1</v>
      </c>
      <c r="F58" s="3">
        <v>0</v>
      </c>
      <c r="G58" s="3">
        <v>8</v>
      </c>
      <c r="H58" s="5">
        <v>1</v>
      </c>
      <c r="I58" s="5">
        <v>1</v>
      </c>
      <c r="J58" s="5">
        <v>1</v>
      </c>
      <c r="K58" s="8">
        <f t="shared" si="2"/>
        <v>2.6666666666666665</v>
      </c>
    </row>
    <row r="59" spans="1:11" ht="14.25" customHeight="1" x14ac:dyDescent="0.3">
      <c r="A59" s="3" t="s">
        <v>256</v>
      </c>
      <c r="B59" s="3">
        <v>12</v>
      </c>
      <c r="C59" s="3">
        <v>5</v>
      </c>
      <c r="D59" s="3">
        <v>1</v>
      </c>
      <c r="E59" s="3">
        <v>2</v>
      </c>
      <c r="F59" s="3">
        <v>0</v>
      </c>
      <c r="G59" s="3">
        <v>3</v>
      </c>
      <c r="H59" s="5">
        <v>15</v>
      </c>
      <c r="I59" s="5">
        <v>5</v>
      </c>
      <c r="J59" s="5">
        <v>2</v>
      </c>
      <c r="K59" s="8">
        <f t="shared" si="2"/>
        <v>5</v>
      </c>
    </row>
    <row r="60" spans="1:11" ht="14.25" customHeight="1" x14ac:dyDescent="0.3">
      <c r="A60" s="3" t="s">
        <v>257</v>
      </c>
      <c r="B60" s="3">
        <v>16</v>
      </c>
      <c r="C60" s="3">
        <v>12</v>
      </c>
      <c r="D60" s="3">
        <v>12</v>
      </c>
      <c r="E60" s="3">
        <v>12</v>
      </c>
      <c r="F60" s="3">
        <v>16</v>
      </c>
      <c r="G60" s="3">
        <v>11</v>
      </c>
      <c r="H60" s="5">
        <v>16</v>
      </c>
      <c r="I60" s="5">
        <v>10</v>
      </c>
      <c r="J60" s="5">
        <v>17</v>
      </c>
      <c r="K60" s="8">
        <f t="shared" si="2"/>
        <v>13.555555555555555</v>
      </c>
    </row>
    <row r="61" spans="1:11" ht="14.25" customHeight="1" x14ac:dyDescent="0.3">
      <c r="A61" s="3" t="s">
        <v>258</v>
      </c>
      <c r="B61" s="3">
        <v>2</v>
      </c>
      <c r="C61" s="3">
        <v>8</v>
      </c>
      <c r="D61" s="3">
        <v>5</v>
      </c>
      <c r="E61" s="3">
        <v>5</v>
      </c>
      <c r="F61" s="3">
        <v>13</v>
      </c>
      <c r="G61" s="3">
        <v>5</v>
      </c>
      <c r="H61" s="5">
        <v>10</v>
      </c>
      <c r="I61" s="5">
        <v>6</v>
      </c>
      <c r="J61" s="5">
        <v>9</v>
      </c>
      <c r="K61" s="8">
        <f t="shared" si="2"/>
        <v>7</v>
      </c>
    </row>
    <row r="62" spans="1:11" ht="14.25" customHeight="1" x14ac:dyDescent="0.3">
      <c r="A62" s="3" t="s">
        <v>259</v>
      </c>
      <c r="B62" s="3">
        <v>15</v>
      </c>
      <c r="C62" s="3">
        <v>15</v>
      </c>
      <c r="D62" s="3">
        <v>10</v>
      </c>
      <c r="E62" s="3">
        <v>16</v>
      </c>
      <c r="F62" s="3">
        <v>13</v>
      </c>
      <c r="G62" s="3">
        <v>12</v>
      </c>
      <c r="H62" s="5">
        <v>12</v>
      </c>
      <c r="I62" s="5">
        <v>7</v>
      </c>
      <c r="J62" s="5">
        <v>18</v>
      </c>
      <c r="K62" s="8">
        <f t="shared" si="2"/>
        <v>13.111111111111111</v>
      </c>
    </row>
    <row r="63" spans="1:11" ht="14.25" customHeight="1" x14ac:dyDescent="0.3">
      <c r="A63" s="3" t="s">
        <v>260</v>
      </c>
      <c r="B63" s="3">
        <v>18</v>
      </c>
      <c r="C63" s="3">
        <v>13</v>
      </c>
      <c r="D63" s="3">
        <v>13</v>
      </c>
      <c r="E63" s="3">
        <v>10</v>
      </c>
      <c r="F63" s="3">
        <v>17</v>
      </c>
      <c r="G63" s="3">
        <v>10</v>
      </c>
      <c r="H63" s="5">
        <v>16</v>
      </c>
      <c r="I63" s="5">
        <v>8</v>
      </c>
      <c r="J63" s="5">
        <v>8</v>
      </c>
      <c r="K63" s="8">
        <f t="shared" si="2"/>
        <v>12.555555555555555</v>
      </c>
    </row>
    <row r="64" spans="1:11" ht="14.25" customHeight="1" x14ac:dyDescent="0.3">
      <c r="A64" s="3" t="s">
        <v>261</v>
      </c>
      <c r="B64" s="3">
        <v>27</v>
      </c>
      <c r="C64" s="3">
        <v>18</v>
      </c>
      <c r="D64" s="3">
        <v>20</v>
      </c>
      <c r="E64" s="3">
        <v>24</v>
      </c>
      <c r="F64" s="3">
        <v>29</v>
      </c>
      <c r="G64" s="3">
        <v>13</v>
      </c>
      <c r="H64" s="5">
        <v>19</v>
      </c>
      <c r="I64" s="5">
        <v>31</v>
      </c>
      <c r="J64" s="5">
        <v>28</v>
      </c>
      <c r="K64" s="8">
        <f t="shared" si="2"/>
        <v>23.222222222222221</v>
      </c>
    </row>
    <row r="65" spans="1:11" ht="14.25" customHeight="1" x14ac:dyDescent="0.3">
      <c r="A65" s="3" t="s">
        <v>262</v>
      </c>
      <c r="B65" s="3">
        <v>19</v>
      </c>
      <c r="C65" s="3">
        <v>24</v>
      </c>
      <c r="D65" s="3">
        <v>23</v>
      </c>
      <c r="E65" s="3">
        <v>25</v>
      </c>
      <c r="F65" s="3">
        <v>25</v>
      </c>
      <c r="G65" s="3">
        <v>27</v>
      </c>
      <c r="H65" s="5">
        <v>27</v>
      </c>
      <c r="I65" s="5">
        <v>26</v>
      </c>
      <c r="J65" s="5">
        <v>21</v>
      </c>
      <c r="K65" s="8">
        <f t="shared" si="2"/>
        <v>24.111111111111111</v>
      </c>
    </row>
    <row r="66" spans="1:11" ht="14.25" customHeight="1" x14ac:dyDescent="0.3">
      <c r="A66" s="3" t="s">
        <v>263</v>
      </c>
      <c r="B66" s="3">
        <v>9</v>
      </c>
      <c r="C66" s="3">
        <v>9</v>
      </c>
      <c r="D66" s="3">
        <v>11</v>
      </c>
      <c r="E66" s="3">
        <v>12</v>
      </c>
      <c r="F66" s="3">
        <v>9</v>
      </c>
      <c r="G66" s="3">
        <v>14</v>
      </c>
      <c r="H66" s="5">
        <v>9</v>
      </c>
      <c r="I66" s="5">
        <v>15</v>
      </c>
      <c r="J66" s="5">
        <v>15</v>
      </c>
      <c r="K66" s="8">
        <f t="shared" si="2"/>
        <v>11.444444444444445</v>
      </c>
    </row>
    <row r="67" spans="1:11" ht="14.25" customHeight="1" x14ac:dyDescent="0.3">
      <c r="A67" s="3" t="s">
        <v>264</v>
      </c>
      <c r="B67" s="3">
        <v>5</v>
      </c>
      <c r="C67" s="3">
        <v>14</v>
      </c>
      <c r="D67" s="3">
        <v>7</v>
      </c>
      <c r="E67" s="3">
        <v>18</v>
      </c>
      <c r="F67" s="3">
        <v>4</v>
      </c>
      <c r="G67" s="3">
        <v>15</v>
      </c>
      <c r="H67" s="5">
        <v>17</v>
      </c>
      <c r="I67" s="5">
        <v>12</v>
      </c>
      <c r="J67" s="5">
        <v>8</v>
      </c>
      <c r="K67" s="8">
        <f t="shared" si="2"/>
        <v>11.111111111111111</v>
      </c>
    </row>
    <row r="68" spans="1:11" ht="14.25" customHeight="1" x14ac:dyDescent="0.3">
      <c r="A68" s="3" t="s">
        <v>265</v>
      </c>
      <c r="B68" s="3">
        <v>7</v>
      </c>
      <c r="C68" s="3">
        <v>6</v>
      </c>
      <c r="D68" s="3">
        <v>6</v>
      </c>
      <c r="E68" s="3">
        <v>5</v>
      </c>
      <c r="F68" s="3">
        <v>9</v>
      </c>
      <c r="G68" s="3">
        <v>4</v>
      </c>
      <c r="H68" s="5">
        <v>14</v>
      </c>
      <c r="I68" s="5">
        <v>4</v>
      </c>
      <c r="J68" s="5">
        <v>11</v>
      </c>
      <c r="K68" s="8">
        <f t="shared" si="2"/>
        <v>7.333333333333333</v>
      </c>
    </row>
    <row r="69" spans="1:11" ht="14.25" customHeight="1" x14ac:dyDescent="0.3">
      <c r="A69" s="3" t="s">
        <v>266</v>
      </c>
      <c r="B69" s="3">
        <v>8</v>
      </c>
      <c r="C69" s="3">
        <v>8</v>
      </c>
      <c r="D69" s="3">
        <v>6</v>
      </c>
      <c r="E69" s="3">
        <v>12</v>
      </c>
      <c r="F69" s="3">
        <v>8</v>
      </c>
      <c r="G69" s="3">
        <v>6</v>
      </c>
      <c r="H69" s="5">
        <v>6</v>
      </c>
      <c r="I69" s="5">
        <v>13</v>
      </c>
      <c r="J69" s="5">
        <v>10</v>
      </c>
      <c r="K69" s="8">
        <f t="shared" si="2"/>
        <v>8.5555555555555554</v>
      </c>
    </row>
    <row r="70" spans="1:11" ht="14.25" customHeight="1" x14ac:dyDescent="0.3"/>
    <row r="71" spans="1:11" ht="14.25" customHeight="1" x14ac:dyDescent="0.3"/>
    <row r="72" spans="1:11" ht="14.25" customHeight="1" x14ac:dyDescent="0.3">
      <c r="A72" s="4" t="s">
        <v>330</v>
      </c>
      <c r="B72" s="4" t="s">
        <v>344</v>
      </c>
    </row>
    <row r="73" spans="1:11" ht="14.25" customHeight="1" x14ac:dyDescent="0.3">
      <c r="A73" s="4" t="s">
        <v>232</v>
      </c>
      <c r="B73" s="20">
        <v>45940</v>
      </c>
      <c r="C73" s="20">
        <v>45947</v>
      </c>
      <c r="D73" s="20">
        <v>45954</v>
      </c>
      <c r="E73" s="20">
        <v>45961</v>
      </c>
      <c r="F73" s="20">
        <v>45968</v>
      </c>
      <c r="G73" s="20">
        <v>45975</v>
      </c>
      <c r="H73" s="20">
        <v>45982</v>
      </c>
      <c r="I73" s="20">
        <v>45989</v>
      </c>
      <c r="J73" s="20">
        <v>45996</v>
      </c>
      <c r="K73" s="4" t="s">
        <v>246</v>
      </c>
    </row>
    <row r="74" spans="1:11" ht="14.25" customHeight="1" x14ac:dyDescent="0.3">
      <c r="A74" s="3" t="s">
        <v>247</v>
      </c>
      <c r="B74" s="3">
        <v>5</v>
      </c>
      <c r="C74" s="3">
        <v>12</v>
      </c>
      <c r="D74" s="3">
        <v>6</v>
      </c>
      <c r="E74" s="3">
        <v>1</v>
      </c>
      <c r="F74" s="3">
        <v>0</v>
      </c>
      <c r="G74" s="3">
        <v>5</v>
      </c>
      <c r="H74" s="5">
        <v>11</v>
      </c>
      <c r="I74" s="5">
        <v>11</v>
      </c>
      <c r="J74" s="5">
        <v>7</v>
      </c>
      <c r="K74" s="8">
        <f t="shared" ref="K74:K93" si="3">AVERAGE(B74:J74)</f>
        <v>6.4444444444444446</v>
      </c>
    </row>
    <row r="75" spans="1:11" ht="14.25" customHeight="1" x14ac:dyDescent="0.3">
      <c r="A75" s="3" t="s">
        <v>248</v>
      </c>
      <c r="B75" s="3">
        <v>8</v>
      </c>
      <c r="C75" s="3">
        <v>3</v>
      </c>
      <c r="D75" s="3">
        <v>3</v>
      </c>
      <c r="E75" s="3">
        <v>2</v>
      </c>
      <c r="F75" s="3">
        <v>0</v>
      </c>
      <c r="G75" s="3">
        <v>14</v>
      </c>
      <c r="H75" s="5">
        <v>6</v>
      </c>
      <c r="I75" s="5">
        <v>3</v>
      </c>
      <c r="J75" s="5">
        <v>1</v>
      </c>
      <c r="K75" s="8">
        <f t="shared" si="3"/>
        <v>4.4444444444444446</v>
      </c>
    </row>
    <row r="76" spans="1:11" ht="14.25" customHeight="1" x14ac:dyDescent="0.3">
      <c r="A76" s="3" t="s">
        <v>249</v>
      </c>
      <c r="B76" s="3">
        <v>6</v>
      </c>
      <c r="C76" s="3">
        <v>10</v>
      </c>
      <c r="D76" s="3">
        <v>3</v>
      </c>
      <c r="E76" s="3">
        <v>7</v>
      </c>
      <c r="F76" s="3">
        <v>1</v>
      </c>
      <c r="G76" s="3">
        <v>10</v>
      </c>
      <c r="H76" s="5">
        <v>4</v>
      </c>
      <c r="I76" s="5">
        <v>4</v>
      </c>
      <c r="J76" s="5">
        <v>5</v>
      </c>
      <c r="K76" s="8">
        <f t="shared" si="3"/>
        <v>5.5555555555555554</v>
      </c>
    </row>
    <row r="77" spans="1:11" ht="14.25" customHeight="1" x14ac:dyDescent="0.3">
      <c r="A77" s="3" t="s">
        <v>250</v>
      </c>
      <c r="B77" s="3">
        <v>4</v>
      </c>
      <c r="C77" s="3">
        <v>1</v>
      </c>
      <c r="D77" s="3">
        <v>3</v>
      </c>
      <c r="E77" s="3">
        <v>1</v>
      </c>
      <c r="F77" s="3">
        <v>2</v>
      </c>
      <c r="G77" s="3">
        <v>7</v>
      </c>
      <c r="H77" s="5">
        <v>2</v>
      </c>
      <c r="I77" s="5">
        <v>7</v>
      </c>
      <c r="J77" s="5">
        <v>1</v>
      </c>
      <c r="K77" s="8">
        <f t="shared" si="3"/>
        <v>3.1111111111111112</v>
      </c>
    </row>
    <row r="78" spans="1:11" ht="14.25" customHeight="1" x14ac:dyDescent="0.3">
      <c r="A78" s="3" t="s">
        <v>251</v>
      </c>
      <c r="B78" s="3">
        <v>10</v>
      </c>
      <c r="C78" s="3">
        <v>3</v>
      </c>
      <c r="D78" s="3">
        <v>10</v>
      </c>
      <c r="E78" s="3">
        <v>5</v>
      </c>
      <c r="F78" s="3">
        <v>11</v>
      </c>
      <c r="G78" s="3">
        <v>12</v>
      </c>
      <c r="H78" s="5">
        <v>14</v>
      </c>
      <c r="I78" s="5">
        <v>10</v>
      </c>
      <c r="J78" s="5">
        <v>8</v>
      </c>
      <c r="K78" s="8">
        <f t="shared" si="3"/>
        <v>9.2222222222222214</v>
      </c>
    </row>
    <row r="79" spans="1:11" ht="14.25" customHeight="1" x14ac:dyDescent="0.3">
      <c r="A79" s="3" t="s">
        <v>252</v>
      </c>
      <c r="B79" s="3">
        <v>11</v>
      </c>
      <c r="C79" s="3">
        <v>10</v>
      </c>
      <c r="D79" s="3">
        <v>2</v>
      </c>
      <c r="E79" s="3">
        <v>6</v>
      </c>
      <c r="F79" s="3">
        <v>7</v>
      </c>
      <c r="G79" s="3">
        <v>5</v>
      </c>
      <c r="H79" s="5">
        <v>9</v>
      </c>
      <c r="I79" s="5">
        <v>10</v>
      </c>
      <c r="J79" s="5">
        <v>13</v>
      </c>
      <c r="K79" s="8">
        <f t="shared" si="3"/>
        <v>8.1111111111111107</v>
      </c>
    </row>
    <row r="80" spans="1:11" ht="14.25" customHeight="1" x14ac:dyDescent="0.3">
      <c r="A80" s="3" t="s">
        <v>253</v>
      </c>
      <c r="B80" s="3">
        <v>13</v>
      </c>
      <c r="C80" s="3">
        <v>4</v>
      </c>
      <c r="D80" s="3">
        <v>7</v>
      </c>
      <c r="E80" s="3">
        <v>1</v>
      </c>
      <c r="F80" s="3">
        <v>6</v>
      </c>
      <c r="G80" s="3">
        <v>8</v>
      </c>
      <c r="H80" s="5">
        <v>3</v>
      </c>
      <c r="I80" s="5">
        <v>5</v>
      </c>
      <c r="J80" s="5">
        <v>8</v>
      </c>
      <c r="K80" s="8">
        <f t="shared" si="3"/>
        <v>6.1111111111111107</v>
      </c>
    </row>
    <row r="81" spans="1:11" ht="14.25" customHeight="1" x14ac:dyDescent="0.3">
      <c r="A81" s="3" t="s">
        <v>254</v>
      </c>
      <c r="B81" s="3">
        <v>13</v>
      </c>
      <c r="C81" s="3">
        <v>4</v>
      </c>
      <c r="D81" s="3">
        <v>3</v>
      </c>
      <c r="E81" s="3">
        <v>13</v>
      </c>
      <c r="F81" s="3">
        <v>1</v>
      </c>
      <c r="G81" s="3">
        <v>5</v>
      </c>
      <c r="H81" s="5">
        <v>12</v>
      </c>
      <c r="I81" s="5">
        <v>7</v>
      </c>
      <c r="J81" s="5">
        <v>1</v>
      </c>
      <c r="K81" s="8">
        <f t="shared" si="3"/>
        <v>6.5555555555555554</v>
      </c>
    </row>
    <row r="82" spans="1:11" ht="14.25" customHeight="1" x14ac:dyDescent="0.3">
      <c r="A82" s="3" t="s">
        <v>255</v>
      </c>
      <c r="B82" s="3">
        <v>4</v>
      </c>
      <c r="C82" s="3">
        <v>9</v>
      </c>
      <c r="D82" s="3">
        <v>4</v>
      </c>
      <c r="E82" s="3">
        <v>1</v>
      </c>
      <c r="F82" s="3">
        <v>2</v>
      </c>
      <c r="G82" s="3">
        <v>8</v>
      </c>
      <c r="H82" s="5">
        <v>8</v>
      </c>
      <c r="I82" s="5">
        <v>2</v>
      </c>
      <c r="J82" s="5">
        <v>1</v>
      </c>
      <c r="K82" s="8">
        <f t="shared" si="3"/>
        <v>4.333333333333333</v>
      </c>
    </row>
    <row r="83" spans="1:11" ht="14.25" customHeight="1" x14ac:dyDescent="0.3">
      <c r="A83" s="3" t="s">
        <v>256</v>
      </c>
      <c r="B83" s="3">
        <v>3</v>
      </c>
      <c r="C83" s="3">
        <v>9</v>
      </c>
      <c r="D83" s="3">
        <v>9</v>
      </c>
      <c r="E83" s="3">
        <v>6</v>
      </c>
      <c r="F83" s="3">
        <v>6</v>
      </c>
      <c r="G83" s="3">
        <v>4</v>
      </c>
      <c r="H83" s="5">
        <v>11</v>
      </c>
      <c r="I83" s="5">
        <v>1</v>
      </c>
      <c r="J83" s="5">
        <v>12</v>
      </c>
      <c r="K83" s="8">
        <f t="shared" si="3"/>
        <v>6.7777777777777777</v>
      </c>
    </row>
    <row r="84" spans="1:11" ht="14.25" customHeight="1" x14ac:dyDescent="0.3">
      <c r="A84" s="3" t="s">
        <v>257</v>
      </c>
      <c r="B84" s="3">
        <v>11</v>
      </c>
      <c r="C84" s="3">
        <v>7</v>
      </c>
      <c r="D84" s="3">
        <v>8</v>
      </c>
      <c r="E84" s="3">
        <v>13</v>
      </c>
      <c r="F84" s="3">
        <v>7</v>
      </c>
      <c r="G84" s="3">
        <v>15</v>
      </c>
      <c r="H84" s="5">
        <v>6</v>
      </c>
      <c r="I84" s="5">
        <v>11</v>
      </c>
      <c r="J84" s="5">
        <v>11</v>
      </c>
      <c r="K84" s="8">
        <f t="shared" si="3"/>
        <v>9.8888888888888893</v>
      </c>
    </row>
    <row r="85" spans="1:11" ht="14.25" customHeight="1" x14ac:dyDescent="0.3">
      <c r="A85" s="3" t="s">
        <v>258</v>
      </c>
      <c r="B85" s="3">
        <v>12</v>
      </c>
      <c r="C85" s="3">
        <v>9</v>
      </c>
      <c r="D85" s="3">
        <v>6</v>
      </c>
      <c r="E85" s="3">
        <v>13</v>
      </c>
      <c r="F85" s="3">
        <v>15</v>
      </c>
      <c r="G85" s="3">
        <v>8</v>
      </c>
      <c r="H85" s="5">
        <v>1</v>
      </c>
      <c r="I85" s="5">
        <v>4</v>
      </c>
      <c r="J85" s="5">
        <v>12</v>
      </c>
      <c r="K85" s="8">
        <f t="shared" si="3"/>
        <v>8.8888888888888893</v>
      </c>
    </row>
    <row r="86" spans="1:11" ht="14.25" customHeight="1" x14ac:dyDescent="0.3">
      <c r="A86" s="3" t="s">
        <v>259</v>
      </c>
      <c r="B86" s="3">
        <v>14</v>
      </c>
      <c r="C86" s="3">
        <v>18</v>
      </c>
      <c r="D86" s="3">
        <v>10</v>
      </c>
      <c r="E86" s="3">
        <v>15</v>
      </c>
      <c r="F86" s="3">
        <v>15</v>
      </c>
      <c r="G86" s="3">
        <v>6</v>
      </c>
      <c r="H86" s="5">
        <v>12</v>
      </c>
      <c r="I86" s="5">
        <v>16</v>
      </c>
      <c r="J86" s="5">
        <v>16</v>
      </c>
      <c r="K86" s="8">
        <f t="shared" si="3"/>
        <v>13.555555555555555</v>
      </c>
    </row>
    <row r="87" spans="1:11" ht="14.25" customHeight="1" x14ac:dyDescent="0.3">
      <c r="A87" s="3" t="s">
        <v>260</v>
      </c>
      <c r="B87" s="3">
        <v>15</v>
      </c>
      <c r="C87" s="3">
        <v>18</v>
      </c>
      <c r="D87" s="3">
        <v>9</v>
      </c>
      <c r="E87" s="3">
        <v>13</v>
      </c>
      <c r="F87" s="3">
        <v>17</v>
      </c>
      <c r="G87" s="3">
        <v>10</v>
      </c>
      <c r="H87" s="5">
        <v>16</v>
      </c>
      <c r="I87" s="5">
        <v>14</v>
      </c>
      <c r="J87" s="5">
        <v>16</v>
      </c>
      <c r="K87" s="8">
        <f t="shared" si="3"/>
        <v>14.222222222222221</v>
      </c>
    </row>
    <row r="88" spans="1:11" ht="14.25" customHeight="1" x14ac:dyDescent="0.3">
      <c r="A88" s="3" t="s">
        <v>261</v>
      </c>
      <c r="B88" s="3">
        <v>15</v>
      </c>
      <c r="C88" s="3">
        <v>17</v>
      </c>
      <c r="D88" s="3">
        <v>15</v>
      </c>
      <c r="E88" s="3">
        <v>21</v>
      </c>
      <c r="F88" s="3">
        <v>25</v>
      </c>
      <c r="G88" s="3">
        <v>18</v>
      </c>
      <c r="H88" s="5">
        <v>28</v>
      </c>
      <c r="I88" s="5">
        <v>17</v>
      </c>
      <c r="J88" s="5">
        <v>10</v>
      </c>
      <c r="K88" s="8">
        <f t="shared" si="3"/>
        <v>18.444444444444443</v>
      </c>
    </row>
    <row r="89" spans="1:11" ht="14.25" customHeight="1" x14ac:dyDescent="0.3">
      <c r="A89" s="3" t="s">
        <v>262</v>
      </c>
      <c r="B89" s="3">
        <v>24</v>
      </c>
      <c r="C89" s="3">
        <v>24</v>
      </c>
      <c r="D89" s="3">
        <v>26</v>
      </c>
      <c r="E89" s="3">
        <v>18</v>
      </c>
      <c r="F89" s="3">
        <v>23</v>
      </c>
      <c r="G89" s="3">
        <v>26</v>
      </c>
      <c r="H89" s="5">
        <v>23</v>
      </c>
      <c r="I89" s="5">
        <v>26</v>
      </c>
      <c r="J89" s="5">
        <v>26</v>
      </c>
      <c r="K89" s="8">
        <f t="shared" si="3"/>
        <v>24</v>
      </c>
    </row>
    <row r="90" spans="1:11" ht="14.25" customHeight="1" x14ac:dyDescent="0.3">
      <c r="A90" s="3" t="s">
        <v>263</v>
      </c>
      <c r="B90" s="3">
        <v>7</v>
      </c>
      <c r="C90" s="3">
        <v>13</v>
      </c>
      <c r="D90" s="3">
        <v>14</v>
      </c>
      <c r="E90" s="3">
        <v>13</v>
      </c>
      <c r="F90" s="3">
        <v>9</v>
      </c>
      <c r="G90" s="3">
        <v>9</v>
      </c>
      <c r="H90" s="5">
        <v>9</v>
      </c>
      <c r="I90" s="5">
        <v>15</v>
      </c>
      <c r="J90" s="5">
        <v>14</v>
      </c>
      <c r="K90" s="8">
        <f t="shared" si="3"/>
        <v>11.444444444444445</v>
      </c>
    </row>
    <row r="91" spans="1:11" ht="14.25" customHeight="1" x14ac:dyDescent="0.3">
      <c r="A91" s="3" t="s">
        <v>264</v>
      </c>
      <c r="B91" s="3">
        <v>13</v>
      </c>
      <c r="C91" s="3">
        <v>17</v>
      </c>
      <c r="D91" s="3">
        <v>7</v>
      </c>
      <c r="E91" s="3">
        <v>17</v>
      </c>
      <c r="F91" s="3">
        <v>11</v>
      </c>
      <c r="G91" s="3">
        <v>14</v>
      </c>
      <c r="H91" s="5">
        <v>15</v>
      </c>
      <c r="I91" s="5">
        <v>7</v>
      </c>
      <c r="J91" s="5">
        <v>13</v>
      </c>
      <c r="K91" s="8">
        <f t="shared" si="3"/>
        <v>12.666666666666666</v>
      </c>
    </row>
    <row r="92" spans="1:11" ht="14.25" customHeight="1" x14ac:dyDescent="0.3">
      <c r="A92" s="3" t="s">
        <v>265</v>
      </c>
      <c r="B92" s="3">
        <v>14</v>
      </c>
      <c r="C92" s="3">
        <v>6</v>
      </c>
      <c r="D92" s="3">
        <v>10</v>
      </c>
      <c r="E92" s="3">
        <v>13</v>
      </c>
      <c r="F92" s="3">
        <v>11</v>
      </c>
      <c r="G92" s="3">
        <v>8</v>
      </c>
      <c r="H92" s="5">
        <v>13</v>
      </c>
      <c r="I92" s="5">
        <v>9</v>
      </c>
      <c r="J92" s="5">
        <v>14</v>
      </c>
      <c r="K92" s="8">
        <f t="shared" si="3"/>
        <v>10.888888888888889</v>
      </c>
    </row>
    <row r="93" spans="1:11" ht="14.25" customHeight="1" x14ac:dyDescent="0.3">
      <c r="A93" s="3" t="s">
        <v>266</v>
      </c>
      <c r="B93" s="3">
        <v>12</v>
      </c>
      <c r="C93" s="3">
        <v>11</v>
      </c>
      <c r="D93" s="3">
        <v>12</v>
      </c>
      <c r="E93" s="3">
        <v>11</v>
      </c>
      <c r="F93" s="3">
        <v>12</v>
      </c>
      <c r="G93" s="3">
        <v>13</v>
      </c>
      <c r="H93" s="5">
        <v>10</v>
      </c>
      <c r="I93" s="5">
        <v>10</v>
      </c>
      <c r="J93" s="5">
        <v>15</v>
      </c>
      <c r="K93" s="8">
        <f t="shared" si="3"/>
        <v>11.777777777777779</v>
      </c>
    </row>
    <row r="94" spans="1:11" ht="14.25" customHeight="1" x14ac:dyDescent="0.3"/>
    <row r="95" spans="1:11" ht="14.25" customHeight="1" x14ac:dyDescent="0.3"/>
    <row r="96" spans="1:11" ht="14.25" customHeight="1" x14ac:dyDescent="0.3">
      <c r="A96" s="4" t="s">
        <v>330</v>
      </c>
      <c r="B96" s="4" t="s">
        <v>345</v>
      </c>
      <c r="E96" s="3" t="s">
        <v>346</v>
      </c>
    </row>
    <row r="97" spans="1:11" ht="14.25" customHeight="1" x14ac:dyDescent="0.3">
      <c r="A97" s="4" t="s">
        <v>232</v>
      </c>
      <c r="B97" s="20">
        <v>45941</v>
      </c>
      <c r="C97" s="20">
        <v>45948</v>
      </c>
      <c r="D97" s="20">
        <v>45955</v>
      </c>
      <c r="E97" s="20">
        <v>45962</v>
      </c>
      <c r="F97" s="20">
        <v>45969</v>
      </c>
      <c r="G97" s="20">
        <v>45976</v>
      </c>
      <c r="H97" s="20">
        <v>45983</v>
      </c>
      <c r="I97" s="20">
        <v>45990</v>
      </c>
      <c r="J97" s="20">
        <v>45997</v>
      </c>
      <c r="K97" s="4" t="s">
        <v>233</v>
      </c>
    </row>
    <row r="98" spans="1:11" ht="14.25" customHeight="1" x14ac:dyDescent="0.3">
      <c r="A98" s="3" t="s">
        <v>247</v>
      </c>
      <c r="B98" s="3">
        <v>1</v>
      </c>
      <c r="C98" s="3">
        <v>9</v>
      </c>
      <c r="D98" s="3">
        <v>6</v>
      </c>
      <c r="E98" s="3">
        <v>9</v>
      </c>
      <c r="F98" s="3">
        <v>0</v>
      </c>
      <c r="G98" s="3">
        <v>8</v>
      </c>
      <c r="H98" s="5">
        <v>5</v>
      </c>
      <c r="I98" s="5">
        <v>5</v>
      </c>
      <c r="J98" s="5">
        <v>6</v>
      </c>
      <c r="K98" s="22">
        <f t="shared" ref="K98:K117" si="4">AVERAGE(B98:J98)</f>
        <v>5.4444444444444446</v>
      </c>
    </row>
    <row r="99" spans="1:11" ht="14.25" customHeight="1" x14ac:dyDescent="0.3">
      <c r="A99" s="3" t="s">
        <v>248</v>
      </c>
      <c r="B99" s="3">
        <v>7</v>
      </c>
      <c r="C99" s="3">
        <v>5</v>
      </c>
      <c r="D99" s="3">
        <v>1</v>
      </c>
      <c r="E99" s="3">
        <v>4</v>
      </c>
      <c r="F99" s="3">
        <v>0</v>
      </c>
      <c r="G99" s="3">
        <v>3</v>
      </c>
      <c r="H99" s="5">
        <v>1</v>
      </c>
      <c r="I99" s="5">
        <v>2</v>
      </c>
      <c r="J99" s="5">
        <v>0</v>
      </c>
      <c r="K99" s="22">
        <f t="shared" si="4"/>
        <v>2.5555555555555554</v>
      </c>
    </row>
    <row r="100" spans="1:11" ht="14.25" customHeight="1" x14ac:dyDescent="0.3">
      <c r="A100" s="3" t="s">
        <v>249</v>
      </c>
      <c r="B100" s="3">
        <v>13</v>
      </c>
      <c r="C100" s="3">
        <v>9</v>
      </c>
      <c r="D100" s="3">
        <v>3</v>
      </c>
      <c r="E100" s="3">
        <v>6</v>
      </c>
      <c r="F100" s="3">
        <v>9</v>
      </c>
      <c r="G100" s="3">
        <v>5</v>
      </c>
      <c r="H100" s="5">
        <v>5</v>
      </c>
      <c r="I100" s="5">
        <v>11</v>
      </c>
      <c r="J100" s="5">
        <v>7</v>
      </c>
      <c r="K100" s="22">
        <f t="shared" si="4"/>
        <v>7.5555555555555554</v>
      </c>
    </row>
    <row r="101" spans="1:11" ht="14.25" customHeight="1" x14ac:dyDescent="0.3">
      <c r="A101" s="3" t="s">
        <v>250</v>
      </c>
      <c r="B101" s="3">
        <v>7</v>
      </c>
      <c r="C101" s="3">
        <v>6</v>
      </c>
      <c r="D101" s="3">
        <v>7</v>
      </c>
      <c r="E101" s="3">
        <v>3</v>
      </c>
      <c r="F101" s="3">
        <v>7</v>
      </c>
      <c r="G101" s="3">
        <v>5</v>
      </c>
      <c r="H101" s="5">
        <v>1</v>
      </c>
      <c r="I101" s="5">
        <v>2</v>
      </c>
      <c r="J101" s="5">
        <v>8</v>
      </c>
      <c r="K101" s="22">
        <f t="shared" si="4"/>
        <v>5.1111111111111107</v>
      </c>
    </row>
    <row r="102" spans="1:11" ht="14.25" customHeight="1" x14ac:dyDescent="0.3">
      <c r="A102" s="3" t="s">
        <v>251</v>
      </c>
      <c r="B102" s="3">
        <v>7</v>
      </c>
      <c r="C102" s="3">
        <v>4</v>
      </c>
      <c r="D102" s="3">
        <v>1</v>
      </c>
      <c r="E102" s="3">
        <v>1</v>
      </c>
      <c r="F102" s="3">
        <v>3</v>
      </c>
      <c r="G102" s="3">
        <v>1</v>
      </c>
      <c r="H102" s="5">
        <v>1</v>
      </c>
      <c r="I102" s="5">
        <v>5</v>
      </c>
      <c r="J102" s="5">
        <v>7</v>
      </c>
      <c r="K102" s="22">
        <f t="shared" si="4"/>
        <v>3.3333333333333335</v>
      </c>
    </row>
    <row r="103" spans="1:11" ht="14.25" customHeight="1" x14ac:dyDescent="0.3">
      <c r="A103" s="3" t="s">
        <v>252</v>
      </c>
      <c r="B103" s="3">
        <v>12</v>
      </c>
      <c r="C103" s="3">
        <v>3</v>
      </c>
      <c r="D103" s="3">
        <v>2</v>
      </c>
      <c r="E103" s="3">
        <v>5</v>
      </c>
      <c r="F103" s="3">
        <v>1</v>
      </c>
      <c r="G103" s="3">
        <v>3</v>
      </c>
      <c r="H103" s="5">
        <v>11</v>
      </c>
      <c r="I103" s="5">
        <v>9</v>
      </c>
      <c r="J103" s="5">
        <v>4</v>
      </c>
      <c r="K103" s="22">
        <f t="shared" si="4"/>
        <v>5.5555555555555554</v>
      </c>
    </row>
    <row r="104" spans="1:11" ht="14.25" customHeight="1" x14ac:dyDescent="0.3">
      <c r="A104" s="3" t="s">
        <v>253</v>
      </c>
      <c r="B104" s="3">
        <v>6</v>
      </c>
      <c r="C104" s="3">
        <v>0</v>
      </c>
      <c r="D104" s="3">
        <v>0</v>
      </c>
      <c r="E104" s="3">
        <v>3</v>
      </c>
      <c r="F104" s="3">
        <v>4</v>
      </c>
      <c r="G104" s="3">
        <v>7</v>
      </c>
      <c r="H104" s="5">
        <v>10</v>
      </c>
      <c r="I104" s="5">
        <v>10</v>
      </c>
      <c r="J104" s="5">
        <v>2</v>
      </c>
      <c r="K104" s="22">
        <f t="shared" si="4"/>
        <v>4.666666666666667</v>
      </c>
    </row>
    <row r="105" spans="1:11" ht="14.25" customHeight="1" x14ac:dyDescent="0.3">
      <c r="A105" s="3" t="s">
        <v>254</v>
      </c>
      <c r="B105" s="3">
        <v>3</v>
      </c>
      <c r="C105" s="3">
        <v>3</v>
      </c>
      <c r="D105" s="3">
        <v>2</v>
      </c>
      <c r="E105" s="3">
        <v>12</v>
      </c>
      <c r="F105" s="3">
        <v>8</v>
      </c>
      <c r="G105" s="3">
        <v>4</v>
      </c>
      <c r="H105" s="5">
        <v>7</v>
      </c>
      <c r="I105" s="5">
        <v>3</v>
      </c>
      <c r="J105" s="5">
        <v>13</v>
      </c>
      <c r="K105" s="22">
        <f t="shared" si="4"/>
        <v>6.1111111111111107</v>
      </c>
    </row>
    <row r="106" spans="1:11" ht="14.25" customHeight="1" x14ac:dyDescent="0.3">
      <c r="A106" s="3" t="s">
        <v>255</v>
      </c>
      <c r="B106" s="3">
        <v>6</v>
      </c>
      <c r="C106" s="3">
        <v>2</v>
      </c>
      <c r="D106" s="3">
        <v>1</v>
      </c>
      <c r="E106" s="3">
        <v>0</v>
      </c>
      <c r="F106" s="3">
        <v>1</v>
      </c>
      <c r="G106" s="3">
        <v>2</v>
      </c>
      <c r="H106" s="5">
        <v>0</v>
      </c>
      <c r="I106" s="5">
        <v>1</v>
      </c>
      <c r="J106" s="5">
        <v>6</v>
      </c>
      <c r="K106" s="22">
        <f t="shared" si="4"/>
        <v>2.1111111111111112</v>
      </c>
    </row>
    <row r="107" spans="1:11" ht="14.25" customHeight="1" x14ac:dyDescent="0.3">
      <c r="A107" s="3" t="s">
        <v>256</v>
      </c>
      <c r="B107" s="3">
        <v>7</v>
      </c>
      <c r="C107" s="3">
        <v>3</v>
      </c>
      <c r="D107" s="3">
        <v>2</v>
      </c>
      <c r="E107" s="3">
        <v>2</v>
      </c>
      <c r="F107" s="3">
        <v>4</v>
      </c>
      <c r="G107" s="3">
        <v>4</v>
      </c>
      <c r="H107" s="5">
        <v>7</v>
      </c>
      <c r="I107" s="5">
        <v>9</v>
      </c>
      <c r="J107" s="5">
        <v>4</v>
      </c>
      <c r="K107" s="22">
        <f t="shared" si="4"/>
        <v>4.666666666666667</v>
      </c>
    </row>
    <row r="108" spans="1:11" ht="14.25" customHeight="1" x14ac:dyDescent="0.3">
      <c r="A108" s="3" t="s">
        <v>257</v>
      </c>
      <c r="B108" s="3">
        <v>12</v>
      </c>
      <c r="C108" s="3">
        <v>13</v>
      </c>
      <c r="D108" s="3">
        <v>14</v>
      </c>
      <c r="E108" s="3">
        <v>17</v>
      </c>
      <c r="F108" s="3">
        <v>7</v>
      </c>
      <c r="G108" s="3">
        <v>6</v>
      </c>
      <c r="H108" s="5">
        <v>6</v>
      </c>
      <c r="I108" s="5">
        <v>6</v>
      </c>
      <c r="J108" s="5">
        <v>14</v>
      </c>
      <c r="K108" s="22">
        <f t="shared" si="4"/>
        <v>10.555555555555555</v>
      </c>
    </row>
    <row r="109" spans="1:11" ht="14.25" customHeight="1" x14ac:dyDescent="0.3">
      <c r="A109" s="3" t="s">
        <v>258</v>
      </c>
      <c r="B109" s="3">
        <v>11</v>
      </c>
      <c r="C109" s="3">
        <v>15</v>
      </c>
      <c r="D109" s="3">
        <v>8</v>
      </c>
      <c r="E109" s="3">
        <v>13</v>
      </c>
      <c r="F109" s="3">
        <v>15</v>
      </c>
      <c r="G109" s="3">
        <v>10</v>
      </c>
      <c r="H109" s="5">
        <v>4</v>
      </c>
      <c r="I109" s="5">
        <v>8</v>
      </c>
      <c r="J109" s="5">
        <v>9</v>
      </c>
      <c r="K109" s="22">
        <f t="shared" si="4"/>
        <v>10.333333333333334</v>
      </c>
    </row>
    <row r="110" spans="1:11" ht="14.25" customHeight="1" x14ac:dyDescent="0.3">
      <c r="A110" s="3" t="s">
        <v>259</v>
      </c>
      <c r="B110" s="3">
        <v>19</v>
      </c>
      <c r="C110" s="3">
        <v>19</v>
      </c>
      <c r="D110" s="3">
        <v>18</v>
      </c>
      <c r="E110" s="3">
        <v>19</v>
      </c>
      <c r="F110" s="3">
        <v>17</v>
      </c>
      <c r="G110" s="3">
        <v>11</v>
      </c>
      <c r="H110" s="5">
        <v>12</v>
      </c>
      <c r="I110" s="5">
        <v>9</v>
      </c>
      <c r="J110" s="5">
        <v>19</v>
      </c>
      <c r="K110" s="22">
        <f t="shared" si="4"/>
        <v>15.888888888888889</v>
      </c>
    </row>
    <row r="111" spans="1:11" ht="14.25" customHeight="1" x14ac:dyDescent="0.3">
      <c r="A111" s="3" t="s">
        <v>260</v>
      </c>
      <c r="B111" s="3">
        <v>5</v>
      </c>
      <c r="C111" s="3">
        <v>16</v>
      </c>
      <c r="D111" s="3">
        <v>9</v>
      </c>
      <c r="E111" s="3">
        <v>18</v>
      </c>
      <c r="F111" s="3">
        <v>15</v>
      </c>
      <c r="G111" s="3">
        <v>16</v>
      </c>
      <c r="H111" s="5">
        <v>9</v>
      </c>
      <c r="I111" s="5">
        <v>13</v>
      </c>
      <c r="J111" s="5">
        <v>14</v>
      </c>
      <c r="K111" s="22">
        <f t="shared" si="4"/>
        <v>12.777777777777779</v>
      </c>
    </row>
    <row r="112" spans="1:11" ht="14.25" customHeight="1" x14ac:dyDescent="0.3">
      <c r="A112" s="3" t="s">
        <v>261</v>
      </c>
      <c r="B112" s="3">
        <v>19</v>
      </c>
      <c r="C112" s="3">
        <v>30</v>
      </c>
      <c r="D112" s="3">
        <v>11</v>
      </c>
      <c r="E112" s="3">
        <v>24</v>
      </c>
      <c r="F112" s="3">
        <v>29</v>
      </c>
      <c r="G112" s="3">
        <v>19</v>
      </c>
      <c r="H112" s="5">
        <v>25</v>
      </c>
      <c r="I112" s="5">
        <v>30</v>
      </c>
      <c r="J112" s="5">
        <v>28</v>
      </c>
      <c r="K112" s="22">
        <f t="shared" si="4"/>
        <v>23.888888888888889</v>
      </c>
    </row>
    <row r="113" spans="1:11" ht="14.25" customHeight="1" x14ac:dyDescent="0.3">
      <c r="A113" s="3" t="s">
        <v>262</v>
      </c>
      <c r="B113" s="3">
        <v>21</v>
      </c>
      <c r="C113" s="3">
        <v>27</v>
      </c>
      <c r="D113" s="3">
        <v>26</v>
      </c>
      <c r="E113" s="3">
        <v>20</v>
      </c>
      <c r="F113" s="3">
        <v>25</v>
      </c>
      <c r="G113" s="3">
        <v>27</v>
      </c>
      <c r="H113" s="5">
        <v>27</v>
      </c>
      <c r="I113" s="5">
        <v>27</v>
      </c>
      <c r="J113" s="5">
        <v>21</v>
      </c>
      <c r="K113" s="22">
        <f t="shared" si="4"/>
        <v>24.555555555555557</v>
      </c>
    </row>
    <row r="114" spans="1:11" ht="14.25" customHeight="1" x14ac:dyDescent="0.3">
      <c r="A114" s="3" t="s">
        <v>263</v>
      </c>
      <c r="B114" s="3">
        <v>12</v>
      </c>
      <c r="C114" s="3">
        <v>11</v>
      </c>
      <c r="D114" s="3">
        <v>8</v>
      </c>
      <c r="E114" s="3">
        <v>15</v>
      </c>
      <c r="F114" s="3">
        <v>13</v>
      </c>
      <c r="G114" s="3">
        <v>8</v>
      </c>
      <c r="H114" s="5">
        <v>9</v>
      </c>
      <c r="I114" s="5">
        <v>2</v>
      </c>
      <c r="J114" s="5">
        <v>9</v>
      </c>
      <c r="K114" s="22">
        <f t="shared" si="4"/>
        <v>9.6666666666666661</v>
      </c>
    </row>
    <row r="115" spans="1:11" ht="14.25" customHeight="1" x14ac:dyDescent="0.3">
      <c r="A115" s="3" t="s">
        <v>264</v>
      </c>
      <c r="B115" s="3">
        <v>12</v>
      </c>
      <c r="C115" s="3">
        <v>14</v>
      </c>
      <c r="D115" s="3">
        <v>12</v>
      </c>
      <c r="E115" s="3">
        <v>11</v>
      </c>
      <c r="F115" s="3">
        <v>11</v>
      </c>
      <c r="G115" s="3">
        <v>13</v>
      </c>
      <c r="H115" s="5">
        <v>19</v>
      </c>
      <c r="I115" s="5">
        <v>15</v>
      </c>
      <c r="J115" s="5">
        <v>17</v>
      </c>
      <c r="K115" s="22">
        <f t="shared" si="4"/>
        <v>13.777777777777779</v>
      </c>
    </row>
    <row r="116" spans="1:11" ht="14.25" customHeight="1" x14ac:dyDescent="0.3">
      <c r="A116" s="3" t="s">
        <v>265</v>
      </c>
      <c r="B116" s="3">
        <v>11</v>
      </c>
      <c r="C116" s="3">
        <v>14</v>
      </c>
      <c r="D116" s="3">
        <v>10</v>
      </c>
      <c r="E116" s="3">
        <v>13</v>
      </c>
      <c r="F116" s="3">
        <v>13</v>
      </c>
      <c r="G116" s="3">
        <v>13</v>
      </c>
      <c r="H116" s="5">
        <v>5</v>
      </c>
      <c r="I116" s="5">
        <v>6</v>
      </c>
      <c r="J116" s="5">
        <v>10</v>
      </c>
      <c r="K116" s="22">
        <f t="shared" si="4"/>
        <v>10.555555555555555</v>
      </c>
    </row>
    <row r="117" spans="1:11" ht="14.25" customHeight="1" x14ac:dyDescent="0.3">
      <c r="A117" s="3" t="s">
        <v>266</v>
      </c>
      <c r="B117" s="3">
        <v>9</v>
      </c>
      <c r="C117" s="3">
        <v>11</v>
      </c>
      <c r="D117" s="3">
        <v>12</v>
      </c>
      <c r="E117" s="3">
        <v>6</v>
      </c>
      <c r="F117" s="3">
        <v>14</v>
      </c>
      <c r="G117" s="3">
        <v>9</v>
      </c>
      <c r="H117" s="5">
        <v>12</v>
      </c>
      <c r="I117" s="5">
        <v>9</v>
      </c>
      <c r="J117" s="5">
        <v>15</v>
      </c>
      <c r="K117" s="22">
        <f t="shared" si="4"/>
        <v>10.777777777777779</v>
      </c>
    </row>
    <row r="118" spans="1:11" ht="14.25" customHeight="1" x14ac:dyDescent="0.3"/>
    <row r="119" spans="1:11" ht="14.25" customHeight="1" x14ac:dyDescent="0.3"/>
    <row r="120" spans="1:11" ht="14.25" customHeight="1" x14ac:dyDescent="0.3">
      <c r="A120" s="4" t="s">
        <v>330</v>
      </c>
      <c r="B120" s="4" t="s">
        <v>347</v>
      </c>
    </row>
    <row r="121" spans="1:11" ht="14.25" customHeight="1" x14ac:dyDescent="0.3">
      <c r="A121" s="4" t="s">
        <v>232</v>
      </c>
      <c r="B121" s="20">
        <v>45942</v>
      </c>
      <c r="C121" s="20">
        <v>45949</v>
      </c>
      <c r="D121" s="20">
        <v>45956</v>
      </c>
      <c r="E121" s="20">
        <v>45963</v>
      </c>
      <c r="F121" s="20">
        <v>45970</v>
      </c>
      <c r="G121" s="20">
        <v>45977</v>
      </c>
      <c r="H121" s="20">
        <v>45984</v>
      </c>
      <c r="I121" s="20">
        <v>45991</v>
      </c>
      <c r="J121" s="20">
        <v>45998</v>
      </c>
      <c r="K121" s="4" t="s">
        <v>240</v>
      </c>
    </row>
    <row r="122" spans="1:11" ht="14.25" customHeight="1" x14ac:dyDescent="0.3">
      <c r="A122" s="3" t="s">
        <v>247</v>
      </c>
      <c r="B122" s="3">
        <v>5</v>
      </c>
      <c r="C122" s="3">
        <v>3</v>
      </c>
      <c r="D122" s="3">
        <v>0</v>
      </c>
      <c r="E122" s="3">
        <v>8</v>
      </c>
      <c r="F122" s="3">
        <v>5</v>
      </c>
      <c r="G122" s="3">
        <v>2</v>
      </c>
      <c r="H122" s="5">
        <v>5</v>
      </c>
      <c r="I122" s="5">
        <v>2</v>
      </c>
      <c r="J122" s="5">
        <v>1</v>
      </c>
      <c r="K122" s="8">
        <f t="shared" ref="K122:K141" si="5">AVERAGE(B122:J122)</f>
        <v>3.4444444444444446</v>
      </c>
    </row>
    <row r="123" spans="1:11" ht="14.25" customHeight="1" x14ac:dyDescent="0.3">
      <c r="A123" s="3" t="s">
        <v>248</v>
      </c>
      <c r="B123" s="3">
        <v>0</v>
      </c>
      <c r="C123" s="3">
        <v>1</v>
      </c>
      <c r="D123" s="3">
        <v>0</v>
      </c>
      <c r="E123" s="3">
        <v>5</v>
      </c>
      <c r="F123" s="3">
        <v>3</v>
      </c>
      <c r="G123" s="3">
        <v>8</v>
      </c>
      <c r="H123" s="5">
        <v>8</v>
      </c>
      <c r="I123" s="5">
        <v>10</v>
      </c>
      <c r="J123" s="5">
        <v>5</v>
      </c>
      <c r="K123" s="8">
        <f t="shared" si="5"/>
        <v>4.4444444444444446</v>
      </c>
    </row>
    <row r="124" spans="1:11" ht="14.25" customHeight="1" x14ac:dyDescent="0.3">
      <c r="A124" s="3" t="s">
        <v>249</v>
      </c>
      <c r="B124" s="3">
        <v>13</v>
      </c>
      <c r="C124" s="3">
        <v>3</v>
      </c>
      <c r="D124" s="3">
        <v>5</v>
      </c>
      <c r="E124" s="3">
        <v>2</v>
      </c>
      <c r="F124" s="3">
        <v>1</v>
      </c>
      <c r="G124" s="3">
        <v>9</v>
      </c>
      <c r="H124" s="5">
        <v>4</v>
      </c>
      <c r="I124" s="5">
        <v>5</v>
      </c>
      <c r="J124" s="5">
        <v>8</v>
      </c>
      <c r="K124" s="8">
        <f t="shared" si="5"/>
        <v>5.5555555555555554</v>
      </c>
    </row>
    <row r="125" spans="1:11" ht="14.25" customHeight="1" x14ac:dyDescent="0.3">
      <c r="A125" s="3" t="s">
        <v>250</v>
      </c>
      <c r="B125" s="3">
        <v>3</v>
      </c>
      <c r="C125" s="3">
        <v>8</v>
      </c>
      <c r="D125" s="3">
        <v>3</v>
      </c>
      <c r="E125" s="3">
        <v>2</v>
      </c>
      <c r="F125" s="3">
        <v>6</v>
      </c>
      <c r="G125" s="3">
        <v>7</v>
      </c>
      <c r="H125" s="5">
        <v>6</v>
      </c>
      <c r="I125" s="5">
        <v>7</v>
      </c>
      <c r="J125" s="5">
        <v>6</v>
      </c>
      <c r="K125" s="8">
        <f t="shared" si="5"/>
        <v>5.333333333333333</v>
      </c>
    </row>
    <row r="126" spans="1:11" ht="14.25" customHeight="1" x14ac:dyDescent="0.3">
      <c r="A126" s="3" t="s">
        <v>251</v>
      </c>
      <c r="B126" s="3">
        <v>3</v>
      </c>
      <c r="C126" s="3">
        <v>4</v>
      </c>
      <c r="D126" s="3">
        <v>13</v>
      </c>
      <c r="E126" s="3">
        <v>1</v>
      </c>
      <c r="F126" s="3">
        <v>3</v>
      </c>
      <c r="G126" s="3">
        <v>4</v>
      </c>
      <c r="H126" s="5">
        <v>0</v>
      </c>
      <c r="I126" s="5">
        <v>4</v>
      </c>
      <c r="J126" s="5">
        <v>6</v>
      </c>
      <c r="K126" s="8">
        <f t="shared" si="5"/>
        <v>4.2222222222222223</v>
      </c>
    </row>
    <row r="127" spans="1:11" ht="14.25" customHeight="1" x14ac:dyDescent="0.3">
      <c r="A127" s="3" t="s">
        <v>252</v>
      </c>
      <c r="B127" s="3">
        <v>12</v>
      </c>
      <c r="C127" s="3">
        <v>0</v>
      </c>
      <c r="D127" s="3">
        <v>7</v>
      </c>
      <c r="E127" s="3">
        <v>5</v>
      </c>
      <c r="F127" s="3">
        <v>3</v>
      </c>
      <c r="G127" s="3">
        <v>9</v>
      </c>
      <c r="H127" s="5">
        <v>9</v>
      </c>
      <c r="I127" s="5">
        <v>11</v>
      </c>
      <c r="J127" s="5">
        <v>4</v>
      </c>
      <c r="K127" s="8">
        <f t="shared" si="5"/>
        <v>6.666666666666667</v>
      </c>
    </row>
    <row r="128" spans="1:11" ht="14.25" customHeight="1" x14ac:dyDescent="0.3">
      <c r="A128" s="3" t="s">
        <v>253</v>
      </c>
      <c r="B128" s="3">
        <v>4</v>
      </c>
      <c r="C128" s="3">
        <v>4</v>
      </c>
      <c r="D128" s="3">
        <v>13</v>
      </c>
      <c r="E128" s="3">
        <v>4</v>
      </c>
      <c r="F128" s="3">
        <v>5</v>
      </c>
      <c r="G128" s="3">
        <v>7</v>
      </c>
      <c r="H128" s="5">
        <v>7</v>
      </c>
      <c r="I128" s="5">
        <v>5</v>
      </c>
      <c r="J128" s="5">
        <v>1</v>
      </c>
      <c r="K128" s="8">
        <f t="shared" si="5"/>
        <v>5.5555555555555554</v>
      </c>
    </row>
    <row r="129" spans="1:11" ht="14.25" customHeight="1" x14ac:dyDescent="0.3">
      <c r="A129" s="3" t="s">
        <v>254</v>
      </c>
      <c r="B129" s="3">
        <v>5</v>
      </c>
      <c r="C129" s="3">
        <v>14</v>
      </c>
      <c r="D129" s="3">
        <v>2</v>
      </c>
      <c r="E129" s="3">
        <v>5</v>
      </c>
      <c r="F129" s="3">
        <v>5</v>
      </c>
      <c r="G129" s="3">
        <v>2</v>
      </c>
      <c r="H129" s="5">
        <v>11</v>
      </c>
      <c r="I129" s="5">
        <v>4</v>
      </c>
      <c r="J129" s="5">
        <v>5</v>
      </c>
      <c r="K129" s="8">
        <f t="shared" si="5"/>
        <v>5.8888888888888893</v>
      </c>
    </row>
    <row r="130" spans="1:11" ht="14.25" customHeight="1" x14ac:dyDescent="0.3">
      <c r="A130" s="3" t="s">
        <v>255</v>
      </c>
      <c r="B130" s="3">
        <v>1</v>
      </c>
      <c r="C130" s="3">
        <v>0</v>
      </c>
      <c r="D130" s="3">
        <v>1</v>
      </c>
      <c r="E130" s="3">
        <v>1</v>
      </c>
      <c r="F130" s="3">
        <v>1</v>
      </c>
      <c r="G130" s="3">
        <v>2</v>
      </c>
      <c r="H130" s="5">
        <v>2</v>
      </c>
      <c r="I130" s="5">
        <v>7</v>
      </c>
      <c r="J130" s="5">
        <v>7</v>
      </c>
      <c r="K130" s="8">
        <f t="shared" si="5"/>
        <v>2.4444444444444446</v>
      </c>
    </row>
    <row r="131" spans="1:11" ht="14.25" customHeight="1" x14ac:dyDescent="0.3">
      <c r="A131" s="3" t="s">
        <v>256</v>
      </c>
      <c r="B131" s="3">
        <v>5</v>
      </c>
      <c r="C131" s="3">
        <v>3</v>
      </c>
      <c r="D131" s="3">
        <v>6</v>
      </c>
      <c r="E131" s="3">
        <v>4</v>
      </c>
      <c r="F131" s="3">
        <v>3</v>
      </c>
      <c r="G131" s="3">
        <v>5</v>
      </c>
      <c r="H131" s="5">
        <v>9</v>
      </c>
      <c r="I131" s="5">
        <v>2</v>
      </c>
      <c r="J131" s="5">
        <v>9</v>
      </c>
      <c r="K131" s="8">
        <f t="shared" si="5"/>
        <v>5.1111111111111107</v>
      </c>
    </row>
    <row r="132" spans="1:11" ht="14.25" customHeight="1" x14ac:dyDescent="0.3">
      <c r="A132" s="3" t="s">
        <v>257</v>
      </c>
      <c r="B132" s="3">
        <v>9</v>
      </c>
      <c r="C132" s="3">
        <v>4</v>
      </c>
      <c r="D132" s="3">
        <v>12</v>
      </c>
      <c r="E132" s="3">
        <v>16</v>
      </c>
      <c r="F132" s="3">
        <v>15</v>
      </c>
      <c r="G132" s="3">
        <v>11</v>
      </c>
      <c r="H132" s="5">
        <v>8</v>
      </c>
      <c r="I132" s="5">
        <v>13</v>
      </c>
      <c r="J132" s="5">
        <v>14</v>
      </c>
      <c r="K132" s="8">
        <f t="shared" si="5"/>
        <v>11.333333333333334</v>
      </c>
    </row>
    <row r="133" spans="1:11" ht="14.25" customHeight="1" x14ac:dyDescent="0.3">
      <c r="A133" s="3" t="s">
        <v>258</v>
      </c>
      <c r="B133" s="3">
        <v>12</v>
      </c>
      <c r="C133" s="3">
        <v>10</v>
      </c>
      <c r="D133" s="3">
        <v>11</v>
      </c>
      <c r="E133" s="3">
        <v>14</v>
      </c>
      <c r="F133" s="3">
        <v>14</v>
      </c>
      <c r="G133" s="3">
        <v>13</v>
      </c>
      <c r="H133" s="5">
        <v>9</v>
      </c>
      <c r="I133" s="5">
        <v>16</v>
      </c>
      <c r="J133" s="5">
        <v>16</v>
      </c>
      <c r="K133" s="8">
        <f t="shared" si="5"/>
        <v>12.777777777777779</v>
      </c>
    </row>
    <row r="134" spans="1:11" ht="14.25" customHeight="1" x14ac:dyDescent="0.3">
      <c r="A134" s="3" t="s">
        <v>259</v>
      </c>
      <c r="B134" s="3">
        <v>19</v>
      </c>
      <c r="C134" s="3">
        <v>13</v>
      </c>
      <c r="D134" s="3">
        <v>14</v>
      </c>
      <c r="E134" s="3">
        <v>18</v>
      </c>
      <c r="F134" s="3">
        <v>16</v>
      </c>
      <c r="G134" s="3">
        <v>7</v>
      </c>
      <c r="H134" s="5">
        <v>19</v>
      </c>
      <c r="I134" s="5">
        <v>14</v>
      </c>
      <c r="J134" s="5">
        <v>13</v>
      </c>
      <c r="K134" s="8">
        <f t="shared" si="5"/>
        <v>14.777777777777779</v>
      </c>
    </row>
    <row r="135" spans="1:11" ht="14.25" customHeight="1" x14ac:dyDescent="0.3">
      <c r="A135" s="3" t="s">
        <v>260</v>
      </c>
      <c r="B135" s="3">
        <v>11</v>
      </c>
      <c r="C135" s="3">
        <v>5</v>
      </c>
      <c r="D135" s="3">
        <v>13</v>
      </c>
      <c r="E135" s="3">
        <v>11</v>
      </c>
      <c r="F135" s="3">
        <v>17</v>
      </c>
      <c r="G135" s="3">
        <v>14</v>
      </c>
      <c r="H135" s="5">
        <v>10</v>
      </c>
      <c r="I135" s="5">
        <v>17</v>
      </c>
      <c r="J135" s="5">
        <v>11</v>
      </c>
      <c r="K135" s="8">
        <f t="shared" si="5"/>
        <v>12.111111111111111</v>
      </c>
    </row>
    <row r="136" spans="1:11" ht="14.25" customHeight="1" x14ac:dyDescent="0.3">
      <c r="A136" s="3" t="s">
        <v>261</v>
      </c>
      <c r="B136" s="3">
        <v>23</v>
      </c>
      <c r="C136" s="3">
        <v>24</v>
      </c>
      <c r="D136" s="3">
        <v>24</v>
      </c>
      <c r="E136" s="3">
        <v>26</v>
      </c>
      <c r="F136" s="3">
        <v>29</v>
      </c>
      <c r="G136" s="3">
        <v>13</v>
      </c>
      <c r="H136" s="5">
        <v>9</v>
      </c>
      <c r="I136" s="5">
        <v>23</v>
      </c>
      <c r="J136" s="5">
        <v>27</v>
      </c>
      <c r="K136" s="8">
        <f t="shared" si="5"/>
        <v>22</v>
      </c>
    </row>
    <row r="137" spans="1:11" ht="14.25" customHeight="1" x14ac:dyDescent="0.3">
      <c r="A137" s="3" t="s">
        <v>262</v>
      </c>
      <c r="B137" s="3">
        <v>9</v>
      </c>
      <c r="C137" s="3">
        <v>18</v>
      </c>
      <c r="D137" s="3">
        <v>21</v>
      </c>
      <c r="E137" s="3">
        <v>18</v>
      </c>
      <c r="F137" s="3">
        <v>18</v>
      </c>
      <c r="G137" s="3">
        <v>26</v>
      </c>
      <c r="H137" s="5">
        <v>21</v>
      </c>
      <c r="I137" s="5">
        <v>13</v>
      </c>
      <c r="J137" s="5">
        <v>25</v>
      </c>
      <c r="K137" s="8">
        <f t="shared" si="5"/>
        <v>18.777777777777779</v>
      </c>
    </row>
    <row r="138" spans="1:11" ht="14.25" customHeight="1" x14ac:dyDescent="0.3">
      <c r="A138" s="3" t="s">
        <v>263</v>
      </c>
      <c r="B138" s="3">
        <v>8</v>
      </c>
      <c r="C138" s="3">
        <v>5</v>
      </c>
      <c r="D138" s="3">
        <v>13</v>
      </c>
      <c r="E138" s="3">
        <v>15</v>
      </c>
      <c r="F138" s="3">
        <v>15</v>
      </c>
      <c r="G138" s="3">
        <v>14</v>
      </c>
      <c r="H138" s="5">
        <v>14</v>
      </c>
      <c r="I138" s="5">
        <v>13</v>
      </c>
      <c r="J138" s="5">
        <v>5</v>
      </c>
      <c r="K138" s="8">
        <f t="shared" si="5"/>
        <v>11.333333333333334</v>
      </c>
    </row>
    <row r="139" spans="1:11" ht="14.25" customHeight="1" x14ac:dyDescent="0.3">
      <c r="A139" s="3" t="s">
        <v>264</v>
      </c>
      <c r="B139" s="3">
        <v>15</v>
      </c>
      <c r="C139" s="3">
        <v>17</v>
      </c>
      <c r="D139" s="3">
        <v>19</v>
      </c>
      <c r="E139" s="3">
        <v>12</v>
      </c>
      <c r="F139" s="3">
        <v>19</v>
      </c>
      <c r="G139" s="3">
        <v>6</v>
      </c>
      <c r="H139" s="5">
        <v>19</v>
      </c>
      <c r="I139" s="5">
        <v>15</v>
      </c>
      <c r="J139" s="5">
        <v>19</v>
      </c>
      <c r="K139" s="8">
        <f t="shared" si="5"/>
        <v>15.666666666666666</v>
      </c>
    </row>
    <row r="140" spans="1:11" ht="14.25" customHeight="1" x14ac:dyDescent="0.3">
      <c r="A140" s="3" t="s">
        <v>265</v>
      </c>
      <c r="B140" s="3">
        <v>10</v>
      </c>
      <c r="C140" s="3">
        <v>13</v>
      </c>
      <c r="D140" s="3">
        <v>11</v>
      </c>
      <c r="E140" s="3">
        <v>14</v>
      </c>
      <c r="F140" s="3">
        <v>12</v>
      </c>
      <c r="G140" s="3">
        <v>12</v>
      </c>
      <c r="H140" s="5">
        <v>11</v>
      </c>
      <c r="I140" s="5">
        <v>15</v>
      </c>
      <c r="J140" s="5">
        <v>11</v>
      </c>
      <c r="K140" s="8">
        <f t="shared" si="5"/>
        <v>12.111111111111111</v>
      </c>
    </row>
    <row r="141" spans="1:11" ht="14.25" customHeight="1" x14ac:dyDescent="0.3">
      <c r="A141" s="3" t="s">
        <v>266</v>
      </c>
      <c r="B141" s="3">
        <v>15</v>
      </c>
      <c r="C141" s="3">
        <v>11</v>
      </c>
      <c r="D141" s="3">
        <v>9</v>
      </c>
      <c r="E141" s="3">
        <v>3</v>
      </c>
      <c r="F141" s="3">
        <v>15</v>
      </c>
      <c r="G141" s="3">
        <v>9</v>
      </c>
      <c r="H141" s="5">
        <v>15</v>
      </c>
      <c r="I141" s="5">
        <v>10</v>
      </c>
      <c r="J141" s="5">
        <v>12</v>
      </c>
      <c r="K141" s="8">
        <f t="shared" si="5"/>
        <v>11</v>
      </c>
    </row>
    <row r="142" spans="1:11" ht="14.25" customHeight="1" x14ac:dyDescent="0.3"/>
    <row r="143" spans="1:11" ht="14.25" customHeight="1" x14ac:dyDescent="0.3"/>
    <row r="144" spans="1:11" ht="14.25" customHeight="1" x14ac:dyDescent="0.3">
      <c r="A144" s="4" t="s">
        <v>330</v>
      </c>
      <c r="B144" s="4" t="s">
        <v>348</v>
      </c>
      <c r="C144" s="3" t="s">
        <v>349</v>
      </c>
      <c r="D144" s="3" t="s">
        <v>350</v>
      </c>
    </row>
    <row r="145" spans="1:11" ht="14.25" customHeight="1" x14ac:dyDescent="0.3">
      <c r="A145" s="4" t="s">
        <v>232</v>
      </c>
      <c r="B145" s="20">
        <v>45943</v>
      </c>
      <c r="C145" s="20">
        <v>45950</v>
      </c>
      <c r="D145" s="20">
        <v>45957</v>
      </c>
      <c r="E145" s="20">
        <v>45964</v>
      </c>
      <c r="F145" s="20">
        <v>45971</v>
      </c>
      <c r="G145" s="20">
        <v>45978</v>
      </c>
      <c r="H145" s="20">
        <v>45985</v>
      </c>
      <c r="I145" s="20">
        <v>45992</v>
      </c>
      <c r="J145" s="20">
        <v>45999</v>
      </c>
      <c r="K145" s="4" t="s">
        <v>241</v>
      </c>
    </row>
    <row r="146" spans="1:11" ht="14.25" customHeight="1" x14ac:dyDescent="0.3">
      <c r="A146" s="3" t="s">
        <v>247</v>
      </c>
      <c r="B146" s="3">
        <v>9</v>
      </c>
      <c r="C146" s="3">
        <v>7</v>
      </c>
      <c r="D146" s="9">
        <v>4</v>
      </c>
      <c r="E146" s="9">
        <v>4</v>
      </c>
      <c r="F146" s="9">
        <v>4</v>
      </c>
      <c r="G146" s="3">
        <v>5</v>
      </c>
      <c r="H146" s="5">
        <v>3</v>
      </c>
      <c r="I146" s="5">
        <v>2</v>
      </c>
      <c r="J146" s="5">
        <v>12</v>
      </c>
      <c r="K146" s="8">
        <f t="shared" ref="K146:K165" si="6">AVERAGE(B146:J146)</f>
        <v>5.5555555555555554</v>
      </c>
    </row>
    <row r="147" spans="1:11" ht="14.25" customHeight="1" x14ac:dyDescent="0.3">
      <c r="A147" s="3" t="s">
        <v>248</v>
      </c>
      <c r="B147" s="3">
        <v>6</v>
      </c>
      <c r="C147" s="3">
        <v>11</v>
      </c>
      <c r="D147" s="9">
        <v>5</v>
      </c>
      <c r="E147" s="9">
        <v>5</v>
      </c>
      <c r="F147" s="9">
        <v>5</v>
      </c>
      <c r="G147" s="3">
        <v>2</v>
      </c>
      <c r="H147" s="5">
        <v>2</v>
      </c>
      <c r="I147" s="5">
        <v>6</v>
      </c>
      <c r="J147" s="5">
        <v>5</v>
      </c>
      <c r="K147" s="8">
        <f t="shared" si="6"/>
        <v>5.2222222222222223</v>
      </c>
    </row>
    <row r="148" spans="1:11" ht="14.25" customHeight="1" x14ac:dyDescent="0.3">
      <c r="A148" s="3" t="s">
        <v>249</v>
      </c>
      <c r="B148" s="3">
        <v>10</v>
      </c>
      <c r="C148" s="3">
        <v>5</v>
      </c>
      <c r="D148" s="9">
        <v>5</v>
      </c>
      <c r="E148" s="9">
        <v>5</v>
      </c>
      <c r="F148" s="9">
        <v>5</v>
      </c>
      <c r="G148" s="3">
        <v>9</v>
      </c>
      <c r="H148" s="5">
        <v>2</v>
      </c>
      <c r="I148" s="5">
        <v>2</v>
      </c>
      <c r="J148" s="5">
        <v>6</v>
      </c>
      <c r="K148" s="8">
        <f t="shared" si="6"/>
        <v>5.4444444444444446</v>
      </c>
    </row>
    <row r="149" spans="1:11" ht="14.25" customHeight="1" x14ac:dyDescent="0.3">
      <c r="A149" s="3" t="s">
        <v>250</v>
      </c>
      <c r="B149" s="3">
        <v>1</v>
      </c>
      <c r="C149" s="3">
        <v>4</v>
      </c>
      <c r="D149" s="9">
        <v>4</v>
      </c>
      <c r="E149" s="9">
        <v>4</v>
      </c>
      <c r="F149" s="9">
        <v>4</v>
      </c>
      <c r="G149" s="3">
        <v>14</v>
      </c>
      <c r="H149" s="5">
        <v>4</v>
      </c>
      <c r="I149" s="5">
        <v>7</v>
      </c>
      <c r="J149" s="5">
        <v>7</v>
      </c>
      <c r="K149" s="8">
        <f t="shared" si="6"/>
        <v>5.4444444444444446</v>
      </c>
    </row>
    <row r="150" spans="1:11" ht="14.25" customHeight="1" x14ac:dyDescent="0.3">
      <c r="A150" s="3" t="s">
        <v>251</v>
      </c>
      <c r="B150" s="3">
        <v>0</v>
      </c>
      <c r="C150" s="3">
        <v>13</v>
      </c>
      <c r="D150" s="9">
        <v>4</v>
      </c>
      <c r="E150" s="9">
        <v>4</v>
      </c>
      <c r="F150" s="9">
        <v>4</v>
      </c>
      <c r="G150" s="3">
        <v>5</v>
      </c>
      <c r="H150" s="5">
        <v>1</v>
      </c>
      <c r="I150" s="5">
        <v>7</v>
      </c>
      <c r="J150" s="5">
        <v>4</v>
      </c>
      <c r="K150" s="8">
        <f t="shared" si="6"/>
        <v>4.666666666666667</v>
      </c>
    </row>
    <row r="151" spans="1:11" ht="14.25" customHeight="1" x14ac:dyDescent="0.3">
      <c r="A151" s="3" t="s">
        <v>252</v>
      </c>
      <c r="B151" s="3">
        <v>12</v>
      </c>
      <c r="C151" s="3">
        <v>6</v>
      </c>
      <c r="D151" s="9">
        <v>4</v>
      </c>
      <c r="E151" s="9">
        <v>4</v>
      </c>
      <c r="F151" s="9">
        <v>4</v>
      </c>
      <c r="G151" s="3">
        <v>11</v>
      </c>
      <c r="H151" s="5">
        <v>1</v>
      </c>
      <c r="I151" s="5">
        <v>14</v>
      </c>
      <c r="J151" s="5">
        <v>3</v>
      </c>
      <c r="K151" s="8">
        <f t="shared" si="6"/>
        <v>6.5555555555555554</v>
      </c>
    </row>
    <row r="152" spans="1:11" ht="14.25" customHeight="1" x14ac:dyDescent="0.3">
      <c r="A152" s="3" t="s">
        <v>253</v>
      </c>
      <c r="B152" s="3">
        <v>3</v>
      </c>
      <c r="C152" s="3">
        <v>1</v>
      </c>
      <c r="D152" s="9">
        <v>4</v>
      </c>
      <c r="E152" s="9">
        <v>4</v>
      </c>
      <c r="F152" s="9">
        <v>4</v>
      </c>
      <c r="G152" s="3">
        <v>6</v>
      </c>
      <c r="H152" s="5">
        <v>4</v>
      </c>
      <c r="I152" s="5">
        <v>6</v>
      </c>
      <c r="J152" s="5">
        <v>4</v>
      </c>
      <c r="K152" s="8">
        <f t="shared" si="6"/>
        <v>4</v>
      </c>
    </row>
    <row r="153" spans="1:11" ht="14.25" customHeight="1" x14ac:dyDescent="0.3">
      <c r="A153" s="3" t="s">
        <v>254</v>
      </c>
      <c r="B153" s="3">
        <v>9</v>
      </c>
      <c r="C153" s="3">
        <v>10</v>
      </c>
      <c r="D153" s="9">
        <v>4</v>
      </c>
      <c r="E153" s="9">
        <v>4</v>
      </c>
      <c r="F153" s="9">
        <v>4</v>
      </c>
      <c r="G153" s="3">
        <v>8</v>
      </c>
      <c r="H153" s="5">
        <v>8</v>
      </c>
      <c r="I153" s="5">
        <v>7</v>
      </c>
      <c r="J153" s="5">
        <v>12</v>
      </c>
      <c r="K153" s="8">
        <f t="shared" si="6"/>
        <v>7.333333333333333</v>
      </c>
    </row>
    <row r="154" spans="1:11" ht="14.25" customHeight="1" x14ac:dyDescent="0.3">
      <c r="A154" s="3" t="s">
        <v>255</v>
      </c>
      <c r="B154" s="3">
        <v>5</v>
      </c>
      <c r="C154" s="3">
        <v>15</v>
      </c>
      <c r="D154" s="9">
        <v>4</v>
      </c>
      <c r="E154" s="9">
        <v>4</v>
      </c>
      <c r="F154" s="9">
        <v>4</v>
      </c>
      <c r="G154" s="3">
        <v>0</v>
      </c>
      <c r="H154" s="5">
        <v>1</v>
      </c>
      <c r="I154" s="5">
        <v>4</v>
      </c>
      <c r="J154" s="5">
        <v>3</v>
      </c>
      <c r="K154" s="8">
        <f t="shared" si="6"/>
        <v>4.4444444444444446</v>
      </c>
    </row>
    <row r="155" spans="1:11" ht="14.25" customHeight="1" x14ac:dyDescent="0.3">
      <c r="A155" s="3" t="s">
        <v>256</v>
      </c>
      <c r="B155" s="3">
        <v>4</v>
      </c>
      <c r="C155" s="3">
        <v>1</v>
      </c>
      <c r="D155" s="9">
        <v>4</v>
      </c>
      <c r="E155" s="9">
        <v>4</v>
      </c>
      <c r="F155" s="9">
        <v>4</v>
      </c>
      <c r="G155" s="3">
        <v>5</v>
      </c>
      <c r="H155" s="5">
        <v>4</v>
      </c>
      <c r="I155" s="5">
        <v>0</v>
      </c>
      <c r="J155" s="5">
        <v>6</v>
      </c>
      <c r="K155" s="8">
        <f t="shared" si="6"/>
        <v>3.5555555555555554</v>
      </c>
    </row>
    <row r="156" spans="1:11" ht="14.25" customHeight="1" x14ac:dyDescent="0.3">
      <c r="A156" s="3" t="s">
        <v>257</v>
      </c>
      <c r="B156" s="3">
        <v>9</v>
      </c>
      <c r="C156" s="3">
        <v>7</v>
      </c>
      <c r="D156" s="9">
        <v>12</v>
      </c>
      <c r="E156" s="9">
        <v>12</v>
      </c>
      <c r="F156" s="9">
        <v>12</v>
      </c>
      <c r="G156" s="3">
        <v>11</v>
      </c>
      <c r="H156" s="5">
        <v>15</v>
      </c>
      <c r="I156" s="5">
        <v>14</v>
      </c>
      <c r="J156" s="5">
        <v>7</v>
      </c>
      <c r="K156" s="8">
        <f t="shared" si="6"/>
        <v>11</v>
      </c>
    </row>
    <row r="157" spans="1:11" ht="14.25" customHeight="1" x14ac:dyDescent="0.3">
      <c r="A157" s="3" t="s">
        <v>258</v>
      </c>
      <c r="B157" s="3">
        <v>14</v>
      </c>
      <c r="C157" s="3">
        <v>13</v>
      </c>
      <c r="D157" s="9">
        <v>11</v>
      </c>
      <c r="E157" s="9">
        <v>11</v>
      </c>
      <c r="F157" s="9">
        <v>11</v>
      </c>
      <c r="G157" s="3">
        <v>14</v>
      </c>
      <c r="H157" s="5">
        <v>6</v>
      </c>
      <c r="I157" s="5">
        <v>14</v>
      </c>
      <c r="J157" s="5">
        <v>12</v>
      </c>
      <c r="K157" s="8">
        <f t="shared" si="6"/>
        <v>11.777777777777779</v>
      </c>
    </row>
    <row r="158" spans="1:11" ht="14.25" customHeight="1" x14ac:dyDescent="0.3">
      <c r="A158" s="3" t="s">
        <v>259</v>
      </c>
      <c r="B158" s="3">
        <v>17</v>
      </c>
      <c r="C158" s="3">
        <v>15</v>
      </c>
      <c r="D158" s="9">
        <v>14</v>
      </c>
      <c r="E158" s="9">
        <v>14</v>
      </c>
      <c r="F158" s="9">
        <v>14</v>
      </c>
      <c r="G158" s="3">
        <v>12</v>
      </c>
      <c r="H158" s="5">
        <v>16</v>
      </c>
      <c r="I158" s="5">
        <v>15</v>
      </c>
      <c r="J158" s="5">
        <v>15</v>
      </c>
      <c r="K158" s="8">
        <f t="shared" si="6"/>
        <v>14.666666666666666</v>
      </c>
    </row>
    <row r="159" spans="1:11" ht="14.25" customHeight="1" x14ac:dyDescent="0.3">
      <c r="A159" s="3" t="s">
        <v>260</v>
      </c>
      <c r="B159" s="3">
        <v>18</v>
      </c>
      <c r="C159" s="3">
        <v>2</v>
      </c>
      <c r="D159" s="9">
        <v>14</v>
      </c>
      <c r="E159" s="9">
        <v>14</v>
      </c>
      <c r="F159" s="9">
        <v>14</v>
      </c>
      <c r="G159" s="3">
        <v>18</v>
      </c>
      <c r="H159" s="5">
        <v>16</v>
      </c>
      <c r="I159" s="5">
        <v>3</v>
      </c>
      <c r="J159" s="5">
        <v>4</v>
      </c>
      <c r="K159" s="8">
        <f t="shared" si="6"/>
        <v>11.444444444444445</v>
      </c>
    </row>
    <row r="160" spans="1:11" ht="14.25" customHeight="1" x14ac:dyDescent="0.3">
      <c r="A160" s="3" t="s">
        <v>261</v>
      </c>
      <c r="B160" s="3">
        <v>16</v>
      </c>
      <c r="C160" s="3">
        <v>19</v>
      </c>
      <c r="D160" s="9">
        <v>23</v>
      </c>
      <c r="E160" s="9">
        <v>23</v>
      </c>
      <c r="F160" s="9">
        <v>23</v>
      </c>
      <c r="G160" s="3">
        <v>26</v>
      </c>
      <c r="H160" s="5">
        <v>30</v>
      </c>
      <c r="I160" s="5">
        <v>30</v>
      </c>
      <c r="J160" s="5">
        <v>29</v>
      </c>
      <c r="K160" s="8">
        <f t="shared" si="6"/>
        <v>24.333333333333332</v>
      </c>
    </row>
    <row r="161" spans="1:11" ht="14.25" customHeight="1" x14ac:dyDescent="0.3">
      <c r="A161" s="3" t="s">
        <v>262</v>
      </c>
      <c r="B161" s="3">
        <v>7</v>
      </c>
      <c r="C161" s="3">
        <v>27</v>
      </c>
      <c r="D161" s="9">
        <v>21</v>
      </c>
      <c r="E161" s="9">
        <v>21</v>
      </c>
      <c r="F161" s="9">
        <v>21</v>
      </c>
      <c r="G161" s="3">
        <v>20</v>
      </c>
      <c r="H161" s="5">
        <v>26</v>
      </c>
      <c r="I161" s="5">
        <v>27</v>
      </c>
      <c r="J161" s="5">
        <v>26</v>
      </c>
      <c r="K161" s="8">
        <f t="shared" si="6"/>
        <v>21.777777777777779</v>
      </c>
    </row>
    <row r="162" spans="1:11" ht="14.25" customHeight="1" x14ac:dyDescent="0.3">
      <c r="A162" s="3" t="s">
        <v>263</v>
      </c>
      <c r="B162" s="3">
        <v>14</v>
      </c>
      <c r="C162" s="3">
        <v>15</v>
      </c>
      <c r="D162" s="9">
        <v>10</v>
      </c>
      <c r="E162" s="9">
        <v>10</v>
      </c>
      <c r="F162" s="9">
        <v>10</v>
      </c>
      <c r="G162" s="3">
        <v>11</v>
      </c>
      <c r="H162" s="5">
        <v>9</v>
      </c>
      <c r="I162" s="5">
        <v>14</v>
      </c>
      <c r="J162" s="5">
        <v>15</v>
      </c>
      <c r="K162" s="8">
        <f t="shared" si="6"/>
        <v>12</v>
      </c>
    </row>
    <row r="163" spans="1:11" ht="14.25" customHeight="1" x14ac:dyDescent="0.3">
      <c r="A163" s="3" t="s">
        <v>264</v>
      </c>
      <c r="B163" s="3">
        <v>13</v>
      </c>
      <c r="C163" s="3">
        <v>13</v>
      </c>
      <c r="D163" s="9">
        <v>14</v>
      </c>
      <c r="E163" s="9">
        <v>14</v>
      </c>
      <c r="F163" s="9">
        <v>14</v>
      </c>
      <c r="G163" s="3">
        <v>10</v>
      </c>
      <c r="H163" s="5">
        <v>17</v>
      </c>
      <c r="I163" s="5">
        <v>16</v>
      </c>
      <c r="J163" s="5">
        <v>18</v>
      </c>
      <c r="K163" s="8">
        <f t="shared" si="6"/>
        <v>14.333333333333334</v>
      </c>
    </row>
    <row r="164" spans="1:11" ht="14.25" customHeight="1" x14ac:dyDescent="0.3">
      <c r="A164" s="3" t="s">
        <v>265</v>
      </c>
      <c r="B164" s="3">
        <v>11</v>
      </c>
      <c r="C164" s="3">
        <v>10</v>
      </c>
      <c r="D164" s="9">
        <v>11</v>
      </c>
      <c r="E164" s="9">
        <v>11</v>
      </c>
      <c r="F164" s="9">
        <v>11</v>
      </c>
      <c r="G164" s="3">
        <v>14</v>
      </c>
      <c r="H164" s="5">
        <v>14</v>
      </c>
      <c r="I164" s="5">
        <v>13</v>
      </c>
      <c r="J164" s="5">
        <v>15</v>
      </c>
      <c r="K164" s="8">
        <f t="shared" si="6"/>
        <v>12.222222222222221</v>
      </c>
    </row>
    <row r="165" spans="1:11" ht="14.25" customHeight="1" x14ac:dyDescent="0.3">
      <c r="A165" s="3" t="s">
        <v>266</v>
      </c>
      <c r="B165" s="3">
        <v>8</v>
      </c>
      <c r="C165" s="3">
        <v>14</v>
      </c>
      <c r="D165" s="9">
        <v>11</v>
      </c>
      <c r="E165" s="9">
        <v>11</v>
      </c>
      <c r="F165" s="9">
        <v>11</v>
      </c>
      <c r="G165" s="3">
        <v>13</v>
      </c>
      <c r="H165" s="5">
        <v>13</v>
      </c>
      <c r="I165" s="5">
        <v>10</v>
      </c>
      <c r="J165" s="5">
        <v>12</v>
      </c>
      <c r="K165" s="8">
        <f t="shared" si="6"/>
        <v>11.444444444444445</v>
      </c>
    </row>
    <row r="166" spans="1:11" ht="14.25" customHeight="1" x14ac:dyDescent="0.3"/>
    <row r="167" spans="1:11" ht="14.25" customHeight="1" x14ac:dyDescent="0.3"/>
    <row r="168" spans="1:11" ht="14.25" customHeight="1" x14ac:dyDescent="0.3"/>
    <row r="169" spans="1:11" ht="14.25" customHeight="1" x14ac:dyDescent="0.3"/>
    <row r="170" spans="1:11" ht="14.25" customHeight="1" x14ac:dyDescent="0.3"/>
    <row r="171" spans="1:11" ht="14.25" customHeight="1" x14ac:dyDescent="0.3"/>
    <row r="172" spans="1:11" ht="14.25" customHeight="1" x14ac:dyDescent="0.3"/>
    <row r="173" spans="1:11" ht="14.25" customHeight="1" x14ac:dyDescent="0.3"/>
    <row r="174" spans="1:11" ht="14.25" customHeight="1" x14ac:dyDescent="0.3"/>
    <row r="175" spans="1:11" ht="14.25" customHeight="1" x14ac:dyDescent="0.3"/>
    <row r="176" spans="1:11"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U1000"/>
  <sheetViews>
    <sheetView workbookViewId="0"/>
  </sheetViews>
  <sheetFormatPr baseColWidth="10" defaultColWidth="14.44140625" defaultRowHeight="15" customHeight="1" x14ac:dyDescent="0.3"/>
  <cols>
    <col min="1" max="1" width="58.6640625" customWidth="1"/>
    <col min="2" max="2" width="21.88671875" customWidth="1"/>
    <col min="3" max="11" width="10.6640625" customWidth="1"/>
    <col min="12" max="12" width="37.6640625" customWidth="1"/>
    <col min="13" max="26" width="10.6640625" customWidth="1"/>
  </cols>
  <sheetData>
    <row r="1" spans="1:21" ht="14.25" customHeight="1" x14ac:dyDescent="0.3">
      <c r="A1" s="4" t="s">
        <v>330</v>
      </c>
      <c r="B1" s="4" t="s">
        <v>331</v>
      </c>
      <c r="S1" s="3" t="s">
        <v>232</v>
      </c>
      <c r="T1" s="9"/>
    </row>
    <row r="2" spans="1:21" ht="14.25" customHeight="1" x14ac:dyDescent="0.3">
      <c r="A2" s="4" t="s">
        <v>232</v>
      </c>
      <c r="B2" s="4" t="s">
        <v>332</v>
      </c>
      <c r="C2" s="4" t="s">
        <v>333</v>
      </c>
      <c r="D2" s="4" t="s">
        <v>334</v>
      </c>
      <c r="E2" s="20" t="s">
        <v>335</v>
      </c>
      <c r="F2" s="20" t="s">
        <v>336</v>
      </c>
      <c r="G2" s="20" t="s">
        <v>337</v>
      </c>
      <c r="H2" s="20" t="s">
        <v>338</v>
      </c>
      <c r="I2" s="20" t="s">
        <v>339</v>
      </c>
      <c r="J2" s="20" t="s">
        <v>340</v>
      </c>
      <c r="K2" s="4" t="s">
        <v>351</v>
      </c>
      <c r="L2" s="21" t="s">
        <v>341</v>
      </c>
      <c r="M2" s="5" t="s">
        <v>247</v>
      </c>
      <c r="N2" s="5">
        <v>4</v>
      </c>
      <c r="O2" s="3" t="s">
        <v>261</v>
      </c>
      <c r="S2" s="3" t="s">
        <v>247</v>
      </c>
      <c r="T2" s="9">
        <v>4.5555555555555554</v>
      </c>
      <c r="U2" s="4">
        <v>0.53747605471157822</v>
      </c>
    </row>
    <row r="3" spans="1:21" ht="14.25" customHeight="1" x14ac:dyDescent="0.3">
      <c r="A3" s="3" t="s">
        <v>261</v>
      </c>
      <c r="B3" s="4">
        <v>19</v>
      </c>
      <c r="C3" s="3">
        <v>17</v>
      </c>
      <c r="D3" s="3">
        <v>15</v>
      </c>
      <c r="E3" s="3">
        <v>28</v>
      </c>
      <c r="F3" s="3">
        <v>10</v>
      </c>
      <c r="G3" s="3">
        <v>29</v>
      </c>
      <c r="H3" s="5">
        <v>28</v>
      </c>
      <c r="I3" s="5">
        <v>29</v>
      </c>
      <c r="J3" s="5">
        <v>30</v>
      </c>
      <c r="K3" s="8">
        <f t="shared" ref="K3:K22" si="0">AVERAGE(B3:J3)</f>
        <v>22.777777777777779</v>
      </c>
      <c r="M3" s="5" t="s">
        <v>248</v>
      </c>
      <c r="N3" s="5">
        <v>1</v>
      </c>
      <c r="O3" s="3" t="s">
        <v>262</v>
      </c>
      <c r="S3" s="3" t="s">
        <v>248</v>
      </c>
      <c r="T3" s="9">
        <v>3.6666666666666665</v>
      </c>
      <c r="U3" s="4">
        <v>0.62268266964537045</v>
      </c>
    </row>
    <row r="4" spans="1:21" ht="14.25" customHeight="1" x14ac:dyDescent="0.3">
      <c r="A4" s="3" t="s">
        <v>262</v>
      </c>
      <c r="B4" s="4">
        <v>4</v>
      </c>
      <c r="C4" s="3">
        <v>25</v>
      </c>
      <c r="D4" s="3">
        <v>27</v>
      </c>
      <c r="E4" s="3">
        <v>27</v>
      </c>
      <c r="F4" s="3">
        <v>23</v>
      </c>
      <c r="G4" s="3">
        <v>27</v>
      </c>
      <c r="H4" s="5">
        <v>25</v>
      </c>
      <c r="I4" s="5">
        <v>24</v>
      </c>
      <c r="J4" s="5">
        <v>26</v>
      </c>
      <c r="K4" s="8">
        <f t="shared" si="0"/>
        <v>23.111111111111111</v>
      </c>
      <c r="M4" s="5" t="s">
        <v>249</v>
      </c>
      <c r="N4" s="5">
        <v>5</v>
      </c>
      <c r="O4" s="3" t="s">
        <v>260</v>
      </c>
      <c r="S4" s="3" t="s">
        <v>249</v>
      </c>
      <c r="T4" s="9">
        <v>5.333333333333333</v>
      </c>
      <c r="U4" s="4">
        <v>0.52426836588405112</v>
      </c>
    </row>
    <row r="5" spans="1:21" ht="14.25" customHeight="1" x14ac:dyDescent="0.3">
      <c r="A5" s="3" t="s">
        <v>260</v>
      </c>
      <c r="B5" s="4">
        <v>14</v>
      </c>
      <c r="C5" s="3">
        <v>11</v>
      </c>
      <c r="D5" s="3">
        <v>13</v>
      </c>
      <c r="E5" s="3">
        <v>15</v>
      </c>
      <c r="F5" s="3">
        <v>11</v>
      </c>
      <c r="G5" s="3">
        <v>18</v>
      </c>
      <c r="H5" s="5">
        <v>11</v>
      </c>
      <c r="I5" s="5">
        <v>13</v>
      </c>
      <c r="J5" s="5">
        <v>16</v>
      </c>
      <c r="K5" s="8">
        <f t="shared" si="0"/>
        <v>13.555555555555555</v>
      </c>
      <c r="M5" s="5" t="s">
        <v>250</v>
      </c>
      <c r="N5" s="5">
        <v>5</v>
      </c>
      <c r="O5" s="3" t="s">
        <v>263</v>
      </c>
      <c r="S5" s="3" t="s">
        <v>250</v>
      </c>
      <c r="T5" s="9">
        <v>3.8888888888888888</v>
      </c>
      <c r="U5" s="4">
        <v>0.67691586229508371</v>
      </c>
    </row>
    <row r="6" spans="1:21" ht="14.25" customHeight="1" x14ac:dyDescent="0.3">
      <c r="A6" s="3" t="s">
        <v>263</v>
      </c>
      <c r="B6" s="4">
        <v>5</v>
      </c>
      <c r="C6" s="3">
        <v>7</v>
      </c>
      <c r="D6" s="3">
        <v>13</v>
      </c>
      <c r="E6" s="3">
        <v>0</v>
      </c>
      <c r="F6" s="3">
        <v>10</v>
      </c>
      <c r="G6" s="3">
        <v>13</v>
      </c>
      <c r="H6" s="5">
        <v>12</v>
      </c>
      <c r="I6" s="5">
        <v>13</v>
      </c>
      <c r="J6" s="5">
        <v>10</v>
      </c>
      <c r="K6" s="8">
        <f t="shared" si="0"/>
        <v>9.2222222222222214</v>
      </c>
      <c r="M6" s="5" t="s">
        <v>251</v>
      </c>
      <c r="N6" s="5">
        <v>11</v>
      </c>
      <c r="O6" s="3" t="s">
        <v>257</v>
      </c>
      <c r="S6" s="3" t="s">
        <v>251</v>
      </c>
      <c r="T6" s="9">
        <v>10</v>
      </c>
      <c r="U6" s="4">
        <v>0.655473679459604</v>
      </c>
    </row>
    <row r="7" spans="1:21" ht="14.25" customHeight="1" x14ac:dyDescent="0.3">
      <c r="A7" s="3" t="s">
        <v>257</v>
      </c>
      <c r="B7" s="4">
        <v>10</v>
      </c>
      <c r="C7" s="3">
        <v>12</v>
      </c>
      <c r="D7" s="3">
        <v>11</v>
      </c>
      <c r="E7" s="3">
        <v>12</v>
      </c>
      <c r="F7" s="3">
        <v>12</v>
      </c>
      <c r="G7" s="3">
        <v>13</v>
      </c>
      <c r="H7" s="5">
        <v>3</v>
      </c>
      <c r="I7" s="5">
        <v>12</v>
      </c>
      <c r="J7" s="5">
        <v>16</v>
      </c>
      <c r="K7" s="8">
        <f t="shared" si="0"/>
        <v>11.222222222222221</v>
      </c>
      <c r="M7" s="5" t="s">
        <v>252</v>
      </c>
      <c r="N7" s="5">
        <v>0</v>
      </c>
      <c r="O7" s="3" t="s">
        <v>258</v>
      </c>
      <c r="S7" s="3" t="s">
        <v>252</v>
      </c>
      <c r="T7" s="9">
        <v>6.7777777777777777</v>
      </c>
      <c r="U7" s="4">
        <v>0.70256358269933272</v>
      </c>
    </row>
    <row r="8" spans="1:21" ht="14.25" customHeight="1" x14ac:dyDescent="0.3">
      <c r="A8" s="3" t="s">
        <v>258</v>
      </c>
      <c r="B8" s="4">
        <v>6</v>
      </c>
      <c r="C8" s="3">
        <v>7</v>
      </c>
      <c r="D8" s="3">
        <v>5</v>
      </c>
      <c r="E8" s="3">
        <v>13</v>
      </c>
      <c r="F8" s="3">
        <v>14</v>
      </c>
      <c r="G8" s="3">
        <v>14</v>
      </c>
      <c r="H8" s="5">
        <v>14</v>
      </c>
      <c r="I8" s="5">
        <v>9</v>
      </c>
      <c r="J8" s="5">
        <v>15</v>
      </c>
      <c r="K8" s="8">
        <f t="shared" si="0"/>
        <v>10.777777777777779</v>
      </c>
      <c r="M8" s="5" t="s">
        <v>253</v>
      </c>
      <c r="N8" s="5">
        <v>10</v>
      </c>
      <c r="O8" s="3" t="s">
        <v>259</v>
      </c>
      <c r="S8" s="3" t="s">
        <v>253</v>
      </c>
      <c r="T8" s="9">
        <v>6.1111111111111107</v>
      </c>
      <c r="U8" s="4">
        <v>1.1425292918330761</v>
      </c>
    </row>
    <row r="9" spans="1:21" ht="14.25" customHeight="1" x14ac:dyDescent="0.3">
      <c r="A9" s="3" t="s">
        <v>259</v>
      </c>
      <c r="B9" s="4">
        <v>9</v>
      </c>
      <c r="C9" s="3">
        <v>7</v>
      </c>
      <c r="D9" s="3">
        <v>11</v>
      </c>
      <c r="E9" s="3">
        <v>10</v>
      </c>
      <c r="F9" s="3">
        <v>6</v>
      </c>
      <c r="G9" s="3">
        <v>16</v>
      </c>
      <c r="H9" s="5">
        <v>16</v>
      </c>
      <c r="I9" s="5">
        <v>3</v>
      </c>
      <c r="J9" s="5">
        <v>15</v>
      </c>
      <c r="K9" s="8">
        <f t="shared" si="0"/>
        <v>10.333333333333334</v>
      </c>
      <c r="M9" s="5" t="s">
        <v>254</v>
      </c>
      <c r="N9" s="5">
        <v>1</v>
      </c>
      <c r="O9" s="3" t="s">
        <v>264</v>
      </c>
      <c r="S9" s="3" t="s">
        <v>254</v>
      </c>
      <c r="T9" s="9">
        <v>3.5555555555555554</v>
      </c>
      <c r="U9" s="4">
        <v>0.80154659127182082</v>
      </c>
    </row>
    <row r="10" spans="1:21" ht="14.25" customHeight="1" x14ac:dyDescent="0.3">
      <c r="A10" s="3" t="s">
        <v>264</v>
      </c>
      <c r="B10" s="4">
        <v>6</v>
      </c>
      <c r="C10" s="3">
        <v>15</v>
      </c>
      <c r="D10" s="3">
        <v>16</v>
      </c>
      <c r="E10" s="3">
        <v>15</v>
      </c>
      <c r="F10" s="3">
        <v>16</v>
      </c>
      <c r="G10" s="3">
        <v>12</v>
      </c>
      <c r="H10" s="5">
        <v>8</v>
      </c>
      <c r="I10" s="5">
        <v>18</v>
      </c>
      <c r="J10" s="5">
        <v>12</v>
      </c>
      <c r="K10" s="8">
        <f t="shared" si="0"/>
        <v>13.111111111111111</v>
      </c>
      <c r="M10" s="5" t="s">
        <v>255</v>
      </c>
      <c r="N10" s="5">
        <v>5</v>
      </c>
      <c r="O10" s="3" t="s">
        <v>266</v>
      </c>
      <c r="S10" s="3" t="s">
        <v>255</v>
      </c>
      <c r="T10" s="3">
        <v>3.2222222222222223</v>
      </c>
      <c r="U10" s="4">
        <v>0.75176560751023358</v>
      </c>
    </row>
    <row r="11" spans="1:21" ht="14.25" customHeight="1" x14ac:dyDescent="0.3">
      <c r="A11" s="3" t="s">
        <v>266</v>
      </c>
      <c r="B11" s="4">
        <v>15</v>
      </c>
      <c r="C11" s="3">
        <v>15</v>
      </c>
      <c r="D11" s="3">
        <v>7</v>
      </c>
      <c r="E11" s="3">
        <v>14</v>
      </c>
      <c r="F11" s="3">
        <v>6</v>
      </c>
      <c r="G11" s="3">
        <v>6</v>
      </c>
      <c r="H11" s="5">
        <v>14</v>
      </c>
      <c r="I11" s="5">
        <v>14</v>
      </c>
      <c r="J11" s="5">
        <v>11</v>
      </c>
      <c r="K11" s="8">
        <f t="shared" si="0"/>
        <v>11.333333333333334</v>
      </c>
      <c r="M11" s="5" t="s">
        <v>256</v>
      </c>
      <c r="N11" s="5">
        <v>2</v>
      </c>
      <c r="O11" s="3" t="s">
        <v>265</v>
      </c>
      <c r="S11" s="3" t="s">
        <v>256</v>
      </c>
      <c r="T11" s="3">
        <v>4.7777777777777777</v>
      </c>
      <c r="U11" s="4">
        <v>0.70267762112263932</v>
      </c>
    </row>
    <row r="12" spans="1:21" ht="14.25" customHeight="1" x14ac:dyDescent="0.3">
      <c r="A12" s="3" t="s">
        <v>265</v>
      </c>
      <c r="B12" s="4">
        <v>13</v>
      </c>
      <c r="C12" s="3">
        <v>12</v>
      </c>
      <c r="D12" s="3">
        <v>12</v>
      </c>
      <c r="E12" s="3">
        <v>15</v>
      </c>
      <c r="F12" s="3">
        <v>10</v>
      </c>
      <c r="G12" s="3">
        <v>3</v>
      </c>
      <c r="H12" s="5">
        <v>14</v>
      </c>
      <c r="I12" s="5">
        <v>10</v>
      </c>
      <c r="J12" s="5">
        <v>12</v>
      </c>
      <c r="K12" s="8">
        <f t="shared" si="0"/>
        <v>11.222222222222221</v>
      </c>
      <c r="M12" s="5" t="s">
        <v>257</v>
      </c>
      <c r="N12" s="5">
        <v>16</v>
      </c>
      <c r="O12" s="3" t="s">
        <v>247</v>
      </c>
      <c r="S12" s="3" t="s">
        <v>257</v>
      </c>
      <c r="T12" s="9">
        <v>11.222222222222221</v>
      </c>
      <c r="U12" s="4">
        <v>-0.85169148296274</v>
      </c>
    </row>
    <row r="13" spans="1:21" ht="14.25" customHeight="1" x14ac:dyDescent="0.3">
      <c r="A13" s="3" t="s">
        <v>247</v>
      </c>
      <c r="B13" s="4">
        <v>8</v>
      </c>
      <c r="C13" s="3">
        <v>7</v>
      </c>
      <c r="D13" s="3">
        <v>2</v>
      </c>
      <c r="E13" s="3">
        <v>6</v>
      </c>
      <c r="F13" s="3">
        <v>0</v>
      </c>
      <c r="G13" s="3">
        <v>2</v>
      </c>
      <c r="H13" s="5">
        <v>0</v>
      </c>
      <c r="I13" s="5">
        <v>12</v>
      </c>
      <c r="J13" s="5">
        <v>4</v>
      </c>
      <c r="K13" s="8">
        <f t="shared" si="0"/>
        <v>4.5555555555555554</v>
      </c>
      <c r="M13" s="5" t="s">
        <v>258</v>
      </c>
      <c r="N13" s="5">
        <v>15</v>
      </c>
      <c r="O13" s="3" t="s">
        <v>248</v>
      </c>
      <c r="S13" s="3" t="s">
        <v>258</v>
      </c>
      <c r="T13" s="9">
        <v>10.777777777777779</v>
      </c>
      <c r="U13" s="4">
        <v>-1.12017317951397</v>
      </c>
    </row>
    <row r="14" spans="1:21" ht="14.25" customHeight="1" x14ac:dyDescent="0.3">
      <c r="A14" s="3" t="s">
        <v>248</v>
      </c>
      <c r="B14" s="4">
        <v>2</v>
      </c>
      <c r="C14" s="3">
        <v>4</v>
      </c>
      <c r="D14" s="3">
        <v>9</v>
      </c>
      <c r="E14" s="3">
        <v>0</v>
      </c>
      <c r="F14" s="3">
        <v>9</v>
      </c>
      <c r="G14" s="3">
        <v>0</v>
      </c>
      <c r="H14" s="5">
        <v>0</v>
      </c>
      <c r="I14" s="5">
        <v>8</v>
      </c>
      <c r="J14" s="5">
        <v>1</v>
      </c>
      <c r="K14" s="8">
        <f t="shared" si="0"/>
        <v>3.6666666666666665</v>
      </c>
      <c r="M14" s="5" t="s">
        <v>259</v>
      </c>
      <c r="N14" s="5">
        <v>15</v>
      </c>
      <c r="O14" s="3" t="s">
        <v>249</v>
      </c>
      <c r="S14" s="3" t="s">
        <v>259</v>
      </c>
      <c r="T14" s="9">
        <v>10.333333333333334</v>
      </c>
      <c r="U14" s="4">
        <v>-1.1154133211974251</v>
      </c>
    </row>
    <row r="15" spans="1:21" ht="14.25" customHeight="1" x14ac:dyDescent="0.3">
      <c r="A15" s="3" t="s">
        <v>249</v>
      </c>
      <c r="B15" s="4">
        <v>10</v>
      </c>
      <c r="C15" s="3">
        <v>0</v>
      </c>
      <c r="D15" s="3">
        <v>0</v>
      </c>
      <c r="E15" s="3">
        <v>2</v>
      </c>
      <c r="F15" s="3">
        <v>5</v>
      </c>
      <c r="G15" s="3">
        <v>6</v>
      </c>
      <c r="H15" s="5">
        <v>8</v>
      </c>
      <c r="I15" s="5">
        <v>12</v>
      </c>
      <c r="J15" s="5">
        <v>5</v>
      </c>
      <c r="K15" s="8">
        <f t="shared" si="0"/>
        <v>5.333333333333333</v>
      </c>
      <c r="M15" s="5" t="s">
        <v>260</v>
      </c>
      <c r="N15" s="5">
        <v>16</v>
      </c>
      <c r="O15" s="3" t="s">
        <v>250</v>
      </c>
      <c r="S15" s="3" t="s">
        <v>260</v>
      </c>
      <c r="T15" s="9">
        <v>13.555555555555555</v>
      </c>
      <c r="U15" s="4">
        <v>-1.072806810743151</v>
      </c>
    </row>
    <row r="16" spans="1:21" ht="14.25" customHeight="1" x14ac:dyDescent="0.3">
      <c r="A16" s="3" t="s">
        <v>250</v>
      </c>
      <c r="B16" s="4">
        <v>2</v>
      </c>
      <c r="C16" s="3">
        <v>4</v>
      </c>
      <c r="D16" s="3">
        <v>1</v>
      </c>
      <c r="E16" s="3">
        <v>5</v>
      </c>
      <c r="F16" s="3">
        <v>2</v>
      </c>
      <c r="G16" s="3">
        <v>11</v>
      </c>
      <c r="H16" s="5">
        <v>1</v>
      </c>
      <c r="I16" s="5">
        <v>4</v>
      </c>
      <c r="J16" s="5">
        <v>5</v>
      </c>
      <c r="K16" s="8">
        <f t="shared" si="0"/>
        <v>3.8888888888888888</v>
      </c>
      <c r="M16" s="5" t="s">
        <v>261</v>
      </c>
      <c r="N16" s="5">
        <v>30</v>
      </c>
      <c r="O16" s="3" t="s">
        <v>251</v>
      </c>
      <c r="S16" s="3" t="s">
        <v>261</v>
      </c>
      <c r="T16" s="9">
        <v>22.777777777777779</v>
      </c>
      <c r="U16" s="4">
        <v>-0.99095987605964864</v>
      </c>
    </row>
    <row r="17" spans="1:21" ht="14.25" customHeight="1" x14ac:dyDescent="0.3">
      <c r="A17" s="3" t="s">
        <v>251</v>
      </c>
      <c r="B17" s="4">
        <v>4</v>
      </c>
      <c r="C17" s="3">
        <v>13</v>
      </c>
      <c r="D17" s="3">
        <v>8</v>
      </c>
      <c r="E17" s="3">
        <v>10</v>
      </c>
      <c r="F17" s="3">
        <v>10</v>
      </c>
      <c r="G17" s="3">
        <v>10</v>
      </c>
      <c r="H17" s="5">
        <v>14</v>
      </c>
      <c r="I17" s="5">
        <v>10</v>
      </c>
      <c r="J17" s="5">
        <v>11</v>
      </c>
      <c r="K17" s="8">
        <f t="shared" si="0"/>
        <v>10</v>
      </c>
      <c r="M17" s="5" t="s">
        <v>262</v>
      </c>
      <c r="N17" s="5">
        <v>26</v>
      </c>
      <c r="O17" s="3" t="s">
        <v>252</v>
      </c>
      <c r="S17" s="3" t="s">
        <v>262</v>
      </c>
      <c r="T17" s="9">
        <v>23.111111111111111</v>
      </c>
      <c r="U17" s="4">
        <v>-1.679865001322572</v>
      </c>
    </row>
    <row r="18" spans="1:21" ht="14.25" customHeight="1" x14ac:dyDescent="0.3">
      <c r="A18" s="3" t="s">
        <v>252</v>
      </c>
      <c r="B18" s="4">
        <v>9</v>
      </c>
      <c r="C18" s="3">
        <v>11</v>
      </c>
      <c r="D18" s="3">
        <v>3</v>
      </c>
      <c r="E18" s="3">
        <v>8</v>
      </c>
      <c r="F18" s="3">
        <v>5</v>
      </c>
      <c r="G18" s="3">
        <v>6</v>
      </c>
      <c r="H18" s="5">
        <v>5</v>
      </c>
      <c r="I18" s="5">
        <v>14</v>
      </c>
      <c r="J18" s="5">
        <v>0</v>
      </c>
      <c r="K18" s="8">
        <f t="shared" si="0"/>
        <v>6.7777777777777777</v>
      </c>
      <c r="M18" s="5" t="s">
        <v>263</v>
      </c>
      <c r="N18" s="5">
        <v>10</v>
      </c>
      <c r="O18" s="3" t="s">
        <v>253</v>
      </c>
      <c r="S18" s="3" t="s">
        <v>263</v>
      </c>
      <c r="T18" s="9">
        <v>9.2222222222222214</v>
      </c>
      <c r="U18" s="4">
        <v>-0.90834372881365233</v>
      </c>
    </row>
    <row r="19" spans="1:21" ht="14.25" customHeight="1" x14ac:dyDescent="0.3">
      <c r="A19" s="3" t="s">
        <v>253</v>
      </c>
      <c r="B19" s="4">
        <v>4</v>
      </c>
      <c r="C19" s="3">
        <v>1</v>
      </c>
      <c r="D19" s="3">
        <v>11</v>
      </c>
      <c r="E19" s="3">
        <v>5</v>
      </c>
      <c r="F19" s="3">
        <v>6</v>
      </c>
      <c r="G19" s="3">
        <v>8</v>
      </c>
      <c r="H19" s="5">
        <v>3</v>
      </c>
      <c r="I19" s="5">
        <v>7</v>
      </c>
      <c r="J19" s="5">
        <v>10</v>
      </c>
      <c r="K19" s="8">
        <f t="shared" si="0"/>
        <v>6.1111111111111107</v>
      </c>
      <c r="M19" s="5" t="s">
        <v>264</v>
      </c>
      <c r="N19" s="5">
        <v>12</v>
      </c>
      <c r="O19" s="3" t="s">
        <v>254</v>
      </c>
      <c r="S19" s="3" t="s">
        <v>264</v>
      </c>
      <c r="T19" s="9">
        <v>13.111111111111111</v>
      </c>
      <c r="U19" s="4">
        <v>-1.196962071035268</v>
      </c>
    </row>
    <row r="20" spans="1:21" ht="14.25" customHeight="1" x14ac:dyDescent="0.3">
      <c r="A20" s="3" t="s">
        <v>254</v>
      </c>
      <c r="B20" s="4">
        <v>9</v>
      </c>
      <c r="C20" s="3">
        <v>4</v>
      </c>
      <c r="D20" s="3">
        <v>2</v>
      </c>
      <c r="E20" s="3">
        <v>1</v>
      </c>
      <c r="F20" s="3">
        <v>2</v>
      </c>
      <c r="G20" s="3">
        <v>2</v>
      </c>
      <c r="H20" s="5">
        <v>3</v>
      </c>
      <c r="I20" s="5">
        <v>8</v>
      </c>
      <c r="J20" s="5">
        <v>1</v>
      </c>
      <c r="K20" s="8">
        <f t="shared" si="0"/>
        <v>3.5555555555555554</v>
      </c>
      <c r="M20" s="5" t="s">
        <v>265</v>
      </c>
      <c r="N20" s="5">
        <v>12</v>
      </c>
      <c r="O20" s="3" t="s">
        <v>255</v>
      </c>
      <c r="S20" s="3" t="s">
        <v>265</v>
      </c>
      <c r="T20" s="9">
        <v>11.222222222222221</v>
      </c>
      <c r="U20" s="4">
        <v>-1.2097705883740471</v>
      </c>
    </row>
    <row r="21" spans="1:21" ht="14.25" customHeight="1" x14ac:dyDescent="0.3">
      <c r="A21" s="3" t="s">
        <v>255</v>
      </c>
      <c r="B21" s="4">
        <v>2</v>
      </c>
      <c r="C21" s="3">
        <v>5</v>
      </c>
      <c r="D21" s="3">
        <v>7</v>
      </c>
      <c r="E21" s="3">
        <v>0</v>
      </c>
      <c r="F21" s="3">
        <v>8</v>
      </c>
      <c r="G21" s="3">
        <v>0</v>
      </c>
      <c r="H21" s="5">
        <v>0</v>
      </c>
      <c r="I21" s="5">
        <v>2</v>
      </c>
      <c r="J21" s="5">
        <v>5</v>
      </c>
      <c r="K21" s="8">
        <f t="shared" si="0"/>
        <v>3.2222222222222223</v>
      </c>
      <c r="M21" s="5" t="s">
        <v>266</v>
      </c>
      <c r="N21" s="5">
        <v>11</v>
      </c>
      <c r="O21" s="3" t="s">
        <v>256</v>
      </c>
      <c r="S21" s="3" t="s">
        <v>266</v>
      </c>
      <c r="T21" s="9">
        <v>11.333333333333334</v>
      </c>
      <c r="U21" s="4">
        <v>-0.88310324035056598</v>
      </c>
    </row>
    <row r="22" spans="1:21" ht="14.25" customHeight="1" x14ac:dyDescent="0.3">
      <c r="A22" s="3" t="s">
        <v>256</v>
      </c>
      <c r="B22" s="4">
        <v>4</v>
      </c>
      <c r="C22" s="3">
        <v>14</v>
      </c>
      <c r="D22" s="3">
        <v>3</v>
      </c>
      <c r="E22" s="3">
        <v>5</v>
      </c>
      <c r="F22" s="3">
        <v>8</v>
      </c>
      <c r="G22" s="3">
        <v>3</v>
      </c>
      <c r="H22" s="5">
        <v>3</v>
      </c>
      <c r="I22" s="5">
        <v>1</v>
      </c>
      <c r="J22" s="5">
        <v>2</v>
      </c>
      <c r="K22" s="8">
        <f t="shared" si="0"/>
        <v>4.7777777777777777</v>
      </c>
    </row>
    <row r="23" spans="1:21" ht="14.25" customHeight="1" x14ac:dyDescent="0.3"/>
    <row r="24" spans="1:21" ht="14.25" customHeight="1" x14ac:dyDescent="0.3">
      <c r="A24" s="4" t="s">
        <v>330</v>
      </c>
      <c r="B24" s="4" t="s">
        <v>342</v>
      </c>
      <c r="N24" s="4"/>
    </row>
    <row r="25" spans="1:21" ht="14.25" customHeight="1" x14ac:dyDescent="0.3">
      <c r="A25" s="4" t="s">
        <v>232</v>
      </c>
      <c r="B25" s="20">
        <v>45938</v>
      </c>
      <c r="C25" s="20">
        <v>45945</v>
      </c>
      <c r="D25" s="20">
        <v>45952</v>
      </c>
      <c r="E25" s="20">
        <v>45959</v>
      </c>
      <c r="F25" s="20">
        <v>45966</v>
      </c>
      <c r="G25" s="20">
        <v>45973</v>
      </c>
      <c r="H25" s="20">
        <v>45980</v>
      </c>
      <c r="I25" s="20">
        <v>45987</v>
      </c>
      <c r="J25" s="20">
        <v>45994</v>
      </c>
      <c r="K25" s="4" t="s">
        <v>352</v>
      </c>
      <c r="O25" s="9"/>
    </row>
    <row r="26" spans="1:21" ht="14.25" customHeight="1" x14ac:dyDescent="0.3">
      <c r="A26" s="3" t="s">
        <v>261</v>
      </c>
      <c r="B26" s="3">
        <v>12</v>
      </c>
      <c r="C26" s="3">
        <v>13</v>
      </c>
      <c r="D26" s="3">
        <v>27</v>
      </c>
      <c r="E26" s="3">
        <v>21</v>
      </c>
      <c r="F26" s="3">
        <v>30</v>
      </c>
      <c r="G26" s="3">
        <v>18</v>
      </c>
      <c r="H26" s="5">
        <v>26</v>
      </c>
      <c r="I26" s="5">
        <v>17</v>
      </c>
      <c r="J26" s="5">
        <v>28</v>
      </c>
      <c r="K26" s="8">
        <f t="shared" ref="K26:K45" si="1">AVERAGE(B26:J26)</f>
        <v>21.333333333333332</v>
      </c>
      <c r="O26" s="9"/>
    </row>
    <row r="27" spans="1:21" ht="14.25" customHeight="1" x14ac:dyDescent="0.3">
      <c r="A27" s="3" t="s">
        <v>262</v>
      </c>
      <c r="B27" s="3">
        <v>24</v>
      </c>
      <c r="C27" s="3">
        <v>25</v>
      </c>
      <c r="D27" s="3">
        <v>27</v>
      </c>
      <c r="E27" s="3">
        <v>23</v>
      </c>
      <c r="F27" s="3">
        <v>23</v>
      </c>
      <c r="G27" s="3">
        <v>26</v>
      </c>
      <c r="H27" s="5">
        <v>26</v>
      </c>
      <c r="I27" s="5">
        <v>19</v>
      </c>
      <c r="J27" s="5">
        <v>22</v>
      </c>
      <c r="K27" s="8">
        <f t="shared" si="1"/>
        <v>23.888888888888889</v>
      </c>
      <c r="O27" s="9"/>
    </row>
    <row r="28" spans="1:21" ht="14.25" customHeight="1" x14ac:dyDescent="0.3">
      <c r="A28" s="3" t="s">
        <v>260</v>
      </c>
      <c r="B28" s="3">
        <v>17</v>
      </c>
      <c r="C28" s="3">
        <v>14</v>
      </c>
      <c r="D28" s="3">
        <v>19</v>
      </c>
      <c r="E28" s="3">
        <v>17</v>
      </c>
      <c r="F28" s="3">
        <v>16</v>
      </c>
      <c r="G28" s="3">
        <v>9</v>
      </c>
      <c r="H28" s="5">
        <v>19</v>
      </c>
      <c r="I28" s="5">
        <v>18</v>
      </c>
      <c r="J28" s="5">
        <v>6</v>
      </c>
      <c r="K28" s="8">
        <f t="shared" si="1"/>
        <v>15</v>
      </c>
      <c r="O28" s="9"/>
    </row>
    <row r="29" spans="1:21" ht="14.25" customHeight="1" x14ac:dyDescent="0.3">
      <c r="A29" s="3" t="s">
        <v>263</v>
      </c>
      <c r="B29" s="3">
        <v>14</v>
      </c>
      <c r="C29" s="3">
        <v>7</v>
      </c>
      <c r="D29" s="3">
        <v>13</v>
      </c>
      <c r="E29" s="3">
        <v>12</v>
      </c>
      <c r="F29" s="3">
        <v>15</v>
      </c>
      <c r="G29" s="3">
        <v>12</v>
      </c>
      <c r="H29" s="5">
        <v>8</v>
      </c>
      <c r="I29" s="5">
        <v>14</v>
      </c>
      <c r="J29" s="5">
        <v>7</v>
      </c>
      <c r="K29" s="8">
        <f t="shared" si="1"/>
        <v>11.333333333333334</v>
      </c>
      <c r="O29" s="9"/>
    </row>
    <row r="30" spans="1:21" ht="14.25" customHeight="1" x14ac:dyDescent="0.3">
      <c r="A30" s="3" t="s">
        <v>257</v>
      </c>
      <c r="B30" s="3">
        <v>5</v>
      </c>
      <c r="C30" s="3">
        <v>15</v>
      </c>
      <c r="D30" s="3">
        <v>5</v>
      </c>
      <c r="E30" s="3">
        <v>14</v>
      </c>
      <c r="F30" s="3">
        <v>16</v>
      </c>
      <c r="G30" s="3">
        <v>10</v>
      </c>
      <c r="H30" s="5">
        <v>0</v>
      </c>
      <c r="I30" s="5">
        <v>15</v>
      </c>
      <c r="J30" s="5">
        <v>13</v>
      </c>
      <c r="K30" s="8">
        <f t="shared" si="1"/>
        <v>10.333333333333334</v>
      </c>
      <c r="O30" s="9"/>
    </row>
    <row r="31" spans="1:21" ht="14.25" customHeight="1" x14ac:dyDescent="0.3">
      <c r="A31" s="3" t="s">
        <v>258</v>
      </c>
      <c r="B31" s="3">
        <v>4</v>
      </c>
      <c r="C31" s="3">
        <v>8</v>
      </c>
      <c r="D31" s="3">
        <v>10</v>
      </c>
      <c r="E31" s="3">
        <v>11</v>
      </c>
      <c r="F31" s="3">
        <v>7</v>
      </c>
      <c r="G31" s="3">
        <v>5</v>
      </c>
      <c r="H31" s="5">
        <v>14</v>
      </c>
      <c r="I31" s="5">
        <v>10</v>
      </c>
      <c r="J31" s="5">
        <v>9</v>
      </c>
      <c r="K31" s="8">
        <f t="shared" si="1"/>
        <v>8.6666666666666661</v>
      </c>
      <c r="O31" s="9"/>
    </row>
    <row r="32" spans="1:21" ht="14.25" customHeight="1" x14ac:dyDescent="0.3">
      <c r="A32" s="3" t="s">
        <v>259</v>
      </c>
      <c r="B32" s="3">
        <v>19</v>
      </c>
      <c r="C32" s="3">
        <v>17</v>
      </c>
      <c r="D32" s="3">
        <v>11</v>
      </c>
      <c r="E32" s="3">
        <v>13</v>
      </c>
      <c r="F32" s="3">
        <v>17</v>
      </c>
      <c r="G32" s="3">
        <v>1</v>
      </c>
      <c r="H32" s="5">
        <v>14</v>
      </c>
      <c r="I32" s="5">
        <v>14</v>
      </c>
      <c r="J32" s="5">
        <v>7</v>
      </c>
      <c r="K32" s="8">
        <f t="shared" si="1"/>
        <v>12.555555555555555</v>
      </c>
      <c r="O32" s="9"/>
    </row>
    <row r="33" spans="1:15" ht="14.25" customHeight="1" x14ac:dyDescent="0.3">
      <c r="A33" s="3" t="s">
        <v>264</v>
      </c>
      <c r="B33" s="3">
        <v>1</v>
      </c>
      <c r="C33" s="3">
        <v>6</v>
      </c>
      <c r="D33" s="3">
        <v>6</v>
      </c>
      <c r="E33" s="3">
        <v>16</v>
      </c>
      <c r="F33" s="3">
        <v>11</v>
      </c>
      <c r="G33" s="3">
        <v>16</v>
      </c>
      <c r="H33" s="5">
        <v>18</v>
      </c>
      <c r="I33" s="5">
        <v>2</v>
      </c>
      <c r="J33" s="5">
        <v>7</v>
      </c>
      <c r="K33" s="8">
        <f t="shared" si="1"/>
        <v>9.2222222222222214</v>
      </c>
      <c r="O33" s="9"/>
    </row>
    <row r="34" spans="1:15" ht="14.25" customHeight="1" x14ac:dyDescent="0.3">
      <c r="A34" s="3" t="s">
        <v>266</v>
      </c>
      <c r="B34" s="3">
        <v>11</v>
      </c>
      <c r="C34" s="3">
        <v>1</v>
      </c>
      <c r="D34" s="3">
        <v>11</v>
      </c>
      <c r="E34" s="3">
        <v>7</v>
      </c>
      <c r="F34" s="3">
        <v>15</v>
      </c>
      <c r="G34" s="3">
        <v>14</v>
      </c>
      <c r="H34" s="5">
        <v>5</v>
      </c>
      <c r="I34" s="5">
        <v>5</v>
      </c>
      <c r="J34" s="5">
        <v>14</v>
      </c>
      <c r="K34" s="8">
        <f t="shared" si="1"/>
        <v>9.2222222222222214</v>
      </c>
      <c r="O34" s="9"/>
    </row>
    <row r="35" spans="1:15" ht="14.25" customHeight="1" x14ac:dyDescent="0.3">
      <c r="A35" s="3" t="s">
        <v>265</v>
      </c>
      <c r="B35" s="3">
        <v>4</v>
      </c>
      <c r="C35" s="3">
        <v>4</v>
      </c>
      <c r="D35" s="3">
        <v>12</v>
      </c>
      <c r="E35" s="3">
        <v>10</v>
      </c>
      <c r="F35" s="3">
        <v>12</v>
      </c>
      <c r="G35" s="3">
        <v>8</v>
      </c>
      <c r="H35" s="5">
        <v>14</v>
      </c>
      <c r="I35" s="5">
        <v>9</v>
      </c>
      <c r="J35" s="5">
        <v>3</v>
      </c>
      <c r="K35" s="8">
        <f t="shared" si="1"/>
        <v>8.4444444444444446</v>
      </c>
      <c r="O35" s="9"/>
    </row>
    <row r="36" spans="1:15" ht="14.25" customHeight="1" x14ac:dyDescent="0.3">
      <c r="A36" s="3" t="s">
        <v>247</v>
      </c>
      <c r="B36" s="3">
        <v>2</v>
      </c>
      <c r="C36" s="3">
        <v>5</v>
      </c>
      <c r="D36" s="3">
        <v>3</v>
      </c>
      <c r="E36" s="3">
        <v>7</v>
      </c>
      <c r="F36" s="3">
        <v>2</v>
      </c>
      <c r="G36" s="3">
        <v>8</v>
      </c>
      <c r="H36" s="5">
        <v>5</v>
      </c>
      <c r="I36" s="5">
        <v>9</v>
      </c>
      <c r="J36" s="5">
        <v>7</v>
      </c>
      <c r="K36" s="8">
        <f t="shared" si="1"/>
        <v>5.333333333333333</v>
      </c>
      <c r="O36" s="9"/>
    </row>
    <row r="37" spans="1:15" ht="14.25" customHeight="1" x14ac:dyDescent="0.3">
      <c r="A37" s="3" t="s">
        <v>248</v>
      </c>
      <c r="B37" s="3">
        <v>12</v>
      </c>
      <c r="C37" s="3">
        <v>2</v>
      </c>
      <c r="D37" s="3">
        <v>12</v>
      </c>
      <c r="E37" s="3">
        <v>11</v>
      </c>
      <c r="F37" s="3">
        <v>1</v>
      </c>
      <c r="G37" s="3">
        <v>1</v>
      </c>
      <c r="H37" s="5">
        <v>6</v>
      </c>
      <c r="I37" s="5">
        <v>10</v>
      </c>
      <c r="J37" s="5">
        <v>3</v>
      </c>
      <c r="K37" s="8">
        <f t="shared" si="1"/>
        <v>6.4444444444444446</v>
      </c>
      <c r="O37" s="9"/>
    </row>
    <row r="38" spans="1:15" ht="14.25" customHeight="1" x14ac:dyDescent="0.3">
      <c r="A38" s="3" t="s">
        <v>249</v>
      </c>
      <c r="B38" s="3">
        <v>12</v>
      </c>
      <c r="C38" s="3">
        <v>3</v>
      </c>
      <c r="D38" s="3">
        <v>11</v>
      </c>
      <c r="E38" s="3">
        <v>12</v>
      </c>
      <c r="F38" s="3">
        <v>3</v>
      </c>
      <c r="G38" s="3">
        <v>11</v>
      </c>
      <c r="H38" s="5">
        <v>1</v>
      </c>
      <c r="I38" s="5">
        <v>10</v>
      </c>
      <c r="J38" s="5">
        <v>10</v>
      </c>
      <c r="K38" s="8">
        <f t="shared" si="1"/>
        <v>8.1111111111111107</v>
      </c>
      <c r="O38" s="9"/>
    </row>
    <row r="39" spans="1:15" ht="14.25" customHeight="1" x14ac:dyDescent="0.3">
      <c r="A39" s="3" t="s">
        <v>250</v>
      </c>
      <c r="B39" s="3">
        <v>10</v>
      </c>
      <c r="C39" s="3">
        <v>11</v>
      </c>
      <c r="D39" s="3">
        <v>4</v>
      </c>
      <c r="E39" s="3">
        <v>6</v>
      </c>
      <c r="F39" s="3">
        <v>10</v>
      </c>
      <c r="G39" s="3">
        <v>2</v>
      </c>
      <c r="H39" s="5">
        <v>2</v>
      </c>
      <c r="I39" s="5">
        <v>9</v>
      </c>
      <c r="J39" s="5">
        <v>8</v>
      </c>
      <c r="K39" s="8">
        <f t="shared" si="1"/>
        <v>6.8888888888888893</v>
      </c>
      <c r="O39" s="9"/>
    </row>
    <row r="40" spans="1:15" ht="14.25" customHeight="1" x14ac:dyDescent="0.3">
      <c r="A40" s="3" t="s">
        <v>251</v>
      </c>
      <c r="B40" s="3">
        <v>2</v>
      </c>
      <c r="C40" s="3">
        <v>7</v>
      </c>
      <c r="D40" s="3">
        <v>10</v>
      </c>
      <c r="E40" s="3">
        <v>7</v>
      </c>
      <c r="F40" s="3">
        <v>6</v>
      </c>
      <c r="G40" s="3">
        <v>7</v>
      </c>
      <c r="H40" s="5">
        <v>9</v>
      </c>
      <c r="I40" s="5">
        <v>1</v>
      </c>
      <c r="J40" s="5">
        <v>7</v>
      </c>
      <c r="K40" s="8">
        <f t="shared" si="1"/>
        <v>6.2222222222222223</v>
      </c>
      <c r="O40" s="9"/>
    </row>
    <row r="41" spans="1:15" ht="14.25" customHeight="1" x14ac:dyDescent="0.3">
      <c r="A41" s="3" t="s">
        <v>252</v>
      </c>
      <c r="B41" s="3">
        <v>2</v>
      </c>
      <c r="C41" s="3">
        <v>10</v>
      </c>
      <c r="D41" s="3">
        <v>0</v>
      </c>
      <c r="E41" s="3">
        <v>4</v>
      </c>
      <c r="F41" s="3">
        <v>5</v>
      </c>
      <c r="G41" s="3">
        <v>0</v>
      </c>
      <c r="H41" s="5">
        <v>2</v>
      </c>
      <c r="I41" s="5">
        <v>5</v>
      </c>
      <c r="J41" s="5">
        <v>10</v>
      </c>
      <c r="K41" s="8">
        <f t="shared" si="1"/>
        <v>4.2222222222222223</v>
      </c>
      <c r="O41" s="9"/>
    </row>
    <row r="42" spans="1:15" ht="14.25" customHeight="1" x14ac:dyDescent="0.3">
      <c r="A42" s="3" t="s">
        <v>253</v>
      </c>
      <c r="B42" s="3">
        <v>3</v>
      </c>
      <c r="C42" s="3">
        <v>5</v>
      </c>
      <c r="D42" s="3">
        <v>7</v>
      </c>
      <c r="E42" s="3">
        <v>7</v>
      </c>
      <c r="F42" s="3">
        <v>3</v>
      </c>
      <c r="G42" s="3">
        <v>2</v>
      </c>
      <c r="H42" s="5">
        <v>0</v>
      </c>
      <c r="I42" s="5">
        <v>5</v>
      </c>
      <c r="J42" s="5">
        <v>6</v>
      </c>
      <c r="K42" s="8">
        <f t="shared" si="1"/>
        <v>4.2222222222222223</v>
      </c>
      <c r="O42" s="9"/>
    </row>
    <row r="43" spans="1:15" ht="14.25" customHeight="1" x14ac:dyDescent="0.3">
      <c r="A43" s="3" t="s">
        <v>254</v>
      </c>
      <c r="B43" s="3">
        <v>10</v>
      </c>
      <c r="C43" s="3">
        <v>0</v>
      </c>
      <c r="D43" s="3">
        <v>2</v>
      </c>
      <c r="E43" s="3">
        <v>3</v>
      </c>
      <c r="F43" s="3">
        <v>4</v>
      </c>
      <c r="G43" s="3">
        <v>6</v>
      </c>
      <c r="H43" s="5">
        <v>2</v>
      </c>
      <c r="I43" s="5">
        <v>2</v>
      </c>
      <c r="J43" s="5">
        <v>1</v>
      </c>
      <c r="K43" s="8">
        <f t="shared" si="1"/>
        <v>3.3333333333333335</v>
      </c>
      <c r="O43" s="9"/>
    </row>
    <row r="44" spans="1:15" ht="14.25" customHeight="1" x14ac:dyDescent="0.3">
      <c r="A44" s="3" t="s">
        <v>255</v>
      </c>
      <c r="B44" s="3">
        <v>2</v>
      </c>
      <c r="C44" s="3">
        <v>3</v>
      </c>
      <c r="D44" s="3">
        <v>4</v>
      </c>
      <c r="E44" s="3">
        <v>8</v>
      </c>
      <c r="F44" s="3">
        <v>0</v>
      </c>
      <c r="G44" s="3">
        <v>2</v>
      </c>
      <c r="H44" s="5">
        <v>2</v>
      </c>
      <c r="I44" s="5">
        <v>4</v>
      </c>
      <c r="J44" s="5">
        <v>1</v>
      </c>
      <c r="K44" s="8">
        <f t="shared" si="1"/>
        <v>2.8888888888888888</v>
      </c>
      <c r="O44" s="9"/>
    </row>
    <row r="45" spans="1:15" ht="14.25" customHeight="1" x14ac:dyDescent="0.3">
      <c r="A45" s="3" t="s">
        <v>256</v>
      </c>
      <c r="B45" s="3">
        <v>9</v>
      </c>
      <c r="C45" s="3">
        <v>6</v>
      </c>
      <c r="D45" s="3">
        <v>10</v>
      </c>
      <c r="E45" s="3">
        <v>8</v>
      </c>
      <c r="F45" s="3">
        <v>3</v>
      </c>
      <c r="G45" s="3">
        <v>4</v>
      </c>
      <c r="H45" s="5">
        <v>3</v>
      </c>
      <c r="I45" s="5">
        <v>6</v>
      </c>
      <c r="J45" s="5">
        <v>4</v>
      </c>
      <c r="K45" s="8">
        <f t="shared" si="1"/>
        <v>5.8888888888888893</v>
      </c>
    </row>
    <row r="46" spans="1:15" ht="14.25" customHeight="1" x14ac:dyDescent="0.3">
      <c r="H46" s="5"/>
    </row>
    <row r="47" spans="1:15" ht="14.25" customHeight="1" x14ac:dyDescent="0.3"/>
    <row r="48" spans="1:15" ht="14.25" customHeight="1" x14ac:dyDescent="0.3">
      <c r="A48" s="4" t="s">
        <v>330</v>
      </c>
      <c r="B48" s="4" t="s">
        <v>343</v>
      </c>
    </row>
    <row r="49" spans="1:11" ht="14.25" customHeight="1" x14ac:dyDescent="0.3">
      <c r="A49" s="4" t="s">
        <v>232</v>
      </c>
      <c r="B49" s="20">
        <v>45939</v>
      </c>
      <c r="C49" s="20">
        <v>45946</v>
      </c>
      <c r="D49" s="20">
        <v>45953</v>
      </c>
      <c r="E49" s="20">
        <v>45960</v>
      </c>
      <c r="F49" s="20">
        <v>45967</v>
      </c>
      <c r="G49" s="20">
        <v>45974</v>
      </c>
      <c r="H49" s="20">
        <v>45981</v>
      </c>
      <c r="I49" s="20">
        <v>45988</v>
      </c>
      <c r="J49" s="20">
        <v>45995</v>
      </c>
      <c r="K49" s="4" t="s">
        <v>353</v>
      </c>
    </row>
    <row r="50" spans="1:11" ht="14.25" customHeight="1" x14ac:dyDescent="0.3">
      <c r="A50" s="3" t="s">
        <v>261</v>
      </c>
      <c r="B50" s="3">
        <v>27</v>
      </c>
      <c r="C50" s="3">
        <v>18</v>
      </c>
      <c r="D50" s="3">
        <v>20</v>
      </c>
      <c r="E50" s="3">
        <v>24</v>
      </c>
      <c r="F50" s="3">
        <v>29</v>
      </c>
      <c r="G50" s="3">
        <v>13</v>
      </c>
      <c r="H50" s="5">
        <v>19</v>
      </c>
      <c r="I50" s="5">
        <v>31</v>
      </c>
      <c r="J50" s="5">
        <v>28</v>
      </c>
      <c r="K50" s="8">
        <f t="shared" ref="K50:K69" si="2">AVERAGE(B50:J50)</f>
        <v>23.222222222222221</v>
      </c>
    </row>
    <row r="51" spans="1:11" ht="14.25" customHeight="1" x14ac:dyDescent="0.3">
      <c r="A51" s="3" t="s">
        <v>262</v>
      </c>
      <c r="B51" s="3">
        <v>19</v>
      </c>
      <c r="C51" s="3">
        <v>24</v>
      </c>
      <c r="D51" s="3">
        <v>23</v>
      </c>
      <c r="E51" s="3">
        <v>25</v>
      </c>
      <c r="F51" s="3">
        <v>25</v>
      </c>
      <c r="G51" s="3">
        <v>27</v>
      </c>
      <c r="H51" s="5">
        <v>27</v>
      </c>
      <c r="I51" s="5">
        <v>26</v>
      </c>
      <c r="J51" s="5">
        <v>21</v>
      </c>
      <c r="K51" s="8">
        <f t="shared" si="2"/>
        <v>24.111111111111111</v>
      </c>
    </row>
    <row r="52" spans="1:11" ht="14.25" customHeight="1" x14ac:dyDescent="0.3">
      <c r="A52" s="3" t="s">
        <v>260</v>
      </c>
      <c r="B52" s="3">
        <v>18</v>
      </c>
      <c r="C52" s="3">
        <v>13</v>
      </c>
      <c r="D52" s="3">
        <v>13</v>
      </c>
      <c r="E52" s="3">
        <v>10</v>
      </c>
      <c r="F52" s="3">
        <v>17</v>
      </c>
      <c r="G52" s="3">
        <v>10</v>
      </c>
      <c r="H52" s="5">
        <v>16</v>
      </c>
      <c r="I52" s="5">
        <v>8</v>
      </c>
      <c r="J52" s="5">
        <v>8</v>
      </c>
      <c r="K52" s="8">
        <f t="shared" si="2"/>
        <v>12.555555555555555</v>
      </c>
    </row>
    <row r="53" spans="1:11" ht="14.25" customHeight="1" x14ac:dyDescent="0.3">
      <c r="A53" s="3" t="s">
        <v>263</v>
      </c>
      <c r="B53" s="3">
        <v>9</v>
      </c>
      <c r="C53" s="3">
        <v>9</v>
      </c>
      <c r="D53" s="3">
        <v>11</v>
      </c>
      <c r="E53" s="3">
        <v>12</v>
      </c>
      <c r="F53" s="3">
        <v>9</v>
      </c>
      <c r="G53" s="3">
        <v>14</v>
      </c>
      <c r="H53" s="5">
        <v>9</v>
      </c>
      <c r="I53" s="5">
        <v>15</v>
      </c>
      <c r="J53" s="5">
        <v>15</v>
      </c>
      <c r="K53" s="8">
        <f t="shared" si="2"/>
        <v>11.444444444444445</v>
      </c>
    </row>
    <row r="54" spans="1:11" ht="14.25" customHeight="1" x14ac:dyDescent="0.3">
      <c r="A54" s="3" t="s">
        <v>257</v>
      </c>
      <c r="B54" s="3">
        <v>16</v>
      </c>
      <c r="C54" s="3">
        <v>12</v>
      </c>
      <c r="D54" s="3">
        <v>12</v>
      </c>
      <c r="E54" s="3">
        <v>12</v>
      </c>
      <c r="F54" s="3">
        <v>16</v>
      </c>
      <c r="G54" s="3">
        <v>11</v>
      </c>
      <c r="H54" s="5">
        <v>16</v>
      </c>
      <c r="I54" s="5">
        <v>10</v>
      </c>
      <c r="J54" s="5">
        <v>17</v>
      </c>
      <c r="K54" s="8">
        <f t="shared" si="2"/>
        <v>13.555555555555555</v>
      </c>
    </row>
    <row r="55" spans="1:11" ht="14.25" customHeight="1" x14ac:dyDescent="0.3">
      <c r="A55" s="3" t="s">
        <v>258</v>
      </c>
      <c r="B55" s="3">
        <v>2</v>
      </c>
      <c r="C55" s="3">
        <v>8</v>
      </c>
      <c r="D55" s="3">
        <v>5</v>
      </c>
      <c r="E55" s="3">
        <v>5</v>
      </c>
      <c r="F55" s="3">
        <v>13</v>
      </c>
      <c r="G55" s="3">
        <v>5</v>
      </c>
      <c r="H55" s="5">
        <v>10</v>
      </c>
      <c r="I55" s="5">
        <v>6</v>
      </c>
      <c r="J55" s="5">
        <v>9</v>
      </c>
      <c r="K55" s="8">
        <f t="shared" si="2"/>
        <v>7</v>
      </c>
    </row>
    <row r="56" spans="1:11" ht="14.25" customHeight="1" x14ac:dyDescent="0.3">
      <c r="A56" s="3" t="s">
        <v>259</v>
      </c>
      <c r="B56" s="3">
        <v>15</v>
      </c>
      <c r="C56" s="3">
        <v>15</v>
      </c>
      <c r="D56" s="3">
        <v>10</v>
      </c>
      <c r="E56" s="3">
        <v>16</v>
      </c>
      <c r="F56" s="3">
        <v>13</v>
      </c>
      <c r="G56" s="3">
        <v>12</v>
      </c>
      <c r="H56" s="5">
        <v>12</v>
      </c>
      <c r="I56" s="5">
        <v>7</v>
      </c>
      <c r="J56" s="5">
        <v>18</v>
      </c>
      <c r="K56" s="8">
        <f t="shared" si="2"/>
        <v>13.111111111111111</v>
      </c>
    </row>
    <row r="57" spans="1:11" ht="14.25" customHeight="1" x14ac:dyDescent="0.3">
      <c r="A57" s="3" t="s">
        <v>264</v>
      </c>
      <c r="B57" s="3">
        <v>5</v>
      </c>
      <c r="C57" s="3">
        <v>14</v>
      </c>
      <c r="D57" s="3">
        <v>7</v>
      </c>
      <c r="E57" s="3">
        <v>18</v>
      </c>
      <c r="F57" s="3">
        <v>4</v>
      </c>
      <c r="G57" s="3">
        <v>15</v>
      </c>
      <c r="H57" s="5">
        <v>17</v>
      </c>
      <c r="I57" s="5">
        <v>12</v>
      </c>
      <c r="J57" s="5">
        <v>8</v>
      </c>
      <c r="K57" s="8">
        <f t="shared" si="2"/>
        <v>11.111111111111111</v>
      </c>
    </row>
    <row r="58" spans="1:11" ht="14.25" customHeight="1" x14ac:dyDescent="0.3">
      <c r="A58" s="3" t="s">
        <v>266</v>
      </c>
      <c r="B58" s="3">
        <v>8</v>
      </c>
      <c r="C58" s="3">
        <v>8</v>
      </c>
      <c r="D58" s="3">
        <v>6</v>
      </c>
      <c r="E58" s="3">
        <v>12</v>
      </c>
      <c r="F58" s="3">
        <v>8</v>
      </c>
      <c r="G58" s="3">
        <v>6</v>
      </c>
      <c r="H58" s="5">
        <v>6</v>
      </c>
      <c r="I58" s="5">
        <v>13</v>
      </c>
      <c r="J58" s="5">
        <v>10</v>
      </c>
      <c r="K58" s="8">
        <f t="shared" si="2"/>
        <v>8.5555555555555554</v>
      </c>
    </row>
    <row r="59" spans="1:11" ht="14.25" customHeight="1" x14ac:dyDescent="0.3">
      <c r="A59" s="3" t="s">
        <v>265</v>
      </c>
      <c r="B59" s="3">
        <v>7</v>
      </c>
      <c r="C59" s="3">
        <v>6</v>
      </c>
      <c r="D59" s="3">
        <v>6</v>
      </c>
      <c r="E59" s="3">
        <v>5</v>
      </c>
      <c r="F59" s="3">
        <v>9</v>
      </c>
      <c r="G59" s="3">
        <v>4</v>
      </c>
      <c r="H59" s="5">
        <v>14</v>
      </c>
      <c r="I59" s="5">
        <v>4</v>
      </c>
      <c r="J59" s="5">
        <v>11</v>
      </c>
      <c r="K59" s="8">
        <f t="shared" si="2"/>
        <v>7.333333333333333</v>
      </c>
    </row>
    <row r="60" spans="1:11" ht="14.25" customHeight="1" x14ac:dyDescent="0.3">
      <c r="A60" s="3" t="s">
        <v>247</v>
      </c>
      <c r="B60" s="3">
        <v>8</v>
      </c>
      <c r="C60" s="3">
        <v>1</v>
      </c>
      <c r="D60" s="3">
        <v>1</v>
      </c>
      <c r="E60" s="3">
        <v>10</v>
      </c>
      <c r="F60" s="3">
        <v>9</v>
      </c>
      <c r="G60" s="3">
        <v>2</v>
      </c>
      <c r="H60" s="5">
        <v>8</v>
      </c>
      <c r="I60" s="5">
        <v>9</v>
      </c>
      <c r="J60" s="5">
        <v>0</v>
      </c>
      <c r="K60" s="8">
        <f t="shared" si="2"/>
        <v>5.333333333333333</v>
      </c>
    </row>
    <row r="61" spans="1:11" ht="14.25" customHeight="1" x14ac:dyDescent="0.3">
      <c r="A61" s="3" t="s">
        <v>248</v>
      </c>
      <c r="B61" s="3">
        <v>8</v>
      </c>
      <c r="C61" s="3">
        <v>6</v>
      </c>
      <c r="D61" s="3">
        <v>1</v>
      </c>
      <c r="E61" s="3">
        <v>5</v>
      </c>
      <c r="F61" s="3">
        <v>0</v>
      </c>
      <c r="G61" s="3">
        <v>3</v>
      </c>
      <c r="H61" s="5">
        <v>1</v>
      </c>
      <c r="I61" s="5">
        <v>6</v>
      </c>
      <c r="J61" s="5">
        <v>1</v>
      </c>
      <c r="K61" s="8">
        <f t="shared" si="2"/>
        <v>3.4444444444444446</v>
      </c>
    </row>
    <row r="62" spans="1:11" ht="14.25" customHeight="1" x14ac:dyDescent="0.3">
      <c r="A62" s="3" t="s">
        <v>249</v>
      </c>
      <c r="B62" s="3">
        <v>7</v>
      </c>
      <c r="C62" s="3">
        <v>9</v>
      </c>
      <c r="D62" s="3">
        <v>3</v>
      </c>
      <c r="E62" s="3">
        <v>1</v>
      </c>
      <c r="F62" s="3">
        <v>13</v>
      </c>
      <c r="G62" s="3">
        <v>9</v>
      </c>
      <c r="H62" s="5">
        <v>14</v>
      </c>
      <c r="I62" s="5">
        <v>2</v>
      </c>
      <c r="J62" s="5">
        <v>5</v>
      </c>
      <c r="K62" s="8">
        <f t="shared" si="2"/>
        <v>7</v>
      </c>
    </row>
    <row r="63" spans="1:11" ht="14.25" customHeight="1" x14ac:dyDescent="0.3">
      <c r="A63" s="3" t="s">
        <v>250</v>
      </c>
      <c r="B63" s="3">
        <v>4</v>
      </c>
      <c r="C63" s="3">
        <v>1</v>
      </c>
      <c r="D63" s="3">
        <v>1</v>
      </c>
      <c r="E63" s="3">
        <v>2</v>
      </c>
      <c r="F63" s="3">
        <v>0</v>
      </c>
      <c r="G63" s="3">
        <v>2</v>
      </c>
      <c r="H63" s="5">
        <v>4</v>
      </c>
      <c r="I63" s="5">
        <v>0</v>
      </c>
      <c r="J63" s="5">
        <v>0</v>
      </c>
      <c r="K63" s="8">
        <f t="shared" si="2"/>
        <v>1.5555555555555556</v>
      </c>
    </row>
    <row r="64" spans="1:11" ht="14.25" customHeight="1" x14ac:dyDescent="0.3">
      <c r="A64" s="3" t="s">
        <v>251</v>
      </c>
      <c r="B64" s="3">
        <v>10</v>
      </c>
      <c r="C64" s="3">
        <v>11</v>
      </c>
      <c r="D64" s="3">
        <v>9</v>
      </c>
      <c r="E64" s="3">
        <v>6</v>
      </c>
      <c r="F64" s="3">
        <v>8</v>
      </c>
      <c r="G64" s="3">
        <v>1</v>
      </c>
      <c r="H64" s="5">
        <v>5</v>
      </c>
      <c r="I64" s="5">
        <v>11</v>
      </c>
      <c r="J64" s="5">
        <v>14</v>
      </c>
      <c r="K64" s="8">
        <f t="shared" si="2"/>
        <v>8.3333333333333339</v>
      </c>
    </row>
    <row r="65" spans="1:11" ht="14.25" customHeight="1" x14ac:dyDescent="0.3">
      <c r="A65" s="3" t="s">
        <v>252</v>
      </c>
      <c r="B65" s="3">
        <v>6</v>
      </c>
      <c r="C65" s="3">
        <v>6</v>
      </c>
      <c r="D65" s="3">
        <v>0</v>
      </c>
      <c r="E65" s="3">
        <v>4</v>
      </c>
      <c r="F65" s="3">
        <v>1</v>
      </c>
      <c r="G65" s="3">
        <v>9</v>
      </c>
      <c r="H65" s="5">
        <v>11</v>
      </c>
      <c r="I65" s="5">
        <v>12</v>
      </c>
      <c r="J65" s="5">
        <v>7</v>
      </c>
      <c r="K65" s="8">
        <f t="shared" si="2"/>
        <v>6.2222222222222223</v>
      </c>
    </row>
    <row r="66" spans="1:11" ht="14.25" customHeight="1" x14ac:dyDescent="0.3">
      <c r="A66" s="3" t="s">
        <v>253</v>
      </c>
      <c r="B66" s="3">
        <v>3</v>
      </c>
      <c r="C66" s="3">
        <v>9</v>
      </c>
      <c r="D66" s="3">
        <v>0</v>
      </c>
      <c r="E66" s="3">
        <v>6</v>
      </c>
      <c r="F66" s="3">
        <v>2</v>
      </c>
      <c r="G66" s="3">
        <v>10</v>
      </c>
      <c r="H66" s="5">
        <v>8</v>
      </c>
      <c r="I66" s="5">
        <v>2</v>
      </c>
      <c r="J66" s="5">
        <v>2</v>
      </c>
      <c r="K66" s="8">
        <f t="shared" si="2"/>
        <v>4.666666666666667</v>
      </c>
    </row>
    <row r="67" spans="1:11" ht="14.25" customHeight="1" x14ac:dyDescent="0.3">
      <c r="A67" s="3" t="s">
        <v>254</v>
      </c>
      <c r="B67" s="3">
        <v>6</v>
      </c>
      <c r="C67" s="3">
        <v>4</v>
      </c>
      <c r="D67" s="3">
        <v>8</v>
      </c>
      <c r="E67" s="3">
        <v>4</v>
      </c>
      <c r="F67" s="3">
        <v>7</v>
      </c>
      <c r="G67" s="3">
        <v>3</v>
      </c>
      <c r="H67" s="5">
        <v>11</v>
      </c>
      <c r="I67" s="5">
        <v>3</v>
      </c>
      <c r="J67" s="5">
        <v>1</v>
      </c>
      <c r="K67" s="8">
        <f t="shared" si="2"/>
        <v>5.2222222222222223</v>
      </c>
    </row>
    <row r="68" spans="1:11" ht="14.25" customHeight="1" x14ac:dyDescent="0.3">
      <c r="A68" s="3" t="s">
        <v>255</v>
      </c>
      <c r="B68" s="3">
        <v>2</v>
      </c>
      <c r="C68" s="3">
        <v>10</v>
      </c>
      <c r="D68" s="3">
        <v>0</v>
      </c>
      <c r="E68" s="3">
        <v>1</v>
      </c>
      <c r="F68" s="3">
        <v>0</v>
      </c>
      <c r="G68" s="3">
        <v>8</v>
      </c>
      <c r="H68" s="5">
        <v>1</v>
      </c>
      <c r="I68" s="5">
        <v>1</v>
      </c>
      <c r="J68" s="5">
        <v>1</v>
      </c>
      <c r="K68" s="8">
        <f t="shared" si="2"/>
        <v>2.6666666666666665</v>
      </c>
    </row>
    <row r="69" spans="1:11" ht="14.25" customHeight="1" x14ac:dyDescent="0.3">
      <c r="A69" s="3" t="s">
        <v>256</v>
      </c>
      <c r="B69" s="3">
        <v>12</v>
      </c>
      <c r="C69" s="3">
        <v>5</v>
      </c>
      <c r="D69" s="3">
        <v>1</v>
      </c>
      <c r="E69" s="3">
        <v>2</v>
      </c>
      <c r="F69" s="3">
        <v>0</v>
      </c>
      <c r="G69" s="3">
        <v>3</v>
      </c>
      <c r="H69" s="5">
        <v>15</v>
      </c>
      <c r="I69" s="5">
        <v>5</v>
      </c>
      <c r="J69" s="5">
        <v>2</v>
      </c>
      <c r="K69" s="8">
        <f t="shared" si="2"/>
        <v>5</v>
      </c>
    </row>
    <row r="70" spans="1:11" ht="14.25" customHeight="1" x14ac:dyDescent="0.3"/>
    <row r="71" spans="1:11" ht="14.25" customHeight="1" x14ac:dyDescent="0.3"/>
    <row r="72" spans="1:11" ht="14.25" customHeight="1" x14ac:dyDescent="0.3">
      <c r="A72" s="4" t="s">
        <v>330</v>
      </c>
      <c r="B72" s="4" t="s">
        <v>344</v>
      </c>
    </row>
    <row r="73" spans="1:11" ht="14.25" customHeight="1" x14ac:dyDescent="0.3">
      <c r="A73" s="4" t="s">
        <v>232</v>
      </c>
      <c r="B73" s="20">
        <v>45940</v>
      </c>
      <c r="C73" s="20">
        <v>45947</v>
      </c>
      <c r="D73" s="20">
        <v>45954</v>
      </c>
      <c r="E73" s="20">
        <v>45961</v>
      </c>
      <c r="F73" s="20">
        <v>45968</v>
      </c>
      <c r="G73" s="20">
        <v>45975</v>
      </c>
      <c r="H73" s="20">
        <v>45982</v>
      </c>
      <c r="I73" s="20">
        <v>45989</v>
      </c>
      <c r="J73" s="20">
        <v>45996</v>
      </c>
      <c r="K73" s="4" t="s">
        <v>354</v>
      </c>
    </row>
    <row r="74" spans="1:11" ht="14.25" customHeight="1" x14ac:dyDescent="0.3">
      <c r="A74" s="3" t="s">
        <v>261</v>
      </c>
      <c r="B74" s="3">
        <v>15</v>
      </c>
      <c r="C74" s="3">
        <v>17</v>
      </c>
      <c r="D74" s="3">
        <v>15</v>
      </c>
      <c r="E74" s="3">
        <v>21</v>
      </c>
      <c r="F74" s="3">
        <v>25</v>
      </c>
      <c r="G74" s="3">
        <v>18</v>
      </c>
      <c r="H74" s="5">
        <v>28</v>
      </c>
      <c r="I74" s="5">
        <v>17</v>
      </c>
      <c r="J74" s="5">
        <v>10</v>
      </c>
      <c r="K74" s="8">
        <f t="shared" ref="K74:K93" si="3">AVERAGE(B74:J74)</f>
        <v>18.444444444444443</v>
      </c>
    </row>
    <row r="75" spans="1:11" ht="14.25" customHeight="1" x14ac:dyDescent="0.3">
      <c r="A75" s="3" t="s">
        <v>262</v>
      </c>
      <c r="B75" s="3">
        <v>24</v>
      </c>
      <c r="C75" s="3">
        <v>24</v>
      </c>
      <c r="D75" s="3">
        <v>26</v>
      </c>
      <c r="E75" s="3">
        <v>18</v>
      </c>
      <c r="F75" s="3">
        <v>23</v>
      </c>
      <c r="G75" s="3">
        <v>26</v>
      </c>
      <c r="H75" s="5">
        <v>23</v>
      </c>
      <c r="I75" s="5">
        <v>26</v>
      </c>
      <c r="J75" s="5">
        <v>26</v>
      </c>
      <c r="K75" s="8">
        <f t="shared" si="3"/>
        <v>24</v>
      </c>
    </row>
    <row r="76" spans="1:11" ht="14.25" customHeight="1" x14ac:dyDescent="0.3">
      <c r="A76" s="3" t="s">
        <v>260</v>
      </c>
      <c r="B76" s="3">
        <v>15</v>
      </c>
      <c r="C76" s="3">
        <v>18</v>
      </c>
      <c r="D76" s="3">
        <v>9</v>
      </c>
      <c r="E76" s="3">
        <v>13</v>
      </c>
      <c r="F76" s="3">
        <v>17</v>
      </c>
      <c r="G76" s="3">
        <v>10</v>
      </c>
      <c r="H76" s="5">
        <v>16</v>
      </c>
      <c r="I76" s="5">
        <v>14</v>
      </c>
      <c r="J76" s="5">
        <v>16</v>
      </c>
      <c r="K76" s="8">
        <f t="shared" si="3"/>
        <v>14.222222222222221</v>
      </c>
    </row>
    <row r="77" spans="1:11" ht="14.25" customHeight="1" x14ac:dyDescent="0.3">
      <c r="A77" s="3" t="s">
        <v>263</v>
      </c>
      <c r="B77" s="3">
        <v>7</v>
      </c>
      <c r="C77" s="3">
        <v>13</v>
      </c>
      <c r="D77" s="3">
        <v>14</v>
      </c>
      <c r="E77" s="3">
        <v>13</v>
      </c>
      <c r="F77" s="3">
        <v>9</v>
      </c>
      <c r="G77" s="3">
        <v>9</v>
      </c>
      <c r="H77" s="5">
        <v>9</v>
      </c>
      <c r="I77" s="5">
        <v>15</v>
      </c>
      <c r="J77" s="5">
        <v>14</v>
      </c>
      <c r="K77" s="8">
        <f t="shared" si="3"/>
        <v>11.444444444444445</v>
      </c>
    </row>
    <row r="78" spans="1:11" ht="14.25" customHeight="1" x14ac:dyDescent="0.3">
      <c r="A78" s="3" t="s">
        <v>257</v>
      </c>
      <c r="B78" s="3">
        <v>11</v>
      </c>
      <c r="C78" s="3">
        <v>7</v>
      </c>
      <c r="D78" s="3">
        <v>8</v>
      </c>
      <c r="E78" s="3">
        <v>13</v>
      </c>
      <c r="F78" s="3">
        <v>7</v>
      </c>
      <c r="G78" s="3">
        <v>15</v>
      </c>
      <c r="H78" s="5">
        <v>6</v>
      </c>
      <c r="I78" s="5">
        <v>11</v>
      </c>
      <c r="J78" s="5">
        <v>11</v>
      </c>
      <c r="K78" s="8">
        <f t="shared" si="3"/>
        <v>9.8888888888888893</v>
      </c>
    </row>
    <row r="79" spans="1:11" ht="14.25" customHeight="1" x14ac:dyDescent="0.3">
      <c r="A79" s="3" t="s">
        <v>258</v>
      </c>
      <c r="B79" s="3">
        <v>12</v>
      </c>
      <c r="C79" s="3">
        <v>9</v>
      </c>
      <c r="D79" s="3">
        <v>6</v>
      </c>
      <c r="E79" s="3">
        <v>13</v>
      </c>
      <c r="F79" s="3">
        <v>15</v>
      </c>
      <c r="G79" s="3">
        <v>8</v>
      </c>
      <c r="H79" s="5">
        <v>1</v>
      </c>
      <c r="I79" s="5">
        <v>4</v>
      </c>
      <c r="J79" s="5">
        <v>12</v>
      </c>
      <c r="K79" s="8">
        <f t="shared" si="3"/>
        <v>8.8888888888888893</v>
      </c>
    </row>
    <row r="80" spans="1:11" ht="14.25" customHeight="1" x14ac:dyDescent="0.3">
      <c r="A80" s="3" t="s">
        <v>259</v>
      </c>
      <c r="B80" s="3">
        <v>14</v>
      </c>
      <c r="C80" s="3">
        <v>18</v>
      </c>
      <c r="D80" s="3">
        <v>10</v>
      </c>
      <c r="E80" s="3">
        <v>15</v>
      </c>
      <c r="F80" s="3">
        <v>15</v>
      </c>
      <c r="G80" s="3">
        <v>6</v>
      </c>
      <c r="H80" s="5">
        <v>12</v>
      </c>
      <c r="I80" s="5">
        <v>16</v>
      </c>
      <c r="J80" s="5">
        <v>16</v>
      </c>
      <c r="K80" s="8">
        <f t="shared" si="3"/>
        <v>13.555555555555555</v>
      </c>
    </row>
    <row r="81" spans="1:11" ht="14.25" customHeight="1" x14ac:dyDescent="0.3">
      <c r="A81" s="3" t="s">
        <v>264</v>
      </c>
      <c r="B81" s="3">
        <v>13</v>
      </c>
      <c r="C81" s="3">
        <v>17</v>
      </c>
      <c r="D81" s="3">
        <v>7</v>
      </c>
      <c r="E81" s="3">
        <v>17</v>
      </c>
      <c r="F81" s="3">
        <v>11</v>
      </c>
      <c r="G81" s="3">
        <v>14</v>
      </c>
      <c r="H81" s="5">
        <v>15</v>
      </c>
      <c r="I81" s="5">
        <v>7</v>
      </c>
      <c r="J81" s="5">
        <v>13</v>
      </c>
      <c r="K81" s="8">
        <f t="shared" si="3"/>
        <v>12.666666666666666</v>
      </c>
    </row>
    <row r="82" spans="1:11" ht="14.25" customHeight="1" x14ac:dyDescent="0.3">
      <c r="A82" s="3" t="s">
        <v>266</v>
      </c>
      <c r="B82" s="3">
        <v>12</v>
      </c>
      <c r="C82" s="3">
        <v>11</v>
      </c>
      <c r="D82" s="3">
        <v>12</v>
      </c>
      <c r="E82" s="3">
        <v>11</v>
      </c>
      <c r="F82" s="3">
        <v>12</v>
      </c>
      <c r="G82" s="3">
        <v>13</v>
      </c>
      <c r="H82" s="5">
        <v>10</v>
      </c>
      <c r="I82" s="5">
        <v>10</v>
      </c>
      <c r="J82" s="5">
        <v>15</v>
      </c>
      <c r="K82" s="8">
        <f t="shared" si="3"/>
        <v>11.777777777777779</v>
      </c>
    </row>
    <row r="83" spans="1:11" ht="14.25" customHeight="1" x14ac:dyDescent="0.3">
      <c r="A83" s="3" t="s">
        <v>265</v>
      </c>
      <c r="B83" s="3">
        <v>14</v>
      </c>
      <c r="C83" s="3">
        <v>6</v>
      </c>
      <c r="D83" s="3">
        <v>10</v>
      </c>
      <c r="E83" s="3">
        <v>13</v>
      </c>
      <c r="F83" s="3">
        <v>11</v>
      </c>
      <c r="G83" s="3">
        <v>8</v>
      </c>
      <c r="H83" s="5">
        <v>13</v>
      </c>
      <c r="I83" s="5">
        <v>9</v>
      </c>
      <c r="J83" s="5">
        <v>14</v>
      </c>
      <c r="K83" s="8">
        <f t="shared" si="3"/>
        <v>10.888888888888889</v>
      </c>
    </row>
    <row r="84" spans="1:11" ht="14.25" customHeight="1" x14ac:dyDescent="0.3">
      <c r="A84" s="3" t="s">
        <v>247</v>
      </c>
      <c r="B84" s="3">
        <v>5</v>
      </c>
      <c r="C84" s="3">
        <v>12</v>
      </c>
      <c r="D84" s="3">
        <v>6</v>
      </c>
      <c r="E84" s="3">
        <v>1</v>
      </c>
      <c r="F84" s="3">
        <v>0</v>
      </c>
      <c r="G84" s="3">
        <v>5</v>
      </c>
      <c r="H84" s="5">
        <v>11</v>
      </c>
      <c r="I84" s="5">
        <v>11</v>
      </c>
      <c r="J84" s="5">
        <v>7</v>
      </c>
      <c r="K84" s="8">
        <f t="shared" si="3"/>
        <v>6.4444444444444446</v>
      </c>
    </row>
    <row r="85" spans="1:11" ht="14.25" customHeight="1" x14ac:dyDescent="0.3">
      <c r="A85" s="3" t="s">
        <v>248</v>
      </c>
      <c r="B85" s="3">
        <v>8</v>
      </c>
      <c r="C85" s="3">
        <v>3</v>
      </c>
      <c r="D85" s="3">
        <v>3</v>
      </c>
      <c r="E85" s="3">
        <v>2</v>
      </c>
      <c r="F85" s="3">
        <v>0</v>
      </c>
      <c r="G85" s="3">
        <v>14</v>
      </c>
      <c r="H85" s="5">
        <v>6</v>
      </c>
      <c r="I85" s="5">
        <v>3</v>
      </c>
      <c r="J85" s="5">
        <v>1</v>
      </c>
      <c r="K85" s="8">
        <f t="shared" si="3"/>
        <v>4.4444444444444446</v>
      </c>
    </row>
    <row r="86" spans="1:11" ht="14.25" customHeight="1" x14ac:dyDescent="0.3">
      <c r="A86" s="3" t="s">
        <v>249</v>
      </c>
      <c r="B86" s="3">
        <v>6</v>
      </c>
      <c r="C86" s="3">
        <v>10</v>
      </c>
      <c r="D86" s="3">
        <v>3</v>
      </c>
      <c r="E86" s="3">
        <v>7</v>
      </c>
      <c r="F86" s="3">
        <v>1</v>
      </c>
      <c r="G86" s="3">
        <v>10</v>
      </c>
      <c r="H86" s="5">
        <v>4</v>
      </c>
      <c r="I86" s="5">
        <v>4</v>
      </c>
      <c r="J86" s="5">
        <v>5</v>
      </c>
      <c r="K86" s="8">
        <f t="shared" si="3"/>
        <v>5.5555555555555554</v>
      </c>
    </row>
    <row r="87" spans="1:11" ht="14.25" customHeight="1" x14ac:dyDescent="0.3">
      <c r="A87" s="3" t="s">
        <v>250</v>
      </c>
      <c r="B87" s="3">
        <v>4</v>
      </c>
      <c r="C87" s="3">
        <v>1</v>
      </c>
      <c r="D87" s="3">
        <v>3</v>
      </c>
      <c r="E87" s="3">
        <v>1</v>
      </c>
      <c r="F87" s="3">
        <v>2</v>
      </c>
      <c r="G87" s="3">
        <v>7</v>
      </c>
      <c r="H87" s="5">
        <v>2</v>
      </c>
      <c r="I87" s="5">
        <v>7</v>
      </c>
      <c r="J87" s="5">
        <v>1</v>
      </c>
      <c r="K87" s="8">
        <f t="shared" si="3"/>
        <v>3.1111111111111112</v>
      </c>
    </row>
    <row r="88" spans="1:11" ht="14.25" customHeight="1" x14ac:dyDescent="0.3">
      <c r="A88" s="3" t="s">
        <v>251</v>
      </c>
      <c r="B88" s="3">
        <v>10</v>
      </c>
      <c r="C88" s="3">
        <v>3</v>
      </c>
      <c r="D88" s="3">
        <v>10</v>
      </c>
      <c r="E88" s="3">
        <v>5</v>
      </c>
      <c r="F88" s="3">
        <v>11</v>
      </c>
      <c r="G88" s="3">
        <v>12</v>
      </c>
      <c r="H88" s="5">
        <v>14</v>
      </c>
      <c r="I88" s="5">
        <v>10</v>
      </c>
      <c r="J88" s="5">
        <v>8</v>
      </c>
      <c r="K88" s="8">
        <f t="shared" si="3"/>
        <v>9.2222222222222214</v>
      </c>
    </row>
    <row r="89" spans="1:11" ht="14.25" customHeight="1" x14ac:dyDescent="0.3">
      <c r="A89" s="3" t="s">
        <v>252</v>
      </c>
      <c r="B89" s="3">
        <v>11</v>
      </c>
      <c r="C89" s="3">
        <v>10</v>
      </c>
      <c r="D89" s="3">
        <v>2</v>
      </c>
      <c r="E89" s="3">
        <v>6</v>
      </c>
      <c r="F89" s="3">
        <v>7</v>
      </c>
      <c r="G89" s="3">
        <v>5</v>
      </c>
      <c r="H89" s="5">
        <v>9</v>
      </c>
      <c r="I89" s="5">
        <v>10</v>
      </c>
      <c r="J89" s="5">
        <v>13</v>
      </c>
      <c r="K89" s="8">
        <f t="shared" si="3"/>
        <v>8.1111111111111107</v>
      </c>
    </row>
    <row r="90" spans="1:11" ht="14.25" customHeight="1" x14ac:dyDescent="0.3">
      <c r="A90" s="3" t="s">
        <v>253</v>
      </c>
      <c r="B90" s="3">
        <v>13</v>
      </c>
      <c r="C90" s="3">
        <v>4</v>
      </c>
      <c r="D90" s="3">
        <v>7</v>
      </c>
      <c r="E90" s="3">
        <v>1</v>
      </c>
      <c r="F90" s="3">
        <v>6</v>
      </c>
      <c r="G90" s="3">
        <v>8</v>
      </c>
      <c r="H90" s="5">
        <v>3</v>
      </c>
      <c r="I90" s="5">
        <v>5</v>
      </c>
      <c r="J90" s="5">
        <v>8</v>
      </c>
      <c r="K90" s="8">
        <f t="shared" si="3"/>
        <v>6.1111111111111107</v>
      </c>
    </row>
    <row r="91" spans="1:11" ht="14.25" customHeight="1" x14ac:dyDescent="0.3">
      <c r="A91" s="3" t="s">
        <v>254</v>
      </c>
      <c r="B91" s="3">
        <v>13</v>
      </c>
      <c r="C91" s="3">
        <v>4</v>
      </c>
      <c r="D91" s="3">
        <v>3</v>
      </c>
      <c r="E91" s="3">
        <v>13</v>
      </c>
      <c r="F91" s="3">
        <v>1</v>
      </c>
      <c r="G91" s="3">
        <v>5</v>
      </c>
      <c r="H91" s="5">
        <v>12</v>
      </c>
      <c r="I91" s="5">
        <v>7</v>
      </c>
      <c r="J91" s="5">
        <v>1</v>
      </c>
      <c r="K91" s="8">
        <f t="shared" si="3"/>
        <v>6.5555555555555554</v>
      </c>
    </row>
    <row r="92" spans="1:11" ht="14.25" customHeight="1" x14ac:dyDescent="0.3">
      <c r="A92" s="3" t="s">
        <v>255</v>
      </c>
      <c r="B92" s="3">
        <v>4</v>
      </c>
      <c r="C92" s="3">
        <v>9</v>
      </c>
      <c r="D92" s="3">
        <v>4</v>
      </c>
      <c r="E92" s="3">
        <v>1</v>
      </c>
      <c r="F92" s="3">
        <v>2</v>
      </c>
      <c r="G92" s="3">
        <v>8</v>
      </c>
      <c r="H92" s="5">
        <v>8</v>
      </c>
      <c r="I92" s="5">
        <v>2</v>
      </c>
      <c r="J92" s="5">
        <v>1</v>
      </c>
      <c r="K92" s="8">
        <f t="shared" si="3"/>
        <v>4.333333333333333</v>
      </c>
    </row>
    <row r="93" spans="1:11" ht="14.25" customHeight="1" x14ac:dyDescent="0.3">
      <c r="A93" s="3" t="s">
        <v>256</v>
      </c>
      <c r="B93" s="3">
        <v>3</v>
      </c>
      <c r="C93" s="3">
        <v>9</v>
      </c>
      <c r="D93" s="3">
        <v>9</v>
      </c>
      <c r="E93" s="3">
        <v>6</v>
      </c>
      <c r="F93" s="3">
        <v>6</v>
      </c>
      <c r="G93" s="3">
        <v>4</v>
      </c>
      <c r="H93" s="5">
        <v>11</v>
      </c>
      <c r="I93" s="5">
        <v>1</v>
      </c>
      <c r="J93" s="5">
        <v>12</v>
      </c>
      <c r="K93" s="8">
        <f t="shared" si="3"/>
        <v>6.7777777777777777</v>
      </c>
    </row>
    <row r="94" spans="1:11" ht="14.25" customHeight="1" x14ac:dyDescent="0.3"/>
    <row r="95" spans="1:11" ht="14.25" customHeight="1" x14ac:dyDescent="0.3"/>
    <row r="96" spans="1:11" ht="14.25" customHeight="1" x14ac:dyDescent="0.3">
      <c r="A96" s="4" t="s">
        <v>330</v>
      </c>
      <c r="B96" s="4" t="s">
        <v>345</v>
      </c>
      <c r="E96" s="3" t="s">
        <v>346</v>
      </c>
    </row>
    <row r="97" spans="1:12" ht="14.25" customHeight="1" x14ac:dyDescent="0.3">
      <c r="A97" s="4" t="s">
        <v>232</v>
      </c>
      <c r="B97" s="20">
        <v>45941</v>
      </c>
      <c r="C97" s="20">
        <v>45948</v>
      </c>
      <c r="D97" s="20">
        <v>45955</v>
      </c>
      <c r="E97" s="20">
        <v>45962</v>
      </c>
      <c r="F97" s="20">
        <v>45969</v>
      </c>
      <c r="G97" s="20">
        <v>45976</v>
      </c>
      <c r="H97" s="20">
        <v>45983</v>
      </c>
      <c r="I97" s="20">
        <v>45990</v>
      </c>
      <c r="J97" s="20">
        <v>45997</v>
      </c>
      <c r="K97" s="4" t="s">
        <v>355</v>
      </c>
    </row>
    <row r="98" spans="1:12" ht="14.25" customHeight="1" x14ac:dyDescent="0.3">
      <c r="A98" s="3" t="s">
        <v>261</v>
      </c>
      <c r="B98" s="3">
        <v>19</v>
      </c>
      <c r="C98" s="3">
        <v>30</v>
      </c>
      <c r="D98" s="3">
        <v>11</v>
      </c>
      <c r="E98" s="3">
        <v>24</v>
      </c>
      <c r="F98" s="3">
        <v>29</v>
      </c>
      <c r="G98" s="3">
        <v>19</v>
      </c>
      <c r="H98" s="5">
        <v>25</v>
      </c>
      <c r="I98" s="5">
        <v>30</v>
      </c>
      <c r="J98" s="5">
        <v>28</v>
      </c>
      <c r="K98" s="8">
        <f t="shared" ref="K98:K117" si="4">AVERAGE(B98:J98)</f>
        <v>23.888888888888889</v>
      </c>
      <c r="L98" s="4" t="s">
        <v>247</v>
      </c>
    </row>
    <row r="99" spans="1:12" ht="14.25" customHeight="1" x14ac:dyDescent="0.3">
      <c r="A99" s="3" t="s">
        <v>262</v>
      </c>
      <c r="B99" s="3">
        <v>21</v>
      </c>
      <c r="C99" s="3">
        <v>27</v>
      </c>
      <c r="D99" s="3">
        <v>26</v>
      </c>
      <c r="E99" s="3">
        <v>20</v>
      </c>
      <c r="F99" s="3">
        <v>25</v>
      </c>
      <c r="G99" s="3">
        <v>27</v>
      </c>
      <c r="H99" s="5">
        <v>27</v>
      </c>
      <c r="I99" s="5">
        <v>27</v>
      </c>
      <c r="J99" s="5">
        <v>21</v>
      </c>
      <c r="K99" s="8">
        <f t="shared" si="4"/>
        <v>24.555555555555557</v>
      </c>
      <c r="L99" s="4" t="s">
        <v>248</v>
      </c>
    </row>
    <row r="100" spans="1:12" ht="14.25" customHeight="1" x14ac:dyDescent="0.3">
      <c r="A100" s="3" t="s">
        <v>260</v>
      </c>
      <c r="B100" s="3">
        <v>5</v>
      </c>
      <c r="C100" s="3">
        <v>16</v>
      </c>
      <c r="D100" s="3">
        <v>9</v>
      </c>
      <c r="E100" s="3">
        <v>18</v>
      </c>
      <c r="F100" s="3">
        <v>15</v>
      </c>
      <c r="G100" s="3">
        <v>16</v>
      </c>
      <c r="H100" s="5">
        <v>9</v>
      </c>
      <c r="I100" s="5">
        <v>13</v>
      </c>
      <c r="J100" s="5">
        <v>14</v>
      </c>
      <c r="K100" s="8">
        <f t="shared" si="4"/>
        <v>12.777777777777779</v>
      </c>
      <c r="L100" s="4" t="s">
        <v>249</v>
      </c>
    </row>
    <row r="101" spans="1:12" ht="14.25" customHeight="1" x14ac:dyDescent="0.3">
      <c r="A101" s="3" t="s">
        <v>263</v>
      </c>
      <c r="B101" s="3">
        <v>12</v>
      </c>
      <c r="C101" s="3">
        <v>11</v>
      </c>
      <c r="D101" s="3">
        <v>8</v>
      </c>
      <c r="E101" s="3">
        <v>15</v>
      </c>
      <c r="F101" s="3">
        <v>13</v>
      </c>
      <c r="G101" s="3">
        <v>8</v>
      </c>
      <c r="H101" s="5">
        <v>9</v>
      </c>
      <c r="I101" s="5">
        <v>2</v>
      </c>
      <c r="J101" s="5">
        <v>9</v>
      </c>
      <c r="K101" s="8">
        <f t="shared" si="4"/>
        <v>9.6666666666666661</v>
      </c>
      <c r="L101" s="4" t="s">
        <v>250</v>
      </c>
    </row>
    <row r="102" spans="1:12" ht="14.25" customHeight="1" x14ac:dyDescent="0.3">
      <c r="A102" s="3" t="s">
        <v>257</v>
      </c>
      <c r="B102" s="3">
        <v>12</v>
      </c>
      <c r="C102" s="3">
        <v>13</v>
      </c>
      <c r="D102" s="3">
        <v>14</v>
      </c>
      <c r="E102" s="3">
        <v>17</v>
      </c>
      <c r="F102" s="3">
        <v>7</v>
      </c>
      <c r="G102" s="3">
        <v>6</v>
      </c>
      <c r="H102" s="5">
        <v>6</v>
      </c>
      <c r="I102" s="5">
        <v>6</v>
      </c>
      <c r="J102" s="5">
        <v>14</v>
      </c>
      <c r="K102" s="8">
        <f t="shared" si="4"/>
        <v>10.555555555555555</v>
      </c>
      <c r="L102" s="4" t="s">
        <v>251</v>
      </c>
    </row>
    <row r="103" spans="1:12" ht="14.25" customHeight="1" x14ac:dyDescent="0.3">
      <c r="A103" s="3" t="s">
        <v>258</v>
      </c>
      <c r="B103" s="3">
        <v>11</v>
      </c>
      <c r="C103" s="3">
        <v>15</v>
      </c>
      <c r="D103" s="3">
        <v>8</v>
      </c>
      <c r="E103" s="3">
        <v>13</v>
      </c>
      <c r="F103" s="3">
        <v>15</v>
      </c>
      <c r="G103" s="3">
        <v>10</v>
      </c>
      <c r="H103" s="5">
        <v>4</v>
      </c>
      <c r="I103" s="5">
        <v>8</v>
      </c>
      <c r="J103" s="5">
        <v>9</v>
      </c>
      <c r="K103" s="8">
        <f t="shared" si="4"/>
        <v>10.333333333333334</v>
      </c>
      <c r="L103" s="4" t="s">
        <v>252</v>
      </c>
    </row>
    <row r="104" spans="1:12" ht="14.25" customHeight="1" x14ac:dyDescent="0.3">
      <c r="A104" s="3" t="s">
        <v>259</v>
      </c>
      <c r="B104" s="3">
        <v>19</v>
      </c>
      <c r="C104" s="3">
        <v>19</v>
      </c>
      <c r="D104" s="3">
        <v>18</v>
      </c>
      <c r="E104" s="3">
        <v>19</v>
      </c>
      <c r="F104" s="3">
        <v>17</v>
      </c>
      <c r="G104" s="3">
        <v>11</v>
      </c>
      <c r="H104" s="5">
        <v>12</v>
      </c>
      <c r="I104" s="5">
        <v>9</v>
      </c>
      <c r="J104" s="5">
        <v>19</v>
      </c>
      <c r="K104" s="8">
        <f t="shared" si="4"/>
        <v>15.888888888888889</v>
      </c>
      <c r="L104" s="4" t="s">
        <v>253</v>
      </c>
    </row>
    <row r="105" spans="1:12" ht="14.25" customHeight="1" x14ac:dyDescent="0.3">
      <c r="A105" s="3" t="s">
        <v>264</v>
      </c>
      <c r="B105" s="3">
        <v>12</v>
      </c>
      <c r="C105" s="3">
        <v>14</v>
      </c>
      <c r="D105" s="3">
        <v>12</v>
      </c>
      <c r="E105" s="3">
        <v>11</v>
      </c>
      <c r="F105" s="3">
        <v>11</v>
      </c>
      <c r="G105" s="3">
        <v>13</v>
      </c>
      <c r="H105" s="5">
        <v>19</v>
      </c>
      <c r="I105" s="5">
        <v>15</v>
      </c>
      <c r="J105" s="5">
        <v>17</v>
      </c>
      <c r="K105" s="8">
        <f t="shared" si="4"/>
        <v>13.777777777777779</v>
      </c>
      <c r="L105" s="4" t="s">
        <v>254</v>
      </c>
    </row>
    <row r="106" spans="1:12" ht="14.25" customHeight="1" x14ac:dyDescent="0.3">
      <c r="A106" s="3" t="s">
        <v>266</v>
      </c>
      <c r="B106" s="3">
        <v>9</v>
      </c>
      <c r="C106" s="3">
        <v>11</v>
      </c>
      <c r="D106" s="3">
        <v>12</v>
      </c>
      <c r="E106" s="3">
        <v>6</v>
      </c>
      <c r="F106" s="3">
        <v>14</v>
      </c>
      <c r="G106" s="3">
        <v>9</v>
      </c>
      <c r="H106" s="5">
        <v>12</v>
      </c>
      <c r="I106" s="5">
        <v>9</v>
      </c>
      <c r="J106" s="5">
        <v>15</v>
      </c>
      <c r="K106" s="8">
        <f t="shared" si="4"/>
        <v>10.777777777777779</v>
      </c>
      <c r="L106" s="4" t="s">
        <v>255</v>
      </c>
    </row>
    <row r="107" spans="1:12" ht="14.25" customHeight="1" x14ac:dyDescent="0.3">
      <c r="A107" s="3" t="s">
        <v>265</v>
      </c>
      <c r="B107" s="3">
        <v>11</v>
      </c>
      <c r="C107" s="3">
        <v>14</v>
      </c>
      <c r="D107" s="3">
        <v>10</v>
      </c>
      <c r="E107" s="3">
        <v>13</v>
      </c>
      <c r="F107" s="3">
        <v>13</v>
      </c>
      <c r="G107" s="3">
        <v>13</v>
      </c>
      <c r="H107" s="5">
        <v>5</v>
      </c>
      <c r="I107" s="5">
        <v>6</v>
      </c>
      <c r="J107" s="5">
        <v>10</v>
      </c>
      <c r="K107" s="8">
        <f t="shared" si="4"/>
        <v>10.555555555555555</v>
      </c>
      <c r="L107" s="4" t="s">
        <v>256</v>
      </c>
    </row>
    <row r="108" spans="1:12" ht="14.25" customHeight="1" x14ac:dyDescent="0.3">
      <c r="A108" s="3" t="s">
        <v>247</v>
      </c>
      <c r="B108" s="3">
        <v>1</v>
      </c>
      <c r="C108" s="3">
        <v>9</v>
      </c>
      <c r="D108" s="3">
        <v>6</v>
      </c>
      <c r="E108" s="3">
        <v>9</v>
      </c>
      <c r="F108" s="3">
        <v>0</v>
      </c>
      <c r="G108" s="3">
        <v>8</v>
      </c>
      <c r="H108" s="5">
        <v>5</v>
      </c>
      <c r="I108" s="5">
        <v>5</v>
      </c>
      <c r="J108" s="5">
        <v>6</v>
      </c>
      <c r="K108" s="8">
        <f t="shared" si="4"/>
        <v>5.4444444444444446</v>
      </c>
      <c r="L108" s="4" t="s">
        <v>257</v>
      </c>
    </row>
    <row r="109" spans="1:12" ht="14.25" customHeight="1" x14ac:dyDescent="0.3">
      <c r="A109" s="3" t="s">
        <v>248</v>
      </c>
      <c r="B109" s="3">
        <v>7</v>
      </c>
      <c r="C109" s="3">
        <v>5</v>
      </c>
      <c r="D109" s="3">
        <v>1</v>
      </c>
      <c r="E109" s="3">
        <v>4</v>
      </c>
      <c r="F109" s="3">
        <v>0</v>
      </c>
      <c r="G109" s="3">
        <v>3</v>
      </c>
      <c r="H109" s="5">
        <v>1</v>
      </c>
      <c r="I109" s="5">
        <v>2</v>
      </c>
      <c r="J109" s="5">
        <v>0</v>
      </c>
      <c r="K109" s="8">
        <f t="shared" si="4"/>
        <v>2.5555555555555554</v>
      </c>
      <c r="L109" s="4" t="s">
        <v>258</v>
      </c>
    </row>
    <row r="110" spans="1:12" ht="14.25" customHeight="1" x14ac:dyDescent="0.3">
      <c r="A110" s="3" t="s">
        <v>249</v>
      </c>
      <c r="B110" s="3">
        <v>13</v>
      </c>
      <c r="C110" s="3">
        <v>9</v>
      </c>
      <c r="D110" s="3">
        <v>3</v>
      </c>
      <c r="E110" s="3">
        <v>6</v>
      </c>
      <c r="F110" s="3">
        <v>9</v>
      </c>
      <c r="G110" s="3">
        <v>5</v>
      </c>
      <c r="H110" s="5">
        <v>5</v>
      </c>
      <c r="I110" s="5">
        <v>11</v>
      </c>
      <c r="J110" s="5">
        <v>7</v>
      </c>
      <c r="K110" s="8">
        <f t="shared" si="4"/>
        <v>7.5555555555555554</v>
      </c>
      <c r="L110" s="4" t="s">
        <v>259</v>
      </c>
    </row>
    <row r="111" spans="1:12" ht="14.25" customHeight="1" x14ac:dyDescent="0.3">
      <c r="A111" s="3" t="s">
        <v>250</v>
      </c>
      <c r="B111" s="3">
        <v>7</v>
      </c>
      <c r="C111" s="3">
        <v>6</v>
      </c>
      <c r="D111" s="3">
        <v>7</v>
      </c>
      <c r="E111" s="3">
        <v>3</v>
      </c>
      <c r="F111" s="3">
        <v>7</v>
      </c>
      <c r="G111" s="3">
        <v>5</v>
      </c>
      <c r="H111" s="5">
        <v>1</v>
      </c>
      <c r="I111" s="5">
        <v>2</v>
      </c>
      <c r="J111" s="5">
        <v>8</v>
      </c>
      <c r="K111" s="8">
        <f t="shared" si="4"/>
        <v>5.1111111111111107</v>
      </c>
      <c r="L111" s="4" t="s">
        <v>260</v>
      </c>
    </row>
    <row r="112" spans="1:12" ht="14.25" customHeight="1" x14ac:dyDescent="0.3">
      <c r="A112" s="3" t="s">
        <v>251</v>
      </c>
      <c r="B112" s="3">
        <v>7</v>
      </c>
      <c r="C112" s="3">
        <v>4</v>
      </c>
      <c r="D112" s="3">
        <v>1</v>
      </c>
      <c r="E112" s="3">
        <v>1</v>
      </c>
      <c r="F112" s="3">
        <v>3</v>
      </c>
      <c r="G112" s="3">
        <v>1</v>
      </c>
      <c r="H112" s="5">
        <v>1</v>
      </c>
      <c r="I112" s="5">
        <v>5</v>
      </c>
      <c r="J112" s="5">
        <v>7</v>
      </c>
      <c r="K112" s="8">
        <f t="shared" si="4"/>
        <v>3.3333333333333335</v>
      </c>
      <c r="L112" s="4" t="s">
        <v>261</v>
      </c>
    </row>
    <row r="113" spans="1:12" ht="14.25" customHeight="1" x14ac:dyDescent="0.3">
      <c r="A113" s="3" t="s">
        <v>252</v>
      </c>
      <c r="B113" s="3">
        <v>12</v>
      </c>
      <c r="C113" s="3">
        <v>3</v>
      </c>
      <c r="D113" s="3">
        <v>2</v>
      </c>
      <c r="E113" s="3">
        <v>5</v>
      </c>
      <c r="F113" s="3">
        <v>1</v>
      </c>
      <c r="G113" s="3">
        <v>3</v>
      </c>
      <c r="H113" s="5">
        <v>11</v>
      </c>
      <c r="I113" s="5">
        <v>9</v>
      </c>
      <c r="J113" s="5">
        <v>4</v>
      </c>
      <c r="K113" s="8">
        <f t="shared" si="4"/>
        <v>5.5555555555555554</v>
      </c>
      <c r="L113" s="4" t="s">
        <v>262</v>
      </c>
    </row>
    <row r="114" spans="1:12" ht="14.25" customHeight="1" x14ac:dyDescent="0.3">
      <c r="A114" s="3" t="s">
        <v>253</v>
      </c>
      <c r="B114" s="3">
        <v>6</v>
      </c>
      <c r="C114" s="3">
        <v>0</v>
      </c>
      <c r="D114" s="3">
        <v>0</v>
      </c>
      <c r="E114" s="3">
        <v>3</v>
      </c>
      <c r="F114" s="3">
        <v>4</v>
      </c>
      <c r="G114" s="3">
        <v>7</v>
      </c>
      <c r="H114" s="5">
        <v>10</v>
      </c>
      <c r="I114" s="5">
        <v>10</v>
      </c>
      <c r="J114" s="5">
        <v>2</v>
      </c>
      <c r="K114" s="8">
        <f t="shared" si="4"/>
        <v>4.666666666666667</v>
      </c>
      <c r="L114" s="4" t="s">
        <v>263</v>
      </c>
    </row>
    <row r="115" spans="1:12" ht="14.25" customHeight="1" x14ac:dyDescent="0.3">
      <c r="A115" s="3" t="s">
        <v>254</v>
      </c>
      <c r="B115" s="3">
        <v>3</v>
      </c>
      <c r="C115" s="3">
        <v>3</v>
      </c>
      <c r="D115" s="3">
        <v>2</v>
      </c>
      <c r="E115" s="3">
        <v>12</v>
      </c>
      <c r="F115" s="3">
        <v>8</v>
      </c>
      <c r="G115" s="3">
        <v>4</v>
      </c>
      <c r="H115" s="5">
        <v>7</v>
      </c>
      <c r="I115" s="5">
        <v>3</v>
      </c>
      <c r="J115" s="5">
        <v>13</v>
      </c>
      <c r="K115" s="8">
        <f t="shared" si="4"/>
        <v>6.1111111111111107</v>
      </c>
      <c r="L115" s="4" t="s">
        <v>264</v>
      </c>
    </row>
    <row r="116" spans="1:12" ht="14.25" customHeight="1" x14ac:dyDescent="0.3">
      <c r="A116" s="3" t="s">
        <v>255</v>
      </c>
      <c r="B116" s="3">
        <v>6</v>
      </c>
      <c r="C116" s="3">
        <v>2</v>
      </c>
      <c r="D116" s="3">
        <v>1</v>
      </c>
      <c r="E116" s="3">
        <v>0</v>
      </c>
      <c r="F116" s="3">
        <v>1</v>
      </c>
      <c r="G116" s="3">
        <v>2</v>
      </c>
      <c r="H116" s="5">
        <v>0</v>
      </c>
      <c r="I116" s="5">
        <v>1</v>
      </c>
      <c r="J116" s="5">
        <v>6</v>
      </c>
      <c r="K116" s="8">
        <f t="shared" si="4"/>
        <v>2.1111111111111112</v>
      </c>
      <c r="L116" s="4" t="s">
        <v>265</v>
      </c>
    </row>
    <row r="117" spans="1:12" ht="14.25" customHeight="1" x14ac:dyDescent="0.3">
      <c r="A117" s="3" t="s">
        <v>256</v>
      </c>
      <c r="B117" s="3">
        <v>7</v>
      </c>
      <c r="C117" s="3">
        <v>3</v>
      </c>
      <c r="D117" s="3">
        <v>2</v>
      </c>
      <c r="E117" s="3">
        <v>2</v>
      </c>
      <c r="F117" s="3">
        <v>4</v>
      </c>
      <c r="G117" s="3">
        <v>4</v>
      </c>
      <c r="H117" s="5">
        <v>7</v>
      </c>
      <c r="I117" s="5">
        <v>9</v>
      </c>
      <c r="J117" s="5">
        <v>4</v>
      </c>
      <c r="K117" s="8">
        <f t="shared" si="4"/>
        <v>4.666666666666667</v>
      </c>
      <c r="L117" s="4" t="s">
        <v>266</v>
      </c>
    </row>
    <row r="118" spans="1:12" ht="14.25" customHeight="1" x14ac:dyDescent="0.3"/>
    <row r="119" spans="1:12" ht="14.25" customHeight="1" x14ac:dyDescent="0.3"/>
    <row r="120" spans="1:12" ht="14.25" customHeight="1" x14ac:dyDescent="0.3">
      <c r="A120" s="4" t="s">
        <v>330</v>
      </c>
      <c r="B120" s="4" t="s">
        <v>347</v>
      </c>
    </row>
    <row r="121" spans="1:12" ht="14.25" customHeight="1" x14ac:dyDescent="0.3">
      <c r="A121" s="4" t="s">
        <v>232</v>
      </c>
      <c r="B121" s="20">
        <v>45942</v>
      </c>
      <c r="C121" s="20">
        <v>45949</v>
      </c>
      <c r="D121" s="20">
        <v>45956</v>
      </c>
      <c r="E121" s="20">
        <v>45963</v>
      </c>
      <c r="F121" s="20">
        <v>45970</v>
      </c>
      <c r="G121" s="20">
        <v>45977</v>
      </c>
      <c r="H121" s="20">
        <v>45984</v>
      </c>
      <c r="I121" s="20">
        <v>45991</v>
      </c>
      <c r="J121" s="20">
        <v>45998</v>
      </c>
      <c r="K121" s="4" t="s">
        <v>356</v>
      </c>
    </row>
    <row r="122" spans="1:12" ht="14.25" customHeight="1" x14ac:dyDescent="0.3">
      <c r="A122" s="3" t="s">
        <v>261</v>
      </c>
      <c r="B122" s="3">
        <v>23</v>
      </c>
      <c r="C122" s="3">
        <v>24</v>
      </c>
      <c r="D122" s="3">
        <v>24</v>
      </c>
      <c r="E122" s="3">
        <v>26</v>
      </c>
      <c r="F122" s="3">
        <v>29</v>
      </c>
      <c r="G122" s="3">
        <v>13</v>
      </c>
      <c r="H122" s="5">
        <v>9</v>
      </c>
      <c r="I122" s="5">
        <v>23</v>
      </c>
      <c r="J122" s="5">
        <v>27</v>
      </c>
      <c r="K122" s="8">
        <f t="shared" ref="K122:K141" si="5">AVERAGE(B122:J122)</f>
        <v>22</v>
      </c>
    </row>
    <row r="123" spans="1:12" ht="14.25" customHeight="1" x14ac:dyDescent="0.3">
      <c r="A123" s="3" t="s">
        <v>262</v>
      </c>
      <c r="B123" s="3">
        <v>9</v>
      </c>
      <c r="C123" s="3">
        <v>18</v>
      </c>
      <c r="D123" s="3">
        <v>21</v>
      </c>
      <c r="E123" s="3">
        <v>18</v>
      </c>
      <c r="F123" s="3">
        <v>18</v>
      </c>
      <c r="G123" s="3">
        <v>26</v>
      </c>
      <c r="H123" s="5">
        <v>21</v>
      </c>
      <c r="I123" s="5">
        <v>13</v>
      </c>
      <c r="J123" s="5">
        <v>25</v>
      </c>
      <c r="K123" s="8">
        <f t="shared" si="5"/>
        <v>18.777777777777779</v>
      </c>
    </row>
    <row r="124" spans="1:12" ht="14.25" customHeight="1" x14ac:dyDescent="0.3">
      <c r="A124" s="3" t="s">
        <v>260</v>
      </c>
      <c r="B124" s="3">
        <v>11</v>
      </c>
      <c r="C124" s="3">
        <v>5</v>
      </c>
      <c r="D124" s="3">
        <v>13</v>
      </c>
      <c r="E124" s="3">
        <v>11</v>
      </c>
      <c r="F124" s="3">
        <v>17</v>
      </c>
      <c r="G124" s="3">
        <v>14</v>
      </c>
      <c r="H124" s="5">
        <v>10</v>
      </c>
      <c r="I124" s="5">
        <v>17</v>
      </c>
      <c r="J124" s="5">
        <v>11</v>
      </c>
      <c r="K124" s="8">
        <f t="shared" si="5"/>
        <v>12.111111111111111</v>
      </c>
    </row>
    <row r="125" spans="1:12" ht="14.25" customHeight="1" x14ac:dyDescent="0.3">
      <c r="A125" s="3" t="s">
        <v>263</v>
      </c>
      <c r="B125" s="3">
        <v>8</v>
      </c>
      <c r="C125" s="3">
        <v>5</v>
      </c>
      <c r="D125" s="3">
        <v>13</v>
      </c>
      <c r="E125" s="3">
        <v>15</v>
      </c>
      <c r="F125" s="3">
        <v>15</v>
      </c>
      <c r="G125" s="3">
        <v>14</v>
      </c>
      <c r="H125" s="5">
        <v>14</v>
      </c>
      <c r="I125" s="5">
        <v>13</v>
      </c>
      <c r="J125" s="5">
        <v>5</v>
      </c>
      <c r="K125" s="8">
        <f t="shared" si="5"/>
        <v>11.333333333333334</v>
      </c>
    </row>
    <row r="126" spans="1:12" ht="14.25" customHeight="1" x14ac:dyDescent="0.3">
      <c r="A126" s="3" t="s">
        <v>257</v>
      </c>
      <c r="B126" s="3">
        <v>9</v>
      </c>
      <c r="C126" s="3">
        <v>4</v>
      </c>
      <c r="D126" s="3">
        <v>12</v>
      </c>
      <c r="E126" s="3">
        <v>16</v>
      </c>
      <c r="F126" s="3">
        <v>15</v>
      </c>
      <c r="G126" s="3">
        <v>11</v>
      </c>
      <c r="H126" s="5">
        <v>8</v>
      </c>
      <c r="I126" s="5">
        <v>13</v>
      </c>
      <c r="J126" s="5">
        <v>14</v>
      </c>
      <c r="K126" s="8">
        <f t="shared" si="5"/>
        <v>11.333333333333334</v>
      </c>
    </row>
    <row r="127" spans="1:12" ht="14.25" customHeight="1" x14ac:dyDescent="0.3">
      <c r="A127" s="3" t="s">
        <v>258</v>
      </c>
      <c r="B127" s="3">
        <v>12</v>
      </c>
      <c r="C127" s="3">
        <v>10</v>
      </c>
      <c r="D127" s="3">
        <v>11</v>
      </c>
      <c r="E127" s="3">
        <v>14</v>
      </c>
      <c r="F127" s="3">
        <v>14</v>
      </c>
      <c r="G127" s="3">
        <v>13</v>
      </c>
      <c r="H127" s="5">
        <v>9</v>
      </c>
      <c r="I127" s="5">
        <v>16</v>
      </c>
      <c r="J127" s="5">
        <v>16</v>
      </c>
      <c r="K127" s="8">
        <f t="shared" si="5"/>
        <v>12.777777777777779</v>
      </c>
    </row>
    <row r="128" spans="1:12" ht="14.25" customHeight="1" x14ac:dyDescent="0.3">
      <c r="A128" s="3" t="s">
        <v>259</v>
      </c>
      <c r="B128" s="3">
        <v>19</v>
      </c>
      <c r="C128" s="3">
        <v>13</v>
      </c>
      <c r="D128" s="3">
        <v>14</v>
      </c>
      <c r="E128" s="3">
        <v>18</v>
      </c>
      <c r="F128" s="3">
        <v>16</v>
      </c>
      <c r="G128" s="3">
        <v>7</v>
      </c>
      <c r="H128" s="5">
        <v>19</v>
      </c>
      <c r="I128" s="5">
        <v>14</v>
      </c>
      <c r="J128" s="5">
        <v>13</v>
      </c>
      <c r="K128" s="8">
        <f t="shared" si="5"/>
        <v>14.777777777777779</v>
      </c>
    </row>
    <row r="129" spans="1:11" ht="14.25" customHeight="1" x14ac:dyDescent="0.3">
      <c r="A129" s="3" t="s">
        <v>264</v>
      </c>
      <c r="B129" s="3">
        <v>15</v>
      </c>
      <c r="C129" s="3">
        <v>17</v>
      </c>
      <c r="D129" s="3">
        <v>19</v>
      </c>
      <c r="E129" s="3">
        <v>12</v>
      </c>
      <c r="F129" s="3">
        <v>19</v>
      </c>
      <c r="G129" s="3">
        <v>6</v>
      </c>
      <c r="H129" s="5">
        <v>19</v>
      </c>
      <c r="I129" s="5">
        <v>15</v>
      </c>
      <c r="J129" s="5">
        <v>19</v>
      </c>
      <c r="K129" s="8">
        <f t="shared" si="5"/>
        <v>15.666666666666666</v>
      </c>
    </row>
    <row r="130" spans="1:11" ht="14.25" customHeight="1" x14ac:dyDescent="0.3">
      <c r="A130" s="3" t="s">
        <v>266</v>
      </c>
      <c r="B130" s="3">
        <v>15</v>
      </c>
      <c r="C130" s="3">
        <v>11</v>
      </c>
      <c r="D130" s="3">
        <v>9</v>
      </c>
      <c r="E130" s="3">
        <v>3</v>
      </c>
      <c r="F130" s="3">
        <v>15</v>
      </c>
      <c r="G130" s="3">
        <v>9</v>
      </c>
      <c r="H130" s="5">
        <v>15</v>
      </c>
      <c r="I130" s="5">
        <v>10</v>
      </c>
      <c r="J130" s="5">
        <v>12</v>
      </c>
      <c r="K130" s="8">
        <f t="shared" si="5"/>
        <v>11</v>
      </c>
    </row>
    <row r="131" spans="1:11" ht="14.25" customHeight="1" x14ac:dyDescent="0.3">
      <c r="A131" s="3" t="s">
        <v>265</v>
      </c>
      <c r="B131" s="3">
        <v>10</v>
      </c>
      <c r="C131" s="3">
        <v>13</v>
      </c>
      <c r="D131" s="3">
        <v>11</v>
      </c>
      <c r="E131" s="3">
        <v>14</v>
      </c>
      <c r="F131" s="3">
        <v>12</v>
      </c>
      <c r="G131" s="3">
        <v>12</v>
      </c>
      <c r="H131" s="5">
        <v>11</v>
      </c>
      <c r="I131" s="5">
        <v>15</v>
      </c>
      <c r="J131" s="5">
        <v>11</v>
      </c>
      <c r="K131" s="8">
        <f t="shared" si="5"/>
        <v>12.111111111111111</v>
      </c>
    </row>
    <row r="132" spans="1:11" ht="14.25" customHeight="1" x14ac:dyDescent="0.3">
      <c r="A132" s="3" t="s">
        <v>247</v>
      </c>
      <c r="B132" s="3">
        <v>5</v>
      </c>
      <c r="C132" s="3">
        <v>3</v>
      </c>
      <c r="D132" s="3">
        <v>0</v>
      </c>
      <c r="E132" s="3">
        <v>8</v>
      </c>
      <c r="F132" s="3">
        <v>5</v>
      </c>
      <c r="G132" s="3">
        <v>2</v>
      </c>
      <c r="H132" s="5">
        <v>5</v>
      </c>
      <c r="I132" s="5">
        <v>2</v>
      </c>
      <c r="J132" s="5">
        <v>1</v>
      </c>
      <c r="K132" s="8">
        <f t="shared" si="5"/>
        <v>3.4444444444444446</v>
      </c>
    </row>
    <row r="133" spans="1:11" ht="14.25" customHeight="1" x14ac:dyDescent="0.3">
      <c r="A133" s="3" t="s">
        <v>248</v>
      </c>
      <c r="B133" s="3">
        <v>0</v>
      </c>
      <c r="C133" s="3">
        <v>1</v>
      </c>
      <c r="D133" s="3">
        <v>0</v>
      </c>
      <c r="E133" s="3">
        <v>5</v>
      </c>
      <c r="F133" s="3">
        <v>3</v>
      </c>
      <c r="G133" s="3">
        <v>8</v>
      </c>
      <c r="H133" s="5">
        <v>8</v>
      </c>
      <c r="I133" s="5">
        <v>10</v>
      </c>
      <c r="J133" s="5">
        <v>5</v>
      </c>
      <c r="K133" s="8">
        <f t="shared" si="5"/>
        <v>4.4444444444444446</v>
      </c>
    </row>
    <row r="134" spans="1:11" ht="14.25" customHeight="1" x14ac:dyDescent="0.3">
      <c r="A134" s="3" t="s">
        <v>249</v>
      </c>
      <c r="B134" s="3">
        <v>13</v>
      </c>
      <c r="C134" s="3">
        <v>3</v>
      </c>
      <c r="D134" s="3">
        <v>5</v>
      </c>
      <c r="E134" s="3">
        <v>2</v>
      </c>
      <c r="F134" s="3">
        <v>1</v>
      </c>
      <c r="G134" s="3">
        <v>9</v>
      </c>
      <c r="H134" s="5">
        <v>4</v>
      </c>
      <c r="I134" s="5">
        <v>5</v>
      </c>
      <c r="J134" s="5">
        <v>8</v>
      </c>
      <c r="K134" s="8">
        <f t="shared" si="5"/>
        <v>5.5555555555555554</v>
      </c>
    </row>
    <row r="135" spans="1:11" ht="14.25" customHeight="1" x14ac:dyDescent="0.3">
      <c r="A135" s="3" t="s">
        <v>250</v>
      </c>
      <c r="B135" s="3">
        <v>3</v>
      </c>
      <c r="C135" s="3">
        <v>8</v>
      </c>
      <c r="D135" s="3">
        <v>3</v>
      </c>
      <c r="E135" s="3">
        <v>2</v>
      </c>
      <c r="F135" s="3">
        <v>6</v>
      </c>
      <c r="G135" s="3">
        <v>7</v>
      </c>
      <c r="H135" s="5">
        <v>6</v>
      </c>
      <c r="I135" s="5">
        <v>7</v>
      </c>
      <c r="J135" s="5">
        <v>6</v>
      </c>
      <c r="K135" s="8">
        <f t="shared" si="5"/>
        <v>5.333333333333333</v>
      </c>
    </row>
    <row r="136" spans="1:11" ht="14.25" customHeight="1" x14ac:dyDescent="0.3">
      <c r="A136" s="3" t="s">
        <v>251</v>
      </c>
      <c r="B136" s="3">
        <v>3</v>
      </c>
      <c r="C136" s="3">
        <v>4</v>
      </c>
      <c r="D136" s="3">
        <v>13</v>
      </c>
      <c r="E136" s="3">
        <v>1</v>
      </c>
      <c r="F136" s="3">
        <v>3</v>
      </c>
      <c r="G136" s="3">
        <v>4</v>
      </c>
      <c r="H136" s="5">
        <v>0</v>
      </c>
      <c r="I136" s="5">
        <v>4</v>
      </c>
      <c r="J136" s="5">
        <v>6</v>
      </c>
      <c r="K136" s="8">
        <f t="shared" si="5"/>
        <v>4.2222222222222223</v>
      </c>
    </row>
    <row r="137" spans="1:11" ht="14.25" customHeight="1" x14ac:dyDescent="0.3">
      <c r="A137" s="3" t="s">
        <v>252</v>
      </c>
      <c r="B137" s="3">
        <v>12</v>
      </c>
      <c r="C137" s="3">
        <v>0</v>
      </c>
      <c r="D137" s="3">
        <v>7</v>
      </c>
      <c r="E137" s="3">
        <v>5</v>
      </c>
      <c r="F137" s="3">
        <v>3</v>
      </c>
      <c r="G137" s="3">
        <v>9</v>
      </c>
      <c r="H137" s="5">
        <v>9</v>
      </c>
      <c r="I137" s="5">
        <v>11</v>
      </c>
      <c r="J137" s="5">
        <v>4</v>
      </c>
      <c r="K137" s="8">
        <f t="shared" si="5"/>
        <v>6.666666666666667</v>
      </c>
    </row>
    <row r="138" spans="1:11" ht="14.25" customHeight="1" x14ac:dyDescent="0.3">
      <c r="A138" s="3" t="s">
        <v>253</v>
      </c>
      <c r="B138" s="3">
        <v>4</v>
      </c>
      <c r="C138" s="3">
        <v>4</v>
      </c>
      <c r="D138" s="3">
        <v>13</v>
      </c>
      <c r="E138" s="3">
        <v>4</v>
      </c>
      <c r="F138" s="3">
        <v>5</v>
      </c>
      <c r="G138" s="3">
        <v>7</v>
      </c>
      <c r="H138" s="5">
        <v>7</v>
      </c>
      <c r="I138" s="5">
        <v>5</v>
      </c>
      <c r="J138" s="5">
        <v>1</v>
      </c>
      <c r="K138" s="8">
        <f t="shared" si="5"/>
        <v>5.5555555555555554</v>
      </c>
    </row>
    <row r="139" spans="1:11" ht="14.25" customHeight="1" x14ac:dyDescent="0.3">
      <c r="A139" s="3" t="s">
        <v>254</v>
      </c>
      <c r="B139" s="3">
        <v>5</v>
      </c>
      <c r="C139" s="3">
        <v>14</v>
      </c>
      <c r="D139" s="3">
        <v>2</v>
      </c>
      <c r="E139" s="3">
        <v>5</v>
      </c>
      <c r="F139" s="3">
        <v>5</v>
      </c>
      <c r="G139" s="3">
        <v>2</v>
      </c>
      <c r="H139" s="5">
        <v>11</v>
      </c>
      <c r="I139" s="5">
        <v>4</v>
      </c>
      <c r="J139" s="5">
        <v>5</v>
      </c>
      <c r="K139" s="8">
        <f t="shared" si="5"/>
        <v>5.8888888888888893</v>
      </c>
    </row>
    <row r="140" spans="1:11" ht="14.25" customHeight="1" x14ac:dyDescent="0.3">
      <c r="A140" s="3" t="s">
        <v>255</v>
      </c>
      <c r="B140" s="3">
        <v>1</v>
      </c>
      <c r="C140" s="3">
        <v>0</v>
      </c>
      <c r="D140" s="3">
        <v>1</v>
      </c>
      <c r="E140" s="3">
        <v>1</v>
      </c>
      <c r="F140" s="3">
        <v>1</v>
      </c>
      <c r="G140" s="3">
        <v>2</v>
      </c>
      <c r="H140" s="5">
        <v>2</v>
      </c>
      <c r="I140" s="5">
        <v>7</v>
      </c>
      <c r="J140" s="5">
        <v>7</v>
      </c>
      <c r="K140" s="8">
        <f t="shared" si="5"/>
        <v>2.4444444444444446</v>
      </c>
    </row>
    <row r="141" spans="1:11" ht="14.25" customHeight="1" x14ac:dyDescent="0.3">
      <c r="A141" s="3" t="s">
        <v>256</v>
      </c>
      <c r="B141" s="3">
        <v>5</v>
      </c>
      <c r="C141" s="3">
        <v>3</v>
      </c>
      <c r="D141" s="3">
        <v>6</v>
      </c>
      <c r="E141" s="3">
        <v>4</v>
      </c>
      <c r="F141" s="3">
        <v>3</v>
      </c>
      <c r="G141" s="3">
        <v>5</v>
      </c>
      <c r="H141" s="5">
        <v>9</v>
      </c>
      <c r="I141" s="5">
        <v>2</v>
      </c>
      <c r="J141" s="5">
        <v>9</v>
      </c>
      <c r="K141" s="8">
        <f t="shared" si="5"/>
        <v>5.1111111111111107</v>
      </c>
    </row>
    <row r="142" spans="1:11" ht="14.25" customHeight="1" x14ac:dyDescent="0.3"/>
    <row r="143" spans="1:11" ht="14.25" customHeight="1" x14ac:dyDescent="0.3"/>
    <row r="144" spans="1:11" ht="14.25" customHeight="1" x14ac:dyDescent="0.3">
      <c r="A144" s="4" t="s">
        <v>330</v>
      </c>
      <c r="B144" s="4" t="s">
        <v>348</v>
      </c>
      <c r="C144" s="3" t="s">
        <v>349</v>
      </c>
      <c r="D144" s="3" t="s">
        <v>350</v>
      </c>
    </row>
    <row r="145" spans="1:11" ht="14.25" customHeight="1" x14ac:dyDescent="0.3">
      <c r="A145" s="4" t="s">
        <v>232</v>
      </c>
      <c r="B145" s="20">
        <v>45943</v>
      </c>
      <c r="C145" s="20">
        <v>45950</v>
      </c>
      <c r="D145" s="20">
        <v>45957</v>
      </c>
      <c r="E145" s="20">
        <v>45964</v>
      </c>
      <c r="F145" s="20">
        <v>45971</v>
      </c>
      <c r="G145" s="20">
        <v>45978</v>
      </c>
      <c r="H145" s="20">
        <v>45985</v>
      </c>
      <c r="I145" s="20">
        <v>45992</v>
      </c>
      <c r="J145" s="20">
        <v>45999</v>
      </c>
      <c r="K145" s="4" t="s">
        <v>357</v>
      </c>
    </row>
    <row r="146" spans="1:11" ht="14.25" customHeight="1" x14ac:dyDescent="0.3">
      <c r="A146" s="3" t="s">
        <v>261</v>
      </c>
      <c r="B146" s="3">
        <v>16</v>
      </c>
      <c r="C146" s="3">
        <v>19</v>
      </c>
      <c r="D146" s="9">
        <v>23</v>
      </c>
      <c r="E146" s="9">
        <v>23</v>
      </c>
      <c r="F146" s="9">
        <v>23</v>
      </c>
      <c r="G146" s="3">
        <v>26</v>
      </c>
      <c r="H146" s="5">
        <v>30</v>
      </c>
      <c r="I146" s="5">
        <v>30</v>
      </c>
      <c r="J146" s="5">
        <v>29</v>
      </c>
      <c r="K146" s="8">
        <f t="shared" ref="K146:K165" si="6">AVERAGE(B146:J146)</f>
        <v>24.333333333333332</v>
      </c>
    </row>
    <row r="147" spans="1:11" ht="14.25" customHeight="1" x14ac:dyDescent="0.3">
      <c r="A147" s="3" t="s">
        <v>262</v>
      </c>
      <c r="B147" s="3">
        <v>7</v>
      </c>
      <c r="C147" s="3">
        <v>27</v>
      </c>
      <c r="D147" s="9">
        <v>21</v>
      </c>
      <c r="E147" s="9">
        <v>21</v>
      </c>
      <c r="F147" s="9">
        <v>21</v>
      </c>
      <c r="G147" s="3">
        <v>20</v>
      </c>
      <c r="H147" s="5">
        <v>26</v>
      </c>
      <c r="I147" s="5">
        <v>27</v>
      </c>
      <c r="J147" s="5">
        <v>26</v>
      </c>
      <c r="K147" s="8">
        <f t="shared" si="6"/>
        <v>21.777777777777779</v>
      </c>
    </row>
    <row r="148" spans="1:11" ht="14.25" customHeight="1" x14ac:dyDescent="0.3">
      <c r="A148" s="3" t="s">
        <v>260</v>
      </c>
      <c r="B148" s="3">
        <v>18</v>
      </c>
      <c r="C148" s="3">
        <v>2</v>
      </c>
      <c r="D148" s="9">
        <v>14</v>
      </c>
      <c r="E148" s="9">
        <v>14</v>
      </c>
      <c r="F148" s="9">
        <v>14</v>
      </c>
      <c r="G148" s="3">
        <v>18</v>
      </c>
      <c r="H148" s="5">
        <v>16</v>
      </c>
      <c r="I148" s="5">
        <v>3</v>
      </c>
      <c r="J148" s="5">
        <v>4</v>
      </c>
      <c r="K148" s="8">
        <f t="shared" si="6"/>
        <v>11.444444444444445</v>
      </c>
    </row>
    <row r="149" spans="1:11" ht="14.25" customHeight="1" x14ac:dyDescent="0.3">
      <c r="A149" s="3" t="s">
        <v>263</v>
      </c>
      <c r="B149" s="3">
        <v>14</v>
      </c>
      <c r="C149" s="3">
        <v>15</v>
      </c>
      <c r="D149" s="9">
        <v>10</v>
      </c>
      <c r="E149" s="9">
        <v>10</v>
      </c>
      <c r="F149" s="9">
        <v>10</v>
      </c>
      <c r="G149" s="3">
        <v>11</v>
      </c>
      <c r="H149" s="5">
        <v>9</v>
      </c>
      <c r="I149" s="5">
        <v>14</v>
      </c>
      <c r="J149" s="5">
        <v>15</v>
      </c>
      <c r="K149" s="8">
        <f t="shared" si="6"/>
        <v>12</v>
      </c>
    </row>
    <row r="150" spans="1:11" ht="14.25" customHeight="1" x14ac:dyDescent="0.3">
      <c r="A150" s="3" t="s">
        <v>257</v>
      </c>
      <c r="B150" s="3">
        <v>9</v>
      </c>
      <c r="C150" s="3">
        <v>7</v>
      </c>
      <c r="D150" s="9">
        <v>12</v>
      </c>
      <c r="E150" s="9">
        <v>12</v>
      </c>
      <c r="F150" s="9">
        <v>12</v>
      </c>
      <c r="G150" s="3">
        <v>11</v>
      </c>
      <c r="H150" s="5">
        <v>15</v>
      </c>
      <c r="I150" s="5">
        <v>14</v>
      </c>
      <c r="J150" s="5">
        <v>7</v>
      </c>
      <c r="K150" s="8">
        <f t="shared" si="6"/>
        <v>11</v>
      </c>
    </row>
    <row r="151" spans="1:11" ht="14.25" customHeight="1" x14ac:dyDescent="0.3">
      <c r="A151" s="3" t="s">
        <v>258</v>
      </c>
      <c r="B151" s="3">
        <v>14</v>
      </c>
      <c r="C151" s="3">
        <v>13</v>
      </c>
      <c r="D151" s="9">
        <v>11</v>
      </c>
      <c r="E151" s="9">
        <v>11</v>
      </c>
      <c r="F151" s="9">
        <v>11</v>
      </c>
      <c r="G151" s="3">
        <v>14</v>
      </c>
      <c r="H151" s="5">
        <v>6</v>
      </c>
      <c r="I151" s="5">
        <v>14</v>
      </c>
      <c r="J151" s="5">
        <v>12</v>
      </c>
      <c r="K151" s="8">
        <f t="shared" si="6"/>
        <v>11.777777777777779</v>
      </c>
    </row>
    <row r="152" spans="1:11" ht="14.25" customHeight="1" x14ac:dyDescent="0.3">
      <c r="A152" s="3" t="s">
        <v>259</v>
      </c>
      <c r="B152" s="3">
        <v>17</v>
      </c>
      <c r="C152" s="3">
        <v>15</v>
      </c>
      <c r="D152" s="9">
        <v>14</v>
      </c>
      <c r="E152" s="9">
        <v>14</v>
      </c>
      <c r="F152" s="9">
        <v>14</v>
      </c>
      <c r="G152" s="3">
        <v>12</v>
      </c>
      <c r="H152" s="5">
        <v>16</v>
      </c>
      <c r="I152" s="5">
        <v>15</v>
      </c>
      <c r="J152" s="5">
        <v>15</v>
      </c>
      <c r="K152" s="8">
        <f t="shared" si="6"/>
        <v>14.666666666666666</v>
      </c>
    </row>
    <row r="153" spans="1:11" ht="14.25" customHeight="1" x14ac:dyDescent="0.3">
      <c r="A153" s="3" t="s">
        <v>264</v>
      </c>
      <c r="B153" s="3">
        <v>13</v>
      </c>
      <c r="C153" s="3">
        <v>13</v>
      </c>
      <c r="D153" s="9">
        <v>14</v>
      </c>
      <c r="E153" s="9">
        <v>14</v>
      </c>
      <c r="F153" s="9">
        <v>14</v>
      </c>
      <c r="G153" s="3">
        <v>10</v>
      </c>
      <c r="H153" s="5">
        <v>17</v>
      </c>
      <c r="I153" s="5">
        <v>16</v>
      </c>
      <c r="J153" s="5">
        <v>18</v>
      </c>
      <c r="K153" s="8">
        <f t="shared" si="6"/>
        <v>14.333333333333334</v>
      </c>
    </row>
    <row r="154" spans="1:11" ht="14.25" customHeight="1" x14ac:dyDescent="0.3">
      <c r="A154" s="3" t="s">
        <v>266</v>
      </c>
      <c r="B154" s="3">
        <v>8</v>
      </c>
      <c r="C154" s="3">
        <v>14</v>
      </c>
      <c r="D154" s="9">
        <v>11</v>
      </c>
      <c r="E154" s="9">
        <v>11</v>
      </c>
      <c r="F154" s="9">
        <v>11</v>
      </c>
      <c r="G154" s="3">
        <v>13</v>
      </c>
      <c r="H154" s="5">
        <v>13</v>
      </c>
      <c r="I154" s="5">
        <v>10</v>
      </c>
      <c r="J154" s="5">
        <v>12</v>
      </c>
      <c r="K154" s="8">
        <f t="shared" si="6"/>
        <v>11.444444444444445</v>
      </c>
    </row>
    <row r="155" spans="1:11" ht="14.25" customHeight="1" x14ac:dyDescent="0.3">
      <c r="A155" s="3" t="s">
        <v>265</v>
      </c>
      <c r="B155" s="3">
        <v>11</v>
      </c>
      <c r="C155" s="3">
        <v>10</v>
      </c>
      <c r="D155" s="9">
        <v>11</v>
      </c>
      <c r="E155" s="9">
        <v>11</v>
      </c>
      <c r="F155" s="9">
        <v>11</v>
      </c>
      <c r="G155" s="3">
        <v>14</v>
      </c>
      <c r="H155" s="5">
        <v>14</v>
      </c>
      <c r="I155" s="5">
        <v>13</v>
      </c>
      <c r="J155" s="5">
        <v>15</v>
      </c>
      <c r="K155" s="8">
        <f t="shared" si="6"/>
        <v>12.222222222222221</v>
      </c>
    </row>
    <row r="156" spans="1:11" ht="14.25" customHeight="1" x14ac:dyDescent="0.3">
      <c r="A156" s="3" t="s">
        <v>247</v>
      </c>
      <c r="B156" s="3">
        <v>9</v>
      </c>
      <c r="C156" s="3">
        <v>7</v>
      </c>
      <c r="D156" s="9">
        <v>4</v>
      </c>
      <c r="E156" s="9">
        <v>4</v>
      </c>
      <c r="F156" s="9">
        <v>4</v>
      </c>
      <c r="G156" s="3">
        <v>5</v>
      </c>
      <c r="H156" s="5">
        <v>3</v>
      </c>
      <c r="I156" s="5">
        <v>2</v>
      </c>
      <c r="J156" s="5">
        <v>12</v>
      </c>
      <c r="K156" s="8">
        <f t="shared" si="6"/>
        <v>5.5555555555555554</v>
      </c>
    </row>
    <row r="157" spans="1:11" ht="14.25" customHeight="1" x14ac:dyDescent="0.3">
      <c r="A157" s="3" t="s">
        <v>248</v>
      </c>
      <c r="B157" s="3">
        <v>6</v>
      </c>
      <c r="C157" s="3">
        <v>11</v>
      </c>
      <c r="D157" s="9">
        <v>5</v>
      </c>
      <c r="E157" s="9">
        <v>5</v>
      </c>
      <c r="F157" s="9">
        <v>5</v>
      </c>
      <c r="G157" s="3">
        <v>2</v>
      </c>
      <c r="H157" s="5">
        <v>2</v>
      </c>
      <c r="I157" s="5">
        <v>6</v>
      </c>
      <c r="J157" s="5">
        <v>5</v>
      </c>
      <c r="K157" s="8">
        <f t="shared" si="6"/>
        <v>5.2222222222222223</v>
      </c>
    </row>
    <row r="158" spans="1:11" ht="14.25" customHeight="1" x14ac:dyDescent="0.3">
      <c r="A158" s="3" t="s">
        <v>249</v>
      </c>
      <c r="B158" s="3">
        <v>10</v>
      </c>
      <c r="C158" s="3">
        <v>5</v>
      </c>
      <c r="D158" s="9">
        <v>5</v>
      </c>
      <c r="E158" s="9">
        <v>5</v>
      </c>
      <c r="F158" s="9">
        <v>5</v>
      </c>
      <c r="G158" s="3">
        <v>9</v>
      </c>
      <c r="H158" s="5">
        <v>2</v>
      </c>
      <c r="I158" s="5">
        <v>2</v>
      </c>
      <c r="J158" s="5">
        <v>6</v>
      </c>
      <c r="K158" s="8">
        <f t="shared" si="6"/>
        <v>5.4444444444444446</v>
      </c>
    </row>
    <row r="159" spans="1:11" ht="14.25" customHeight="1" x14ac:dyDescent="0.3">
      <c r="A159" s="3" t="s">
        <v>250</v>
      </c>
      <c r="B159" s="3">
        <v>1</v>
      </c>
      <c r="C159" s="3">
        <v>4</v>
      </c>
      <c r="D159" s="9">
        <v>4</v>
      </c>
      <c r="E159" s="9">
        <v>4</v>
      </c>
      <c r="F159" s="9">
        <v>4</v>
      </c>
      <c r="G159" s="3">
        <v>14</v>
      </c>
      <c r="H159" s="5">
        <v>4</v>
      </c>
      <c r="I159" s="5">
        <v>7</v>
      </c>
      <c r="J159" s="5">
        <v>7</v>
      </c>
      <c r="K159" s="8">
        <f t="shared" si="6"/>
        <v>5.4444444444444446</v>
      </c>
    </row>
    <row r="160" spans="1:11" ht="14.25" customHeight="1" x14ac:dyDescent="0.3">
      <c r="A160" s="3" t="s">
        <v>251</v>
      </c>
      <c r="B160" s="3">
        <v>0</v>
      </c>
      <c r="C160" s="3">
        <v>13</v>
      </c>
      <c r="D160" s="9">
        <v>4</v>
      </c>
      <c r="E160" s="9">
        <v>4</v>
      </c>
      <c r="F160" s="9">
        <v>4</v>
      </c>
      <c r="G160" s="3">
        <v>5</v>
      </c>
      <c r="H160" s="5">
        <v>1</v>
      </c>
      <c r="I160" s="5">
        <v>7</v>
      </c>
      <c r="J160" s="5">
        <v>4</v>
      </c>
      <c r="K160" s="8">
        <f t="shared" si="6"/>
        <v>4.666666666666667</v>
      </c>
    </row>
    <row r="161" spans="1:11" ht="14.25" customHeight="1" x14ac:dyDescent="0.3">
      <c r="A161" s="3" t="s">
        <v>252</v>
      </c>
      <c r="B161" s="3">
        <v>12</v>
      </c>
      <c r="C161" s="3">
        <v>6</v>
      </c>
      <c r="D161" s="9">
        <v>4</v>
      </c>
      <c r="E161" s="9">
        <v>4</v>
      </c>
      <c r="F161" s="9">
        <v>4</v>
      </c>
      <c r="G161" s="3">
        <v>11</v>
      </c>
      <c r="H161" s="5">
        <v>1</v>
      </c>
      <c r="I161" s="5">
        <v>14</v>
      </c>
      <c r="J161" s="5">
        <v>3</v>
      </c>
      <c r="K161" s="8">
        <f t="shared" si="6"/>
        <v>6.5555555555555554</v>
      </c>
    </row>
    <row r="162" spans="1:11" ht="14.25" customHeight="1" x14ac:dyDescent="0.3">
      <c r="A162" s="3" t="s">
        <v>253</v>
      </c>
      <c r="B162" s="3">
        <v>3</v>
      </c>
      <c r="C162" s="3">
        <v>1</v>
      </c>
      <c r="D162" s="9">
        <v>4</v>
      </c>
      <c r="E162" s="9">
        <v>4</v>
      </c>
      <c r="F162" s="9">
        <v>4</v>
      </c>
      <c r="G162" s="3">
        <v>6</v>
      </c>
      <c r="H162" s="5">
        <v>4</v>
      </c>
      <c r="I162" s="5">
        <v>6</v>
      </c>
      <c r="J162" s="5">
        <v>4</v>
      </c>
      <c r="K162" s="8">
        <f t="shared" si="6"/>
        <v>4</v>
      </c>
    </row>
    <row r="163" spans="1:11" ht="14.25" customHeight="1" x14ac:dyDescent="0.3">
      <c r="A163" s="3" t="s">
        <v>254</v>
      </c>
      <c r="B163" s="3">
        <v>9</v>
      </c>
      <c r="C163" s="3">
        <v>10</v>
      </c>
      <c r="D163" s="9">
        <v>4</v>
      </c>
      <c r="E163" s="9">
        <v>4</v>
      </c>
      <c r="F163" s="9">
        <v>4</v>
      </c>
      <c r="G163" s="3">
        <v>8</v>
      </c>
      <c r="H163" s="5">
        <v>8</v>
      </c>
      <c r="I163" s="5">
        <v>7</v>
      </c>
      <c r="J163" s="5">
        <v>12</v>
      </c>
      <c r="K163" s="8">
        <f t="shared" si="6"/>
        <v>7.333333333333333</v>
      </c>
    </row>
    <row r="164" spans="1:11" ht="14.25" customHeight="1" x14ac:dyDescent="0.3">
      <c r="A164" s="3" t="s">
        <v>255</v>
      </c>
      <c r="B164" s="3">
        <v>5</v>
      </c>
      <c r="C164" s="3">
        <v>15</v>
      </c>
      <c r="D164" s="9">
        <v>4</v>
      </c>
      <c r="E164" s="9">
        <v>4</v>
      </c>
      <c r="F164" s="9">
        <v>4</v>
      </c>
      <c r="G164" s="3">
        <v>0</v>
      </c>
      <c r="H164" s="5">
        <v>1</v>
      </c>
      <c r="I164" s="5">
        <v>4</v>
      </c>
      <c r="J164" s="5">
        <v>3</v>
      </c>
      <c r="K164" s="8">
        <f t="shared" si="6"/>
        <v>4.4444444444444446</v>
      </c>
    </row>
    <row r="165" spans="1:11" ht="14.25" customHeight="1" x14ac:dyDescent="0.3">
      <c r="A165" s="3" t="s">
        <v>256</v>
      </c>
      <c r="B165" s="3">
        <v>4</v>
      </c>
      <c r="C165" s="3">
        <v>1</v>
      </c>
      <c r="D165" s="9">
        <v>4</v>
      </c>
      <c r="E165" s="9">
        <v>4</v>
      </c>
      <c r="F165" s="9">
        <v>4</v>
      </c>
      <c r="G165" s="3">
        <v>5</v>
      </c>
      <c r="H165" s="5">
        <v>4</v>
      </c>
      <c r="I165" s="5">
        <v>0</v>
      </c>
      <c r="J165" s="5">
        <v>6</v>
      </c>
      <c r="K165" s="8">
        <f t="shared" si="6"/>
        <v>3.5555555555555554</v>
      </c>
    </row>
    <row r="166" spans="1:11" ht="14.25" customHeight="1" x14ac:dyDescent="0.3"/>
    <row r="167" spans="1:11" ht="14.25" customHeight="1" x14ac:dyDescent="0.3"/>
    <row r="168" spans="1:11" ht="14.25" customHeight="1" x14ac:dyDescent="0.3"/>
    <row r="169" spans="1:11" ht="14.25" customHeight="1" x14ac:dyDescent="0.3"/>
    <row r="170" spans="1:11" ht="14.25" customHeight="1" x14ac:dyDescent="0.3"/>
    <row r="171" spans="1:11" ht="14.25" customHeight="1" x14ac:dyDescent="0.3"/>
    <row r="172" spans="1:11" ht="14.25" customHeight="1" x14ac:dyDescent="0.3"/>
    <row r="173" spans="1:11" ht="14.25" customHeight="1" x14ac:dyDescent="0.3"/>
    <row r="174" spans="1:11" ht="14.25" customHeight="1" x14ac:dyDescent="0.3"/>
    <row r="175" spans="1:11" ht="14.25" customHeight="1" x14ac:dyDescent="0.3"/>
    <row r="176" spans="1:11"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filterMode="1"/>
  <dimension ref="A1:E1000"/>
  <sheetViews>
    <sheetView workbookViewId="0"/>
  </sheetViews>
  <sheetFormatPr baseColWidth="10" defaultColWidth="14.44140625" defaultRowHeight="15" customHeight="1" x14ac:dyDescent="0.3"/>
  <cols>
    <col min="1" max="1" width="15.33203125" customWidth="1"/>
    <col min="2" max="2" width="12" customWidth="1"/>
    <col min="3" max="3" width="17" customWidth="1"/>
    <col min="4" max="4" width="21.33203125" customWidth="1"/>
    <col min="5" max="5" width="20.33203125" customWidth="1"/>
    <col min="6" max="26" width="10.6640625" customWidth="1"/>
  </cols>
  <sheetData>
    <row r="1" spans="1:5" ht="14.25" customHeight="1" x14ac:dyDescent="0.3">
      <c r="A1" s="1" t="s">
        <v>0</v>
      </c>
      <c r="B1" s="1" t="s">
        <v>1</v>
      </c>
      <c r="C1" s="1" t="s">
        <v>2</v>
      </c>
      <c r="D1" s="1" t="s">
        <v>8</v>
      </c>
      <c r="E1" s="2" t="s">
        <v>14</v>
      </c>
    </row>
    <row r="2" spans="1:5" ht="14.25" customHeight="1" x14ac:dyDescent="0.3">
      <c r="A2" s="3" t="s">
        <v>15</v>
      </c>
      <c r="B2" s="3">
        <v>35.06733753759832</v>
      </c>
      <c r="C2" s="3">
        <v>120</v>
      </c>
      <c r="D2" s="3">
        <v>16</v>
      </c>
      <c r="E2" s="3" t="s">
        <v>303</v>
      </c>
    </row>
    <row r="3" spans="1:5" ht="14.25" customHeight="1" x14ac:dyDescent="0.3">
      <c r="A3" s="3" t="s">
        <v>36</v>
      </c>
      <c r="B3" s="3">
        <v>41.185685404574869</v>
      </c>
      <c r="C3" s="3">
        <v>120</v>
      </c>
      <c r="D3" s="3">
        <v>13</v>
      </c>
      <c r="E3" s="3" t="s">
        <v>358</v>
      </c>
    </row>
    <row r="4" spans="1:5" ht="14.25" customHeight="1" x14ac:dyDescent="0.3">
      <c r="A4" s="3" t="s">
        <v>44</v>
      </c>
      <c r="B4" s="3">
        <v>17.091108486035289</v>
      </c>
      <c r="C4" s="3">
        <v>120</v>
      </c>
      <c r="D4" s="3">
        <v>9</v>
      </c>
      <c r="E4" s="3" t="s">
        <v>305</v>
      </c>
    </row>
    <row r="5" spans="1:5" ht="14.25" customHeight="1" x14ac:dyDescent="0.3">
      <c r="A5" s="3" t="s">
        <v>52</v>
      </c>
      <c r="B5" s="3">
        <v>18.606016946555069</v>
      </c>
      <c r="C5" s="3">
        <v>120</v>
      </c>
      <c r="D5" s="3">
        <v>7</v>
      </c>
      <c r="E5" s="3" t="s">
        <v>329</v>
      </c>
    </row>
    <row r="6" spans="1:5" ht="14.25" customHeight="1" x14ac:dyDescent="0.3">
      <c r="A6" s="3" t="s">
        <v>63</v>
      </c>
      <c r="B6" s="3">
        <v>30.621616918959841</v>
      </c>
      <c r="C6" s="3">
        <v>120</v>
      </c>
      <c r="D6" s="3">
        <v>10</v>
      </c>
      <c r="E6" s="3" t="s">
        <v>300</v>
      </c>
    </row>
    <row r="7" spans="1:5" ht="14.25" customHeight="1" x14ac:dyDescent="0.3">
      <c r="A7" s="3" t="s">
        <v>77</v>
      </c>
      <c r="B7" s="3">
        <v>19.161929070531858</v>
      </c>
      <c r="C7" s="3">
        <v>120</v>
      </c>
      <c r="D7" s="3">
        <v>9</v>
      </c>
      <c r="E7" s="3" t="s">
        <v>301</v>
      </c>
    </row>
    <row r="8" spans="1:5" ht="14.25" customHeight="1" x14ac:dyDescent="0.3">
      <c r="A8" s="3" t="s">
        <v>85</v>
      </c>
      <c r="B8" s="3">
        <v>3.9074702335643181</v>
      </c>
      <c r="C8" s="3">
        <v>120</v>
      </c>
      <c r="D8" s="3">
        <v>6</v>
      </c>
      <c r="E8" s="3" t="s">
        <v>302</v>
      </c>
    </row>
    <row r="9" spans="1:5" ht="14.25" customHeight="1" x14ac:dyDescent="0.3">
      <c r="A9" s="3" t="s">
        <v>90</v>
      </c>
      <c r="B9" s="3">
        <v>29.078924722739821</v>
      </c>
      <c r="C9" s="3">
        <v>120</v>
      </c>
      <c r="D9" s="3">
        <v>9</v>
      </c>
      <c r="E9" s="3" t="s">
        <v>303</v>
      </c>
    </row>
    <row r="10" spans="1:5" ht="14.25" hidden="1" customHeight="1" x14ac:dyDescent="0.3">
      <c r="A10" s="3" t="s">
        <v>113</v>
      </c>
      <c r="B10" s="3">
        <v>16.929914164188389</v>
      </c>
      <c r="C10" s="3">
        <v>120</v>
      </c>
      <c r="D10" s="3">
        <v>7</v>
      </c>
      <c r="E10" s="3" t="s">
        <v>358</v>
      </c>
    </row>
    <row r="11" spans="1:5" ht="14.25" hidden="1" customHeight="1" x14ac:dyDescent="0.3">
      <c r="A11" s="3" t="s">
        <v>118</v>
      </c>
      <c r="B11" s="3">
        <v>9.1275319212878845</v>
      </c>
      <c r="C11" s="3">
        <v>120</v>
      </c>
      <c r="D11" s="3">
        <v>11</v>
      </c>
      <c r="E11" s="3" t="s">
        <v>305</v>
      </c>
    </row>
    <row r="12" spans="1:5" ht="14.25" hidden="1" customHeight="1" x14ac:dyDescent="0.3">
      <c r="A12" s="3" t="s">
        <v>123</v>
      </c>
      <c r="B12" s="3">
        <v>29.0533877718137</v>
      </c>
      <c r="C12" s="3">
        <v>120</v>
      </c>
      <c r="D12" s="3">
        <v>11</v>
      </c>
      <c r="E12" s="3" t="s">
        <v>329</v>
      </c>
    </row>
    <row r="13" spans="1:5" ht="14.25" hidden="1" customHeight="1" x14ac:dyDescent="0.3">
      <c r="A13" s="3" t="s">
        <v>128</v>
      </c>
      <c r="B13" s="3">
        <v>41.383622981336273</v>
      </c>
      <c r="C13" s="3">
        <v>120</v>
      </c>
      <c r="D13" s="3">
        <v>14</v>
      </c>
      <c r="E13" s="3" t="s">
        <v>300</v>
      </c>
    </row>
    <row r="14" spans="1:5" ht="14.25" hidden="1" customHeight="1" x14ac:dyDescent="0.3">
      <c r="A14" s="3" t="s">
        <v>133</v>
      </c>
      <c r="B14" s="3">
        <v>7.3136229194110687</v>
      </c>
      <c r="C14" s="3">
        <v>120</v>
      </c>
      <c r="D14" s="3">
        <v>9</v>
      </c>
      <c r="E14" s="3" t="s">
        <v>301</v>
      </c>
    </row>
    <row r="15" spans="1:5" ht="14.25" hidden="1" customHeight="1" x14ac:dyDescent="0.3">
      <c r="A15" s="3" t="s">
        <v>138</v>
      </c>
      <c r="B15" s="3">
        <v>4.7861030203714474</v>
      </c>
      <c r="C15" s="3">
        <v>120</v>
      </c>
      <c r="D15" s="3">
        <v>7</v>
      </c>
      <c r="E15" s="3" t="s">
        <v>302</v>
      </c>
    </row>
    <row r="16" spans="1:5" ht="14.25" hidden="1" customHeight="1" x14ac:dyDescent="0.3">
      <c r="A16" s="3" t="s">
        <v>143</v>
      </c>
      <c r="B16" s="3">
        <v>26.247759789546869</v>
      </c>
      <c r="C16" s="3">
        <v>120</v>
      </c>
      <c r="D16" s="3">
        <v>9</v>
      </c>
      <c r="E16" s="3" t="s">
        <v>303</v>
      </c>
    </row>
    <row r="17" spans="1:5" ht="14.25" hidden="1" customHeight="1" x14ac:dyDescent="0.3">
      <c r="A17" s="3" t="s">
        <v>148</v>
      </c>
      <c r="B17" s="3">
        <v>12.70025272173115</v>
      </c>
      <c r="C17" s="3">
        <v>120</v>
      </c>
      <c r="D17" s="3">
        <v>10</v>
      </c>
      <c r="E17" s="3" t="s">
        <v>358</v>
      </c>
    </row>
    <row r="18" spans="1:5" ht="14.25" hidden="1" customHeight="1" x14ac:dyDescent="0.3">
      <c r="A18" s="3" t="s">
        <v>153</v>
      </c>
      <c r="B18" s="3">
        <v>45.19073420130632</v>
      </c>
      <c r="C18" s="3">
        <v>120</v>
      </c>
      <c r="D18" s="3">
        <v>15</v>
      </c>
      <c r="E18" s="3" t="s">
        <v>305</v>
      </c>
    </row>
    <row r="19" spans="1:5" ht="14.25" hidden="1" customHeight="1" x14ac:dyDescent="0.3">
      <c r="A19" s="3" t="s">
        <v>158</v>
      </c>
      <c r="B19" s="3">
        <v>37.585350031634668</v>
      </c>
      <c r="C19" s="3">
        <v>120</v>
      </c>
      <c r="D19" s="3">
        <v>12</v>
      </c>
      <c r="E19" s="3" t="s">
        <v>329</v>
      </c>
    </row>
    <row r="20" spans="1:5" ht="14.25" hidden="1" customHeight="1" x14ac:dyDescent="0.3">
      <c r="A20" s="3" t="s">
        <v>163</v>
      </c>
      <c r="B20" s="3">
        <v>9.8937668284417111</v>
      </c>
      <c r="C20" s="3">
        <v>120</v>
      </c>
      <c r="D20" s="3">
        <v>9</v>
      </c>
      <c r="E20" s="3" t="s">
        <v>300</v>
      </c>
    </row>
    <row r="21" spans="1:5" ht="14.25" hidden="1" customHeight="1" x14ac:dyDescent="0.3">
      <c r="A21" s="3" t="s">
        <v>168</v>
      </c>
      <c r="B21" s="3">
        <v>24.22714578922092</v>
      </c>
      <c r="C21" s="3">
        <v>120</v>
      </c>
      <c r="D21" s="3">
        <v>9</v>
      </c>
      <c r="E21" s="3" t="s">
        <v>301</v>
      </c>
    </row>
    <row r="22" spans="1:5" ht="14.25" hidden="1" customHeight="1" x14ac:dyDescent="0.3">
      <c r="A22" s="3" t="s">
        <v>173</v>
      </c>
      <c r="B22" s="3">
        <v>12.924285667603231</v>
      </c>
      <c r="C22" s="3">
        <v>120</v>
      </c>
      <c r="D22" s="3">
        <v>9</v>
      </c>
      <c r="E22" s="3" t="s">
        <v>302</v>
      </c>
    </row>
    <row r="23" spans="1:5" ht="14.25" hidden="1" customHeight="1" x14ac:dyDescent="0.3">
      <c r="A23" s="3" t="s">
        <v>178</v>
      </c>
      <c r="B23" s="3">
        <v>14.5398070630867</v>
      </c>
      <c r="C23" s="3">
        <v>120</v>
      </c>
      <c r="D23" s="3">
        <v>10</v>
      </c>
      <c r="E23" s="3" t="s">
        <v>303</v>
      </c>
    </row>
    <row r="24" spans="1:5" ht="14.25" hidden="1" customHeight="1" x14ac:dyDescent="0.3">
      <c r="A24" s="3" t="s">
        <v>183</v>
      </c>
      <c r="B24" s="3">
        <v>14.67748783253921</v>
      </c>
      <c r="C24" s="3">
        <v>120</v>
      </c>
      <c r="D24" s="3">
        <v>11</v>
      </c>
      <c r="E24" s="3" t="s">
        <v>358</v>
      </c>
    </row>
    <row r="25" spans="1:5" ht="14.25" hidden="1" customHeight="1" x14ac:dyDescent="0.3">
      <c r="A25" s="3" t="s">
        <v>188</v>
      </c>
      <c r="B25" s="3">
        <v>20.175882756635499</v>
      </c>
      <c r="C25" s="3">
        <v>120</v>
      </c>
      <c r="D25" s="3">
        <v>12</v>
      </c>
      <c r="E25" s="3" t="s">
        <v>305</v>
      </c>
    </row>
    <row r="26" spans="1:5" ht="14.25" hidden="1" customHeight="1" x14ac:dyDescent="0.3">
      <c r="A26" s="3" t="s">
        <v>193</v>
      </c>
      <c r="B26" s="3">
        <v>7.2754170439936923</v>
      </c>
      <c r="C26" s="3">
        <v>120</v>
      </c>
      <c r="D26" s="3">
        <v>7</v>
      </c>
      <c r="E26" s="3" t="s">
        <v>329</v>
      </c>
    </row>
    <row r="27" spans="1:5" ht="14.25" hidden="1" customHeight="1" x14ac:dyDescent="0.3">
      <c r="A27" s="3" t="s">
        <v>198</v>
      </c>
      <c r="B27" s="3">
        <v>17.091108486035289</v>
      </c>
      <c r="C27" s="3">
        <v>120</v>
      </c>
      <c r="D27" s="3">
        <v>9</v>
      </c>
      <c r="E27" s="3" t="s">
        <v>300</v>
      </c>
    </row>
    <row r="28" spans="1:5" ht="14.25" hidden="1" customHeight="1" x14ac:dyDescent="0.3">
      <c r="A28" s="3" t="s">
        <v>199</v>
      </c>
      <c r="B28" s="3">
        <v>43.576547187556017</v>
      </c>
      <c r="C28" s="3">
        <v>120</v>
      </c>
      <c r="D28" s="3">
        <v>11</v>
      </c>
      <c r="E28" s="3" t="s">
        <v>301</v>
      </c>
    </row>
    <row r="29" spans="1:5" ht="14.25" hidden="1" customHeight="1" x14ac:dyDescent="0.3">
      <c r="A29" s="3" t="s">
        <v>204</v>
      </c>
      <c r="B29" s="3">
        <v>19.789513066722321</v>
      </c>
      <c r="C29" s="3">
        <v>120</v>
      </c>
      <c r="D29" s="3">
        <v>10</v>
      </c>
      <c r="E29" s="3" t="s">
        <v>302</v>
      </c>
    </row>
    <row r="30" spans="1:5" ht="14.25" hidden="1" customHeight="1" x14ac:dyDescent="0.3">
      <c r="A30" s="3" t="s">
        <v>209</v>
      </c>
      <c r="B30" s="3">
        <v>19.062484846712842</v>
      </c>
      <c r="C30" s="3">
        <v>120</v>
      </c>
      <c r="D30" s="3">
        <v>9</v>
      </c>
      <c r="E30" s="3" t="s">
        <v>303</v>
      </c>
    </row>
    <row r="31" spans="1:5" ht="14.25" hidden="1" customHeight="1" x14ac:dyDescent="0.3">
      <c r="A31" s="3" t="s">
        <v>214</v>
      </c>
      <c r="B31" s="3">
        <v>18.089095743773431</v>
      </c>
      <c r="C31" s="3">
        <v>120</v>
      </c>
      <c r="D31" s="3">
        <v>7</v>
      </c>
      <c r="E31" s="3" t="s">
        <v>358</v>
      </c>
    </row>
    <row r="32" spans="1:5" ht="14.25" hidden="1" customHeight="1" x14ac:dyDescent="0.3">
      <c r="A32" s="3" t="s">
        <v>219</v>
      </c>
      <c r="B32" s="3">
        <v>12.464933293167769</v>
      </c>
      <c r="C32" s="3">
        <v>120</v>
      </c>
      <c r="D32" s="3">
        <v>10</v>
      </c>
      <c r="E32" s="3" t="s">
        <v>305</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8000000}">
    <filterColumn colId="0">
      <filters>
        <filter val="2024-11-08 18:00"/>
        <filter val="2024-11-09 18:00"/>
        <filter val="2024-11-10 18:00"/>
        <filter val="2024-11-11 18:00"/>
        <filter val="2024-11-12 18:00"/>
        <filter val="2024-11-13 18:00"/>
        <filter val="2024-11-14 18:00"/>
        <filter val="2024-11-15 18:00"/>
      </filters>
    </filterColumn>
  </autoFilter>
  <pageMargins left="0.7" right="0.7" top="0.75" bottom="0.75"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filterMode="1"/>
  <dimension ref="A1:E1000"/>
  <sheetViews>
    <sheetView workbookViewId="0"/>
  </sheetViews>
  <sheetFormatPr baseColWidth="10" defaultColWidth="14.44140625" defaultRowHeight="15" customHeight="1" x14ac:dyDescent="0.3"/>
  <cols>
    <col min="1" max="1" width="15.33203125" customWidth="1"/>
    <col min="2" max="2" width="12" customWidth="1"/>
    <col min="3" max="3" width="17" customWidth="1"/>
    <col min="4" max="4" width="21.33203125" customWidth="1"/>
    <col min="5" max="5" width="20.33203125" customWidth="1"/>
    <col min="6" max="26" width="10.6640625" customWidth="1"/>
  </cols>
  <sheetData>
    <row r="1" spans="1:5" ht="14.25" customHeight="1" x14ac:dyDescent="0.3">
      <c r="A1" s="1" t="s">
        <v>0</v>
      </c>
      <c r="B1" s="1" t="s">
        <v>1</v>
      </c>
      <c r="C1" s="1" t="s">
        <v>2</v>
      </c>
      <c r="D1" s="1" t="s">
        <v>8</v>
      </c>
      <c r="E1" s="2" t="s">
        <v>14</v>
      </c>
    </row>
    <row r="2" spans="1:5" ht="14.25" hidden="1" customHeight="1" x14ac:dyDescent="0.3">
      <c r="A2" s="3" t="s">
        <v>15</v>
      </c>
      <c r="B2" s="3">
        <v>35.06733753759832</v>
      </c>
      <c r="C2" s="3">
        <v>120</v>
      </c>
      <c r="D2" s="3">
        <v>16</v>
      </c>
      <c r="E2" s="3" t="s">
        <v>303</v>
      </c>
    </row>
    <row r="3" spans="1:5" ht="14.25" hidden="1" customHeight="1" x14ac:dyDescent="0.3">
      <c r="A3" s="3" t="s">
        <v>36</v>
      </c>
      <c r="B3" s="3">
        <v>41.185685404574869</v>
      </c>
      <c r="C3" s="3">
        <v>120</v>
      </c>
      <c r="D3" s="3">
        <v>13</v>
      </c>
      <c r="E3" s="3" t="s">
        <v>358</v>
      </c>
    </row>
    <row r="4" spans="1:5" ht="14.25" hidden="1" customHeight="1" x14ac:dyDescent="0.3">
      <c r="A4" s="3" t="s">
        <v>44</v>
      </c>
      <c r="B4" s="3">
        <v>17.091108486035289</v>
      </c>
      <c r="C4" s="3">
        <v>120</v>
      </c>
      <c r="D4" s="3">
        <v>9</v>
      </c>
      <c r="E4" s="3" t="s">
        <v>305</v>
      </c>
    </row>
    <row r="5" spans="1:5" ht="14.25" hidden="1" customHeight="1" x14ac:dyDescent="0.3">
      <c r="A5" s="3" t="s">
        <v>52</v>
      </c>
      <c r="B5" s="3">
        <v>18.606016946555069</v>
      </c>
      <c r="C5" s="3">
        <v>120</v>
      </c>
      <c r="D5" s="3">
        <v>7</v>
      </c>
      <c r="E5" s="3" t="s">
        <v>329</v>
      </c>
    </row>
    <row r="6" spans="1:5" ht="14.25" hidden="1" customHeight="1" x14ac:dyDescent="0.3">
      <c r="A6" s="3" t="s">
        <v>63</v>
      </c>
      <c r="B6" s="3">
        <v>30.621616918959841</v>
      </c>
      <c r="C6" s="3">
        <v>120</v>
      </c>
      <c r="D6" s="3">
        <v>10</v>
      </c>
      <c r="E6" s="3" t="s">
        <v>300</v>
      </c>
    </row>
    <row r="7" spans="1:5" ht="14.25" hidden="1" customHeight="1" x14ac:dyDescent="0.3">
      <c r="A7" s="3" t="s">
        <v>77</v>
      </c>
      <c r="B7" s="3">
        <v>19.161929070531858</v>
      </c>
      <c r="C7" s="3">
        <v>120</v>
      </c>
      <c r="D7" s="3">
        <v>9</v>
      </c>
      <c r="E7" s="3" t="s">
        <v>301</v>
      </c>
    </row>
    <row r="8" spans="1:5" ht="14.25" hidden="1" customHeight="1" x14ac:dyDescent="0.3">
      <c r="A8" s="3" t="s">
        <v>85</v>
      </c>
      <c r="B8" s="3">
        <v>3.9074702335643181</v>
      </c>
      <c r="C8" s="3">
        <v>120</v>
      </c>
      <c r="D8" s="3">
        <v>6</v>
      </c>
      <c r="E8" s="3" t="s">
        <v>302</v>
      </c>
    </row>
    <row r="9" spans="1:5" ht="14.25" customHeight="1" x14ac:dyDescent="0.3">
      <c r="A9" s="3" t="s">
        <v>90</v>
      </c>
      <c r="B9" s="3">
        <v>29.078924722739821</v>
      </c>
      <c r="C9" s="3">
        <v>120</v>
      </c>
      <c r="D9" s="3">
        <v>9</v>
      </c>
      <c r="E9" s="3" t="s">
        <v>303</v>
      </c>
    </row>
    <row r="10" spans="1:5" ht="14.25" customHeight="1" x14ac:dyDescent="0.3">
      <c r="A10" s="3" t="s">
        <v>113</v>
      </c>
      <c r="B10" s="3">
        <v>16.929914164188389</v>
      </c>
      <c r="C10" s="3">
        <v>120</v>
      </c>
      <c r="D10" s="3">
        <v>7</v>
      </c>
      <c r="E10" s="3" t="s">
        <v>358</v>
      </c>
    </row>
    <row r="11" spans="1:5" ht="14.25" customHeight="1" x14ac:dyDescent="0.3">
      <c r="A11" s="3" t="s">
        <v>118</v>
      </c>
      <c r="B11" s="3">
        <v>9.1275319212878845</v>
      </c>
      <c r="C11" s="3">
        <v>120</v>
      </c>
      <c r="D11" s="3">
        <v>11</v>
      </c>
      <c r="E11" s="3" t="s">
        <v>305</v>
      </c>
    </row>
    <row r="12" spans="1:5" ht="14.25" customHeight="1" x14ac:dyDescent="0.3">
      <c r="A12" s="3" t="s">
        <v>123</v>
      </c>
      <c r="B12" s="3">
        <v>29.0533877718137</v>
      </c>
      <c r="C12" s="3">
        <v>120</v>
      </c>
      <c r="D12" s="3">
        <v>11</v>
      </c>
      <c r="E12" s="3" t="s">
        <v>329</v>
      </c>
    </row>
    <row r="13" spans="1:5" ht="14.25" customHeight="1" x14ac:dyDescent="0.3">
      <c r="A13" s="3" t="s">
        <v>128</v>
      </c>
      <c r="B13" s="3">
        <v>41.383622981336273</v>
      </c>
      <c r="C13" s="3">
        <v>120</v>
      </c>
      <c r="D13" s="3">
        <v>14</v>
      </c>
      <c r="E13" s="3" t="s">
        <v>300</v>
      </c>
    </row>
    <row r="14" spans="1:5" ht="14.25" customHeight="1" x14ac:dyDescent="0.3">
      <c r="A14" s="3" t="s">
        <v>133</v>
      </c>
      <c r="B14" s="3">
        <v>7.3136229194110687</v>
      </c>
      <c r="C14" s="3">
        <v>120</v>
      </c>
      <c r="D14" s="3">
        <v>9</v>
      </c>
      <c r="E14" s="3" t="s">
        <v>301</v>
      </c>
    </row>
    <row r="15" spans="1:5" ht="14.25" customHeight="1" x14ac:dyDescent="0.3">
      <c r="A15" s="3" t="s">
        <v>138</v>
      </c>
      <c r="B15" s="3">
        <v>4.7861030203714474</v>
      </c>
      <c r="C15" s="3">
        <v>120</v>
      </c>
      <c r="D15" s="3">
        <v>7</v>
      </c>
      <c r="E15" s="3" t="s">
        <v>302</v>
      </c>
    </row>
    <row r="16" spans="1:5" ht="14.25" customHeight="1" x14ac:dyDescent="0.3">
      <c r="A16" s="3" t="s">
        <v>143</v>
      </c>
      <c r="B16" s="3">
        <v>26.247759789546869</v>
      </c>
      <c r="C16" s="3">
        <v>120</v>
      </c>
      <c r="D16" s="3">
        <v>9</v>
      </c>
      <c r="E16" s="3" t="s">
        <v>303</v>
      </c>
    </row>
    <row r="17" spans="1:5" ht="14.25" hidden="1" customHeight="1" x14ac:dyDescent="0.3">
      <c r="A17" s="3" t="s">
        <v>148</v>
      </c>
      <c r="B17" s="3">
        <v>12.70025272173115</v>
      </c>
      <c r="C17" s="3">
        <v>120</v>
      </c>
      <c r="D17" s="3">
        <v>10</v>
      </c>
      <c r="E17" s="3" t="s">
        <v>358</v>
      </c>
    </row>
    <row r="18" spans="1:5" ht="14.25" hidden="1" customHeight="1" x14ac:dyDescent="0.3">
      <c r="A18" s="3" t="s">
        <v>153</v>
      </c>
      <c r="B18" s="3">
        <v>45.19073420130632</v>
      </c>
      <c r="C18" s="3">
        <v>120</v>
      </c>
      <c r="D18" s="3">
        <v>15</v>
      </c>
      <c r="E18" s="3" t="s">
        <v>305</v>
      </c>
    </row>
    <row r="19" spans="1:5" ht="14.25" hidden="1" customHeight="1" x14ac:dyDescent="0.3">
      <c r="A19" s="3" t="s">
        <v>158</v>
      </c>
      <c r="B19" s="3">
        <v>37.585350031634668</v>
      </c>
      <c r="C19" s="3">
        <v>120</v>
      </c>
      <c r="D19" s="3">
        <v>12</v>
      </c>
      <c r="E19" s="3" t="s">
        <v>329</v>
      </c>
    </row>
    <row r="20" spans="1:5" ht="14.25" hidden="1" customHeight="1" x14ac:dyDescent="0.3">
      <c r="A20" s="3" t="s">
        <v>163</v>
      </c>
      <c r="B20" s="3">
        <v>9.8937668284417111</v>
      </c>
      <c r="C20" s="3">
        <v>120</v>
      </c>
      <c r="D20" s="3">
        <v>9</v>
      </c>
      <c r="E20" s="3" t="s">
        <v>300</v>
      </c>
    </row>
    <row r="21" spans="1:5" ht="14.25" hidden="1" customHeight="1" x14ac:dyDescent="0.3">
      <c r="A21" s="3" t="s">
        <v>168</v>
      </c>
      <c r="B21" s="3">
        <v>24.22714578922092</v>
      </c>
      <c r="C21" s="3">
        <v>120</v>
      </c>
      <c r="D21" s="3">
        <v>9</v>
      </c>
      <c r="E21" s="3" t="s">
        <v>301</v>
      </c>
    </row>
    <row r="22" spans="1:5" ht="14.25" hidden="1" customHeight="1" x14ac:dyDescent="0.3">
      <c r="A22" s="3" t="s">
        <v>173</v>
      </c>
      <c r="B22" s="3">
        <v>12.924285667603231</v>
      </c>
      <c r="C22" s="3">
        <v>120</v>
      </c>
      <c r="D22" s="3">
        <v>9</v>
      </c>
      <c r="E22" s="3" t="s">
        <v>302</v>
      </c>
    </row>
    <row r="23" spans="1:5" ht="14.25" hidden="1" customHeight="1" x14ac:dyDescent="0.3">
      <c r="A23" s="3" t="s">
        <v>178</v>
      </c>
      <c r="B23" s="3">
        <v>14.5398070630867</v>
      </c>
      <c r="C23" s="3">
        <v>120</v>
      </c>
      <c r="D23" s="3">
        <v>10</v>
      </c>
      <c r="E23" s="3" t="s">
        <v>303</v>
      </c>
    </row>
    <row r="24" spans="1:5" ht="14.25" hidden="1" customHeight="1" x14ac:dyDescent="0.3">
      <c r="A24" s="3" t="s">
        <v>183</v>
      </c>
      <c r="B24" s="3">
        <v>14.67748783253921</v>
      </c>
      <c r="C24" s="3">
        <v>120</v>
      </c>
      <c r="D24" s="3">
        <v>11</v>
      </c>
      <c r="E24" s="3" t="s">
        <v>358</v>
      </c>
    </row>
    <row r="25" spans="1:5" ht="14.25" hidden="1" customHeight="1" x14ac:dyDescent="0.3">
      <c r="A25" s="3" t="s">
        <v>188</v>
      </c>
      <c r="B25" s="3">
        <v>20.175882756635499</v>
      </c>
      <c r="C25" s="3">
        <v>120</v>
      </c>
      <c r="D25" s="3">
        <v>12</v>
      </c>
      <c r="E25" s="3" t="s">
        <v>305</v>
      </c>
    </row>
    <row r="26" spans="1:5" ht="14.25" hidden="1" customHeight="1" x14ac:dyDescent="0.3">
      <c r="A26" s="3" t="s">
        <v>193</v>
      </c>
      <c r="B26" s="3">
        <v>7.2754170439936923</v>
      </c>
      <c r="C26" s="3">
        <v>120</v>
      </c>
      <c r="D26" s="3">
        <v>7</v>
      </c>
      <c r="E26" s="3" t="s">
        <v>329</v>
      </c>
    </row>
    <row r="27" spans="1:5" ht="14.25" hidden="1" customHeight="1" x14ac:dyDescent="0.3">
      <c r="A27" s="3" t="s">
        <v>198</v>
      </c>
      <c r="B27" s="3">
        <v>17.091108486035289</v>
      </c>
      <c r="C27" s="3">
        <v>120</v>
      </c>
      <c r="D27" s="3">
        <v>9</v>
      </c>
      <c r="E27" s="3" t="s">
        <v>300</v>
      </c>
    </row>
    <row r="28" spans="1:5" ht="14.25" hidden="1" customHeight="1" x14ac:dyDescent="0.3">
      <c r="A28" s="3" t="s">
        <v>199</v>
      </c>
      <c r="B28" s="3">
        <v>43.576547187556017</v>
      </c>
      <c r="C28" s="3">
        <v>120</v>
      </c>
      <c r="D28" s="3">
        <v>11</v>
      </c>
      <c r="E28" s="3" t="s">
        <v>301</v>
      </c>
    </row>
    <row r="29" spans="1:5" ht="14.25" hidden="1" customHeight="1" x14ac:dyDescent="0.3">
      <c r="A29" s="3" t="s">
        <v>204</v>
      </c>
      <c r="B29" s="3">
        <v>19.789513066722321</v>
      </c>
      <c r="C29" s="3">
        <v>120</v>
      </c>
      <c r="D29" s="3">
        <v>10</v>
      </c>
      <c r="E29" s="3" t="s">
        <v>302</v>
      </c>
    </row>
    <row r="30" spans="1:5" ht="14.25" hidden="1" customHeight="1" x14ac:dyDescent="0.3">
      <c r="A30" s="3" t="s">
        <v>209</v>
      </c>
      <c r="B30" s="3">
        <v>19.062484846712842</v>
      </c>
      <c r="C30" s="3">
        <v>120</v>
      </c>
      <c r="D30" s="3">
        <v>9</v>
      </c>
      <c r="E30" s="3" t="s">
        <v>303</v>
      </c>
    </row>
    <row r="31" spans="1:5" ht="14.25" hidden="1" customHeight="1" x14ac:dyDescent="0.3">
      <c r="A31" s="3" t="s">
        <v>214</v>
      </c>
      <c r="B31" s="3">
        <v>18.089095743773431</v>
      </c>
      <c r="C31" s="3">
        <v>120</v>
      </c>
      <c r="D31" s="3">
        <v>7</v>
      </c>
      <c r="E31" s="3" t="s">
        <v>358</v>
      </c>
    </row>
    <row r="32" spans="1:5" ht="14.25" hidden="1" customHeight="1" x14ac:dyDescent="0.3">
      <c r="A32" s="3" t="s">
        <v>219</v>
      </c>
      <c r="B32" s="3">
        <v>12.464933293167769</v>
      </c>
      <c r="C32" s="3">
        <v>120</v>
      </c>
      <c r="D32" s="3">
        <v>10</v>
      </c>
      <c r="E32" s="3" t="s">
        <v>305</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9000000}">
    <filterColumn colId="0">
      <filters>
        <filter val="2024-11-15 18:00"/>
        <filter val="2024-11-16 18:00"/>
        <filter val="2024-11-17 18:00"/>
        <filter val="2024-11-18 18:00"/>
        <filter val="2024-11-19 18:00"/>
        <filter val="2024-11-20 18:00"/>
        <filter val="2024-11-21 18:00"/>
        <filter val="2024-11-22 18:00"/>
      </filters>
    </filterColumn>
  </autoFilter>
  <pageMargins left="0.7" right="0.7" top="0.75" bottom="0.75"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filterMode="1"/>
  <dimension ref="A1:E1000"/>
  <sheetViews>
    <sheetView workbookViewId="0"/>
  </sheetViews>
  <sheetFormatPr baseColWidth="10" defaultColWidth="14.44140625" defaultRowHeight="15" customHeight="1" x14ac:dyDescent="0.3"/>
  <cols>
    <col min="1" max="1" width="15.33203125" customWidth="1"/>
    <col min="2" max="2" width="12" customWidth="1"/>
    <col min="3" max="3" width="17" customWidth="1"/>
    <col min="4" max="4" width="21.33203125" customWidth="1"/>
    <col min="5" max="5" width="20.33203125" customWidth="1"/>
    <col min="6" max="26" width="10.6640625" customWidth="1"/>
  </cols>
  <sheetData>
    <row r="1" spans="1:5" ht="14.25" customHeight="1" x14ac:dyDescent="0.3">
      <c r="A1" s="1" t="s">
        <v>0</v>
      </c>
      <c r="B1" s="1" t="s">
        <v>1</v>
      </c>
      <c r="C1" s="1" t="s">
        <v>2</v>
      </c>
      <c r="D1" s="1" t="s">
        <v>8</v>
      </c>
      <c r="E1" s="2" t="s">
        <v>14</v>
      </c>
    </row>
    <row r="2" spans="1:5" ht="14.25" hidden="1" customHeight="1" x14ac:dyDescent="0.3">
      <c r="A2" s="3" t="s">
        <v>15</v>
      </c>
      <c r="B2" s="3">
        <v>35.06733753759832</v>
      </c>
      <c r="C2" s="3">
        <v>120</v>
      </c>
      <c r="D2" s="3">
        <v>16</v>
      </c>
      <c r="E2" s="3" t="s">
        <v>303</v>
      </c>
    </row>
    <row r="3" spans="1:5" ht="14.25" hidden="1" customHeight="1" x14ac:dyDescent="0.3">
      <c r="A3" s="3" t="s">
        <v>36</v>
      </c>
      <c r="B3" s="3">
        <v>41.185685404574869</v>
      </c>
      <c r="C3" s="3">
        <v>120</v>
      </c>
      <c r="D3" s="3">
        <v>13</v>
      </c>
      <c r="E3" s="3" t="s">
        <v>358</v>
      </c>
    </row>
    <row r="4" spans="1:5" ht="14.25" hidden="1" customHeight="1" x14ac:dyDescent="0.3">
      <c r="A4" s="3" t="s">
        <v>44</v>
      </c>
      <c r="B4" s="3">
        <v>17.091108486035289</v>
      </c>
      <c r="C4" s="3">
        <v>120</v>
      </c>
      <c r="D4" s="3">
        <v>9</v>
      </c>
      <c r="E4" s="3" t="s">
        <v>305</v>
      </c>
    </row>
    <row r="5" spans="1:5" ht="14.25" hidden="1" customHeight="1" x14ac:dyDescent="0.3">
      <c r="A5" s="3" t="s">
        <v>52</v>
      </c>
      <c r="B5" s="3">
        <v>18.606016946555069</v>
      </c>
      <c r="C5" s="3">
        <v>120</v>
      </c>
      <c r="D5" s="3">
        <v>7</v>
      </c>
      <c r="E5" s="3" t="s">
        <v>329</v>
      </c>
    </row>
    <row r="6" spans="1:5" ht="14.25" hidden="1" customHeight="1" x14ac:dyDescent="0.3">
      <c r="A6" s="3" t="s">
        <v>63</v>
      </c>
      <c r="B6" s="3">
        <v>30.621616918959841</v>
      </c>
      <c r="C6" s="3">
        <v>120</v>
      </c>
      <c r="D6" s="3">
        <v>10</v>
      </c>
      <c r="E6" s="3" t="s">
        <v>300</v>
      </c>
    </row>
    <row r="7" spans="1:5" ht="14.25" hidden="1" customHeight="1" x14ac:dyDescent="0.3">
      <c r="A7" s="3" t="s">
        <v>77</v>
      </c>
      <c r="B7" s="3">
        <v>19.161929070531858</v>
      </c>
      <c r="C7" s="3">
        <v>120</v>
      </c>
      <c r="D7" s="3">
        <v>9</v>
      </c>
      <c r="E7" s="3" t="s">
        <v>301</v>
      </c>
    </row>
    <row r="8" spans="1:5" ht="14.25" hidden="1" customHeight="1" x14ac:dyDescent="0.3">
      <c r="A8" s="3" t="s">
        <v>85</v>
      </c>
      <c r="B8" s="3">
        <v>3.9074702335643181</v>
      </c>
      <c r="C8" s="3">
        <v>120</v>
      </c>
      <c r="D8" s="3">
        <v>6</v>
      </c>
      <c r="E8" s="3" t="s">
        <v>302</v>
      </c>
    </row>
    <row r="9" spans="1:5" ht="14.25" hidden="1" customHeight="1" x14ac:dyDescent="0.3">
      <c r="A9" s="3" t="s">
        <v>90</v>
      </c>
      <c r="B9" s="3">
        <v>29.078924722739821</v>
      </c>
      <c r="C9" s="3">
        <v>120</v>
      </c>
      <c r="D9" s="3">
        <v>9</v>
      </c>
      <c r="E9" s="3" t="s">
        <v>303</v>
      </c>
    </row>
    <row r="10" spans="1:5" ht="14.25" hidden="1" customHeight="1" x14ac:dyDescent="0.3">
      <c r="A10" s="3" t="s">
        <v>113</v>
      </c>
      <c r="B10" s="3">
        <v>16.929914164188389</v>
      </c>
      <c r="C10" s="3">
        <v>120</v>
      </c>
      <c r="D10" s="3">
        <v>7</v>
      </c>
      <c r="E10" s="3" t="s">
        <v>358</v>
      </c>
    </row>
    <row r="11" spans="1:5" ht="14.25" hidden="1" customHeight="1" x14ac:dyDescent="0.3">
      <c r="A11" s="3" t="s">
        <v>118</v>
      </c>
      <c r="B11" s="3">
        <v>9.1275319212878845</v>
      </c>
      <c r="C11" s="3">
        <v>120</v>
      </c>
      <c r="D11" s="3">
        <v>11</v>
      </c>
      <c r="E11" s="3" t="s">
        <v>305</v>
      </c>
    </row>
    <row r="12" spans="1:5" ht="14.25" hidden="1" customHeight="1" x14ac:dyDescent="0.3">
      <c r="A12" s="3" t="s">
        <v>123</v>
      </c>
      <c r="B12" s="3">
        <v>29.0533877718137</v>
      </c>
      <c r="C12" s="3">
        <v>120</v>
      </c>
      <c r="D12" s="3">
        <v>11</v>
      </c>
      <c r="E12" s="3" t="s">
        <v>329</v>
      </c>
    </row>
    <row r="13" spans="1:5" ht="14.25" hidden="1" customHeight="1" x14ac:dyDescent="0.3">
      <c r="A13" s="3" t="s">
        <v>128</v>
      </c>
      <c r="B13" s="3">
        <v>41.383622981336273</v>
      </c>
      <c r="C13" s="3">
        <v>120</v>
      </c>
      <c r="D13" s="3">
        <v>14</v>
      </c>
      <c r="E13" s="3" t="s">
        <v>300</v>
      </c>
    </row>
    <row r="14" spans="1:5" ht="14.25" hidden="1" customHeight="1" x14ac:dyDescent="0.3">
      <c r="A14" s="3" t="s">
        <v>133</v>
      </c>
      <c r="B14" s="3">
        <v>7.3136229194110687</v>
      </c>
      <c r="C14" s="3">
        <v>120</v>
      </c>
      <c r="D14" s="3">
        <v>9</v>
      </c>
      <c r="E14" s="3" t="s">
        <v>301</v>
      </c>
    </row>
    <row r="15" spans="1:5" ht="14.25" hidden="1" customHeight="1" x14ac:dyDescent="0.3">
      <c r="A15" s="3" t="s">
        <v>138</v>
      </c>
      <c r="B15" s="3">
        <v>4.7861030203714474</v>
      </c>
      <c r="C15" s="3">
        <v>120</v>
      </c>
      <c r="D15" s="3">
        <v>7</v>
      </c>
      <c r="E15" s="3" t="s">
        <v>302</v>
      </c>
    </row>
    <row r="16" spans="1:5" ht="14.25" customHeight="1" x14ac:dyDescent="0.3">
      <c r="A16" s="3" t="s">
        <v>143</v>
      </c>
      <c r="B16" s="3">
        <v>26.247759789546869</v>
      </c>
      <c r="C16" s="3">
        <v>120</v>
      </c>
      <c r="D16" s="3">
        <v>9</v>
      </c>
      <c r="E16" s="3" t="s">
        <v>303</v>
      </c>
    </row>
    <row r="17" spans="1:5" ht="14.25" customHeight="1" x14ac:dyDescent="0.3">
      <c r="A17" s="3" t="s">
        <v>148</v>
      </c>
      <c r="B17" s="3">
        <v>12.70025272173115</v>
      </c>
      <c r="C17" s="3">
        <v>120</v>
      </c>
      <c r="D17" s="3">
        <v>10</v>
      </c>
      <c r="E17" s="3" t="s">
        <v>358</v>
      </c>
    </row>
    <row r="18" spans="1:5" ht="14.25" customHeight="1" x14ac:dyDescent="0.3">
      <c r="A18" s="3" t="s">
        <v>153</v>
      </c>
      <c r="B18" s="3">
        <v>45.19073420130632</v>
      </c>
      <c r="C18" s="3">
        <v>120</v>
      </c>
      <c r="D18" s="3">
        <v>15</v>
      </c>
      <c r="E18" s="3" t="s">
        <v>305</v>
      </c>
    </row>
    <row r="19" spans="1:5" ht="14.25" customHeight="1" x14ac:dyDescent="0.3">
      <c r="A19" s="3" t="s">
        <v>158</v>
      </c>
      <c r="B19" s="3">
        <v>37.585350031634668</v>
      </c>
      <c r="C19" s="3">
        <v>120</v>
      </c>
      <c r="D19" s="3">
        <v>12</v>
      </c>
      <c r="E19" s="3" t="s">
        <v>329</v>
      </c>
    </row>
    <row r="20" spans="1:5" ht="14.25" customHeight="1" x14ac:dyDescent="0.3">
      <c r="A20" s="3" t="s">
        <v>163</v>
      </c>
      <c r="B20" s="3">
        <v>9.8937668284417111</v>
      </c>
      <c r="C20" s="3">
        <v>120</v>
      </c>
      <c r="D20" s="3">
        <v>9</v>
      </c>
      <c r="E20" s="3" t="s">
        <v>300</v>
      </c>
    </row>
    <row r="21" spans="1:5" ht="14.25" customHeight="1" x14ac:dyDescent="0.3">
      <c r="A21" s="3" t="s">
        <v>168</v>
      </c>
      <c r="B21" s="3">
        <v>24.22714578922092</v>
      </c>
      <c r="C21" s="3">
        <v>120</v>
      </c>
      <c r="D21" s="3">
        <v>9</v>
      </c>
      <c r="E21" s="3" t="s">
        <v>301</v>
      </c>
    </row>
    <row r="22" spans="1:5" ht="14.25" customHeight="1" x14ac:dyDescent="0.3">
      <c r="A22" s="3" t="s">
        <v>173</v>
      </c>
      <c r="B22" s="3">
        <v>12.924285667603231</v>
      </c>
      <c r="C22" s="3">
        <v>120</v>
      </c>
      <c r="D22" s="3">
        <v>9</v>
      </c>
      <c r="E22" s="3" t="s">
        <v>302</v>
      </c>
    </row>
    <row r="23" spans="1:5" ht="14.25" customHeight="1" x14ac:dyDescent="0.3">
      <c r="A23" s="3" t="s">
        <v>178</v>
      </c>
      <c r="B23" s="3">
        <v>14.5398070630867</v>
      </c>
      <c r="C23" s="3">
        <v>120</v>
      </c>
      <c r="D23" s="3">
        <v>10</v>
      </c>
      <c r="E23" s="3" t="s">
        <v>303</v>
      </c>
    </row>
    <row r="24" spans="1:5" ht="14.25" hidden="1" customHeight="1" x14ac:dyDescent="0.3">
      <c r="A24" s="3" t="s">
        <v>183</v>
      </c>
      <c r="B24" s="3">
        <v>14.67748783253921</v>
      </c>
      <c r="C24" s="3">
        <v>120</v>
      </c>
      <c r="D24" s="3">
        <v>11</v>
      </c>
      <c r="E24" s="3" t="s">
        <v>358</v>
      </c>
    </row>
    <row r="25" spans="1:5" ht="14.25" hidden="1" customHeight="1" x14ac:dyDescent="0.3">
      <c r="A25" s="3" t="s">
        <v>188</v>
      </c>
      <c r="B25" s="3">
        <v>20.175882756635499</v>
      </c>
      <c r="C25" s="3">
        <v>120</v>
      </c>
      <c r="D25" s="3">
        <v>12</v>
      </c>
      <c r="E25" s="3" t="s">
        <v>305</v>
      </c>
    </row>
    <row r="26" spans="1:5" ht="14.25" hidden="1" customHeight="1" x14ac:dyDescent="0.3">
      <c r="A26" s="3" t="s">
        <v>193</v>
      </c>
      <c r="B26" s="3">
        <v>7.2754170439936923</v>
      </c>
      <c r="C26" s="3">
        <v>120</v>
      </c>
      <c r="D26" s="3">
        <v>7</v>
      </c>
      <c r="E26" s="3" t="s">
        <v>329</v>
      </c>
    </row>
    <row r="27" spans="1:5" ht="14.25" hidden="1" customHeight="1" x14ac:dyDescent="0.3">
      <c r="A27" s="3" t="s">
        <v>198</v>
      </c>
      <c r="B27" s="3">
        <v>17.091108486035289</v>
      </c>
      <c r="C27" s="3">
        <v>120</v>
      </c>
      <c r="D27" s="3">
        <v>9</v>
      </c>
      <c r="E27" s="3" t="s">
        <v>300</v>
      </c>
    </row>
    <row r="28" spans="1:5" ht="14.25" hidden="1" customHeight="1" x14ac:dyDescent="0.3">
      <c r="A28" s="3" t="s">
        <v>199</v>
      </c>
      <c r="B28" s="3">
        <v>43.576547187556017</v>
      </c>
      <c r="C28" s="3">
        <v>120</v>
      </c>
      <c r="D28" s="3">
        <v>11</v>
      </c>
      <c r="E28" s="3" t="s">
        <v>301</v>
      </c>
    </row>
    <row r="29" spans="1:5" ht="14.25" hidden="1" customHeight="1" x14ac:dyDescent="0.3">
      <c r="A29" s="3" t="s">
        <v>204</v>
      </c>
      <c r="B29" s="3">
        <v>19.789513066722321</v>
      </c>
      <c r="C29" s="3">
        <v>120</v>
      </c>
      <c r="D29" s="3">
        <v>10</v>
      </c>
      <c r="E29" s="3" t="s">
        <v>302</v>
      </c>
    </row>
    <row r="30" spans="1:5" ht="14.25" hidden="1" customHeight="1" x14ac:dyDescent="0.3">
      <c r="A30" s="3" t="s">
        <v>209</v>
      </c>
      <c r="B30" s="3">
        <v>19.062484846712842</v>
      </c>
      <c r="C30" s="3">
        <v>120</v>
      </c>
      <c r="D30" s="3">
        <v>9</v>
      </c>
      <c r="E30" s="3" t="s">
        <v>303</v>
      </c>
    </row>
    <row r="31" spans="1:5" ht="14.25" hidden="1" customHeight="1" x14ac:dyDescent="0.3">
      <c r="A31" s="3" t="s">
        <v>214</v>
      </c>
      <c r="B31" s="3">
        <v>18.089095743773431</v>
      </c>
      <c r="C31" s="3">
        <v>120</v>
      </c>
      <c r="D31" s="3">
        <v>7</v>
      </c>
      <c r="E31" s="3" t="s">
        <v>358</v>
      </c>
    </row>
    <row r="32" spans="1:5" ht="14.25" hidden="1" customHeight="1" x14ac:dyDescent="0.3">
      <c r="A32" s="3" t="s">
        <v>219</v>
      </c>
      <c r="B32" s="3">
        <v>12.464933293167769</v>
      </c>
      <c r="C32" s="3">
        <v>120</v>
      </c>
      <c r="D32" s="3">
        <v>10</v>
      </c>
      <c r="E32" s="3" t="s">
        <v>305</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A000000}">
    <filterColumn colId="0">
      <filters>
        <filter val="2024-11-22 18:00"/>
        <filter val="2024-11-23 18:00"/>
        <filter val="2024-11-24 18:00"/>
        <filter val="2024-11-25 18:00"/>
        <filter val="2024-11-26 18:00"/>
        <filter val="2024-11-27 18:00"/>
        <filter val="2024-11-28 18:00"/>
        <filter val="2024-11-29 18:00"/>
      </filters>
    </filterColumn>
  </autoFilter>
  <pageMargins left="0.7" right="0.7" top="0.75" bottom="0.75" header="0" footer="0"/>
  <pageSetup orientation="landscape"/>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filterMode="1"/>
  <dimension ref="A1:E1000"/>
  <sheetViews>
    <sheetView workbookViewId="0"/>
  </sheetViews>
  <sheetFormatPr baseColWidth="10" defaultColWidth="14.44140625" defaultRowHeight="15" customHeight="1" x14ac:dyDescent="0.3"/>
  <cols>
    <col min="1" max="1" width="15.33203125" customWidth="1"/>
    <col min="2" max="2" width="12" customWidth="1"/>
    <col min="3" max="3" width="17" customWidth="1"/>
    <col min="4" max="4" width="21.33203125" customWidth="1"/>
    <col min="5" max="5" width="20.33203125" customWidth="1"/>
    <col min="6" max="26" width="10.6640625" customWidth="1"/>
  </cols>
  <sheetData>
    <row r="1" spans="1:5" ht="14.25" customHeight="1" x14ac:dyDescent="0.3">
      <c r="A1" s="1" t="s">
        <v>0</v>
      </c>
      <c r="B1" s="1" t="s">
        <v>1</v>
      </c>
      <c r="C1" s="1" t="s">
        <v>2</v>
      </c>
      <c r="D1" s="1" t="s">
        <v>8</v>
      </c>
      <c r="E1" s="2" t="s">
        <v>14</v>
      </c>
    </row>
    <row r="2" spans="1:5" ht="14.25" hidden="1" customHeight="1" x14ac:dyDescent="0.3">
      <c r="A2" s="3" t="s">
        <v>15</v>
      </c>
      <c r="B2" s="3">
        <v>35.06733753759832</v>
      </c>
      <c r="C2" s="3">
        <v>120</v>
      </c>
      <c r="D2" s="3">
        <v>16</v>
      </c>
      <c r="E2" s="3" t="s">
        <v>303</v>
      </c>
    </row>
    <row r="3" spans="1:5" ht="14.25" hidden="1" customHeight="1" x14ac:dyDescent="0.3">
      <c r="A3" s="3" t="s">
        <v>36</v>
      </c>
      <c r="B3" s="3">
        <v>41.185685404574869</v>
      </c>
      <c r="C3" s="3">
        <v>120</v>
      </c>
      <c r="D3" s="3">
        <v>13</v>
      </c>
      <c r="E3" s="3" t="s">
        <v>358</v>
      </c>
    </row>
    <row r="4" spans="1:5" ht="14.25" hidden="1" customHeight="1" x14ac:dyDescent="0.3">
      <c r="A4" s="3" t="s">
        <v>44</v>
      </c>
      <c r="B4" s="3">
        <v>17.091108486035289</v>
      </c>
      <c r="C4" s="3">
        <v>120</v>
      </c>
      <c r="D4" s="3">
        <v>9</v>
      </c>
      <c r="E4" s="3" t="s">
        <v>305</v>
      </c>
    </row>
    <row r="5" spans="1:5" ht="14.25" hidden="1" customHeight="1" x14ac:dyDescent="0.3">
      <c r="A5" s="3" t="s">
        <v>52</v>
      </c>
      <c r="B5" s="3">
        <v>18.606016946555069</v>
      </c>
      <c r="C5" s="3">
        <v>120</v>
      </c>
      <c r="D5" s="3">
        <v>7</v>
      </c>
      <c r="E5" s="3" t="s">
        <v>329</v>
      </c>
    </row>
    <row r="6" spans="1:5" ht="14.25" hidden="1" customHeight="1" x14ac:dyDescent="0.3">
      <c r="A6" s="3" t="s">
        <v>63</v>
      </c>
      <c r="B6" s="3">
        <v>30.621616918959841</v>
      </c>
      <c r="C6" s="3">
        <v>120</v>
      </c>
      <c r="D6" s="3">
        <v>10</v>
      </c>
      <c r="E6" s="3" t="s">
        <v>300</v>
      </c>
    </row>
    <row r="7" spans="1:5" ht="14.25" hidden="1" customHeight="1" x14ac:dyDescent="0.3">
      <c r="A7" s="3" t="s">
        <v>77</v>
      </c>
      <c r="B7" s="3">
        <v>19.161929070531858</v>
      </c>
      <c r="C7" s="3">
        <v>120</v>
      </c>
      <c r="D7" s="3">
        <v>9</v>
      </c>
      <c r="E7" s="3" t="s">
        <v>301</v>
      </c>
    </row>
    <row r="8" spans="1:5" ht="14.25" hidden="1" customHeight="1" x14ac:dyDescent="0.3">
      <c r="A8" s="3" t="s">
        <v>85</v>
      </c>
      <c r="B8" s="3">
        <v>3.9074702335643181</v>
      </c>
      <c r="C8" s="3">
        <v>120</v>
      </c>
      <c r="D8" s="3">
        <v>6</v>
      </c>
      <c r="E8" s="3" t="s">
        <v>302</v>
      </c>
    </row>
    <row r="9" spans="1:5" ht="14.25" hidden="1" customHeight="1" x14ac:dyDescent="0.3">
      <c r="A9" s="3" t="s">
        <v>90</v>
      </c>
      <c r="B9" s="3">
        <v>29.078924722739821</v>
      </c>
      <c r="C9" s="3">
        <v>120</v>
      </c>
      <c r="D9" s="3">
        <v>9</v>
      </c>
      <c r="E9" s="3" t="s">
        <v>303</v>
      </c>
    </row>
    <row r="10" spans="1:5" ht="14.25" hidden="1" customHeight="1" x14ac:dyDescent="0.3">
      <c r="A10" s="3" t="s">
        <v>113</v>
      </c>
      <c r="B10" s="3">
        <v>16.929914164188389</v>
      </c>
      <c r="C10" s="3">
        <v>120</v>
      </c>
      <c r="D10" s="3">
        <v>7</v>
      </c>
      <c r="E10" s="3" t="s">
        <v>358</v>
      </c>
    </row>
    <row r="11" spans="1:5" ht="14.25" hidden="1" customHeight="1" x14ac:dyDescent="0.3">
      <c r="A11" s="3" t="s">
        <v>118</v>
      </c>
      <c r="B11" s="3">
        <v>9.1275319212878845</v>
      </c>
      <c r="C11" s="3">
        <v>120</v>
      </c>
      <c r="D11" s="3">
        <v>11</v>
      </c>
      <c r="E11" s="3" t="s">
        <v>305</v>
      </c>
    </row>
    <row r="12" spans="1:5" ht="14.25" hidden="1" customHeight="1" x14ac:dyDescent="0.3">
      <c r="A12" s="3" t="s">
        <v>123</v>
      </c>
      <c r="B12" s="3">
        <v>29.0533877718137</v>
      </c>
      <c r="C12" s="3">
        <v>120</v>
      </c>
      <c r="D12" s="3">
        <v>11</v>
      </c>
      <c r="E12" s="3" t="s">
        <v>329</v>
      </c>
    </row>
    <row r="13" spans="1:5" ht="14.25" hidden="1" customHeight="1" x14ac:dyDescent="0.3">
      <c r="A13" s="3" t="s">
        <v>128</v>
      </c>
      <c r="B13" s="3">
        <v>41.383622981336273</v>
      </c>
      <c r="C13" s="3">
        <v>120</v>
      </c>
      <c r="D13" s="3">
        <v>14</v>
      </c>
      <c r="E13" s="3" t="s">
        <v>300</v>
      </c>
    </row>
    <row r="14" spans="1:5" ht="14.25" hidden="1" customHeight="1" x14ac:dyDescent="0.3">
      <c r="A14" s="3" t="s">
        <v>133</v>
      </c>
      <c r="B14" s="3">
        <v>7.3136229194110687</v>
      </c>
      <c r="C14" s="3">
        <v>120</v>
      </c>
      <c r="D14" s="3">
        <v>9</v>
      </c>
      <c r="E14" s="3" t="s">
        <v>301</v>
      </c>
    </row>
    <row r="15" spans="1:5" ht="14.25" hidden="1" customHeight="1" x14ac:dyDescent="0.3">
      <c r="A15" s="3" t="s">
        <v>138</v>
      </c>
      <c r="B15" s="3">
        <v>4.7861030203714474</v>
      </c>
      <c r="C15" s="3">
        <v>120</v>
      </c>
      <c r="D15" s="3">
        <v>7</v>
      </c>
      <c r="E15" s="3" t="s">
        <v>302</v>
      </c>
    </row>
    <row r="16" spans="1:5" ht="14.25" hidden="1" customHeight="1" x14ac:dyDescent="0.3">
      <c r="A16" s="3" t="s">
        <v>143</v>
      </c>
      <c r="B16" s="3">
        <v>26.247759789546869</v>
      </c>
      <c r="C16" s="3">
        <v>120</v>
      </c>
      <c r="D16" s="3">
        <v>9</v>
      </c>
      <c r="E16" s="3" t="s">
        <v>303</v>
      </c>
    </row>
    <row r="17" spans="1:5" ht="14.25" hidden="1" customHeight="1" x14ac:dyDescent="0.3">
      <c r="A17" s="3" t="s">
        <v>148</v>
      </c>
      <c r="B17" s="3">
        <v>12.70025272173115</v>
      </c>
      <c r="C17" s="3">
        <v>120</v>
      </c>
      <c r="D17" s="3">
        <v>10</v>
      </c>
      <c r="E17" s="3" t="s">
        <v>358</v>
      </c>
    </row>
    <row r="18" spans="1:5" ht="14.25" hidden="1" customHeight="1" x14ac:dyDescent="0.3">
      <c r="A18" s="3" t="s">
        <v>153</v>
      </c>
      <c r="B18" s="3">
        <v>45.19073420130632</v>
      </c>
      <c r="C18" s="3">
        <v>120</v>
      </c>
      <c r="D18" s="3">
        <v>15</v>
      </c>
      <c r="E18" s="3" t="s">
        <v>305</v>
      </c>
    </row>
    <row r="19" spans="1:5" ht="14.25" hidden="1" customHeight="1" x14ac:dyDescent="0.3">
      <c r="A19" s="3" t="s">
        <v>158</v>
      </c>
      <c r="B19" s="3">
        <v>37.585350031634668</v>
      </c>
      <c r="C19" s="3">
        <v>120</v>
      </c>
      <c r="D19" s="3">
        <v>12</v>
      </c>
      <c r="E19" s="3" t="s">
        <v>329</v>
      </c>
    </row>
    <row r="20" spans="1:5" ht="14.25" hidden="1" customHeight="1" x14ac:dyDescent="0.3">
      <c r="A20" s="3" t="s">
        <v>163</v>
      </c>
      <c r="B20" s="3">
        <v>9.8937668284417111</v>
      </c>
      <c r="C20" s="3">
        <v>120</v>
      </c>
      <c r="D20" s="3">
        <v>9</v>
      </c>
      <c r="E20" s="3" t="s">
        <v>300</v>
      </c>
    </row>
    <row r="21" spans="1:5" ht="14.25" hidden="1" customHeight="1" x14ac:dyDescent="0.3">
      <c r="A21" s="3" t="s">
        <v>168</v>
      </c>
      <c r="B21" s="3">
        <v>24.22714578922092</v>
      </c>
      <c r="C21" s="3">
        <v>120</v>
      </c>
      <c r="D21" s="3">
        <v>9</v>
      </c>
      <c r="E21" s="3" t="s">
        <v>301</v>
      </c>
    </row>
    <row r="22" spans="1:5" ht="14.25" hidden="1" customHeight="1" x14ac:dyDescent="0.3">
      <c r="A22" s="3" t="s">
        <v>173</v>
      </c>
      <c r="B22" s="3">
        <v>12.924285667603231</v>
      </c>
      <c r="C22" s="3">
        <v>120</v>
      </c>
      <c r="D22" s="3">
        <v>9</v>
      </c>
      <c r="E22" s="3" t="s">
        <v>302</v>
      </c>
    </row>
    <row r="23" spans="1:5" ht="14.25" customHeight="1" x14ac:dyDescent="0.3">
      <c r="A23" s="3" t="s">
        <v>178</v>
      </c>
      <c r="B23" s="3">
        <v>14.5398070630867</v>
      </c>
      <c r="C23" s="3">
        <v>120</v>
      </c>
      <c r="D23" s="3">
        <v>10</v>
      </c>
      <c r="E23" s="3" t="s">
        <v>303</v>
      </c>
    </row>
    <row r="24" spans="1:5" ht="14.25" customHeight="1" x14ac:dyDescent="0.3">
      <c r="A24" s="3" t="s">
        <v>183</v>
      </c>
      <c r="B24" s="3">
        <v>14.67748783253921</v>
      </c>
      <c r="C24" s="3">
        <v>120</v>
      </c>
      <c r="D24" s="3">
        <v>11</v>
      </c>
      <c r="E24" s="3" t="s">
        <v>358</v>
      </c>
    </row>
    <row r="25" spans="1:5" ht="14.25" customHeight="1" x14ac:dyDescent="0.3">
      <c r="A25" s="3" t="s">
        <v>188</v>
      </c>
      <c r="B25" s="3">
        <v>20.175882756635499</v>
      </c>
      <c r="C25" s="3">
        <v>120</v>
      </c>
      <c r="D25" s="3">
        <v>12</v>
      </c>
      <c r="E25" s="3" t="s">
        <v>305</v>
      </c>
    </row>
    <row r="26" spans="1:5" ht="14.25" customHeight="1" x14ac:dyDescent="0.3">
      <c r="A26" s="3" t="s">
        <v>193</v>
      </c>
      <c r="B26" s="3">
        <v>7.2754170439936923</v>
      </c>
      <c r="C26" s="3">
        <v>120</v>
      </c>
      <c r="D26" s="3">
        <v>7</v>
      </c>
      <c r="E26" s="3" t="s">
        <v>329</v>
      </c>
    </row>
    <row r="27" spans="1:5" ht="14.25" customHeight="1" x14ac:dyDescent="0.3">
      <c r="A27" s="3" t="s">
        <v>198</v>
      </c>
      <c r="B27" s="3">
        <v>17.091108486035289</v>
      </c>
      <c r="C27" s="3">
        <v>120</v>
      </c>
      <c r="D27" s="3">
        <v>9</v>
      </c>
      <c r="E27" s="3" t="s">
        <v>300</v>
      </c>
    </row>
    <row r="28" spans="1:5" ht="14.25" customHeight="1" x14ac:dyDescent="0.3">
      <c r="A28" s="3" t="s">
        <v>199</v>
      </c>
      <c r="B28" s="3">
        <v>43.576547187556017</v>
      </c>
      <c r="C28" s="3">
        <v>120</v>
      </c>
      <c r="D28" s="3">
        <v>11</v>
      </c>
      <c r="E28" s="3" t="s">
        <v>301</v>
      </c>
    </row>
    <row r="29" spans="1:5" ht="14.25" customHeight="1" x14ac:dyDescent="0.3">
      <c r="A29" s="3" t="s">
        <v>204</v>
      </c>
      <c r="B29" s="3">
        <v>19.789513066722321</v>
      </c>
      <c r="C29" s="3">
        <v>120</v>
      </c>
      <c r="D29" s="3">
        <v>10</v>
      </c>
      <c r="E29" s="3" t="s">
        <v>302</v>
      </c>
    </row>
    <row r="30" spans="1:5" ht="14.25" customHeight="1" x14ac:dyDescent="0.3">
      <c r="A30" s="3" t="s">
        <v>209</v>
      </c>
      <c r="B30" s="3">
        <v>19.062484846712842</v>
      </c>
      <c r="C30" s="3">
        <v>120</v>
      </c>
      <c r="D30" s="3">
        <v>9</v>
      </c>
      <c r="E30" s="3" t="s">
        <v>303</v>
      </c>
    </row>
    <row r="31" spans="1:5" ht="14.25" customHeight="1" x14ac:dyDescent="0.3">
      <c r="A31" s="3" t="s">
        <v>214</v>
      </c>
      <c r="B31" s="3">
        <v>18.089095743773431</v>
      </c>
      <c r="C31" s="3">
        <v>120</v>
      </c>
      <c r="D31" s="3">
        <v>7</v>
      </c>
      <c r="E31" s="3" t="s">
        <v>358</v>
      </c>
    </row>
    <row r="32" spans="1:5" ht="14.25" customHeight="1" x14ac:dyDescent="0.3">
      <c r="A32" s="3" t="s">
        <v>219</v>
      </c>
      <c r="B32" s="3">
        <v>12.464933293167769</v>
      </c>
      <c r="C32" s="3">
        <v>120</v>
      </c>
      <c r="D32" s="3">
        <v>10</v>
      </c>
      <c r="E32" s="3" t="s">
        <v>305</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B000000}">
    <filterColumn colId="0">
      <filters>
        <filter val="2024-11-29 18:00"/>
        <filter val="2024-11-30 18:00"/>
        <filter val="2024-12-01 18:00"/>
        <filter val="2024-12-02 18:00"/>
        <filter val="2024-12-03 18:00"/>
        <filter val="2024-12-04 18:00"/>
        <filter val="2024-12-05 18:00"/>
        <filter val="2024-12-06 18:00"/>
        <filter val="2024-12-07 18:00"/>
        <filter val="2024-12-08 18:00"/>
      </filters>
    </filterColumn>
  </autoFilter>
  <pageMargins left="0.7" right="0.7" top="0.75" bottom="0.75" header="0" footer="0"/>
  <pageSetup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P1000"/>
  <sheetViews>
    <sheetView workbookViewId="0">
      <selection activeCell="C10" sqref="C10"/>
    </sheetView>
  </sheetViews>
  <sheetFormatPr baseColWidth="10" defaultColWidth="14.44140625" defaultRowHeight="15" customHeight="1" x14ac:dyDescent="0.3"/>
  <cols>
    <col min="1" max="1" width="15.33203125" customWidth="1"/>
    <col min="2" max="2" width="12" customWidth="1"/>
    <col min="3" max="3" width="17" customWidth="1"/>
    <col min="4" max="4" width="21.33203125" customWidth="1"/>
    <col min="5" max="5" width="20.33203125" customWidth="1"/>
    <col min="6" max="26" width="10.6640625" customWidth="1"/>
  </cols>
  <sheetData>
    <row r="1" spans="1:5" ht="14.25" customHeight="1" x14ac:dyDescent="0.3">
      <c r="A1" s="1" t="s">
        <v>0</v>
      </c>
      <c r="B1" s="1" t="s">
        <v>1</v>
      </c>
      <c r="C1" s="1" t="s">
        <v>2</v>
      </c>
      <c r="D1" s="1" t="s">
        <v>8</v>
      </c>
      <c r="E1" s="2" t="s">
        <v>14</v>
      </c>
    </row>
    <row r="2" spans="1:5" ht="14.25" customHeight="1" x14ac:dyDescent="0.3">
      <c r="A2" s="3" t="s">
        <v>15</v>
      </c>
      <c r="B2" s="3">
        <v>35.06733753759832</v>
      </c>
      <c r="C2" s="3">
        <v>120</v>
      </c>
      <c r="D2" s="3">
        <v>16</v>
      </c>
      <c r="E2" s="3" t="s">
        <v>303</v>
      </c>
    </row>
    <row r="3" spans="1:5" ht="14.25" customHeight="1" x14ac:dyDescent="0.3">
      <c r="A3" s="3" t="s">
        <v>36</v>
      </c>
      <c r="B3" s="3">
        <v>41.185685404574869</v>
      </c>
      <c r="C3" s="3">
        <v>120</v>
      </c>
      <c r="D3" s="3">
        <v>13</v>
      </c>
      <c r="E3" s="3" t="s">
        <v>358</v>
      </c>
    </row>
    <row r="4" spans="1:5" ht="14.25" customHeight="1" x14ac:dyDescent="0.3">
      <c r="A4" s="3" t="s">
        <v>44</v>
      </c>
      <c r="B4" s="3">
        <v>17.091108486035289</v>
      </c>
      <c r="C4" s="3">
        <v>120</v>
      </c>
      <c r="D4" s="3">
        <v>9</v>
      </c>
      <c r="E4" s="3" t="s">
        <v>305</v>
      </c>
    </row>
    <row r="5" spans="1:5" ht="14.25" customHeight="1" x14ac:dyDescent="0.3">
      <c r="A5" s="3" t="s">
        <v>52</v>
      </c>
      <c r="B5" s="3">
        <v>18.606016946555069</v>
      </c>
      <c r="C5" s="3">
        <v>120</v>
      </c>
      <c r="D5" s="3">
        <v>7</v>
      </c>
      <c r="E5" s="3" t="s">
        <v>329</v>
      </c>
    </row>
    <row r="6" spans="1:5" ht="14.25" customHeight="1" x14ac:dyDescent="0.3">
      <c r="A6" s="3" t="s">
        <v>63</v>
      </c>
      <c r="B6" s="3">
        <v>30.621616918959841</v>
      </c>
      <c r="C6" s="3">
        <v>120</v>
      </c>
      <c r="D6" s="3">
        <v>10</v>
      </c>
      <c r="E6" s="3" t="s">
        <v>300</v>
      </c>
    </row>
    <row r="7" spans="1:5" ht="14.25" customHeight="1" x14ac:dyDescent="0.3">
      <c r="A7" s="3" t="s">
        <v>77</v>
      </c>
      <c r="B7" s="3">
        <v>19.161929070531858</v>
      </c>
      <c r="C7" s="3">
        <v>120</v>
      </c>
      <c r="D7" s="3">
        <v>9</v>
      </c>
      <c r="E7" s="3" t="s">
        <v>301</v>
      </c>
    </row>
    <row r="8" spans="1:5" ht="14.25" customHeight="1" x14ac:dyDescent="0.3">
      <c r="A8" s="3" t="s">
        <v>85</v>
      </c>
      <c r="B8" s="3">
        <v>3.9074702335643181</v>
      </c>
      <c r="C8" s="3">
        <v>120</v>
      </c>
      <c r="D8" s="3">
        <v>6</v>
      </c>
      <c r="E8" s="3" t="s">
        <v>302</v>
      </c>
    </row>
    <row r="9" spans="1:5" ht="14.25" customHeight="1" x14ac:dyDescent="0.3">
      <c r="A9" s="3" t="s">
        <v>90</v>
      </c>
      <c r="B9" s="3">
        <v>29.078924722739821</v>
      </c>
      <c r="C9" s="3">
        <v>120</v>
      </c>
      <c r="D9" s="3">
        <v>9</v>
      </c>
      <c r="E9" s="3" t="s">
        <v>303</v>
      </c>
    </row>
    <row r="10" spans="1:5" ht="14.25" customHeight="1" x14ac:dyDescent="0.3">
      <c r="A10" s="3" t="s">
        <v>113</v>
      </c>
      <c r="B10" s="3">
        <v>16.929914164188389</v>
      </c>
      <c r="C10" s="3">
        <v>120</v>
      </c>
      <c r="D10" s="3">
        <v>7</v>
      </c>
      <c r="E10" s="3" t="s">
        <v>358</v>
      </c>
    </row>
    <row r="11" spans="1:5" ht="14.25" customHeight="1" x14ac:dyDescent="0.3">
      <c r="A11" s="3" t="s">
        <v>118</v>
      </c>
      <c r="B11" s="3">
        <v>9.1275319212878845</v>
      </c>
      <c r="C11" s="3">
        <v>120</v>
      </c>
      <c r="D11" s="3">
        <v>11</v>
      </c>
      <c r="E11" s="3" t="s">
        <v>305</v>
      </c>
    </row>
    <row r="12" spans="1:5" ht="14.25" customHeight="1" x14ac:dyDescent="0.3">
      <c r="A12" s="3" t="s">
        <v>123</v>
      </c>
      <c r="B12" s="3">
        <v>29.0533877718137</v>
      </c>
      <c r="C12" s="3">
        <v>120</v>
      </c>
      <c r="D12" s="3">
        <v>11</v>
      </c>
      <c r="E12" s="3" t="s">
        <v>329</v>
      </c>
    </row>
    <row r="13" spans="1:5" ht="14.25" customHeight="1" x14ac:dyDescent="0.3">
      <c r="A13" s="3" t="s">
        <v>128</v>
      </c>
      <c r="B13" s="3">
        <v>41.383622981336273</v>
      </c>
      <c r="C13" s="3">
        <v>120</v>
      </c>
      <c r="D13" s="3">
        <v>14</v>
      </c>
      <c r="E13" s="3" t="s">
        <v>300</v>
      </c>
    </row>
    <row r="14" spans="1:5" ht="14.25" customHeight="1" x14ac:dyDescent="0.3">
      <c r="A14" s="3" t="s">
        <v>133</v>
      </c>
      <c r="B14" s="3">
        <v>7.3136229194110687</v>
      </c>
      <c r="C14" s="3">
        <v>120</v>
      </c>
      <c r="D14" s="3">
        <v>9</v>
      </c>
      <c r="E14" s="3" t="s">
        <v>301</v>
      </c>
    </row>
    <row r="15" spans="1:5" ht="14.25" customHeight="1" x14ac:dyDescent="0.3">
      <c r="A15" s="3" t="s">
        <v>138</v>
      </c>
      <c r="B15" s="3">
        <v>4.7861030203714474</v>
      </c>
      <c r="C15" s="3">
        <v>120</v>
      </c>
      <c r="D15" s="3">
        <v>7</v>
      </c>
      <c r="E15" s="3" t="s">
        <v>302</v>
      </c>
    </row>
    <row r="16" spans="1:5" ht="14.25" customHeight="1" x14ac:dyDescent="0.3">
      <c r="A16" s="3" t="s">
        <v>143</v>
      </c>
      <c r="B16" s="3">
        <v>26.247759789546869</v>
      </c>
      <c r="C16" s="3">
        <v>120</v>
      </c>
      <c r="D16" s="3">
        <v>9</v>
      </c>
      <c r="E16" s="3" t="s">
        <v>303</v>
      </c>
    </row>
    <row r="17" spans="1:5" ht="14.25" customHeight="1" x14ac:dyDescent="0.3">
      <c r="A17" s="3" t="s">
        <v>148</v>
      </c>
      <c r="B17" s="3">
        <v>12.70025272173115</v>
      </c>
      <c r="C17" s="3">
        <v>120</v>
      </c>
      <c r="D17" s="3">
        <v>10</v>
      </c>
      <c r="E17" s="3" t="s">
        <v>358</v>
      </c>
    </row>
    <row r="18" spans="1:5" ht="14.25" customHeight="1" x14ac:dyDescent="0.3">
      <c r="A18" s="3" t="s">
        <v>153</v>
      </c>
      <c r="B18" s="3">
        <v>45.19073420130632</v>
      </c>
      <c r="C18" s="3">
        <v>120</v>
      </c>
      <c r="D18" s="3">
        <v>15</v>
      </c>
      <c r="E18" s="3" t="s">
        <v>305</v>
      </c>
    </row>
    <row r="19" spans="1:5" ht="14.25" customHeight="1" x14ac:dyDescent="0.3">
      <c r="A19" s="3" t="s">
        <v>158</v>
      </c>
      <c r="B19" s="3">
        <v>37.585350031634668</v>
      </c>
      <c r="C19" s="3">
        <v>120</v>
      </c>
      <c r="D19" s="3">
        <v>12</v>
      </c>
      <c r="E19" s="3" t="s">
        <v>329</v>
      </c>
    </row>
    <row r="20" spans="1:5" ht="14.25" customHeight="1" x14ac:dyDescent="0.3">
      <c r="A20" s="3" t="s">
        <v>163</v>
      </c>
      <c r="B20" s="3">
        <v>9.8937668284417111</v>
      </c>
      <c r="C20" s="3">
        <v>120</v>
      </c>
      <c r="D20" s="3">
        <v>9</v>
      </c>
      <c r="E20" s="3" t="s">
        <v>300</v>
      </c>
    </row>
    <row r="21" spans="1:5" ht="14.25" customHeight="1" x14ac:dyDescent="0.3">
      <c r="A21" s="3" t="s">
        <v>168</v>
      </c>
      <c r="B21" s="3">
        <v>24.22714578922092</v>
      </c>
      <c r="C21" s="3">
        <v>120</v>
      </c>
      <c r="D21" s="3">
        <v>9</v>
      </c>
      <c r="E21" s="3" t="s">
        <v>301</v>
      </c>
    </row>
    <row r="22" spans="1:5" ht="14.25" customHeight="1" x14ac:dyDescent="0.3">
      <c r="A22" s="3" t="s">
        <v>173</v>
      </c>
      <c r="B22" s="3">
        <v>12.924285667603231</v>
      </c>
      <c r="C22" s="3">
        <v>120</v>
      </c>
      <c r="D22" s="3">
        <v>9</v>
      </c>
      <c r="E22" s="3" t="s">
        <v>302</v>
      </c>
    </row>
    <row r="23" spans="1:5" ht="14.25" customHeight="1" x14ac:dyDescent="0.3">
      <c r="A23" s="3" t="s">
        <v>178</v>
      </c>
      <c r="B23" s="3">
        <v>14.5398070630867</v>
      </c>
      <c r="C23" s="3">
        <v>120</v>
      </c>
      <c r="D23" s="3">
        <v>10</v>
      </c>
      <c r="E23" s="3" t="s">
        <v>303</v>
      </c>
    </row>
    <row r="24" spans="1:5" ht="14.25" customHeight="1" x14ac:dyDescent="0.3">
      <c r="A24" s="3" t="s">
        <v>183</v>
      </c>
      <c r="B24" s="3">
        <v>14.67748783253921</v>
      </c>
      <c r="C24" s="3">
        <v>120</v>
      </c>
      <c r="D24" s="3">
        <v>11</v>
      </c>
      <c r="E24" s="3" t="s">
        <v>358</v>
      </c>
    </row>
    <row r="25" spans="1:5" ht="14.25" customHeight="1" x14ac:dyDescent="0.3">
      <c r="A25" s="3" t="s">
        <v>188</v>
      </c>
      <c r="B25" s="3">
        <v>20.175882756635499</v>
      </c>
      <c r="C25" s="3">
        <v>120</v>
      </c>
      <c r="D25" s="3">
        <v>12</v>
      </c>
      <c r="E25" s="3" t="s">
        <v>305</v>
      </c>
    </row>
    <row r="26" spans="1:5" ht="14.25" customHeight="1" x14ac:dyDescent="0.3">
      <c r="A26" s="3" t="s">
        <v>193</v>
      </c>
      <c r="B26" s="3">
        <v>7.2754170439936923</v>
      </c>
      <c r="C26" s="3">
        <v>120</v>
      </c>
      <c r="D26" s="3">
        <v>7</v>
      </c>
      <c r="E26" s="3" t="s">
        <v>329</v>
      </c>
    </row>
    <row r="27" spans="1:5" ht="14.25" customHeight="1" x14ac:dyDescent="0.3">
      <c r="A27" s="3" t="s">
        <v>198</v>
      </c>
      <c r="B27" s="3">
        <v>17.091108486035289</v>
      </c>
      <c r="C27" s="3">
        <v>120</v>
      </c>
      <c r="D27" s="3">
        <v>9</v>
      </c>
      <c r="E27" s="3" t="s">
        <v>300</v>
      </c>
    </row>
    <row r="28" spans="1:5" ht="14.25" customHeight="1" x14ac:dyDescent="0.3">
      <c r="A28" s="3" t="s">
        <v>199</v>
      </c>
      <c r="B28" s="3">
        <v>43.576547187556017</v>
      </c>
      <c r="C28" s="3">
        <v>120</v>
      </c>
      <c r="D28" s="3">
        <v>11</v>
      </c>
      <c r="E28" s="3" t="s">
        <v>301</v>
      </c>
    </row>
    <row r="29" spans="1:5" ht="14.25" customHeight="1" x14ac:dyDescent="0.3">
      <c r="A29" s="3" t="s">
        <v>204</v>
      </c>
      <c r="B29" s="3">
        <v>19.789513066722321</v>
      </c>
      <c r="C29" s="3">
        <v>120</v>
      </c>
      <c r="D29" s="3">
        <v>10</v>
      </c>
      <c r="E29" s="3" t="s">
        <v>302</v>
      </c>
    </row>
    <row r="30" spans="1:5" ht="14.25" customHeight="1" x14ac:dyDescent="0.3">
      <c r="A30" s="3" t="s">
        <v>209</v>
      </c>
      <c r="B30" s="3">
        <v>19.062484846712842</v>
      </c>
      <c r="C30" s="3">
        <v>120</v>
      </c>
      <c r="D30" s="3">
        <v>9</v>
      </c>
      <c r="E30" s="3" t="s">
        <v>303</v>
      </c>
    </row>
    <row r="31" spans="1:5" ht="14.25" customHeight="1" x14ac:dyDescent="0.3">
      <c r="A31" s="3" t="s">
        <v>214</v>
      </c>
      <c r="B31" s="3">
        <v>18.089095743773431</v>
      </c>
      <c r="C31" s="3">
        <v>120</v>
      </c>
      <c r="D31" s="3">
        <v>7</v>
      </c>
      <c r="E31" s="3" t="s">
        <v>358</v>
      </c>
    </row>
    <row r="32" spans="1:5" ht="14.25" customHeight="1" x14ac:dyDescent="0.3">
      <c r="A32" s="3" t="s">
        <v>219</v>
      </c>
      <c r="B32" s="3">
        <v>12.464933293167769</v>
      </c>
      <c r="C32" s="3">
        <v>120</v>
      </c>
      <c r="D32" s="3">
        <v>10</v>
      </c>
      <c r="E32" s="3" t="s">
        <v>305</v>
      </c>
    </row>
    <row r="33" spans="16:16" ht="14.25" customHeight="1" x14ac:dyDescent="0.3"/>
    <row r="34" spans="16:16" ht="14.25" customHeight="1" x14ac:dyDescent="0.3"/>
    <row r="35" spans="16:16" ht="14.25" customHeight="1" x14ac:dyDescent="0.3"/>
    <row r="36" spans="16:16" ht="14.25" customHeight="1" x14ac:dyDescent="0.3"/>
    <row r="37" spans="16:16" ht="14.25" customHeight="1" x14ac:dyDescent="0.3"/>
    <row r="38" spans="16:16" ht="14.25" customHeight="1" x14ac:dyDescent="0.3"/>
    <row r="39" spans="16:16" ht="14.25" customHeight="1" x14ac:dyDescent="0.3"/>
    <row r="40" spans="16:16" ht="14.25" customHeight="1" x14ac:dyDescent="0.3"/>
    <row r="41" spans="16:16" ht="14.25" customHeight="1" x14ac:dyDescent="0.3"/>
    <row r="42" spans="16:16" ht="14.25" customHeight="1" x14ac:dyDescent="0.3"/>
    <row r="43" spans="16:16" ht="14.25" customHeight="1" x14ac:dyDescent="0.3"/>
    <row r="44" spans="16:16" ht="14.25" customHeight="1" x14ac:dyDescent="0.3"/>
    <row r="45" spans="16:16" ht="14.25" customHeight="1" x14ac:dyDescent="0.3"/>
    <row r="46" spans="16:16" ht="14.25" customHeight="1" x14ac:dyDescent="0.3"/>
    <row r="47" spans="16:16" ht="14.25" customHeight="1" x14ac:dyDescent="0.3">
      <c r="P47" s="3" t="s">
        <v>329</v>
      </c>
    </row>
    <row r="48" spans="16: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E32" xr:uid="{00000000-0009-0000-0000-00000C000000}"/>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Sheet1</vt:lpstr>
      <vt:lpstr>120seg</vt:lpstr>
      <vt:lpstr>120seg (final)</vt:lpstr>
      <vt:lpstr>buscarv</vt:lpstr>
      <vt:lpstr>TE</vt:lpstr>
      <vt:lpstr>GráficosLLyV</vt:lpstr>
      <vt:lpstr>Promedio_octubre</vt:lpstr>
      <vt:lpstr>Promedio_octubre_respaldo</vt:lpstr>
      <vt:lpstr>S1</vt:lpstr>
      <vt:lpstr>S2</vt:lpstr>
      <vt:lpstr>S3</vt:lpstr>
      <vt:lpstr>S4</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ACER</cp:lastModifiedBy>
  <dcterms:created xsi:type="dcterms:W3CDTF">2024-12-17T19:34:57Z</dcterms:created>
  <dcterms:modified xsi:type="dcterms:W3CDTF">2025-05-09T00:51:41Z</dcterms:modified>
</cp:coreProperties>
</file>