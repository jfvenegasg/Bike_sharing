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2.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drawings/drawing4.xml" ContentType="application/vnd.openxmlformats-officedocument.drawing+xml"/>
  <Override PartName="/xl/charts/chart41.xml" ContentType="application/vnd.openxmlformats-officedocument.drawingml.chart+xml"/>
  <Override PartName="/xl/drawings/drawing5.xml" ContentType="application/vnd.openxmlformats-officedocument.drawing+xml"/>
  <Override PartName="/xl/charts/chart42.xml" ContentType="application/vnd.openxmlformats-officedocument.drawingml.chart+xml"/>
  <Override PartName="/xl/drawings/drawing6.xml" ContentType="application/vnd.openxmlformats-officedocument.drawing+xml"/>
  <Override PartName="/xl/charts/chart43.xml" ContentType="application/vnd.openxmlformats-officedocument.drawingml.chart+xml"/>
  <Override PartName="/xl/drawings/drawing7.xml" ContentType="application/vnd.openxmlformats-officedocument.drawing+xml"/>
  <Override PartName="/xl/charts/chart4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ACER\Desktop\Tesis\Tesis Pedro Palominos\Código python\Modelo_info_historica\Modelo más actualizado\resultados con métricas\"/>
    </mc:Choice>
  </mc:AlternateContent>
  <xr:revisionPtr revIDLastSave="0" documentId="13_ncr:1_{E4D83219-F79A-4920-B3B9-2CB6675A396E}" xr6:coauthVersionLast="47" xr6:coauthVersionMax="47" xr10:uidLastSave="{00000000-0000-0000-0000-000000000000}"/>
  <bookViews>
    <workbookView xWindow="-108" yWindow="-108" windowWidth="23256" windowHeight="12576" firstSheet="2" activeTab="2" xr2:uid="{00000000-000D-0000-FFFF-FFFF00000000}"/>
  </bookViews>
  <sheets>
    <sheet name="Sheet1" sheetId="1" r:id="rId1"/>
    <sheet name="GraficosLLyV" sheetId="2" r:id="rId2"/>
    <sheet name="120seg" sheetId="3" r:id="rId3"/>
    <sheet name="Copia de 120seg" sheetId="4" r:id="rId4"/>
    <sheet name="Hoja 1" sheetId="5" r:id="rId5"/>
    <sheet name="S1" sheetId="6" r:id="rId6"/>
    <sheet name="S2" sheetId="7" r:id="rId7"/>
    <sheet name="S3" sheetId="8" r:id="rId8"/>
    <sheet name="S4" sheetId="9" r:id="rId9"/>
    <sheet name="Promedio_meses" sheetId="10" r:id="rId10"/>
    <sheet name="buscarv (2)" sheetId="11" r:id="rId11"/>
    <sheet name="buscarv" sheetId="12" r:id="rId12"/>
  </sheets>
  <definedNames>
    <definedName name="_xlnm._FilterDatabase" localSheetId="5" hidden="1">'S1'!$A$1:$E$32</definedName>
    <definedName name="_xlnm._FilterDatabase" localSheetId="6" hidden="1">'S2'!$A$1:$E$32</definedName>
    <definedName name="_xlnm._FilterDatabase" localSheetId="7" hidden="1">'S3'!$A$1:$E$32</definedName>
    <definedName name="_xlnm._FilterDatabase" localSheetId="8" hidden="1">'S4'!$A$1:$E$32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16" roundtripDataChecksum="dJHbEo7TtE9kEKL3cNzisXitc5+jiS+awPe7s1JolBI="/>
    </ext>
  </extLst>
</workbook>
</file>

<file path=xl/calcChain.xml><?xml version="1.0" encoding="utf-8"?>
<calcChain xmlns="http://schemas.openxmlformats.org/spreadsheetml/2006/main">
  <c r="E173" i="3" l="1"/>
  <c r="D173" i="3"/>
  <c r="L8" i="3"/>
  <c r="AZ16" i="3" l="1"/>
  <c r="AZ8" i="3"/>
  <c r="L24" i="3"/>
  <c r="Q25" i="11"/>
  <c r="Q26" i="11"/>
  <c r="Q27" i="11"/>
  <c r="Q28" i="11"/>
  <c r="Q29" i="11"/>
  <c r="Q30" i="11"/>
  <c r="Q31" i="11"/>
  <c r="Q32" i="11"/>
  <c r="Q33" i="11"/>
  <c r="Q34" i="11"/>
  <c r="Q35" i="11"/>
  <c r="Q36" i="11"/>
  <c r="Q37" i="11"/>
  <c r="Q38" i="11"/>
  <c r="Q39" i="11"/>
  <c r="Q40" i="11"/>
  <c r="Q41" i="11"/>
  <c r="Q42" i="11"/>
  <c r="Q43" i="11"/>
  <c r="Q24" i="11"/>
  <c r="M25" i="11"/>
  <c r="M26" i="11"/>
  <c r="M27" i="11"/>
  <c r="M28" i="11"/>
  <c r="M29" i="11"/>
  <c r="M30" i="11"/>
  <c r="M31" i="11"/>
  <c r="M32" i="11"/>
  <c r="M33" i="11"/>
  <c r="M34" i="11"/>
  <c r="M35" i="11"/>
  <c r="M36" i="11"/>
  <c r="M37" i="11"/>
  <c r="M38" i="11"/>
  <c r="M39" i="11"/>
  <c r="M40" i="11"/>
  <c r="M41" i="11"/>
  <c r="M42" i="11"/>
  <c r="M43" i="11"/>
  <c r="M24" i="11"/>
  <c r="L24" i="11"/>
  <c r="L25" i="11"/>
  <c r="L26" i="11"/>
  <c r="L27" i="11"/>
  <c r="L28" i="11"/>
  <c r="L29" i="11"/>
  <c r="L30" i="11"/>
  <c r="L31" i="11"/>
  <c r="L32" i="11"/>
  <c r="L33" i="11"/>
  <c r="L34" i="11"/>
  <c r="L35" i="11"/>
  <c r="L36" i="11"/>
  <c r="L37" i="11"/>
  <c r="L38" i="11"/>
  <c r="L39" i="11"/>
  <c r="L40" i="11"/>
  <c r="L41" i="11"/>
  <c r="L42" i="11"/>
  <c r="L43" i="11"/>
  <c r="E25" i="11"/>
  <c r="E26" i="11"/>
  <c r="E27" i="11"/>
  <c r="E28" i="11"/>
  <c r="E29" i="11"/>
  <c r="E30" i="11"/>
  <c r="E31" i="11"/>
  <c r="E32" i="11"/>
  <c r="E33" i="11"/>
  <c r="E34" i="11"/>
  <c r="E35" i="11"/>
  <c r="E36" i="11"/>
  <c r="E37" i="11"/>
  <c r="E38" i="11"/>
  <c r="E39" i="11"/>
  <c r="E40" i="11"/>
  <c r="E41" i="11"/>
  <c r="E42" i="11"/>
  <c r="E43" i="11"/>
  <c r="E24" i="11"/>
  <c r="F25" i="11"/>
  <c r="F26" i="11"/>
  <c r="F27" i="11"/>
  <c r="F28" i="11"/>
  <c r="F29" i="11"/>
  <c r="F30" i="11"/>
  <c r="F31" i="11"/>
  <c r="F32" i="11"/>
  <c r="F33" i="11"/>
  <c r="F34" i="11"/>
  <c r="F35" i="11"/>
  <c r="F36" i="11"/>
  <c r="F37" i="11"/>
  <c r="F38" i="11"/>
  <c r="F39" i="11"/>
  <c r="F40" i="11"/>
  <c r="F41" i="11"/>
  <c r="F42" i="11"/>
  <c r="F43" i="11"/>
  <c r="F24" i="11"/>
  <c r="CM124" i="3"/>
  <c r="CM125" i="3"/>
  <c r="CM126" i="3"/>
  <c r="CM127" i="3"/>
  <c r="CM128" i="3"/>
  <c r="CM129" i="3"/>
  <c r="CM130" i="3"/>
  <c r="CM131" i="3"/>
  <c r="CM132" i="3"/>
  <c r="CM133" i="3"/>
  <c r="CM134" i="3"/>
  <c r="CM135" i="3"/>
  <c r="CM136" i="3"/>
  <c r="CM137" i="3"/>
  <c r="CM138" i="3"/>
  <c r="CM139" i="3"/>
  <c r="CM140" i="3"/>
  <c r="CM141" i="3"/>
  <c r="CM142" i="3"/>
  <c r="CM123" i="3"/>
  <c r="BZ124" i="3"/>
  <c r="BZ125" i="3"/>
  <c r="BZ126" i="3"/>
  <c r="BZ127" i="3"/>
  <c r="BZ128" i="3"/>
  <c r="BZ129" i="3"/>
  <c r="BZ130" i="3"/>
  <c r="BZ131" i="3"/>
  <c r="BZ132" i="3"/>
  <c r="BZ133" i="3"/>
  <c r="BZ134" i="3"/>
  <c r="BZ135" i="3"/>
  <c r="BZ136" i="3"/>
  <c r="BZ137" i="3"/>
  <c r="BZ138" i="3"/>
  <c r="BZ139" i="3"/>
  <c r="BZ140" i="3"/>
  <c r="BZ141" i="3"/>
  <c r="BZ142" i="3"/>
  <c r="BZ123" i="3"/>
  <c r="BM124" i="3"/>
  <c r="BM125" i="3"/>
  <c r="BM126" i="3"/>
  <c r="BM127" i="3"/>
  <c r="BM128" i="3"/>
  <c r="BM129" i="3"/>
  <c r="BM130" i="3"/>
  <c r="BM131" i="3"/>
  <c r="BM132" i="3"/>
  <c r="BM133" i="3"/>
  <c r="BM134" i="3"/>
  <c r="BM135" i="3"/>
  <c r="BM136" i="3"/>
  <c r="BM137" i="3"/>
  <c r="BM138" i="3"/>
  <c r="BM139" i="3"/>
  <c r="BM140" i="3"/>
  <c r="BM141" i="3"/>
  <c r="BM142" i="3"/>
  <c r="BM123" i="3"/>
  <c r="AZ124" i="3"/>
  <c r="AZ125" i="3"/>
  <c r="AZ126" i="3"/>
  <c r="AZ127" i="3"/>
  <c r="AZ128" i="3"/>
  <c r="AZ129" i="3"/>
  <c r="AZ130" i="3"/>
  <c r="AZ131" i="3"/>
  <c r="AZ132" i="3"/>
  <c r="AZ133" i="3"/>
  <c r="AZ134" i="3"/>
  <c r="AZ135" i="3"/>
  <c r="AZ136" i="3"/>
  <c r="AZ137" i="3"/>
  <c r="AZ138" i="3"/>
  <c r="AZ139" i="3"/>
  <c r="AZ140" i="3"/>
  <c r="AZ141" i="3"/>
  <c r="AZ142" i="3"/>
  <c r="AZ123" i="3"/>
  <c r="AM124" i="3"/>
  <c r="AM125" i="3"/>
  <c r="AM126" i="3"/>
  <c r="AM127" i="3"/>
  <c r="AM128" i="3"/>
  <c r="AM129" i="3"/>
  <c r="AM130" i="3"/>
  <c r="AM131" i="3"/>
  <c r="AM132" i="3"/>
  <c r="AM133" i="3"/>
  <c r="AM134" i="3"/>
  <c r="AM135" i="3"/>
  <c r="AM136" i="3"/>
  <c r="AM137" i="3"/>
  <c r="AM138" i="3"/>
  <c r="AM139" i="3"/>
  <c r="AM140" i="3"/>
  <c r="AM141" i="3"/>
  <c r="AM142" i="3"/>
  <c r="AM123" i="3"/>
  <c r="Y124" i="3"/>
  <c r="Y125" i="3"/>
  <c r="Y126" i="3"/>
  <c r="Y127" i="3"/>
  <c r="Y128" i="3"/>
  <c r="Y129" i="3"/>
  <c r="Y130" i="3"/>
  <c r="Y131" i="3"/>
  <c r="Y132" i="3"/>
  <c r="Y133" i="3"/>
  <c r="Y134" i="3"/>
  <c r="Y135" i="3"/>
  <c r="Y136" i="3"/>
  <c r="Y137" i="3"/>
  <c r="Y138" i="3"/>
  <c r="Y139" i="3"/>
  <c r="Y140" i="3"/>
  <c r="Y141" i="3"/>
  <c r="Y142" i="3"/>
  <c r="Y123" i="3"/>
  <c r="L138" i="3"/>
  <c r="L124" i="3"/>
  <c r="L125" i="3"/>
  <c r="L126" i="3"/>
  <c r="L127" i="3"/>
  <c r="L128" i="3"/>
  <c r="L129" i="3"/>
  <c r="L130" i="3"/>
  <c r="L131" i="3"/>
  <c r="L132" i="3"/>
  <c r="L133" i="3"/>
  <c r="L134" i="3"/>
  <c r="L135" i="3"/>
  <c r="L136" i="3"/>
  <c r="L137" i="3"/>
  <c r="L139" i="3"/>
  <c r="L140" i="3"/>
  <c r="L141" i="3"/>
  <c r="L142" i="3"/>
  <c r="L123" i="3"/>
  <c r="CZ92" i="3"/>
  <c r="CZ93" i="3"/>
  <c r="CZ94" i="3"/>
  <c r="CZ95" i="3"/>
  <c r="CZ96" i="3"/>
  <c r="CZ97" i="3"/>
  <c r="CZ98" i="3"/>
  <c r="CZ99" i="3"/>
  <c r="CZ100" i="3"/>
  <c r="CZ101" i="3"/>
  <c r="CZ102" i="3"/>
  <c r="CZ103" i="3"/>
  <c r="CZ104" i="3"/>
  <c r="CZ105" i="3"/>
  <c r="CZ106" i="3"/>
  <c r="CZ107" i="3"/>
  <c r="CZ108" i="3"/>
  <c r="CZ109" i="3"/>
  <c r="CZ110" i="3"/>
  <c r="CZ91" i="3"/>
  <c r="CM92" i="3"/>
  <c r="CM93" i="3"/>
  <c r="CM94" i="3"/>
  <c r="CM95" i="3"/>
  <c r="CM96" i="3"/>
  <c r="CM97" i="3"/>
  <c r="CM98" i="3"/>
  <c r="CM99" i="3"/>
  <c r="CM100" i="3"/>
  <c r="CM101" i="3"/>
  <c r="CM102" i="3"/>
  <c r="CM103" i="3"/>
  <c r="CM104" i="3"/>
  <c r="CM105" i="3"/>
  <c r="CM106" i="3"/>
  <c r="CM107" i="3"/>
  <c r="CM108" i="3"/>
  <c r="CM109" i="3"/>
  <c r="CM110" i="3"/>
  <c r="CM91" i="3"/>
  <c r="BM91" i="3"/>
  <c r="BZ92" i="3"/>
  <c r="BZ93" i="3"/>
  <c r="BZ94" i="3"/>
  <c r="BZ95" i="3"/>
  <c r="BZ96" i="3"/>
  <c r="BZ97" i="3"/>
  <c r="BZ98" i="3"/>
  <c r="BZ99" i="3"/>
  <c r="BZ100" i="3"/>
  <c r="BZ101" i="3"/>
  <c r="BZ102" i="3"/>
  <c r="BZ103" i="3"/>
  <c r="BZ104" i="3"/>
  <c r="BZ105" i="3"/>
  <c r="BZ106" i="3"/>
  <c r="BZ107" i="3"/>
  <c r="BZ108" i="3"/>
  <c r="BZ109" i="3"/>
  <c r="BZ110" i="3"/>
  <c r="BZ91" i="3"/>
  <c r="BM92" i="3"/>
  <c r="BM93" i="3"/>
  <c r="BM94" i="3"/>
  <c r="BM95" i="3"/>
  <c r="BM96" i="3"/>
  <c r="BM97" i="3"/>
  <c r="BM98" i="3"/>
  <c r="BM99" i="3"/>
  <c r="BM100" i="3"/>
  <c r="BM101" i="3"/>
  <c r="BM102" i="3"/>
  <c r="BM103" i="3"/>
  <c r="BM104" i="3"/>
  <c r="BM105" i="3"/>
  <c r="BM106" i="3"/>
  <c r="BM107" i="3"/>
  <c r="BM108" i="3"/>
  <c r="BM109" i="3"/>
  <c r="BM110" i="3"/>
  <c r="AZ92" i="3"/>
  <c r="AZ93" i="3"/>
  <c r="AZ94" i="3"/>
  <c r="AZ95" i="3"/>
  <c r="AZ96" i="3"/>
  <c r="AZ97" i="3"/>
  <c r="AZ98" i="3"/>
  <c r="AZ99" i="3"/>
  <c r="AZ100" i="3"/>
  <c r="AZ101" i="3"/>
  <c r="AZ102" i="3"/>
  <c r="AZ103" i="3"/>
  <c r="AZ104" i="3"/>
  <c r="AZ105" i="3"/>
  <c r="AZ106" i="3"/>
  <c r="AZ107" i="3"/>
  <c r="AZ108" i="3"/>
  <c r="AZ109" i="3"/>
  <c r="AZ110" i="3"/>
  <c r="AZ91" i="3"/>
  <c r="AM92" i="3"/>
  <c r="AM93" i="3"/>
  <c r="AM94" i="3"/>
  <c r="AM95" i="3"/>
  <c r="AM96" i="3"/>
  <c r="AM97" i="3"/>
  <c r="AM98" i="3"/>
  <c r="AM99" i="3"/>
  <c r="AM100" i="3"/>
  <c r="AM101" i="3"/>
  <c r="AM102" i="3"/>
  <c r="AM103" i="3"/>
  <c r="AM104" i="3"/>
  <c r="AM105" i="3"/>
  <c r="AM106" i="3"/>
  <c r="AM107" i="3"/>
  <c r="AM108" i="3"/>
  <c r="AM109" i="3"/>
  <c r="AM110" i="3"/>
  <c r="AM91" i="3"/>
  <c r="Y92" i="3"/>
  <c r="Y93" i="3"/>
  <c r="Y94" i="3"/>
  <c r="Y95" i="3"/>
  <c r="Y96" i="3"/>
  <c r="Y97" i="3"/>
  <c r="Y98" i="3"/>
  <c r="Y99" i="3"/>
  <c r="Y100" i="3"/>
  <c r="Y101" i="3"/>
  <c r="Y102" i="3"/>
  <c r="Y103" i="3"/>
  <c r="Y104" i="3"/>
  <c r="Y105" i="3"/>
  <c r="Y106" i="3"/>
  <c r="Y107" i="3"/>
  <c r="Y108" i="3"/>
  <c r="Y109" i="3"/>
  <c r="Y110" i="3"/>
  <c r="Y91" i="3"/>
  <c r="L91" i="3"/>
  <c r="L92" i="3"/>
  <c r="L93" i="3"/>
  <c r="L94" i="3"/>
  <c r="L95" i="3"/>
  <c r="L96" i="3"/>
  <c r="L97" i="3"/>
  <c r="L98" i="3"/>
  <c r="L99" i="3"/>
  <c r="L100" i="3"/>
  <c r="L101" i="3"/>
  <c r="L102" i="3"/>
  <c r="L103" i="3"/>
  <c r="L104" i="3"/>
  <c r="L105" i="3"/>
  <c r="L106" i="3"/>
  <c r="L107" i="3"/>
  <c r="L108" i="3"/>
  <c r="L109" i="3"/>
  <c r="L110" i="3"/>
  <c r="CZ59" i="3"/>
  <c r="CZ60" i="3"/>
  <c r="CZ61" i="3"/>
  <c r="CZ62" i="3"/>
  <c r="CZ63" i="3"/>
  <c r="CZ64" i="3"/>
  <c r="CZ65" i="3"/>
  <c r="CZ66" i="3"/>
  <c r="CZ67" i="3"/>
  <c r="CZ68" i="3"/>
  <c r="CZ69" i="3"/>
  <c r="CZ70" i="3"/>
  <c r="CZ71" i="3"/>
  <c r="CZ72" i="3"/>
  <c r="CZ73" i="3"/>
  <c r="CZ74" i="3"/>
  <c r="CZ75" i="3"/>
  <c r="CZ76" i="3"/>
  <c r="CZ77" i="3"/>
  <c r="CZ58" i="3"/>
  <c r="CM59" i="3"/>
  <c r="CM60" i="3"/>
  <c r="CM61" i="3"/>
  <c r="CM62" i="3"/>
  <c r="CM63" i="3"/>
  <c r="CM64" i="3"/>
  <c r="CM65" i="3"/>
  <c r="CM66" i="3"/>
  <c r="CM67" i="3"/>
  <c r="CM68" i="3"/>
  <c r="CM69" i="3"/>
  <c r="CM70" i="3"/>
  <c r="CM71" i="3"/>
  <c r="CM72" i="3"/>
  <c r="CM73" i="3"/>
  <c r="CM74" i="3"/>
  <c r="CM75" i="3"/>
  <c r="CM76" i="3"/>
  <c r="CM77" i="3"/>
  <c r="CM58" i="3"/>
  <c r="BZ59" i="3"/>
  <c r="BZ60" i="3"/>
  <c r="BZ61" i="3"/>
  <c r="BZ62" i="3"/>
  <c r="BZ63" i="3"/>
  <c r="BZ64" i="3"/>
  <c r="BZ65" i="3"/>
  <c r="BZ66" i="3"/>
  <c r="BZ67" i="3"/>
  <c r="BZ68" i="3"/>
  <c r="BZ69" i="3"/>
  <c r="BZ70" i="3"/>
  <c r="BZ71" i="3"/>
  <c r="BZ72" i="3"/>
  <c r="BZ73" i="3"/>
  <c r="BZ74" i="3"/>
  <c r="BZ75" i="3"/>
  <c r="BZ76" i="3"/>
  <c r="BZ77" i="3"/>
  <c r="BZ58" i="3"/>
  <c r="BM68" i="3"/>
  <c r="BM59" i="3"/>
  <c r="BM60" i="3"/>
  <c r="BM61" i="3"/>
  <c r="BM62" i="3"/>
  <c r="BM63" i="3"/>
  <c r="BM64" i="3"/>
  <c r="BM65" i="3"/>
  <c r="BM66" i="3"/>
  <c r="BM67" i="3"/>
  <c r="BM69" i="3"/>
  <c r="BM70" i="3"/>
  <c r="BM71" i="3"/>
  <c r="BM72" i="3"/>
  <c r="BM73" i="3"/>
  <c r="BM74" i="3"/>
  <c r="BM75" i="3"/>
  <c r="BM76" i="3"/>
  <c r="BM77" i="3"/>
  <c r="BM58" i="3"/>
  <c r="AZ58" i="3"/>
  <c r="AM59" i="3"/>
  <c r="AM60" i="3"/>
  <c r="AM61" i="3"/>
  <c r="AM62" i="3"/>
  <c r="AM63" i="3"/>
  <c r="AM64" i="3"/>
  <c r="AM65" i="3"/>
  <c r="AM66" i="3"/>
  <c r="AM67" i="3"/>
  <c r="AM68" i="3"/>
  <c r="AM69" i="3"/>
  <c r="AM70" i="3"/>
  <c r="AM71" i="3"/>
  <c r="AM72" i="3"/>
  <c r="AM73" i="3"/>
  <c r="AM74" i="3"/>
  <c r="AM75" i="3"/>
  <c r="AM76" i="3"/>
  <c r="AM77" i="3"/>
  <c r="AM58" i="3"/>
  <c r="Y58" i="3"/>
  <c r="Y59" i="3"/>
  <c r="Y60" i="3"/>
  <c r="Y61" i="3"/>
  <c r="Y62" i="3"/>
  <c r="Y63" i="3"/>
  <c r="Y64" i="3"/>
  <c r="Y65" i="3"/>
  <c r="Y66" i="3"/>
  <c r="Y67" i="3"/>
  <c r="Y68" i="3"/>
  <c r="Y69" i="3"/>
  <c r="Y70" i="3"/>
  <c r="Y71" i="3"/>
  <c r="Y72" i="3"/>
  <c r="Y73" i="3"/>
  <c r="Y74" i="3"/>
  <c r="Y75" i="3"/>
  <c r="Y76" i="3"/>
  <c r="Y77" i="3"/>
  <c r="L59" i="3"/>
  <c r="L60" i="3"/>
  <c r="L61" i="3"/>
  <c r="L62" i="3"/>
  <c r="L63" i="3"/>
  <c r="L64" i="3"/>
  <c r="L65" i="3"/>
  <c r="L66" i="3"/>
  <c r="L67" i="3"/>
  <c r="L68" i="3"/>
  <c r="L69" i="3"/>
  <c r="L70" i="3"/>
  <c r="L71" i="3"/>
  <c r="L72" i="3"/>
  <c r="L73" i="3"/>
  <c r="L74" i="3"/>
  <c r="L75" i="3"/>
  <c r="L76" i="3"/>
  <c r="L77" i="3"/>
  <c r="L58" i="3"/>
  <c r="CZ9" i="3"/>
  <c r="CZ10" i="3"/>
  <c r="CZ11" i="3"/>
  <c r="CZ12" i="3"/>
  <c r="CZ13" i="3"/>
  <c r="CZ14" i="3"/>
  <c r="CZ15" i="3"/>
  <c r="CZ16" i="3"/>
  <c r="CZ17" i="3"/>
  <c r="CZ18" i="3"/>
  <c r="CZ19" i="3"/>
  <c r="CZ20" i="3"/>
  <c r="CZ21" i="3"/>
  <c r="CZ22" i="3"/>
  <c r="CZ23" i="3"/>
  <c r="CZ24" i="3"/>
  <c r="CZ25" i="3"/>
  <c r="CZ26" i="3"/>
  <c r="CZ27" i="3"/>
  <c r="CZ8" i="3"/>
  <c r="CM8" i="3"/>
  <c r="CM9" i="3"/>
  <c r="CM10" i="3"/>
  <c r="CM11" i="3"/>
  <c r="CM12" i="3"/>
  <c r="CM13" i="3"/>
  <c r="CM14" i="3"/>
  <c r="CM15" i="3"/>
  <c r="CM16" i="3"/>
  <c r="CM17" i="3"/>
  <c r="CM18" i="3"/>
  <c r="CM19" i="3"/>
  <c r="CM20" i="3"/>
  <c r="CM21" i="3"/>
  <c r="CM22" i="3"/>
  <c r="CM23" i="3"/>
  <c r="CM24" i="3"/>
  <c r="CM25" i="3"/>
  <c r="CM26" i="3"/>
  <c r="CM27" i="3"/>
  <c r="BZ9" i="3"/>
  <c r="BZ10" i="3"/>
  <c r="BZ11" i="3"/>
  <c r="BZ12" i="3"/>
  <c r="BZ13" i="3"/>
  <c r="BZ14" i="3"/>
  <c r="BZ15" i="3"/>
  <c r="BZ16" i="3"/>
  <c r="BZ17" i="3"/>
  <c r="BZ18" i="3"/>
  <c r="BZ19" i="3"/>
  <c r="BZ20" i="3"/>
  <c r="BZ21" i="3"/>
  <c r="BZ22" i="3"/>
  <c r="BZ23" i="3"/>
  <c r="BZ24" i="3"/>
  <c r="BZ25" i="3"/>
  <c r="BZ26" i="3"/>
  <c r="BZ27" i="3"/>
  <c r="BZ8" i="3"/>
  <c r="BM8" i="3"/>
  <c r="BM9" i="3"/>
  <c r="BM10" i="3"/>
  <c r="BM11" i="3"/>
  <c r="BM12" i="3"/>
  <c r="BM13" i="3"/>
  <c r="BM14" i="3"/>
  <c r="BM15" i="3"/>
  <c r="BM16" i="3"/>
  <c r="BM17" i="3"/>
  <c r="BM18" i="3"/>
  <c r="BM19" i="3"/>
  <c r="BM20" i="3"/>
  <c r="BM21" i="3"/>
  <c r="BM22" i="3"/>
  <c r="BM23" i="3"/>
  <c r="BM24" i="3"/>
  <c r="BM25" i="3"/>
  <c r="BM26" i="3"/>
  <c r="BM27" i="3"/>
  <c r="AZ9" i="3"/>
  <c r="AZ10" i="3"/>
  <c r="AZ11" i="3"/>
  <c r="AZ12" i="3"/>
  <c r="AZ13" i="3"/>
  <c r="AZ14" i="3"/>
  <c r="AZ15" i="3"/>
  <c r="AZ17" i="3"/>
  <c r="AZ18" i="3"/>
  <c r="AZ19" i="3"/>
  <c r="AZ20" i="3"/>
  <c r="AZ21" i="3"/>
  <c r="AZ22" i="3"/>
  <c r="AZ23" i="3"/>
  <c r="AZ24" i="3"/>
  <c r="AZ25" i="3"/>
  <c r="AZ26" i="3"/>
  <c r="AZ27" i="3"/>
  <c r="AM8" i="3"/>
  <c r="AM9" i="3"/>
  <c r="AM10" i="3"/>
  <c r="AM11" i="3"/>
  <c r="AM12" i="3"/>
  <c r="AM13" i="3"/>
  <c r="AM14" i="3"/>
  <c r="AM15" i="3"/>
  <c r="AM16" i="3"/>
  <c r="AM17" i="3"/>
  <c r="AM18" i="3"/>
  <c r="AM19" i="3"/>
  <c r="AM20" i="3"/>
  <c r="AM21" i="3"/>
  <c r="AM22" i="3"/>
  <c r="AM23" i="3"/>
  <c r="AM24" i="3"/>
  <c r="AM25" i="3"/>
  <c r="AM26" i="3"/>
  <c r="AM27" i="3"/>
  <c r="Y8" i="3"/>
  <c r="Y9" i="3"/>
  <c r="Y10" i="3"/>
  <c r="Y11" i="3"/>
  <c r="Y12" i="3"/>
  <c r="Y13" i="3"/>
  <c r="Y14" i="3"/>
  <c r="Y15" i="3"/>
  <c r="Y16" i="3"/>
  <c r="Y17" i="3"/>
  <c r="Y18" i="3"/>
  <c r="Y19" i="3"/>
  <c r="Y20" i="3"/>
  <c r="Y21" i="3"/>
  <c r="Y22" i="3"/>
  <c r="Y23" i="3"/>
  <c r="Y24" i="3"/>
  <c r="Y25" i="3"/>
  <c r="Y26" i="3"/>
  <c r="Y27" i="3"/>
  <c r="L9" i="3"/>
  <c r="L10" i="3"/>
  <c r="L11" i="3"/>
  <c r="L12" i="3"/>
  <c r="L13" i="3"/>
  <c r="L14" i="3"/>
  <c r="L15" i="3"/>
  <c r="L16" i="3"/>
  <c r="L17" i="3"/>
  <c r="L18" i="3"/>
  <c r="L19" i="3"/>
  <c r="L20" i="3"/>
  <c r="L21" i="3"/>
  <c r="L22" i="3"/>
  <c r="L23" i="3"/>
  <c r="L25" i="3"/>
  <c r="L26" i="3"/>
  <c r="L27" i="3"/>
  <c r="X58" i="3"/>
  <c r="X59" i="3"/>
  <c r="X60" i="3"/>
  <c r="X61" i="3"/>
  <c r="X62" i="3"/>
  <c r="X63" i="3"/>
  <c r="X64" i="3"/>
  <c r="X65" i="3"/>
  <c r="X66" i="3"/>
  <c r="X67" i="3"/>
  <c r="X68" i="3"/>
  <c r="X69" i="3"/>
  <c r="X70" i="3"/>
  <c r="X71" i="3"/>
  <c r="X72" i="3"/>
  <c r="X73" i="3"/>
  <c r="X74" i="3"/>
  <c r="X75" i="3"/>
  <c r="X76" i="3"/>
  <c r="X77" i="3"/>
  <c r="X91" i="3"/>
  <c r="X92" i="3"/>
  <c r="X93" i="3"/>
  <c r="X94" i="3"/>
  <c r="X95" i="3"/>
  <c r="X96" i="3"/>
  <c r="X97" i="3"/>
  <c r="X98" i="3"/>
  <c r="X99" i="3"/>
  <c r="X100" i="3"/>
  <c r="X101" i="3"/>
  <c r="X102" i="3"/>
  <c r="X103" i="3"/>
  <c r="X104" i="3"/>
  <c r="X105" i="3"/>
  <c r="X106" i="3"/>
  <c r="X107" i="3"/>
  <c r="X108" i="3"/>
  <c r="X109" i="3"/>
  <c r="X110" i="3"/>
  <c r="X123" i="3"/>
  <c r="X124" i="3"/>
  <c r="X125" i="3"/>
  <c r="X126" i="3"/>
  <c r="X127" i="3"/>
  <c r="X128" i="3"/>
  <c r="X129" i="3"/>
  <c r="X130" i="3"/>
  <c r="X131" i="3"/>
  <c r="X132" i="3"/>
  <c r="X133" i="3"/>
  <c r="X134" i="3"/>
  <c r="X135" i="3"/>
  <c r="X136" i="3"/>
  <c r="X137" i="3"/>
  <c r="X138" i="3"/>
  <c r="X139" i="3"/>
  <c r="X140" i="3"/>
  <c r="X141" i="3"/>
  <c r="X142" i="3"/>
  <c r="W58" i="3"/>
  <c r="W59" i="3"/>
  <c r="W60" i="3"/>
  <c r="W61" i="3"/>
  <c r="W62" i="3"/>
  <c r="W63" i="3"/>
  <c r="W64" i="3"/>
  <c r="W65" i="3"/>
  <c r="W66" i="3"/>
  <c r="W67" i="3"/>
  <c r="W68" i="3"/>
  <c r="W69" i="3"/>
  <c r="W70" i="3"/>
  <c r="W71" i="3"/>
  <c r="W72" i="3"/>
  <c r="W73" i="3"/>
  <c r="W74" i="3"/>
  <c r="W75" i="3"/>
  <c r="W76" i="3"/>
  <c r="W77" i="3"/>
  <c r="W91" i="3"/>
  <c r="W92" i="3"/>
  <c r="W93" i="3"/>
  <c r="W94" i="3"/>
  <c r="W95" i="3"/>
  <c r="W96" i="3"/>
  <c r="W97" i="3"/>
  <c r="W98" i="3"/>
  <c r="W99" i="3"/>
  <c r="W100" i="3"/>
  <c r="W101" i="3"/>
  <c r="W102" i="3"/>
  <c r="W103" i="3"/>
  <c r="W104" i="3"/>
  <c r="W105" i="3"/>
  <c r="W106" i="3"/>
  <c r="W107" i="3"/>
  <c r="W108" i="3"/>
  <c r="W109" i="3"/>
  <c r="W110" i="3"/>
  <c r="W123" i="3"/>
  <c r="W124" i="3"/>
  <c r="W125" i="3"/>
  <c r="W126" i="3"/>
  <c r="W127" i="3"/>
  <c r="W128" i="3"/>
  <c r="W129" i="3"/>
  <c r="W130" i="3"/>
  <c r="W131" i="3"/>
  <c r="W132" i="3"/>
  <c r="W133" i="3"/>
  <c r="W134" i="3"/>
  <c r="W135" i="3"/>
  <c r="W136" i="3"/>
  <c r="W137" i="3"/>
  <c r="W138" i="3"/>
  <c r="W139" i="3"/>
  <c r="W140" i="3"/>
  <c r="W141" i="3"/>
  <c r="W142" i="3"/>
  <c r="V186" i="3"/>
  <c r="V187" i="3"/>
  <c r="V188" i="3"/>
  <c r="V189" i="3"/>
  <c r="V190" i="3"/>
  <c r="V191" i="3"/>
  <c r="V192" i="3"/>
  <c r="V193" i="3"/>
  <c r="V194" i="3"/>
  <c r="V195" i="3"/>
  <c r="V196" i="3"/>
  <c r="V197" i="3"/>
  <c r="V198" i="3"/>
  <c r="V199" i="3"/>
  <c r="V200" i="3"/>
  <c r="V201" i="3"/>
  <c r="V202" i="3"/>
  <c r="V203" i="3"/>
  <c r="V204" i="3"/>
  <c r="V205" i="3"/>
  <c r="V206" i="3"/>
  <c r="V207" i="3"/>
  <c r="AL18" i="3"/>
  <c r="AZ59" i="3"/>
  <c r="AZ60" i="3"/>
  <c r="AZ61" i="3"/>
  <c r="AZ62" i="3"/>
  <c r="AZ63" i="3"/>
  <c r="AZ64" i="3"/>
  <c r="AZ65" i="3"/>
  <c r="AZ66" i="3"/>
  <c r="AZ67" i="3"/>
  <c r="AZ68" i="3"/>
  <c r="AZ69" i="3"/>
  <c r="AZ70" i="3"/>
  <c r="AZ71" i="3"/>
  <c r="AZ72" i="3"/>
  <c r="AZ73" i="3"/>
  <c r="AZ74" i="3"/>
  <c r="AZ75" i="3"/>
  <c r="AZ76" i="3"/>
  <c r="AZ77" i="3"/>
  <c r="AX58" i="3" l="1"/>
  <c r="AY58" i="3"/>
  <c r="AY59" i="3"/>
  <c r="AY60" i="3"/>
  <c r="AY61" i="3"/>
  <c r="AY62" i="3"/>
  <c r="AY63" i="3"/>
  <c r="AY64" i="3"/>
  <c r="AY65" i="3"/>
  <c r="AY66" i="3"/>
  <c r="AY67" i="3"/>
  <c r="AY68" i="3"/>
  <c r="AY69" i="3"/>
  <c r="AY70" i="3"/>
  <c r="AY71" i="3"/>
  <c r="AY72" i="3"/>
  <c r="AY73" i="3"/>
  <c r="AY74" i="3"/>
  <c r="AY75" i="3"/>
  <c r="AY76" i="3"/>
  <c r="AY77" i="3"/>
  <c r="L21" i="12"/>
  <c r="L20" i="12"/>
  <c r="L19" i="12"/>
  <c r="L18" i="12"/>
  <c r="L17" i="12"/>
  <c r="L16" i="12"/>
  <c r="L15" i="12"/>
  <c r="L14" i="12"/>
  <c r="L13" i="12"/>
  <c r="L12" i="12"/>
  <c r="L11" i="12"/>
  <c r="L10" i="12"/>
  <c r="L9" i="12"/>
  <c r="L8" i="12"/>
  <c r="L7" i="12"/>
  <c r="L6" i="12"/>
  <c r="L5" i="12"/>
  <c r="L4" i="12"/>
  <c r="L3" i="12"/>
  <c r="L2" i="12"/>
  <c r="L21" i="11"/>
  <c r="L20" i="11"/>
  <c r="L19" i="11"/>
  <c r="L18" i="11"/>
  <c r="L17" i="11"/>
  <c r="L16" i="11"/>
  <c r="L15" i="11"/>
  <c r="L14" i="11"/>
  <c r="L13" i="11"/>
  <c r="L12" i="11"/>
  <c r="L11" i="11"/>
  <c r="L10" i="11"/>
  <c r="L9" i="11"/>
  <c r="L8" i="11"/>
  <c r="L7" i="11"/>
  <c r="L6" i="11"/>
  <c r="L5" i="11"/>
  <c r="L4" i="11"/>
  <c r="L3" i="11"/>
  <c r="L2" i="11"/>
  <c r="L165" i="10"/>
  <c r="L164" i="10"/>
  <c r="L163" i="10"/>
  <c r="L162" i="10"/>
  <c r="L161" i="10"/>
  <c r="L160" i="10"/>
  <c r="L159" i="10"/>
  <c r="L158" i="10"/>
  <c r="L157" i="10"/>
  <c r="L156" i="10"/>
  <c r="L155" i="10"/>
  <c r="L154" i="10"/>
  <c r="L153" i="10"/>
  <c r="L152" i="10"/>
  <c r="L151" i="10"/>
  <c r="L150" i="10"/>
  <c r="L149" i="10"/>
  <c r="L148" i="10"/>
  <c r="L147" i="10"/>
  <c r="L146" i="10"/>
  <c r="L141" i="10"/>
  <c r="L140" i="10"/>
  <c r="L139" i="10"/>
  <c r="L138" i="10"/>
  <c r="L137" i="10"/>
  <c r="L136" i="10"/>
  <c r="L135" i="10"/>
  <c r="L134" i="10"/>
  <c r="L133" i="10"/>
  <c r="L132" i="10"/>
  <c r="L131" i="10"/>
  <c r="L130" i="10"/>
  <c r="L129" i="10"/>
  <c r="L128" i="10"/>
  <c r="L127" i="10"/>
  <c r="L126" i="10"/>
  <c r="L125" i="10"/>
  <c r="L124" i="10"/>
  <c r="L123" i="10"/>
  <c r="L122" i="10"/>
  <c r="L117" i="10"/>
  <c r="L116" i="10"/>
  <c r="L115" i="10"/>
  <c r="L114" i="10"/>
  <c r="L113" i="10"/>
  <c r="L112" i="10"/>
  <c r="L111" i="10"/>
  <c r="L110" i="10"/>
  <c r="L109" i="10"/>
  <c r="L108" i="10"/>
  <c r="L107" i="10"/>
  <c r="L106" i="10"/>
  <c r="L105" i="10"/>
  <c r="L104" i="10"/>
  <c r="L103" i="10"/>
  <c r="L102" i="10"/>
  <c r="L101" i="10"/>
  <c r="L100" i="10"/>
  <c r="L99" i="10"/>
  <c r="L98" i="10"/>
  <c r="L93" i="10"/>
  <c r="L92" i="10"/>
  <c r="L91" i="10"/>
  <c r="L90" i="10"/>
  <c r="L89" i="10"/>
  <c r="L88" i="10"/>
  <c r="L87" i="10"/>
  <c r="L86" i="10"/>
  <c r="L85" i="10"/>
  <c r="L84" i="10"/>
  <c r="L83" i="10"/>
  <c r="L82" i="10"/>
  <c r="L81" i="10"/>
  <c r="L80" i="10"/>
  <c r="L79" i="10"/>
  <c r="L78" i="10"/>
  <c r="L77" i="10"/>
  <c r="L76" i="10"/>
  <c r="L75" i="10"/>
  <c r="L74" i="10"/>
  <c r="L69" i="10"/>
  <c r="L68" i="10"/>
  <c r="L67" i="10"/>
  <c r="L66" i="10"/>
  <c r="L65" i="10"/>
  <c r="L64" i="10"/>
  <c r="L63" i="10"/>
  <c r="L62" i="10"/>
  <c r="L61" i="10"/>
  <c r="L60" i="10"/>
  <c r="L59" i="10"/>
  <c r="L58" i="10"/>
  <c r="L57" i="10"/>
  <c r="L56" i="10"/>
  <c r="L55" i="10"/>
  <c r="L54" i="10"/>
  <c r="L53" i="10"/>
  <c r="L52" i="10"/>
  <c r="L51" i="10"/>
  <c r="L50" i="10"/>
  <c r="L45" i="10"/>
  <c r="L44" i="10"/>
  <c r="L43" i="10"/>
  <c r="L42" i="10"/>
  <c r="L41" i="10"/>
  <c r="L40" i="10"/>
  <c r="L39" i="10"/>
  <c r="L38" i="10"/>
  <c r="L37" i="10"/>
  <c r="L36" i="10"/>
  <c r="L35" i="10"/>
  <c r="L34" i="10"/>
  <c r="L33" i="10"/>
  <c r="L32" i="10"/>
  <c r="L31" i="10"/>
  <c r="L30" i="10"/>
  <c r="L29" i="10"/>
  <c r="L28" i="10"/>
  <c r="L27" i="10"/>
  <c r="L26" i="10"/>
  <c r="L22" i="10"/>
  <c r="L21" i="10"/>
  <c r="L20" i="10"/>
  <c r="L19" i="10"/>
  <c r="L18" i="10"/>
  <c r="L17" i="10"/>
  <c r="L16" i="10"/>
  <c r="L15" i="10"/>
  <c r="L14" i="10"/>
  <c r="L13" i="10"/>
  <c r="L12" i="10"/>
  <c r="L11" i="10"/>
  <c r="L10" i="10"/>
  <c r="L9" i="10"/>
  <c r="L8" i="10"/>
  <c r="L7" i="10"/>
  <c r="L6" i="10"/>
  <c r="L5" i="10"/>
  <c r="L4" i="10"/>
  <c r="L3" i="10"/>
  <c r="BL178" i="4"/>
  <c r="BD178" i="4"/>
  <c r="AV178" i="4"/>
  <c r="BT158" i="4" s="1"/>
  <c r="AP178" i="4"/>
  <c r="Y178" i="4"/>
  <c r="R178" i="4"/>
  <c r="Q178" i="4"/>
  <c r="F178" i="4"/>
  <c r="BL177" i="4"/>
  <c r="BD177" i="4"/>
  <c r="AV177" i="4"/>
  <c r="AP177" i="4"/>
  <c r="Y177" i="4"/>
  <c r="R177" i="4"/>
  <c r="Q177" i="4"/>
  <c r="BT157" i="4" s="1"/>
  <c r="F177" i="4"/>
  <c r="BL176" i="4"/>
  <c r="BD176" i="4"/>
  <c r="AV176" i="4"/>
  <c r="AP176" i="4"/>
  <c r="Y176" i="4"/>
  <c r="Q176" i="4"/>
  <c r="F176" i="4"/>
  <c r="BL175" i="4"/>
  <c r="BD175" i="4"/>
  <c r="AV175" i="4"/>
  <c r="AP175" i="4"/>
  <c r="Y175" i="4"/>
  <c r="Q175" i="4"/>
  <c r="F175" i="4"/>
  <c r="BL174" i="4"/>
  <c r="BD174" i="4"/>
  <c r="AV174" i="4"/>
  <c r="AP174" i="4"/>
  <c r="Y174" i="4"/>
  <c r="Q174" i="4"/>
  <c r="F174" i="4"/>
  <c r="BL173" i="4"/>
  <c r="BD173" i="4"/>
  <c r="AV173" i="4"/>
  <c r="AP173" i="4"/>
  <c r="Y173" i="4"/>
  <c r="Q173" i="4"/>
  <c r="F173" i="4"/>
  <c r="BL172" i="4"/>
  <c r="BD172" i="4"/>
  <c r="AV172" i="4"/>
  <c r="AP172" i="4"/>
  <c r="Y172" i="4"/>
  <c r="Q172" i="4"/>
  <c r="F172" i="4"/>
  <c r="BL171" i="4"/>
  <c r="BD171" i="4"/>
  <c r="AV171" i="4"/>
  <c r="AP171" i="4"/>
  <c r="Y171" i="4"/>
  <c r="Q171" i="4"/>
  <c r="F171" i="4"/>
  <c r="BL170" i="4"/>
  <c r="BD170" i="4"/>
  <c r="AV170" i="4"/>
  <c r="AP170" i="4"/>
  <c r="Y170" i="4"/>
  <c r="Q170" i="4"/>
  <c r="F170" i="4"/>
  <c r="BL169" i="4"/>
  <c r="BD169" i="4"/>
  <c r="AV169" i="4"/>
  <c r="AP169" i="4"/>
  <c r="Y169" i="4"/>
  <c r="Q169" i="4"/>
  <c r="F169" i="4"/>
  <c r="BL168" i="4"/>
  <c r="BD168" i="4"/>
  <c r="AV168" i="4"/>
  <c r="AP168" i="4"/>
  <c r="Y168" i="4"/>
  <c r="Q168" i="4"/>
  <c r="F168" i="4"/>
  <c r="BL167" i="4"/>
  <c r="BD167" i="4"/>
  <c r="AV167" i="4"/>
  <c r="AP167" i="4"/>
  <c r="Y167" i="4"/>
  <c r="Q167" i="4"/>
  <c r="F167" i="4"/>
  <c r="BL166" i="4"/>
  <c r="BD166" i="4"/>
  <c r="AV166" i="4"/>
  <c r="AP166" i="4"/>
  <c r="Y166" i="4"/>
  <c r="Q166" i="4"/>
  <c r="F166" i="4"/>
  <c r="BL165" i="4"/>
  <c r="BD165" i="4"/>
  <c r="AV165" i="4"/>
  <c r="AP165" i="4"/>
  <c r="Y165" i="4"/>
  <c r="Q165" i="4"/>
  <c r="F165" i="4"/>
  <c r="BL164" i="4"/>
  <c r="BD164" i="4"/>
  <c r="AV164" i="4"/>
  <c r="AP164" i="4"/>
  <c r="Y164" i="4"/>
  <c r="Q164" i="4"/>
  <c r="F164" i="4"/>
  <c r="BL163" i="4"/>
  <c r="BD163" i="4"/>
  <c r="AV163" i="4"/>
  <c r="AP163" i="4"/>
  <c r="Y163" i="4"/>
  <c r="Q163" i="4"/>
  <c r="F163" i="4"/>
  <c r="BL162" i="4"/>
  <c r="BD162" i="4"/>
  <c r="AV162" i="4"/>
  <c r="AP162" i="4"/>
  <c r="Y162" i="4"/>
  <c r="Q162" i="4"/>
  <c r="F162" i="4"/>
  <c r="BL161" i="4"/>
  <c r="BD161" i="4"/>
  <c r="AV161" i="4"/>
  <c r="AP161" i="4"/>
  <c r="Y161" i="4"/>
  <c r="Q161" i="4"/>
  <c r="F161" i="4"/>
  <c r="BL160" i="4"/>
  <c r="BD160" i="4"/>
  <c r="AV160" i="4"/>
  <c r="AP160" i="4"/>
  <c r="Y160" i="4"/>
  <c r="Q160" i="4"/>
  <c r="F160" i="4"/>
  <c r="BL159" i="4"/>
  <c r="BD159" i="4"/>
  <c r="AV159" i="4"/>
  <c r="AP159" i="4"/>
  <c r="Y159" i="4"/>
  <c r="Q159" i="4"/>
  <c r="F159" i="4"/>
  <c r="BL158" i="4"/>
  <c r="BD158" i="4"/>
  <c r="AV158" i="4"/>
  <c r="AP158" i="4"/>
  <c r="Y158" i="4"/>
  <c r="Q158" i="4"/>
  <c r="F158" i="4"/>
  <c r="BL157" i="4"/>
  <c r="BD157" i="4"/>
  <c r="AV157" i="4"/>
  <c r="AP157" i="4"/>
  <c r="Y157" i="4"/>
  <c r="Q157" i="4"/>
  <c r="F157" i="4"/>
  <c r="BZ150" i="4"/>
  <c r="BP150" i="4"/>
  <c r="BF150" i="4"/>
  <c r="AV150" i="4"/>
  <c r="AK150" i="4"/>
  <c r="R150" i="4"/>
  <c r="B150" i="4"/>
  <c r="CD147" i="4"/>
  <c r="BZ147" i="4"/>
  <c r="BT147" i="4"/>
  <c r="BP147" i="4"/>
  <c r="BJ147" i="4"/>
  <c r="BF147" i="4"/>
  <c r="AZ147" i="4"/>
  <c r="AV147" i="4"/>
  <c r="AO147" i="4"/>
  <c r="AK147" i="4"/>
  <c r="V147" i="4"/>
  <c r="R147" i="4"/>
  <c r="F147" i="4"/>
  <c r="B147" i="4"/>
  <c r="CD146" i="4"/>
  <c r="BZ146" i="4"/>
  <c r="BT146" i="4"/>
  <c r="BP146" i="4"/>
  <c r="BJ146" i="4"/>
  <c r="BF146" i="4"/>
  <c r="AZ146" i="4"/>
  <c r="AV146" i="4"/>
  <c r="AO146" i="4"/>
  <c r="AK146" i="4"/>
  <c r="V146" i="4"/>
  <c r="R146" i="4"/>
  <c r="F146" i="4"/>
  <c r="B146" i="4"/>
  <c r="CD145" i="4"/>
  <c r="CC145" i="4"/>
  <c r="CB145" i="4"/>
  <c r="CA145" i="4"/>
  <c r="BZ145" i="4"/>
  <c r="BT145" i="4"/>
  <c r="BS145" i="4"/>
  <c r="BR145" i="4"/>
  <c r="BQ145" i="4"/>
  <c r="BP145" i="4"/>
  <c r="BJ145" i="4"/>
  <c r="BI145" i="4"/>
  <c r="BH145" i="4"/>
  <c r="BG145" i="4"/>
  <c r="BF145" i="4"/>
  <c r="AZ145" i="4"/>
  <c r="AY145" i="4"/>
  <c r="AX145" i="4"/>
  <c r="AW145" i="4"/>
  <c r="AV145" i="4"/>
  <c r="AO145" i="4"/>
  <c r="AN145" i="4"/>
  <c r="AM145" i="4"/>
  <c r="AL145" i="4"/>
  <c r="AK145" i="4"/>
  <c r="V145" i="4"/>
  <c r="U145" i="4"/>
  <c r="T145" i="4"/>
  <c r="S145" i="4"/>
  <c r="R145" i="4"/>
  <c r="F145" i="4"/>
  <c r="E145" i="4"/>
  <c r="D145" i="4"/>
  <c r="C145" i="4"/>
  <c r="B145" i="4"/>
  <c r="CD144" i="4"/>
  <c r="CC144" i="4"/>
  <c r="CB144" i="4"/>
  <c r="CA144" i="4"/>
  <c r="BZ144" i="4"/>
  <c r="BT144" i="4"/>
  <c r="BS144" i="4"/>
  <c r="BR144" i="4"/>
  <c r="BQ144" i="4"/>
  <c r="BP144" i="4"/>
  <c r="BJ144" i="4"/>
  <c r="BI144" i="4"/>
  <c r="BH144" i="4"/>
  <c r="BG144" i="4"/>
  <c r="BF144" i="4"/>
  <c r="AZ144" i="4"/>
  <c r="AY144" i="4"/>
  <c r="AX144" i="4"/>
  <c r="AW144" i="4"/>
  <c r="AV144" i="4"/>
  <c r="AO144" i="4"/>
  <c r="AN144" i="4"/>
  <c r="AM144" i="4"/>
  <c r="AL144" i="4"/>
  <c r="AK144" i="4"/>
  <c r="V144" i="4"/>
  <c r="U144" i="4"/>
  <c r="T144" i="4"/>
  <c r="S144" i="4"/>
  <c r="R144" i="4"/>
  <c r="F144" i="4"/>
  <c r="E144" i="4"/>
  <c r="D144" i="4"/>
  <c r="C144" i="4"/>
  <c r="B144" i="4"/>
  <c r="CJ118" i="4"/>
  <c r="BZ118" i="4"/>
  <c r="BP118" i="4"/>
  <c r="BF118" i="4"/>
  <c r="AV118" i="4"/>
  <c r="AK118" i="4"/>
  <c r="R118" i="4"/>
  <c r="B118" i="4"/>
  <c r="CN115" i="4"/>
  <c r="CJ115" i="4"/>
  <c r="CD115" i="4"/>
  <c r="BZ115" i="4"/>
  <c r="BT115" i="4"/>
  <c r="BP115" i="4"/>
  <c r="BJ115" i="4"/>
  <c r="BF115" i="4"/>
  <c r="AZ115" i="4"/>
  <c r="AV115" i="4"/>
  <c r="AO115" i="4"/>
  <c r="AK115" i="4"/>
  <c r="V115" i="4"/>
  <c r="R115" i="4"/>
  <c r="F115" i="4"/>
  <c r="B115" i="4"/>
  <c r="CN114" i="4"/>
  <c r="CJ114" i="4"/>
  <c r="CD114" i="4"/>
  <c r="BZ114" i="4"/>
  <c r="BT114" i="4"/>
  <c r="BP114" i="4"/>
  <c r="BJ114" i="4"/>
  <c r="BF114" i="4"/>
  <c r="AZ114" i="4"/>
  <c r="AV114" i="4"/>
  <c r="AO114" i="4"/>
  <c r="AK114" i="4"/>
  <c r="V114" i="4"/>
  <c r="R114" i="4"/>
  <c r="F114" i="4"/>
  <c r="B114" i="4"/>
  <c r="CN113" i="4"/>
  <c r="CM113" i="4"/>
  <c r="CL113" i="4"/>
  <c r="CK113" i="4"/>
  <c r="CJ113" i="4"/>
  <c r="CD113" i="4"/>
  <c r="CC113" i="4"/>
  <c r="CB113" i="4"/>
  <c r="CA113" i="4"/>
  <c r="BZ113" i="4"/>
  <c r="BT113" i="4"/>
  <c r="BS113" i="4"/>
  <c r="BR113" i="4"/>
  <c r="BQ113" i="4"/>
  <c r="BP113" i="4"/>
  <c r="BJ113" i="4"/>
  <c r="BI113" i="4"/>
  <c r="BH113" i="4"/>
  <c r="BG113" i="4"/>
  <c r="BF113" i="4"/>
  <c r="AZ113" i="4"/>
  <c r="AY113" i="4"/>
  <c r="AX113" i="4"/>
  <c r="AW113" i="4"/>
  <c r="AV113" i="4"/>
  <c r="AO113" i="4"/>
  <c r="AN113" i="4"/>
  <c r="AM113" i="4"/>
  <c r="AL113" i="4"/>
  <c r="AK113" i="4"/>
  <c r="V113" i="4"/>
  <c r="U113" i="4"/>
  <c r="T113" i="4"/>
  <c r="S113" i="4"/>
  <c r="R113" i="4"/>
  <c r="F113" i="4"/>
  <c r="E113" i="4"/>
  <c r="D113" i="4"/>
  <c r="C113" i="4"/>
  <c r="B113" i="4"/>
  <c r="CN112" i="4"/>
  <c r="CM112" i="4"/>
  <c r="CL112" i="4"/>
  <c r="CK112" i="4"/>
  <c r="CJ112" i="4"/>
  <c r="CD112" i="4"/>
  <c r="CC112" i="4"/>
  <c r="CB112" i="4"/>
  <c r="CA112" i="4"/>
  <c r="BZ112" i="4"/>
  <c r="BT112" i="4"/>
  <c r="BS112" i="4"/>
  <c r="BR112" i="4"/>
  <c r="BQ112" i="4"/>
  <c r="BP112" i="4"/>
  <c r="BJ112" i="4"/>
  <c r="BI112" i="4"/>
  <c r="BH112" i="4"/>
  <c r="BG112" i="4"/>
  <c r="BF112" i="4"/>
  <c r="AZ112" i="4"/>
  <c r="AY112" i="4"/>
  <c r="AX112" i="4"/>
  <c r="AW112" i="4"/>
  <c r="AV112" i="4"/>
  <c r="AO112" i="4"/>
  <c r="AN112" i="4"/>
  <c r="AM112" i="4"/>
  <c r="AL112" i="4"/>
  <c r="AK112" i="4"/>
  <c r="V112" i="4"/>
  <c r="U112" i="4"/>
  <c r="T112" i="4"/>
  <c r="S112" i="4"/>
  <c r="R112" i="4"/>
  <c r="F112" i="4"/>
  <c r="E112" i="4"/>
  <c r="D112" i="4"/>
  <c r="C112" i="4"/>
  <c r="B112" i="4"/>
  <c r="CJ85" i="4"/>
  <c r="BZ85" i="4"/>
  <c r="BP85" i="4"/>
  <c r="BF85" i="4"/>
  <c r="AV85" i="4"/>
  <c r="AK85" i="4"/>
  <c r="R85" i="4"/>
  <c r="B85" i="4"/>
  <c r="CN82" i="4"/>
  <c r="CJ82" i="4"/>
  <c r="CD82" i="4"/>
  <c r="BZ82" i="4"/>
  <c r="BT82" i="4"/>
  <c r="BP82" i="4"/>
  <c r="BJ82" i="4"/>
  <c r="BF82" i="4"/>
  <c r="AZ82" i="4"/>
  <c r="AV82" i="4"/>
  <c r="AO82" i="4"/>
  <c r="AK82" i="4"/>
  <c r="V82" i="4"/>
  <c r="R82" i="4"/>
  <c r="F82" i="4"/>
  <c r="B82" i="4"/>
  <c r="CN81" i="4"/>
  <c r="CJ81" i="4"/>
  <c r="CD81" i="4"/>
  <c r="BZ81" i="4"/>
  <c r="BT81" i="4"/>
  <c r="BP81" i="4"/>
  <c r="BJ81" i="4"/>
  <c r="BF81" i="4"/>
  <c r="AZ81" i="4"/>
  <c r="AV81" i="4"/>
  <c r="AO81" i="4"/>
  <c r="AK81" i="4"/>
  <c r="V81" i="4"/>
  <c r="R81" i="4"/>
  <c r="F81" i="4"/>
  <c r="B81" i="4"/>
  <c r="CN80" i="4"/>
  <c r="CM80" i="4"/>
  <c r="CL80" i="4"/>
  <c r="CK80" i="4"/>
  <c r="CJ80" i="4"/>
  <c r="CD80" i="4"/>
  <c r="CC80" i="4"/>
  <c r="CB80" i="4"/>
  <c r="CA80" i="4"/>
  <c r="BZ80" i="4"/>
  <c r="BT80" i="4"/>
  <c r="BS80" i="4"/>
  <c r="BR80" i="4"/>
  <c r="BQ80" i="4"/>
  <c r="BP80" i="4"/>
  <c r="BJ80" i="4"/>
  <c r="BI80" i="4"/>
  <c r="BH80" i="4"/>
  <c r="BG80" i="4"/>
  <c r="BF80" i="4"/>
  <c r="AZ80" i="4"/>
  <c r="AY80" i="4"/>
  <c r="AX80" i="4"/>
  <c r="AW80" i="4"/>
  <c r="AV80" i="4"/>
  <c r="AO80" i="4"/>
  <c r="AN80" i="4"/>
  <c r="AM80" i="4"/>
  <c r="AL80" i="4"/>
  <c r="AK80" i="4"/>
  <c r="V80" i="4"/>
  <c r="U80" i="4"/>
  <c r="T80" i="4"/>
  <c r="S80" i="4"/>
  <c r="R80" i="4"/>
  <c r="F80" i="4"/>
  <c r="E80" i="4"/>
  <c r="D80" i="4"/>
  <c r="C80" i="4"/>
  <c r="B80" i="4"/>
  <c r="CN79" i="4"/>
  <c r="CM79" i="4"/>
  <c r="CL79" i="4"/>
  <c r="CK79" i="4"/>
  <c r="CJ79" i="4"/>
  <c r="CD79" i="4"/>
  <c r="CC79" i="4"/>
  <c r="CB79" i="4"/>
  <c r="CA79" i="4"/>
  <c r="BZ79" i="4"/>
  <c r="BT79" i="4"/>
  <c r="BS79" i="4"/>
  <c r="BR79" i="4"/>
  <c r="BQ79" i="4"/>
  <c r="BP79" i="4"/>
  <c r="BJ79" i="4"/>
  <c r="BI79" i="4"/>
  <c r="BH79" i="4"/>
  <c r="BG79" i="4"/>
  <c r="BF79" i="4"/>
  <c r="AZ79" i="4"/>
  <c r="AY79" i="4"/>
  <c r="AX79" i="4"/>
  <c r="AW79" i="4"/>
  <c r="AV79" i="4"/>
  <c r="AO79" i="4"/>
  <c r="AN79" i="4"/>
  <c r="AM79" i="4"/>
  <c r="AL79" i="4"/>
  <c r="AK79" i="4"/>
  <c r="V79" i="4"/>
  <c r="U79" i="4"/>
  <c r="T79" i="4"/>
  <c r="S79" i="4"/>
  <c r="R79" i="4"/>
  <c r="F79" i="4"/>
  <c r="E79" i="4"/>
  <c r="D79" i="4"/>
  <c r="C79" i="4"/>
  <c r="B79" i="4"/>
  <c r="AZ54" i="4"/>
  <c r="AY54" i="4"/>
  <c r="AX54" i="4"/>
  <c r="AW54" i="4"/>
  <c r="AV54" i="4"/>
  <c r="CJ35" i="4"/>
  <c r="BZ35" i="4"/>
  <c r="BP35" i="4"/>
  <c r="BF35" i="4"/>
  <c r="AV35" i="4"/>
  <c r="AK35" i="4"/>
  <c r="R35" i="4"/>
  <c r="B35" i="4"/>
  <c r="CN32" i="4"/>
  <c r="CJ32" i="4"/>
  <c r="CD32" i="4"/>
  <c r="CC32" i="4"/>
  <c r="CB32" i="4"/>
  <c r="CA32" i="4"/>
  <c r="BZ32" i="4"/>
  <c r="BT32" i="4"/>
  <c r="BP32" i="4"/>
  <c r="BJ32" i="4"/>
  <c r="BF32" i="4"/>
  <c r="AZ32" i="4"/>
  <c r="AY32" i="4"/>
  <c r="AX32" i="4"/>
  <c r="AW32" i="4"/>
  <c r="AV32" i="4"/>
  <c r="AO32" i="4"/>
  <c r="AK32" i="4"/>
  <c r="V32" i="4"/>
  <c r="R32" i="4"/>
  <c r="F32" i="4"/>
  <c r="B32" i="4"/>
  <c r="CN31" i="4"/>
  <c r="CJ31" i="4"/>
  <c r="CD31" i="4"/>
  <c r="CC31" i="4"/>
  <c r="CB31" i="4"/>
  <c r="CA31" i="4"/>
  <c r="BZ31" i="4"/>
  <c r="BT31" i="4"/>
  <c r="BP31" i="4"/>
  <c r="BJ31" i="4"/>
  <c r="BF31" i="4"/>
  <c r="AZ31" i="4"/>
  <c r="AY31" i="4"/>
  <c r="AX31" i="4"/>
  <c r="AW31" i="4"/>
  <c r="AV31" i="4"/>
  <c r="AO31" i="4"/>
  <c r="AK31" i="4"/>
  <c r="V31" i="4"/>
  <c r="R31" i="4"/>
  <c r="F31" i="4"/>
  <c r="B31" i="4"/>
  <c r="CN29" i="4"/>
  <c r="CM29" i="4"/>
  <c r="CL29" i="4"/>
  <c r="CK29" i="4"/>
  <c r="CJ29" i="4"/>
  <c r="CD29" i="4"/>
  <c r="CC29" i="4"/>
  <c r="CB29" i="4"/>
  <c r="CA29" i="4"/>
  <c r="BZ29" i="4"/>
  <c r="BT29" i="4"/>
  <c r="BQ29" i="4"/>
  <c r="BP29" i="4"/>
  <c r="BJ29" i="4"/>
  <c r="BI29" i="4"/>
  <c r="BH29" i="4"/>
  <c r="BG29" i="4"/>
  <c r="BF29" i="4"/>
  <c r="AZ29" i="4"/>
  <c r="AY29" i="4"/>
  <c r="AX29" i="4"/>
  <c r="AW29" i="4"/>
  <c r="AV29" i="4"/>
  <c r="AO29" i="4"/>
  <c r="AN29" i="4"/>
  <c r="AM29" i="4"/>
  <c r="AL29" i="4"/>
  <c r="AK29" i="4"/>
  <c r="V29" i="4"/>
  <c r="U29" i="4"/>
  <c r="T29" i="4"/>
  <c r="S29" i="4"/>
  <c r="R29" i="4"/>
  <c r="F29" i="4"/>
  <c r="E29" i="4"/>
  <c r="D29" i="4"/>
  <c r="C29" i="4"/>
  <c r="B29" i="4"/>
  <c r="CN28" i="4"/>
  <c r="CM28" i="4"/>
  <c r="CL28" i="4"/>
  <c r="CK28" i="4"/>
  <c r="CJ28" i="4"/>
  <c r="CD28" i="4"/>
  <c r="CC28" i="4"/>
  <c r="CB28" i="4"/>
  <c r="CA28" i="4"/>
  <c r="BZ28" i="4"/>
  <c r="BT28" i="4"/>
  <c r="BQ28" i="4"/>
  <c r="BP28" i="4"/>
  <c r="BJ28" i="4"/>
  <c r="BI28" i="4"/>
  <c r="BH28" i="4"/>
  <c r="BG28" i="4"/>
  <c r="BF28" i="4"/>
  <c r="AZ28" i="4"/>
  <c r="AY28" i="4"/>
  <c r="AX28" i="4"/>
  <c r="AW28" i="4"/>
  <c r="AV28" i="4"/>
  <c r="AO28" i="4"/>
  <c r="AN28" i="4"/>
  <c r="AM28" i="4"/>
  <c r="AL28" i="4"/>
  <c r="AK28" i="4"/>
  <c r="V28" i="4"/>
  <c r="U28" i="4"/>
  <c r="T28" i="4"/>
  <c r="S28" i="4"/>
  <c r="R28" i="4"/>
  <c r="F28" i="4"/>
  <c r="E28" i="4"/>
  <c r="D28" i="4"/>
  <c r="C28" i="4"/>
  <c r="B28" i="4"/>
  <c r="BC27" i="4"/>
  <c r="AS27" i="4"/>
  <c r="AR27" i="4"/>
  <c r="AH27" i="4"/>
  <c r="AG27" i="4"/>
  <c r="AF27" i="4"/>
  <c r="AE27" i="4"/>
  <c r="AD27" i="4"/>
  <c r="AC27" i="4"/>
  <c r="Z27" i="4"/>
  <c r="Y27" i="4"/>
  <c r="P27" i="4"/>
  <c r="O27" i="4"/>
  <c r="N27" i="4"/>
  <c r="M27" i="4"/>
  <c r="K27" i="4"/>
  <c r="J27" i="4"/>
  <c r="I27" i="4"/>
  <c r="BC26" i="4"/>
  <c r="AS26" i="4"/>
  <c r="AR26" i="4"/>
  <c r="AH26" i="4"/>
  <c r="AG26" i="4"/>
  <c r="AF26" i="4"/>
  <c r="AE26" i="4"/>
  <c r="AD26" i="4"/>
  <c r="AC26" i="4"/>
  <c r="Z26" i="4"/>
  <c r="Y26" i="4"/>
  <c r="P26" i="4"/>
  <c r="O26" i="4"/>
  <c r="N26" i="4"/>
  <c r="M26" i="4"/>
  <c r="K26" i="4"/>
  <c r="J26" i="4"/>
  <c r="I26" i="4"/>
  <c r="BC25" i="4"/>
  <c r="AS25" i="4"/>
  <c r="AR25" i="4"/>
  <c r="AH25" i="4"/>
  <c r="AG25" i="4"/>
  <c r="AF25" i="4"/>
  <c r="AI25" i="4" s="1"/>
  <c r="AE25" i="4"/>
  <c r="AD25" i="4"/>
  <c r="AC25" i="4"/>
  <c r="Z25" i="4"/>
  <c r="Y25" i="4"/>
  <c r="P25" i="4"/>
  <c r="O25" i="4"/>
  <c r="N25" i="4"/>
  <c r="M25" i="4"/>
  <c r="K25" i="4"/>
  <c r="J25" i="4"/>
  <c r="I25" i="4"/>
  <c r="BC24" i="4"/>
  <c r="AS24" i="4"/>
  <c r="AR24" i="4"/>
  <c r="AH24" i="4"/>
  <c r="AG24" i="4"/>
  <c r="AF24" i="4"/>
  <c r="AI24" i="4" s="1"/>
  <c r="AE24" i="4"/>
  <c r="AD24" i="4"/>
  <c r="AC24" i="4"/>
  <c r="Z24" i="4"/>
  <c r="Y24" i="4"/>
  <c r="P24" i="4"/>
  <c r="O24" i="4"/>
  <c r="N24" i="4"/>
  <c r="M24" i="4"/>
  <c r="K24" i="4"/>
  <c r="J24" i="4"/>
  <c r="I24" i="4"/>
  <c r="BC23" i="4"/>
  <c r="AS23" i="4"/>
  <c r="AR23" i="4"/>
  <c r="AH23" i="4"/>
  <c r="AG23" i="4"/>
  <c r="AF23" i="4"/>
  <c r="AE23" i="4"/>
  <c r="AD23" i="4"/>
  <c r="AC23" i="4"/>
  <c r="Z23" i="4"/>
  <c r="Y23" i="4"/>
  <c r="P23" i="4"/>
  <c r="O23" i="4"/>
  <c r="N23" i="4"/>
  <c r="M23" i="4"/>
  <c r="K23" i="4"/>
  <c r="J23" i="4"/>
  <c r="I23" i="4"/>
  <c r="BC22" i="4"/>
  <c r="AS22" i="4"/>
  <c r="AR22" i="4"/>
  <c r="AH22" i="4"/>
  <c r="AG22" i="4"/>
  <c r="AF22" i="4"/>
  <c r="AE22" i="4"/>
  <c r="AD22" i="4"/>
  <c r="AC22" i="4"/>
  <c r="Z22" i="4"/>
  <c r="Y22" i="4"/>
  <c r="P22" i="4"/>
  <c r="O22" i="4"/>
  <c r="N22" i="4"/>
  <c r="M22" i="4"/>
  <c r="K22" i="4"/>
  <c r="J22" i="4"/>
  <c r="I22" i="4"/>
  <c r="BC21" i="4"/>
  <c r="AS21" i="4"/>
  <c r="AR21" i="4"/>
  <c r="AH21" i="4"/>
  <c r="AG21" i="4"/>
  <c r="AF21" i="4"/>
  <c r="AE21" i="4"/>
  <c r="AD21" i="4"/>
  <c r="AC21" i="4"/>
  <c r="Z21" i="4"/>
  <c r="Y21" i="4"/>
  <c r="P21" i="4"/>
  <c r="O21" i="4"/>
  <c r="N21" i="4"/>
  <c r="M21" i="4"/>
  <c r="K21" i="4"/>
  <c r="J21" i="4"/>
  <c r="I21" i="4"/>
  <c r="BC20" i="4"/>
  <c r="AS20" i="4"/>
  <c r="AR20" i="4"/>
  <c r="AH20" i="4"/>
  <c r="AG20" i="4"/>
  <c r="AF20" i="4"/>
  <c r="AI20" i="4" s="1"/>
  <c r="AE20" i="4"/>
  <c r="AD20" i="4"/>
  <c r="AC20" i="4"/>
  <c r="Z20" i="4"/>
  <c r="Y20" i="4"/>
  <c r="P20" i="4"/>
  <c r="O20" i="4"/>
  <c r="N20" i="4"/>
  <c r="M20" i="4"/>
  <c r="K20" i="4"/>
  <c r="J20" i="4"/>
  <c r="I20" i="4"/>
  <c r="BC19" i="4"/>
  <c r="AS19" i="4"/>
  <c r="AR19" i="4"/>
  <c r="AH19" i="4"/>
  <c r="AG19" i="4"/>
  <c r="AF19" i="4"/>
  <c r="AI19" i="4" s="1"/>
  <c r="AE19" i="4"/>
  <c r="AD19" i="4"/>
  <c r="AC19" i="4"/>
  <c r="Z19" i="4"/>
  <c r="Y19" i="4"/>
  <c r="P19" i="4"/>
  <c r="O19" i="4"/>
  <c r="N19" i="4"/>
  <c r="M19" i="4"/>
  <c r="K19" i="4"/>
  <c r="J19" i="4"/>
  <c r="I19" i="4"/>
  <c r="BC18" i="4"/>
  <c r="AS18" i="4"/>
  <c r="AR18" i="4"/>
  <c r="AH18" i="4"/>
  <c r="AG18" i="4"/>
  <c r="AF18" i="4"/>
  <c r="AE18" i="4"/>
  <c r="AD18" i="4"/>
  <c r="AC18" i="4"/>
  <c r="Z18" i="4"/>
  <c r="Y18" i="4"/>
  <c r="P18" i="4"/>
  <c r="O18" i="4"/>
  <c r="N18" i="4"/>
  <c r="M18" i="4"/>
  <c r="K18" i="4"/>
  <c r="J18" i="4"/>
  <c r="I18" i="4"/>
  <c r="BC17" i="4"/>
  <c r="AS17" i="4"/>
  <c r="AR17" i="4"/>
  <c r="AH17" i="4"/>
  <c r="AG17" i="4"/>
  <c r="AF17" i="4"/>
  <c r="AI17" i="4" s="1"/>
  <c r="AE17" i="4"/>
  <c r="AD17" i="4"/>
  <c r="AC17" i="4"/>
  <c r="Z17" i="4"/>
  <c r="Y17" i="4"/>
  <c r="P17" i="4"/>
  <c r="O17" i="4"/>
  <c r="N17" i="4"/>
  <c r="M17" i="4"/>
  <c r="K17" i="4"/>
  <c r="J17" i="4"/>
  <c r="I17" i="4"/>
  <c r="BC16" i="4"/>
  <c r="AS16" i="4"/>
  <c r="AR16" i="4"/>
  <c r="AH16" i="4"/>
  <c r="AG16" i="4"/>
  <c r="AF16" i="4"/>
  <c r="AI16" i="4" s="1"/>
  <c r="AE16" i="4"/>
  <c r="AD16" i="4"/>
  <c r="AC16" i="4"/>
  <c r="Z16" i="4"/>
  <c r="Y16" i="4"/>
  <c r="P16" i="4"/>
  <c r="O16" i="4"/>
  <c r="N16" i="4"/>
  <c r="M16" i="4"/>
  <c r="K16" i="4"/>
  <c r="J16" i="4"/>
  <c r="I16" i="4"/>
  <c r="BC15" i="4"/>
  <c r="AS15" i="4"/>
  <c r="AR15" i="4"/>
  <c r="AH15" i="4"/>
  <c r="AG15" i="4"/>
  <c r="AF15" i="4"/>
  <c r="AI15" i="4" s="1"/>
  <c r="AE15" i="4"/>
  <c r="AD15" i="4"/>
  <c r="AC15" i="4"/>
  <c r="Z15" i="4"/>
  <c r="Y15" i="4"/>
  <c r="P15" i="4"/>
  <c r="O15" i="4"/>
  <c r="N15" i="4"/>
  <c r="M15" i="4"/>
  <c r="K15" i="4"/>
  <c r="J15" i="4"/>
  <c r="I15" i="4"/>
  <c r="BC14" i="4"/>
  <c r="AS14" i="4"/>
  <c r="AR14" i="4"/>
  <c r="AH14" i="4"/>
  <c r="AG14" i="4"/>
  <c r="AF14" i="4"/>
  <c r="AE14" i="4"/>
  <c r="AD14" i="4"/>
  <c r="AC14" i="4"/>
  <c r="Z14" i="4"/>
  <c r="Y14" i="4"/>
  <c r="P14" i="4"/>
  <c r="O14" i="4"/>
  <c r="N14" i="4"/>
  <c r="M14" i="4"/>
  <c r="K14" i="4"/>
  <c r="J14" i="4"/>
  <c r="I14" i="4"/>
  <c r="BC13" i="4"/>
  <c r="AS13" i="4"/>
  <c r="AR13" i="4"/>
  <c r="AH13" i="4"/>
  <c r="AG13" i="4"/>
  <c r="AF13" i="4"/>
  <c r="AI13" i="4" s="1"/>
  <c r="AE13" i="4"/>
  <c r="AD13" i="4"/>
  <c r="AC13" i="4"/>
  <c r="Z13" i="4"/>
  <c r="Y13" i="4"/>
  <c r="P13" i="4"/>
  <c r="O13" i="4"/>
  <c r="N13" i="4"/>
  <c r="M13" i="4"/>
  <c r="K13" i="4"/>
  <c r="J13" i="4"/>
  <c r="I13" i="4"/>
  <c r="BC12" i="4"/>
  <c r="AS12" i="4"/>
  <c r="AR12" i="4"/>
  <c r="AH12" i="4"/>
  <c r="AG12" i="4"/>
  <c r="AI12" i="4" s="1"/>
  <c r="AF12" i="4"/>
  <c r="AE12" i="4"/>
  <c r="AD12" i="4"/>
  <c r="AC12" i="4"/>
  <c r="Z12" i="4"/>
  <c r="Y12" i="4"/>
  <c r="P12" i="4"/>
  <c r="O12" i="4"/>
  <c r="N12" i="4"/>
  <c r="M12" i="4"/>
  <c r="K12" i="4"/>
  <c r="J12" i="4"/>
  <c r="I12" i="4"/>
  <c r="BC11" i="4"/>
  <c r="AS11" i="4"/>
  <c r="AR11" i="4"/>
  <c r="AH11" i="4"/>
  <c r="AG11" i="4"/>
  <c r="AF11" i="4"/>
  <c r="AI11" i="4" s="1"/>
  <c r="AE11" i="4"/>
  <c r="AD11" i="4"/>
  <c r="AC11" i="4"/>
  <c r="Z11" i="4"/>
  <c r="Y11" i="4"/>
  <c r="P11" i="4"/>
  <c r="O11" i="4"/>
  <c r="N11" i="4"/>
  <c r="M11" i="4"/>
  <c r="K11" i="4"/>
  <c r="J11" i="4"/>
  <c r="I11" i="4"/>
  <c r="BC10" i="4"/>
  <c r="AS10" i="4"/>
  <c r="AR10" i="4"/>
  <c r="AH10" i="4"/>
  <c r="AG10" i="4"/>
  <c r="AI10" i="4" s="1"/>
  <c r="AF10" i="4"/>
  <c r="AE10" i="4"/>
  <c r="AD10" i="4"/>
  <c r="AC10" i="4"/>
  <c r="Z10" i="4"/>
  <c r="Y10" i="4"/>
  <c r="P10" i="4"/>
  <c r="O10" i="4"/>
  <c r="N10" i="4"/>
  <c r="M10" i="4"/>
  <c r="K10" i="4"/>
  <c r="J10" i="4"/>
  <c r="I10" i="4"/>
  <c r="BC9" i="4"/>
  <c r="AS9" i="4"/>
  <c r="AR9" i="4"/>
  <c r="AH9" i="4"/>
  <c r="AG9" i="4"/>
  <c r="AF9" i="4"/>
  <c r="AI9" i="4" s="1"/>
  <c r="AE9" i="4"/>
  <c r="AD9" i="4"/>
  <c r="AC9" i="4"/>
  <c r="Z9" i="4"/>
  <c r="Y9" i="4"/>
  <c r="P9" i="4"/>
  <c r="O9" i="4"/>
  <c r="N9" i="4"/>
  <c r="M9" i="4"/>
  <c r="K9" i="4"/>
  <c r="J9" i="4"/>
  <c r="I9" i="4"/>
  <c r="BC8" i="4"/>
  <c r="AS8" i="4"/>
  <c r="AR8" i="4"/>
  <c r="AI8" i="4"/>
  <c r="AH8" i="4"/>
  <c r="AG8" i="4"/>
  <c r="AF8" i="4"/>
  <c r="AE8" i="4"/>
  <c r="AD8" i="4"/>
  <c r="AC8" i="4"/>
  <c r="Z8" i="4"/>
  <c r="Y8" i="4"/>
  <c r="P8" i="4"/>
  <c r="O8" i="4"/>
  <c r="N8" i="4"/>
  <c r="M8" i="4"/>
  <c r="K8" i="4"/>
  <c r="J8" i="4"/>
  <c r="I8" i="4"/>
  <c r="BI207" i="3"/>
  <c r="AY207" i="3"/>
  <c r="AP207" i="3"/>
  <c r="AH207" i="3"/>
  <c r="O207" i="3"/>
  <c r="N207" i="3"/>
  <c r="F207" i="3"/>
  <c r="BI206" i="3"/>
  <c r="AY206" i="3"/>
  <c r="AP206" i="3"/>
  <c r="AH206" i="3"/>
  <c r="O206" i="3"/>
  <c r="N206" i="3"/>
  <c r="F206" i="3"/>
  <c r="BI205" i="3"/>
  <c r="AY205" i="3"/>
  <c r="AP205" i="3"/>
  <c r="AH205" i="3"/>
  <c r="N205" i="3"/>
  <c r="F205" i="3"/>
  <c r="BI204" i="3"/>
  <c r="AY204" i="3"/>
  <c r="AP204" i="3"/>
  <c r="AH204" i="3"/>
  <c r="N204" i="3"/>
  <c r="F204" i="3"/>
  <c r="BI203" i="3"/>
  <c r="AY203" i="3"/>
  <c r="AP203" i="3"/>
  <c r="AH203" i="3"/>
  <c r="N203" i="3"/>
  <c r="F203" i="3"/>
  <c r="BI202" i="3"/>
  <c r="AY202" i="3"/>
  <c r="AP202" i="3"/>
  <c r="AH202" i="3"/>
  <c r="N202" i="3"/>
  <c r="F202" i="3"/>
  <c r="BI201" i="3"/>
  <c r="AY201" i="3"/>
  <c r="AP201" i="3"/>
  <c r="AH201" i="3"/>
  <c r="N201" i="3"/>
  <c r="F201" i="3"/>
  <c r="BI200" i="3"/>
  <c r="AY200" i="3"/>
  <c r="AP200" i="3"/>
  <c r="AH200" i="3"/>
  <c r="N200" i="3"/>
  <c r="F200" i="3"/>
  <c r="BI199" i="3"/>
  <c r="AY199" i="3"/>
  <c r="AP199" i="3"/>
  <c r="AH199" i="3"/>
  <c r="N199" i="3"/>
  <c r="F199" i="3"/>
  <c r="BI198" i="3"/>
  <c r="AY198" i="3"/>
  <c r="AP198" i="3"/>
  <c r="AH198" i="3"/>
  <c r="N198" i="3"/>
  <c r="F198" i="3"/>
  <c r="BI197" i="3"/>
  <c r="AY197" i="3"/>
  <c r="AP197" i="3"/>
  <c r="AH197" i="3"/>
  <c r="N197" i="3"/>
  <c r="F197" i="3"/>
  <c r="BI196" i="3"/>
  <c r="AY196" i="3"/>
  <c r="AP196" i="3"/>
  <c r="AH196" i="3"/>
  <c r="N196" i="3"/>
  <c r="F196" i="3"/>
  <c r="BI195" i="3"/>
  <c r="AY195" i="3"/>
  <c r="AP195" i="3"/>
  <c r="AH195" i="3"/>
  <c r="N195" i="3"/>
  <c r="F195" i="3"/>
  <c r="BI194" i="3"/>
  <c r="AY194" i="3"/>
  <c r="AP194" i="3"/>
  <c r="AH194" i="3"/>
  <c r="N194" i="3"/>
  <c r="F194" i="3"/>
  <c r="BI193" i="3"/>
  <c r="AY193" i="3"/>
  <c r="AP193" i="3"/>
  <c r="AH193" i="3"/>
  <c r="N193" i="3"/>
  <c r="F193" i="3"/>
  <c r="BI192" i="3"/>
  <c r="AY192" i="3"/>
  <c r="AP192" i="3"/>
  <c r="AH192" i="3"/>
  <c r="N192" i="3"/>
  <c r="F192" i="3"/>
  <c r="BI191" i="3"/>
  <c r="AY191" i="3"/>
  <c r="AP191" i="3"/>
  <c r="AH191" i="3"/>
  <c r="N191" i="3"/>
  <c r="F191" i="3"/>
  <c r="BI190" i="3"/>
  <c r="AY190" i="3"/>
  <c r="AP190" i="3"/>
  <c r="AH190" i="3"/>
  <c r="N190" i="3"/>
  <c r="F190" i="3"/>
  <c r="BI189" i="3"/>
  <c r="AY189" i="3"/>
  <c r="AP189" i="3"/>
  <c r="AH189" i="3"/>
  <c r="N189" i="3"/>
  <c r="F189" i="3"/>
  <c r="BI188" i="3"/>
  <c r="AY188" i="3"/>
  <c r="AP188" i="3"/>
  <c r="AH188" i="3"/>
  <c r="N188" i="3"/>
  <c r="F188" i="3"/>
  <c r="BI187" i="3"/>
  <c r="AY187" i="3"/>
  <c r="AP187" i="3"/>
  <c r="AH187" i="3"/>
  <c r="N187" i="3"/>
  <c r="F187" i="3"/>
  <c r="BI186" i="3"/>
  <c r="AY186" i="3"/>
  <c r="AP186" i="3"/>
  <c r="AH186" i="3"/>
  <c r="N186" i="3"/>
  <c r="F186" i="3"/>
  <c r="CC149" i="3"/>
  <c r="BP149" i="3"/>
  <c r="BC149" i="3"/>
  <c r="AP149" i="3"/>
  <c r="AC149" i="3"/>
  <c r="O149" i="3"/>
  <c r="B149" i="3"/>
  <c r="CG146" i="3"/>
  <c r="CC146" i="3"/>
  <c r="BT146" i="3"/>
  <c r="BP146" i="3"/>
  <c r="BG146" i="3"/>
  <c r="BC146" i="3"/>
  <c r="AT146" i="3"/>
  <c r="AP146" i="3"/>
  <c r="AG146" i="3"/>
  <c r="AC146" i="3"/>
  <c r="S146" i="3"/>
  <c r="O146" i="3"/>
  <c r="F146" i="3"/>
  <c r="B146" i="3"/>
  <c r="CG145" i="3"/>
  <c r="CC145" i="3"/>
  <c r="BT145" i="3"/>
  <c r="BP145" i="3"/>
  <c r="BG145" i="3"/>
  <c r="BC145" i="3"/>
  <c r="AT145" i="3"/>
  <c r="AP145" i="3"/>
  <c r="AG145" i="3"/>
  <c r="AC145" i="3"/>
  <c r="S145" i="3"/>
  <c r="O145" i="3"/>
  <c r="F145" i="3"/>
  <c r="B145" i="3"/>
  <c r="CG144" i="3"/>
  <c r="CF144" i="3"/>
  <c r="CE144" i="3"/>
  <c r="CD144" i="3"/>
  <c r="CC144" i="3"/>
  <c r="BT144" i="3"/>
  <c r="BS144" i="3"/>
  <c r="BR144" i="3"/>
  <c r="BQ144" i="3"/>
  <c r="BP144" i="3"/>
  <c r="BG144" i="3"/>
  <c r="BF144" i="3"/>
  <c r="BE144" i="3"/>
  <c r="BD144" i="3"/>
  <c r="BC144" i="3"/>
  <c r="AT144" i="3"/>
  <c r="AS144" i="3"/>
  <c r="AR144" i="3"/>
  <c r="AQ144" i="3"/>
  <c r="AP144" i="3"/>
  <c r="AG144" i="3"/>
  <c r="AF144" i="3"/>
  <c r="AE144" i="3"/>
  <c r="AD144" i="3"/>
  <c r="AC144" i="3"/>
  <c r="S144" i="3"/>
  <c r="R144" i="3"/>
  <c r="Q144" i="3"/>
  <c r="P144" i="3"/>
  <c r="O144" i="3"/>
  <c r="F144" i="3"/>
  <c r="E144" i="3"/>
  <c r="D144" i="3"/>
  <c r="C144" i="3"/>
  <c r="B144" i="3"/>
  <c r="CG143" i="3"/>
  <c r="CF143" i="3"/>
  <c r="CE143" i="3"/>
  <c r="CD143" i="3"/>
  <c r="CC143" i="3"/>
  <c r="BT143" i="3"/>
  <c r="BS143" i="3"/>
  <c r="BR143" i="3"/>
  <c r="BQ143" i="3"/>
  <c r="BP143" i="3"/>
  <c r="BG143" i="3"/>
  <c r="BF143" i="3"/>
  <c r="BE143" i="3"/>
  <c r="BD143" i="3"/>
  <c r="BC143" i="3"/>
  <c r="AT143" i="3"/>
  <c r="AS143" i="3"/>
  <c r="AR143" i="3"/>
  <c r="AQ143" i="3"/>
  <c r="AP143" i="3"/>
  <c r="AG143" i="3"/>
  <c r="AF143" i="3"/>
  <c r="AE143" i="3"/>
  <c r="AD143" i="3"/>
  <c r="AC143" i="3"/>
  <c r="S143" i="3"/>
  <c r="R143" i="3"/>
  <c r="Q143" i="3"/>
  <c r="P143" i="3"/>
  <c r="O143" i="3"/>
  <c r="F143" i="3"/>
  <c r="E143" i="3"/>
  <c r="D143" i="3"/>
  <c r="C143" i="3"/>
  <c r="B143" i="3"/>
  <c r="CL142" i="3"/>
  <c r="CK142" i="3"/>
  <c r="BY142" i="3"/>
  <c r="BX142" i="3"/>
  <c r="BL142" i="3"/>
  <c r="BK142" i="3"/>
  <c r="AY142" i="3"/>
  <c r="AX142" i="3"/>
  <c r="AL142" i="3"/>
  <c r="AK142" i="3"/>
  <c r="K142" i="3"/>
  <c r="J142" i="3"/>
  <c r="CL141" i="3"/>
  <c r="CK141" i="3"/>
  <c r="BY141" i="3"/>
  <c r="BX141" i="3"/>
  <c r="BL141" i="3"/>
  <c r="BK141" i="3"/>
  <c r="AY141" i="3"/>
  <c r="AX141" i="3"/>
  <c r="AL141" i="3"/>
  <c r="AK141" i="3"/>
  <c r="K141" i="3"/>
  <c r="J141" i="3"/>
  <c r="CL140" i="3"/>
  <c r="CK140" i="3"/>
  <c r="BY140" i="3"/>
  <c r="BX140" i="3"/>
  <c r="BL140" i="3"/>
  <c r="BK140" i="3"/>
  <c r="AY140" i="3"/>
  <c r="AX140" i="3"/>
  <c r="AL140" i="3"/>
  <c r="AK140" i="3"/>
  <c r="K140" i="3"/>
  <c r="J140" i="3"/>
  <c r="CL139" i="3"/>
  <c r="CK139" i="3"/>
  <c r="BY139" i="3"/>
  <c r="BX139" i="3"/>
  <c r="BL139" i="3"/>
  <c r="BK139" i="3"/>
  <c r="AY139" i="3"/>
  <c r="AX139" i="3"/>
  <c r="AL139" i="3"/>
  <c r="AK139" i="3"/>
  <c r="K139" i="3"/>
  <c r="J139" i="3"/>
  <c r="CL138" i="3"/>
  <c r="CK138" i="3"/>
  <c r="BY138" i="3"/>
  <c r="BX138" i="3"/>
  <c r="BL138" i="3"/>
  <c r="BK138" i="3"/>
  <c r="AY138" i="3"/>
  <c r="AX138" i="3"/>
  <c r="AL138" i="3"/>
  <c r="AK138" i="3"/>
  <c r="K138" i="3"/>
  <c r="J138" i="3"/>
  <c r="CL137" i="3"/>
  <c r="CK137" i="3"/>
  <c r="BY137" i="3"/>
  <c r="BX137" i="3"/>
  <c r="BL137" i="3"/>
  <c r="BK137" i="3"/>
  <c r="AY137" i="3"/>
  <c r="AX137" i="3"/>
  <c r="AL137" i="3"/>
  <c r="AK137" i="3"/>
  <c r="K137" i="3"/>
  <c r="J137" i="3"/>
  <c r="CL136" i="3"/>
  <c r="CK136" i="3"/>
  <c r="BY136" i="3"/>
  <c r="BX136" i="3"/>
  <c r="BL136" i="3"/>
  <c r="BK136" i="3"/>
  <c r="AY136" i="3"/>
  <c r="AX136" i="3"/>
  <c r="AL136" i="3"/>
  <c r="AK136" i="3"/>
  <c r="K136" i="3"/>
  <c r="J136" i="3"/>
  <c r="CL135" i="3"/>
  <c r="CK135" i="3"/>
  <c r="BY135" i="3"/>
  <c r="BX135" i="3"/>
  <c r="BL135" i="3"/>
  <c r="BK135" i="3"/>
  <c r="AY135" i="3"/>
  <c r="AX135" i="3"/>
  <c r="AL135" i="3"/>
  <c r="AK135" i="3"/>
  <c r="K135" i="3"/>
  <c r="J135" i="3"/>
  <c r="CL134" i="3"/>
  <c r="CK134" i="3"/>
  <c r="BY134" i="3"/>
  <c r="BX134" i="3"/>
  <c r="BL134" i="3"/>
  <c r="BK134" i="3"/>
  <c r="AY134" i="3"/>
  <c r="AX134" i="3"/>
  <c r="AL134" i="3"/>
  <c r="AK134" i="3"/>
  <c r="K134" i="3"/>
  <c r="J134" i="3"/>
  <c r="CL133" i="3"/>
  <c r="CK133" i="3"/>
  <c r="BY133" i="3"/>
  <c r="BX133" i="3"/>
  <c r="BL133" i="3"/>
  <c r="BK133" i="3"/>
  <c r="AY133" i="3"/>
  <c r="AX133" i="3"/>
  <c r="AL133" i="3"/>
  <c r="AK133" i="3"/>
  <c r="K133" i="3"/>
  <c r="J133" i="3"/>
  <c r="CL132" i="3"/>
  <c r="CK132" i="3"/>
  <c r="BY132" i="3"/>
  <c r="BX132" i="3"/>
  <c r="BL132" i="3"/>
  <c r="BK132" i="3"/>
  <c r="AY132" i="3"/>
  <c r="AX132" i="3"/>
  <c r="AL132" i="3"/>
  <c r="AK132" i="3"/>
  <c r="K132" i="3"/>
  <c r="J132" i="3"/>
  <c r="CL131" i="3"/>
  <c r="CK131" i="3"/>
  <c r="BY131" i="3"/>
  <c r="BX131" i="3"/>
  <c r="BL131" i="3"/>
  <c r="BK131" i="3"/>
  <c r="AY131" i="3"/>
  <c r="AX131" i="3"/>
  <c r="AL131" i="3"/>
  <c r="AK131" i="3"/>
  <c r="K131" i="3"/>
  <c r="J131" i="3"/>
  <c r="CL130" i="3"/>
  <c r="CK130" i="3"/>
  <c r="BY130" i="3"/>
  <c r="BX130" i="3"/>
  <c r="BL130" i="3"/>
  <c r="BK130" i="3"/>
  <c r="AY130" i="3"/>
  <c r="AX130" i="3"/>
  <c r="AL130" i="3"/>
  <c r="AK130" i="3"/>
  <c r="K130" i="3"/>
  <c r="J130" i="3"/>
  <c r="CL129" i="3"/>
  <c r="CK129" i="3"/>
  <c r="BY129" i="3"/>
  <c r="BX129" i="3"/>
  <c r="BL129" i="3"/>
  <c r="BK129" i="3"/>
  <c r="AY129" i="3"/>
  <c r="AX129" i="3"/>
  <c r="AL129" i="3"/>
  <c r="AK129" i="3"/>
  <c r="K129" i="3"/>
  <c r="J129" i="3"/>
  <c r="CL128" i="3"/>
  <c r="CK128" i="3"/>
  <c r="BY128" i="3"/>
  <c r="BX128" i="3"/>
  <c r="BL128" i="3"/>
  <c r="BK128" i="3"/>
  <c r="AY128" i="3"/>
  <c r="AX128" i="3"/>
  <c r="AL128" i="3"/>
  <c r="AK128" i="3"/>
  <c r="K128" i="3"/>
  <c r="J128" i="3"/>
  <c r="CL127" i="3"/>
  <c r="CK127" i="3"/>
  <c r="BY127" i="3"/>
  <c r="BX127" i="3"/>
  <c r="BL127" i="3"/>
  <c r="BK127" i="3"/>
  <c r="AY127" i="3"/>
  <c r="AX127" i="3"/>
  <c r="AL127" i="3"/>
  <c r="AK127" i="3"/>
  <c r="K127" i="3"/>
  <c r="J127" i="3"/>
  <c r="CL126" i="3"/>
  <c r="CK126" i="3"/>
  <c r="BY126" i="3"/>
  <c r="BX126" i="3"/>
  <c r="BL126" i="3"/>
  <c r="BK126" i="3"/>
  <c r="AY126" i="3"/>
  <c r="AX126" i="3"/>
  <c r="AL126" i="3"/>
  <c r="AK126" i="3"/>
  <c r="K126" i="3"/>
  <c r="J126" i="3"/>
  <c r="CL125" i="3"/>
  <c r="CK125" i="3"/>
  <c r="BY125" i="3"/>
  <c r="BX125" i="3"/>
  <c r="BL125" i="3"/>
  <c r="BK125" i="3"/>
  <c r="AY125" i="3"/>
  <c r="AX125" i="3"/>
  <c r="AL125" i="3"/>
  <c r="AK125" i="3"/>
  <c r="K125" i="3"/>
  <c r="J125" i="3"/>
  <c r="CL124" i="3"/>
  <c r="CK124" i="3"/>
  <c r="BY124" i="3"/>
  <c r="BX124" i="3"/>
  <c r="BL124" i="3"/>
  <c r="BK124" i="3"/>
  <c r="AY124" i="3"/>
  <c r="AX124" i="3"/>
  <c r="AL124" i="3"/>
  <c r="AK124" i="3"/>
  <c r="K124" i="3"/>
  <c r="J124" i="3"/>
  <c r="CL123" i="3"/>
  <c r="CK123" i="3"/>
  <c r="BY123" i="3"/>
  <c r="BX123" i="3"/>
  <c r="BL123" i="3"/>
  <c r="BK123" i="3"/>
  <c r="AY123" i="3"/>
  <c r="AX123" i="3"/>
  <c r="AL123" i="3"/>
  <c r="AK123" i="3"/>
  <c r="K123" i="3"/>
  <c r="J123" i="3"/>
  <c r="CP117" i="3"/>
  <c r="CC117" i="3"/>
  <c r="BP117" i="3"/>
  <c r="BC117" i="3"/>
  <c r="AP117" i="3"/>
  <c r="AC117" i="3"/>
  <c r="O117" i="3"/>
  <c r="B117" i="3"/>
  <c r="CT114" i="3"/>
  <c r="CP114" i="3"/>
  <c r="CG114" i="3"/>
  <c r="CC114" i="3"/>
  <c r="BT114" i="3"/>
  <c r="BP114" i="3"/>
  <c r="BG114" i="3"/>
  <c r="BC114" i="3"/>
  <c r="AT114" i="3"/>
  <c r="AP114" i="3"/>
  <c r="AG114" i="3"/>
  <c r="AC114" i="3"/>
  <c r="S114" i="3"/>
  <c r="O114" i="3"/>
  <c r="F114" i="3"/>
  <c r="B114" i="3"/>
  <c r="CT113" i="3"/>
  <c r="CP113" i="3"/>
  <c r="CG113" i="3"/>
  <c r="CC113" i="3"/>
  <c r="BT113" i="3"/>
  <c r="BP113" i="3"/>
  <c r="BG113" i="3"/>
  <c r="BC113" i="3"/>
  <c r="AT113" i="3"/>
  <c r="AP113" i="3"/>
  <c r="AG113" i="3"/>
  <c r="AC113" i="3"/>
  <c r="S113" i="3"/>
  <c r="O113" i="3"/>
  <c r="F113" i="3"/>
  <c r="B113" i="3"/>
  <c r="CT112" i="3"/>
  <c r="CS112" i="3"/>
  <c r="CR112" i="3"/>
  <c r="CQ112" i="3"/>
  <c r="CP112" i="3"/>
  <c r="CG112" i="3"/>
  <c r="CF112" i="3"/>
  <c r="CE112" i="3"/>
  <c r="CD112" i="3"/>
  <c r="CC112" i="3"/>
  <c r="BT112" i="3"/>
  <c r="BS112" i="3"/>
  <c r="BR112" i="3"/>
  <c r="BQ112" i="3"/>
  <c r="BP112" i="3"/>
  <c r="BG112" i="3"/>
  <c r="BF112" i="3"/>
  <c r="BE112" i="3"/>
  <c r="BD112" i="3"/>
  <c r="BC112" i="3"/>
  <c r="AT112" i="3"/>
  <c r="AS112" i="3"/>
  <c r="AR112" i="3"/>
  <c r="AQ112" i="3"/>
  <c r="AP112" i="3"/>
  <c r="AG112" i="3"/>
  <c r="AF112" i="3"/>
  <c r="AE112" i="3"/>
  <c r="AD112" i="3"/>
  <c r="AC112" i="3"/>
  <c r="S112" i="3"/>
  <c r="R112" i="3"/>
  <c r="Q112" i="3"/>
  <c r="P112" i="3"/>
  <c r="O112" i="3"/>
  <c r="F112" i="3"/>
  <c r="E112" i="3"/>
  <c r="D112" i="3"/>
  <c r="C112" i="3"/>
  <c r="B112" i="3"/>
  <c r="CT111" i="3"/>
  <c r="CS111" i="3"/>
  <c r="CR111" i="3"/>
  <c r="CQ111" i="3"/>
  <c r="CP111" i="3"/>
  <c r="CG111" i="3"/>
  <c r="CF111" i="3"/>
  <c r="CE111" i="3"/>
  <c r="CD111" i="3"/>
  <c r="CC111" i="3"/>
  <c r="BT111" i="3"/>
  <c r="BS111" i="3"/>
  <c r="BR111" i="3"/>
  <c r="BQ111" i="3"/>
  <c r="BP111" i="3"/>
  <c r="BG111" i="3"/>
  <c r="BF111" i="3"/>
  <c r="BE111" i="3"/>
  <c r="BD111" i="3"/>
  <c r="BC111" i="3"/>
  <c r="AT111" i="3"/>
  <c r="AS111" i="3"/>
  <c r="AR111" i="3"/>
  <c r="AQ111" i="3"/>
  <c r="AP111" i="3"/>
  <c r="AG111" i="3"/>
  <c r="AF111" i="3"/>
  <c r="AE111" i="3"/>
  <c r="AD111" i="3"/>
  <c r="AC111" i="3"/>
  <c r="S111" i="3"/>
  <c r="R111" i="3"/>
  <c r="Q111" i="3"/>
  <c r="P111" i="3"/>
  <c r="O111" i="3"/>
  <c r="F111" i="3"/>
  <c r="E111" i="3"/>
  <c r="D111" i="3"/>
  <c r="C111" i="3"/>
  <c r="B111" i="3"/>
  <c r="CY110" i="3"/>
  <c r="CX110" i="3"/>
  <c r="CL110" i="3"/>
  <c r="CK110" i="3"/>
  <c r="BY110" i="3"/>
  <c r="BX110" i="3"/>
  <c r="BL110" i="3"/>
  <c r="BK110" i="3"/>
  <c r="AY110" i="3"/>
  <c r="AX110" i="3"/>
  <c r="AL110" i="3"/>
  <c r="AK110" i="3"/>
  <c r="K110" i="3"/>
  <c r="J110" i="3"/>
  <c r="CY109" i="3"/>
  <c r="CX109" i="3"/>
  <c r="CL109" i="3"/>
  <c r="CK109" i="3"/>
  <c r="BY109" i="3"/>
  <c r="BX109" i="3"/>
  <c r="BL109" i="3"/>
  <c r="BK109" i="3"/>
  <c r="AY109" i="3"/>
  <c r="AX109" i="3"/>
  <c r="AL109" i="3"/>
  <c r="AK109" i="3"/>
  <c r="K109" i="3"/>
  <c r="J109" i="3"/>
  <c r="CY108" i="3"/>
  <c r="CX108" i="3"/>
  <c r="CL108" i="3"/>
  <c r="CK108" i="3"/>
  <c r="BY108" i="3"/>
  <c r="BX108" i="3"/>
  <c r="BL108" i="3"/>
  <c r="BK108" i="3"/>
  <c r="AY108" i="3"/>
  <c r="AX108" i="3"/>
  <c r="AL108" i="3"/>
  <c r="AK108" i="3"/>
  <c r="K108" i="3"/>
  <c r="J108" i="3"/>
  <c r="CY107" i="3"/>
  <c r="CX107" i="3"/>
  <c r="CL107" i="3"/>
  <c r="CK107" i="3"/>
  <c r="BY107" i="3"/>
  <c r="BX107" i="3"/>
  <c r="BL107" i="3"/>
  <c r="BK107" i="3"/>
  <c r="AY107" i="3"/>
  <c r="AX107" i="3"/>
  <c r="AL107" i="3"/>
  <c r="AK107" i="3"/>
  <c r="K107" i="3"/>
  <c r="J107" i="3"/>
  <c r="CY106" i="3"/>
  <c r="CX106" i="3"/>
  <c r="CL106" i="3"/>
  <c r="CK106" i="3"/>
  <c r="BY106" i="3"/>
  <c r="BX106" i="3"/>
  <c r="BL106" i="3"/>
  <c r="BK106" i="3"/>
  <c r="AY106" i="3"/>
  <c r="AX106" i="3"/>
  <c r="AL106" i="3"/>
  <c r="AK106" i="3"/>
  <c r="K106" i="3"/>
  <c r="J106" i="3"/>
  <c r="CY105" i="3"/>
  <c r="CX105" i="3"/>
  <c r="CL105" i="3"/>
  <c r="CK105" i="3"/>
  <c r="BY105" i="3"/>
  <c r="BX105" i="3"/>
  <c r="BL105" i="3"/>
  <c r="BK105" i="3"/>
  <c r="AY105" i="3"/>
  <c r="AX105" i="3"/>
  <c r="AL105" i="3"/>
  <c r="AK105" i="3"/>
  <c r="K105" i="3"/>
  <c r="J105" i="3"/>
  <c r="CY104" i="3"/>
  <c r="CX104" i="3"/>
  <c r="CL104" i="3"/>
  <c r="CK104" i="3"/>
  <c r="BY104" i="3"/>
  <c r="BX104" i="3"/>
  <c r="BL104" i="3"/>
  <c r="BK104" i="3"/>
  <c r="AY104" i="3"/>
  <c r="AX104" i="3"/>
  <c r="AL104" i="3"/>
  <c r="AK104" i="3"/>
  <c r="K104" i="3"/>
  <c r="J104" i="3"/>
  <c r="CY103" i="3"/>
  <c r="CX103" i="3"/>
  <c r="CL103" i="3"/>
  <c r="CK103" i="3"/>
  <c r="BY103" i="3"/>
  <c r="BX103" i="3"/>
  <c r="BL103" i="3"/>
  <c r="BK103" i="3"/>
  <c r="AY103" i="3"/>
  <c r="AX103" i="3"/>
  <c r="AL103" i="3"/>
  <c r="AK103" i="3"/>
  <c r="K103" i="3"/>
  <c r="J103" i="3"/>
  <c r="CY102" i="3"/>
  <c r="CX102" i="3"/>
  <c r="CL102" i="3"/>
  <c r="CK102" i="3"/>
  <c r="BY102" i="3"/>
  <c r="BX102" i="3"/>
  <c r="BL102" i="3"/>
  <c r="BK102" i="3"/>
  <c r="AY102" i="3"/>
  <c r="AX102" i="3"/>
  <c r="AL102" i="3"/>
  <c r="AK102" i="3"/>
  <c r="K102" i="3"/>
  <c r="J102" i="3"/>
  <c r="CY101" i="3"/>
  <c r="CX101" i="3"/>
  <c r="CL101" i="3"/>
  <c r="CK101" i="3"/>
  <c r="BY101" i="3"/>
  <c r="BX101" i="3"/>
  <c r="BL101" i="3"/>
  <c r="BK101" i="3"/>
  <c r="AY101" i="3"/>
  <c r="AX101" i="3"/>
  <c r="AL101" i="3"/>
  <c r="AK101" i="3"/>
  <c r="K101" i="3"/>
  <c r="J101" i="3"/>
  <c r="CY100" i="3"/>
  <c r="CX100" i="3"/>
  <c r="CL100" i="3"/>
  <c r="CK100" i="3"/>
  <c r="BY100" i="3"/>
  <c r="BX100" i="3"/>
  <c r="BL100" i="3"/>
  <c r="BK100" i="3"/>
  <c r="AY100" i="3"/>
  <c r="AX100" i="3"/>
  <c r="AL100" i="3"/>
  <c r="AK100" i="3"/>
  <c r="K100" i="3"/>
  <c r="J100" i="3"/>
  <c r="CY99" i="3"/>
  <c r="CX99" i="3"/>
  <c r="CL99" i="3"/>
  <c r="CK99" i="3"/>
  <c r="BY99" i="3"/>
  <c r="BX99" i="3"/>
  <c r="BL99" i="3"/>
  <c r="BK99" i="3"/>
  <c r="AY99" i="3"/>
  <c r="AX99" i="3"/>
  <c r="AL99" i="3"/>
  <c r="AK99" i="3"/>
  <c r="K99" i="3"/>
  <c r="J99" i="3"/>
  <c r="CY98" i="3"/>
  <c r="CX98" i="3"/>
  <c r="CL98" i="3"/>
  <c r="CK98" i="3"/>
  <c r="BY98" i="3"/>
  <c r="BX98" i="3"/>
  <c r="BL98" i="3"/>
  <c r="BK98" i="3"/>
  <c r="AY98" i="3"/>
  <c r="AX98" i="3"/>
  <c r="AL98" i="3"/>
  <c r="AK98" i="3"/>
  <c r="K98" i="3"/>
  <c r="J98" i="3"/>
  <c r="CY97" i="3"/>
  <c r="CX97" i="3"/>
  <c r="CL97" i="3"/>
  <c r="CK97" i="3"/>
  <c r="BY97" i="3"/>
  <c r="BX97" i="3"/>
  <c r="BL97" i="3"/>
  <c r="BK97" i="3"/>
  <c r="AY97" i="3"/>
  <c r="AX97" i="3"/>
  <c r="AL97" i="3"/>
  <c r="AK97" i="3"/>
  <c r="K97" i="3"/>
  <c r="J97" i="3"/>
  <c r="CY96" i="3"/>
  <c r="CX96" i="3"/>
  <c r="CL96" i="3"/>
  <c r="CK96" i="3"/>
  <c r="BY96" i="3"/>
  <c r="BX96" i="3"/>
  <c r="BL96" i="3"/>
  <c r="BK96" i="3"/>
  <c r="AY96" i="3"/>
  <c r="AX96" i="3"/>
  <c r="AL96" i="3"/>
  <c r="AK96" i="3"/>
  <c r="K96" i="3"/>
  <c r="J96" i="3"/>
  <c r="CY95" i="3"/>
  <c r="CX95" i="3"/>
  <c r="CL95" i="3"/>
  <c r="CK95" i="3"/>
  <c r="BY95" i="3"/>
  <c r="BX95" i="3"/>
  <c r="BL95" i="3"/>
  <c r="BK95" i="3"/>
  <c r="AY95" i="3"/>
  <c r="AX95" i="3"/>
  <c r="AL95" i="3"/>
  <c r="AK95" i="3"/>
  <c r="K95" i="3"/>
  <c r="J95" i="3"/>
  <c r="CY94" i="3"/>
  <c r="CX94" i="3"/>
  <c r="CL94" i="3"/>
  <c r="CK94" i="3"/>
  <c r="BY94" i="3"/>
  <c r="BX94" i="3"/>
  <c r="BL94" i="3"/>
  <c r="BK94" i="3"/>
  <c r="AY94" i="3"/>
  <c r="AX94" i="3"/>
  <c r="AL94" i="3"/>
  <c r="AK94" i="3"/>
  <c r="K94" i="3"/>
  <c r="J94" i="3"/>
  <c r="CY93" i="3"/>
  <c r="CX93" i="3"/>
  <c r="CL93" i="3"/>
  <c r="CK93" i="3"/>
  <c r="BY93" i="3"/>
  <c r="BX93" i="3"/>
  <c r="BL93" i="3"/>
  <c r="BK93" i="3"/>
  <c r="AY93" i="3"/>
  <c r="AX93" i="3"/>
  <c r="AL93" i="3"/>
  <c r="AK93" i="3"/>
  <c r="K93" i="3"/>
  <c r="J93" i="3"/>
  <c r="CY92" i="3"/>
  <c r="CX92" i="3"/>
  <c r="CL92" i="3"/>
  <c r="CK92" i="3"/>
  <c r="BY92" i="3"/>
  <c r="BX92" i="3"/>
  <c r="BL92" i="3"/>
  <c r="BK92" i="3"/>
  <c r="AY92" i="3"/>
  <c r="AX92" i="3"/>
  <c r="AL92" i="3"/>
  <c r="AK92" i="3"/>
  <c r="K92" i="3"/>
  <c r="J92" i="3"/>
  <c r="CY91" i="3"/>
  <c r="CX91" i="3"/>
  <c r="CL91" i="3"/>
  <c r="CK91" i="3"/>
  <c r="BY91" i="3"/>
  <c r="BX91" i="3"/>
  <c r="BL91" i="3"/>
  <c r="BK91" i="3"/>
  <c r="AY91" i="3"/>
  <c r="AX91" i="3"/>
  <c r="AL91" i="3"/>
  <c r="AK91" i="3"/>
  <c r="K91" i="3"/>
  <c r="J91" i="3"/>
  <c r="CP84" i="3"/>
  <c r="CC84" i="3"/>
  <c r="BP84" i="3"/>
  <c r="BC84" i="3"/>
  <c r="AP84" i="3"/>
  <c r="AC84" i="3"/>
  <c r="O84" i="3"/>
  <c r="B84" i="3"/>
  <c r="CT81" i="3"/>
  <c r="CP81" i="3"/>
  <c r="CG81" i="3"/>
  <c r="CC81" i="3"/>
  <c r="BT81" i="3"/>
  <c r="BP81" i="3"/>
  <c r="BG81" i="3"/>
  <c r="BC81" i="3"/>
  <c r="AT81" i="3"/>
  <c r="AP81" i="3"/>
  <c r="AG81" i="3"/>
  <c r="AC81" i="3"/>
  <c r="S81" i="3"/>
  <c r="O81" i="3"/>
  <c r="F81" i="3"/>
  <c r="B81" i="3"/>
  <c r="CT80" i="3"/>
  <c r="CP80" i="3"/>
  <c r="CG80" i="3"/>
  <c r="CC80" i="3"/>
  <c r="BT80" i="3"/>
  <c r="BP80" i="3"/>
  <c r="BG80" i="3"/>
  <c r="BC80" i="3"/>
  <c r="AT80" i="3"/>
  <c r="AP80" i="3"/>
  <c r="AG80" i="3"/>
  <c r="AC80" i="3"/>
  <c r="S80" i="3"/>
  <c r="O80" i="3"/>
  <c r="F80" i="3"/>
  <c r="B80" i="3"/>
  <c r="CT79" i="3"/>
  <c r="CS79" i="3"/>
  <c r="CR79" i="3"/>
  <c r="CQ79" i="3"/>
  <c r="CP79" i="3"/>
  <c r="CG79" i="3"/>
  <c r="CF79" i="3"/>
  <c r="CE79" i="3"/>
  <c r="CD79" i="3"/>
  <c r="CC79" i="3"/>
  <c r="BT79" i="3"/>
  <c r="BS79" i="3"/>
  <c r="BR79" i="3"/>
  <c r="BQ79" i="3"/>
  <c r="BP79" i="3"/>
  <c r="BG79" i="3"/>
  <c r="BF79" i="3"/>
  <c r="BE79" i="3"/>
  <c r="BD79" i="3"/>
  <c r="BC79" i="3"/>
  <c r="AT79" i="3"/>
  <c r="AS79" i="3"/>
  <c r="AR79" i="3"/>
  <c r="AQ79" i="3"/>
  <c r="AP79" i="3"/>
  <c r="AG79" i="3"/>
  <c r="AF79" i="3"/>
  <c r="AE79" i="3"/>
  <c r="AD79" i="3"/>
  <c r="AC79" i="3"/>
  <c r="S79" i="3"/>
  <c r="R79" i="3"/>
  <c r="Q79" i="3"/>
  <c r="P79" i="3"/>
  <c r="O79" i="3"/>
  <c r="F79" i="3"/>
  <c r="E79" i="3"/>
  <c r="D79" i="3"/>
  <c r="C79" i="3"/>
  <c r="B79" i="3"/>
  <c r="CT78" i="3"/>
  <c r="CS78" i="3"/>
  <c r="CR78" i="3"/>
  <c r="CQ78" i="3"/>
  <c r="CP78" i="3"/>
  <c r="CG78" i="3"/>
  <c r="CF78" i="3"/>
  <c r="CE78" i="3"/>
  <c r="CD78" i="3"/>
  <c r="CC78" i="3"/>
  <c r="BT78" i="3"/>
  <c r="BS78" i="3"/>
  <c r="BR78" i="3"/>
  <c r="BQ78" i="3"/>
  <c r="BP78" i="3"/>
  <c r="BG78" i="3"/>
  <c r="BF78" i="3"/>
  <c r="BE78" i="3"/>
  <c r="BD78" i="3"/>
  <c r="BC78" i="3"/>
  <c r="AT78" i="3"/>
  <c r="AS78" i="3"/>
  <c r="AR78" i="3"/>
  <c r="AQ78" i="3"/>
  <c r="AP78" i="3"/>
  <c r="AG78" i="3"/>
  <c r="AF78" i="3"/>
  <c r="AE78" i="3"/>
  <c r="AD78" i="3"/>
  <c r="AC78" i="3"/>
  <c r="S78" i="3"/>
  <c r="R78" i="3"/>
  <c r="Q78" i="3"/>
  <c r="P78" i="3"/>
  <c r="O78" i="3"/>
  <c r="F78" i="3"/>
  <c r="E78" i="3"/>
  <c r="D78" i="3"/>
  <c r="C78" i="3"/>
  <c r="B78" i="3"/>
  <c r="CY77" i="3"/>
  <c r="CX77" i="3"/>
  <c r="CL77" i="3"/>
  <c r="CK77" i="3"/>
  <c r="BY77" i="3"/>
  <c r="BX77" i="3"/>
  <c r="BL77" i="3"/>
  <c r="BK77" i="3"/>
  <c r="AX77" i="3"/>
  <c r="AL77" i="3"/>
  <c r="AK77" i="3"/>
  <c r="K77" i="3"/>
  <c r="J77" i="3"/>
  <c r="CY76" i="3"/>
  <c r="CX76" i="3"/>
  <c r="CL76" i="3"/>
  <c r="CK76" i="3"/>
  <c r="BY76" i="3"/>
  <c r="BX76" i="3"/>
  <c r="BL76" i="3"/>
  <c r="BK76" i="3"/>
  <c r="AX76" i="3"/>
  <c r="AL76" i="3"/>
  <c r="AK76" i="3"/>
  <c r="K76" i="3"/>
  <c r="J76" i="3"/>
  <c r="CY75" i="3"/>
  <c r="CX75" i="3"/>
  <c r="CL75" i="3"/>
  <c r="CK75" i="3"/>
  <c r="BY75" i="3"/>
  <c r="BX75" i="3"/>
  <c r="BL75" i="3"/>
  <c r="BK75" i="3"/>
  <c r="AX75" i="3"/>
  <c r="AL75" i="3"/>
  <c r="AK75" i="3"/>
  <c r="K75" i="3"/>
  <c r="J75" i="3"/>
  <c r="CY74" i="3"/>
  <c r="CX74" i="3"/>
  <c r="CL74" i="3"/>
  <c r="CK74" i="3"/>
  <c r="BY74" i="3"/>
  <c r="BX74" i="3"/>
  <c r="BL74" i="3"/>
  <c r="BK74" i="3"/>
  <c r="AX74" i="3"/>
  <c r="AL74" i="3"/>
  <c r="AK74" i="3"/>
  <c r="K74" i="3"/>
  <c r="J74" i="3"/>
  <c r="CY73" i="3"/>
  <c r="CX73" i="3"/>
  <c r="CL73" i="3"/>
  <c r="CK73" i="3"/>
  <c r="BY73" i="3"/>
  <c r="BX73" i="3"/>
  <c r="BL73" i="3"/>
  <c r="BK73" i="3"/>
  <c r="AX73" i="3"/>
  <c r="AL73" i="3"/>
  <c r="AK73" i="3"/>
  <c r="K73" i="3"/>
  <c r="J73" i="3"/>
  <c r="CY72" i="3"/>
  <c r="CX72" i="3"/>
  <c r="CL72" i="3"/>
  <c r="CK72" i="3"/>
  <c r="BY72" i="3"/>
  <c r="BX72" i="3"/>
  <c r="BL72" i="3"/>
  <c r="BK72" i="3"/>
  <c r="AX72" i="3"/>
  <c r="AL72" i="3"/>
  <c r="AK72" i="3"/>
  <c r="K72" i="3"/>
  <c r="J72" i="3"/>
  <c r="CY71" i="3"/>
  <c r="CX71" i="3"/>
  <c r="CL71" i="3"/>
  <c r="CK71" i="3"/>
  <c r="BY71" i="3"/>
  <c r="BX71" i="3"/>
  <c r="BL71" i="3"/>
  <c r="BK71" i="3"/>
  <c r="AX71" i="3"/>
  <c r="AL71" i="3"/>
  <c r="AK71" i="3"/>
  <c r="K71" i="3"/>
  <c r="J71" i="3"/>
  <c r="CY70" i="3"/>
  <c r="CX70" i="3"/>
  <c r="CL70" i="3"/>
  <c r="CK70" i="3"/>
  <c r="BY70" i="3"/>
  <c r="BX70" i="3"/>
  <c r="BL70" i="3"/>
  <c r="BK70" i="3"/>
  <c r="AX70" i="3"/>
  <c r="AL70" i="3"/>
  <c r="AK70" i="3"/>
  <c r="K70" i="3"/>
  <c r="J70" i="3"/>
  <c r="CY69" i="3"/>
  <c r="CX69" i="3"/>
  <c r="CL69" i="3"/>
  <c r="CK69" i="3"/>
  <c r="BY69" i="3"/>
  <c r="BX69" i="3"/>
  <c r="BL69" i="3"/>
  <c r="BK69" i="3"/>
  <c r="AX69" i="3"/>
  <c r="AL69" i="3"/>
  <c r="AK69" i="3"/>
  <c r="K69" i="3"/>
  <c r="J69" i="3"/>
  <c r="CY68" i="3"/>
  <c r="CX68" i="3"/>
  <c r="CL68" i="3"/>
  <c r="CK68" i="3"/>
  <c r="BY68" i="3"/>
  <c r="BX68" i="3"/>
  <c r="BL68" i="3"/>
  <c r="BK68" i="3"/>
  <c r="AX68" i="3"/>
  <c r="AL68" i="3"/>
  <c r="AK68" i="3"/>
  <c r="K68" i="3"/>
  <c r="J68" i="3"/>
  <c r="CY67" i="3"/>
  <c r="CX67" i="3"/>
  <c r="CL67" i="3"/>
  <c r="CK67" i="3"/>
  <c r="BY67" i="3"/>
  <c r="BX67" i="3"/>
  <c r="BL67" i="3"/>
  <c r="BK67" i="3"/>
  <c r="AX67" i="3"/>
  <c r="AL67" i="3"/>
  <c r="AK67" i="3"/>
  <c r="K67" i="3"/>
  <c r="J67" i="3"/>
  <c r="CY66" i="3"/>
  <c r="CX66" i="3"/>
  <c r="CL66" i="3"/>
  <c r="CK66" i="3"/>
  <c r="BY66" i="3"/>
  <c r="BX66" i="3"/>
  <c r="BL66" i="3"/>
  <c r="BK66" i="3"/>
  <c r="AX66" i="3"/>
  <c r="AL66" i="3"/>
  <c r="AK66" i="3"/>
  <c r="K66" i="3"/>
  <c r="J66" i="3"/>
  <c r="CY65" i="3"/>
  <c r="CX65" i="3"/>
  <c r="CL65" i="3"/>
  <c r="CK65" i="3"/>
  <c r="BY65" i="3"/>
  <c r="BX65" i="3"/>
  <c r="BL65" i="3"/>
  <c r="BK65" i="3"/>
  <c r="AX65" i="3"/>
  <c r="AL65" i="3"/>
  <c r="AK65" i="3"/>
  <c r="K65" i="3"/>
  <c r="J65" i="3"/>
  <c r="CY64" i="3"/>
  <c r="CX64" i="3"/>
  <c r="CL64" i="3"/>
  <c r="CK64" i="3"/>
  <c r="BY64" i="3"/>
  <c r="BX64" i="3"/>
  <c r="BL64" i="3"/>
  <c r="BK64" i="3"/>
  <c r="AX64" i="3"/>
  <c r="AL64" i="3"/>
  <c r="AK64" i="3"/>
  <c r="K64" i="3"/>
  <c r="J64" i="3"/>
  <c r="CY63" i="3"/>
  <c r="CX63" i="3"/>
  <c r="CL63" i="3"/>
  <c r="CK63" i="3"/>
  <c r="BY63" i="3"/>
  <c r="BX63" i="3"/>
  <c r="BL63" i="3"/>
  <c r="BK63" i="3"/>
  <c r="AX63" i="3"/>
  <c r="AL63" i="3"/>
  <c r="AK63" i="3"/>
  <c r="K63" i="3"/>
  <c r="J63" i="3"/>
  <c r="CY62" i="3"/>
  <c r="CX62" i="3"/>
  <c r="CL62" i="3"/>
  <c r="CK62" i="3"/>
  <c r="BY62" i="3"/>
  <c r="BX62" i="3"/>
  <c r="BL62" i="3"/>
  <c r="BK62" i="3"/>
  <c r="AX62" i="3"/>
  <c r="AL62" i="3"/>
  <c r="AK62" i="3"/>
  <c r="K62" i="3"/>
  <c r="J62" i="3"/>
  <c r="CY61" i="3"/>
  <c r="CX61" i="3"/>
  <c r="CL61" i="3"/>
  <c r="CK61" i="3"/>
  <c r="BY61" i="3"/>
  <c r="BX61" i="3"/>
  <c r="BL61" i="3"/>
  <c r="BK61" i="3"/>
  <c r="AX61" i="3"/>
  <c r="AL61" i="3"/>
  <c r="AK61" i="3"/>
  <c r="K61" i="3"/>
  <c r="J61" i="3"/>
  <c r="CY60" i="3"/>
  <c r="CX60" i="3"/>
  <c r="CL60" i="3"/>
  <c r="CK60" i="3"/>
  <c r="BY60" i="3"/>
  <c r="BX60" i="3"/>
  <c r="BL60" i="3"/>
  <c r="BK60" i="3"/>
  <c r="AX60" i="3"/>
  <c r="AL60" i="3"/>
  <c r="AK60" i="3"/>
  <c r="K60" i="3"/>
  <c r="J60" i="3"/>
  <c r="CY59" i="3"/>
  <c r="CX59" i="3"/>
  <c r="CL59" i="3"/>
  <c r="CK59" i="3"/>
  <c r="BY59" i="3"/>
  <c r="BX59" i="3"/>
  <c r="BL59" i="3"/>
  <c r="BK59" i="3"/>
  <c r="AX59" i="3"/>
  <c r="AL59" i="3"/>
  <c r="AK59" i="3"/>
  <c r="K59" i="3"/>
  <c r="J59" i="3"/>
  <c r="CY58" i="3"/>
  <c r="CX58" i="3"/>
  <c r="CL58" i="3"/>
  <c r="CK58" i="3"/>
  <c r="BY58" i="3"/>
  <c r="BX58" i="3"/>
  <c r="BL58" i="3"/>
  <c r="BK58" i="3"/>
  <c r="AL58" i="3"/>
  <c r="AK58" i="3"/>
  <c r="K58" i="3"/>
  <c r="J58" i="3"/>
  <c r="CP34" i="3"/>
  <c r="CC34" i="3"/>
  <c r="BP34" i="3"/>
  <c r="BC34" i="3"/>
  <c r="AP34" i="3"/>
  <c r="AC34" i="3"/>
  <c r="O34" i="3"/>
  <c r="B34" i="3"/>
  <c r="CT31" i="3"/>
  <c r="CP31" i="3"/>
  <c r="CG31" i="3"/>
  <c r="CF31" i="3"/>
  <c r="CE31" i="3"/>
  <c r="CD31" i="3"/>
  <c r="CC31" i="3"/>
  <c r="BT31" i="3"/>
  <c r="BP31" i="3"/>
  <c r="BG31" i="3"/>
  <c r="BC31" i="3"/>
  <c r="AT31" i="3"/>
  <c r="AS31" i="3"/>
  <c r="AR31" i="3"/>
  <c r="AQ31" i="3"/>
  <c r="AP31" i="3"/>
  <c r="AG31" i="3"/>
  <c r="AC31" i="3"/>
  <c r="S31" i="3"/>
  <c r="O31" i="3"/>
  <c r="F31" i="3"/>
  <c r="B31" i="3"/>
  <c r="CT30" i="3"/>
  <c r="CP30" i="3"/>
  <c r="CG30" i="3"/>
  <c r="CF30" i="3"/>
  <c r="CE30" i="3"/>
  <c r="CD30" i="3"/>
  <c r="CC30" i="3"/>
  <c r="BT30" i="3"/>
  <c r="BP30" i="3"/>
  <c r="BG30" i="3"/>
  <c r="BC30" i="3"/>
  <c r="AT30" i="3"/>
  <c r="AS30" i="3"/>
  <c r="AR30" i="3"/>
  <c r="AQ30" i="3"/>
  <c r="AP30" i="3"/>
  <c r="AG30" i="3"/>
  <c r="AC30" i="3"/>
  <c r="S30" i="3"/>
  <c r="O30" i="3"/>
  <c r="F30" i="3"/>
  <c r="B30" i="3"/>
  <c r="CT29" i="3"/>
  <c r="CS29" i="3"/>
  <c r="CR29" i="3"/>
  <c r="CQ29" i="3"/>
  <c r="CP29" i="3"/>
  <c r="CG29" i="3"/>
  <c r="CF29" i="3"/>
  <c r="CE29" i="3"/>
  <c r="CD29" i="3"/>
  <c r="CC29" i="3"/>
  <c r="BT29" i="3"/>
  <c r="BQ29" i="3"/>
  <c r="BP29" i="3"/>
  <c r="BG29" i="3"/>
  <c r="BF29" i="3"/>
  <c r="BE29" i="3"/>
  <c r="BD29" i="3"/>
  <c r="BC29" i="3"/>
  <c r="AT29" i="3"/>
  <c r="AS29" i="3"/>
  <c r="AR29" i="3"/>
  <c r="AQ29" i="3"/>
  <c r="AP29" i="3"/>
  <c r="AG29" i="3"/>
  <c r="AF29" i="3"/>
  <c r="AE29" i="3"/>
  <c r="AD29" i="3"/>
  <c r="AC29" i="3"/>
  <c r="S29" i="3"/>
  <c r="R29" i="3"/>
  <c r="Q29" i="3"/>
  <c r="P29" i="3"/>
  <c r="O29" i="3"/>
  <c r="F29" i="3"/>
  <c r="E29" i="3"/>
  <c r="D29" i="3"/>
  <c r="C29" i="3"/>
  <c r="B29" i="3"/>
  <c r="CT28" i="3"/>
  <c r="CS28" i="3"/>
  <c r="CR28" i="3"/>
  <c r="CQ28" i="3"/>
  <c r="CP28" i="3"/>
  <c r="CG28" i="3"/>
  <c r="CF28" i="3"/>
  <c r="CE28" i="3"/>
  <c r="CD28" i="3"/>
  <c r="CC28" i="3"/>
  <c r="BT28" i="3"/>
  <c r="BQ28" i="3"/>
  <c r="BP28" i="3"/>
  <c r="BG28" i="3"/>
  <c r="BF28" i="3"/>
  <c r="BE28" i="3"/>
  <c r="BD28" i="3"/>
  <c r="BC28" i="3"/>
  <c r="AT28" i="3"/>
  <c r="AS28" i="3"/>
  <c r="AR28" i="3"/>
  <c r="AQ28" i="3"/>
  <c r="AP28" i="3"/>
  <c r="AG28" i="3"/>
  <c r="AF28" i="3"/>
  <c r="AE28" i="3"/>
  <c r="AD28" i="3"/>
  <c r="AC28" i="3"/>
  <c r="S28" i="3"/>
  <c r="R28" i="3"/>
  <c r="Q28" i="3"/>
  <c r="P28" i="3"/>
  <c r="O28" i="3"/>
  <c r="F28" i="3"/>
  <c r="E28" i="3"/>
  <c r="D28" i="3"/>
  <c r="C28" i="3"/>
  <c r="B28" i="3"/>
  <c r="CY27" i="3"/>
  <c r="CX27" i="3"/>
  <c r="CL27" i="3"/>
  <c r="CK27" i="3"/>
  <c r="BY27" i="3"/>
  <c r="BX27" i="3"/>
  <c r="BL27" i="3"/>
  <c r="BK27" i="3"/>
  <c r="AY27" i="3"/>
  <c r="AX27" i="3"/>
  <c r="AL27" i="3"/>
  <c r="AK27" i="3"/>
  <c r="X27" i="3"/>
  <c r="W27" i="3"/>
  <c r="K27" i="3"/>
  <c r="J27" i="3"/>
  <c r="CY26" i="3"/>
  <c r="CX26" i="3"/>
  <c r="CL26" i="3"/>
  <c r="CK26" i="3"/>
  <c r="BY26" i="3"/>
  <c r="BX26" i="3"/>
  <c r="BL26" i="3"/>
  <c r="BK26" i="3"/>
  <c r="AY26" i="3"/>
  <c r="AX26" i="3"/>
  <c r="AL26" i="3"/>
  <c r="AK26" i="3"/>
  <c r="X26" i="3"/>
  <c r="W26" i="3"/>
  <c r="K26" i="3"/>
  <c r="J26" i="3"/>
  <c r="CY25" i="3"/>
  <c r="CX25" i="3"/>
  <c r="CL25" i="3"/>
  <c r="CK25" i="3"/>
  <c r="BY25" i="3"/>
  <c r="BX25" i="3"/>
  <c r="BL25" i="3"/>
  <c r="BK25" i="3"/>
  <c r="AY25" i="3"/>
  <c r="AX25" i="3"/>
  <c r="AL25" i="3"/>
  <c r="AK25" i="3"/>
  <c r="X25" i="3"/>
  <c r="W25" i="3"/>
  <c r="K25" i="3"/>
  <c r="J25" i="3"/>
  <c r="CY24" i="3"/>
  <c r="CX24" i="3"/>
  <c r="CL24" i="3"/>
  <c r="CK24" i="3"/>
  <c r="BY24" i="3"/>
  <c r="BX24" i="3"/>
  <c r="BL24" i="3"/>
  <c r="BK24" i="3"/>
  <c r="AY24" i="3"/>
  <c r="AX24" i="3"/>
  <c r="AL24" i="3"/>
  <c r="AK24" i="3"/>
  <c r="X24" i="3"/>
  <c r="W24" i="3"/>
  <c r="K24" i="3"/>
  <c r="J24" i="3"/>
  <c r="CY23" i="3"/>
  <c r="CX23" i="3"/>
  <c r="CL23" i="3"/>
  <c r="CK23" i="3"/>
  <c r="BY23" i="3"/>
  <c r="BX23" i="3"/>
  <c r="BL23" i="3"/>
  <c r="BK23" i="3"/>
  <c r="AY23" i="3"/>
  <c r="AX23" i="3"/>
  <c r="AL23" i="3"/>
  <c r="AK23" i="3"/>
  <c r="X23" i="3"/>
  <c r="W23" i="3"/>
  <c r="K23" i="3"/>
  <c r="J23" i="3"/>
  <c r="CY22" i="3"/>
  <c r="CX22" i="3"/>
  <c r="CL22" i="3"/>
  <c r="CK22" i="3"/>
  <c r="BY22" i="3"/>
  <c r="BX22" i="3"/>
  <c r="BL22" i="3"/>
  <c r="BK22" i="3"/>
  <c r="AY22" i="3"/>
  <c r="AX22" i="3"/>
  <c r="AL22" i="3"/>
  <c r="AK22" i="3"/>
  <c r="X22" i="3"/>
  <c r="W22" i="3"/>
  <c r="K22" i="3"/>
  <c r="J22" i="3"/>
  <c r="CY21" i="3"/>
  <c r="CX21" i="3"/>
  <c r="CL21" i="3"/>
  <c r="CK21" i="3"/>
  <c r="BY21" i="3"/>
  <c r="BX21" i="3"/>
  <c r="BL21" i="3"/>
  <c r="BK21" i="3"/>
  <c r="AY21" i="3"/>
  <c r="AX21" i="3"/>
  <c r="AL21" i="3"/>
  <c r="AK21" i="3"/>
  <c r="X21" i="3"/>
  <c r="W21" i="3"/>
  <c r="K21" i="3"/>
  <c r="J21" i="3"/>
  <c r="CY20" i="3"/>
  <c r="CX20" i="3"/>
  <c r="CL20" i="3"/>
  <c r="CK20" i="3"/>
  <c r="BY20" i="3"/>
  <c r="BX20" i="3"/>
  <c r="BL20" i="3"/>
  <c r="BK20" i="3"/>
  <c r="AY20" i="3"/>
  <c r="AX20" i="3"/>
  <c r="AL20" i="3"/>
  <c r="AK20" i="3"/>
  <c r="X20" i="3"/>
  <c r="W20" i="3"/>
  <c r="K20" i="3"/>
  <c r="J20" i="3"/>
  <c r="CY19" i="3"/>
  <c r="CX19" i="3"/>
  <c r="CL19" i="3"/>
  <c r="CK19" i="3"/>
  <c r="BY19" i="3"/>
  <c r="BX19" i="3"/>
  <c r="BL19" i="3"/>
  <c r="BK19" i="3"/>
  <c r="AY19" i="3"/>
  <c r="AX19" i="3"/>
  <c r="AL19" i="3"/>
  <c r="AK19" i="3"/>
  <c r="X19" i="3"/>
  <c r="W19" i="3"/>
  <c r="K19" i="3"/>
  <c r="J19" i="3"/>
  <c r="CY18" i="3"/>
  <c r="CX18" i="3"/>
  <c r="CL18" i="3"/>
  <c r="CK18" i="3"/>
  <c r="BY18" i="3"/>
  <c r="BX18" i="3"/>
  <c r="BL18" i="3"/>
  <c r="BK18" i="3"/>
  <c r="AY18" i="3"/>
  <c r="AX18" i="3"/>
  <c r="AK18" i="3"/>
  <c r="X18" i="3"/>
  <c r="W18" i="3"/>
  <c r="K18" i="3"/>
  <c r="J18" i="3"/>
  <c r="CY17" i="3"/>
  <c r="CX17" i="3"/>
  <c r="CL17" i="3"/>
  <c r="CK17" i="3"/>
  <c r="BY17" i="3"/>
  <c r="BX17" i="3"/>
  <c r="BL17" i="3"/>
  <c r="BK17" i="3"/>
  <c r="AY17" i="3"/>
  <c r="AX17" i="3"/>
  <c r="AL17" i="3"/>
  <c r="AK17" i="3"/>
  <c r="X17" i="3"/>
  <c r="W17" i="3"/>
  <c r="K17" i="3"/>
  <c r="J17" i="3"/>
  <c r="CY16" i="3"/>
  <c r="CX16" i="3"/>
  <c r="CL16" i="3"/>
  <c r="CK16" i="3"/>
  <c r="BY16" i="3"/>
  <c r="BX16" i="3"/>
  <c r="BL16" i="3"/>
  <c r="BK16" i="3"/>
  <c r="AY16" i="3"/>
  <c r="AX16" i="3"/>
  <c r="AL16" i="3"/>
  <c r="AK16" i="3"/>
  <c r="X16" i="3"/>
  <c r="W16" i="3"/>
  <c r="K16" i="3"/>
  <c r="J16" i="3"/>
  <c r="CY15" i="3"/>
  <c r="CX15" i="3"/>
  <c r="CL15" i="3"/>
  <c r="CK15" i="3"/>
  <c r="BY15" i="3"/>
  <c r="BX15" i="3"/>
  <c r="BL15" i="3"/>
  <c r="BK15" i="3"/>
  <c r="AY15" i="3"/>
  <c r="AX15" i="3"/>
  <c r="AL15" i="3"/>
  <c r="AK15" i="3"/>
  <c r="X15" i="3"/>
  <c r="W15" i="3"/>
  <c r="K15" i="3"/>
  <c r="J15" i="3"/>
  <c r="CY14" i="3"/>
  <c r="CX14" i="3"/>
  <c r="CL14" i="3"/>
  <c r="CK14" i="3"/>
  <c r="BY14" i="3"/>
  <c r="BX14" i="3"/>
  <c r="BL14" i="3"/>
  <c r="BK14" i="3"/>
  <c r="AY14" i="3"/>
  <c r="AX14" i="3"/>
  <c r="AL14" i="3"/>
  <c r="AK14" i="3"/>
  <c r="X14" i="3"/>
  <c r="W14" i="3"/>
  <c r="K14" i="3"/>
  <c r="J14" i="3"/>
  <c r="CY13" i="3"/>
  <c r="CX13" i="3"/>
  <c r="CL13" i="3"/>
  <c r="CK13" i="3"/>
  <c r="BY13" i="3"/>
  <c r="BX13" i="3"/>
  <c r="BL13" i="3"/>
  <c r="BK13" i="3"/>
  <c r="AY13" i="3"/>
  <c r="AX13" i="3"/>
  <c r="AL13" i="3"/>
  <c r="AK13" i="3"/>
  <c r="X13" i="3"/>
  <c r="W13" i="3"/>
  <c r="K13" i="3"/>
  <c r="J13" i="3"/>
  <c r="CY12" i="3"/>
  <c r="CX12" i="3"/>
  <c r="CL12" i="3"/>
  <c r="CK12" i="3"/>
  <c r="BY12" i="3"/>
  <c r="BX12" i="3"/>
  <c r="BL12" i="3"/>
  <c r="BK12" i="3"/>
  <c r="AY12" i="3"/>
  <c r="AX12" i="3"/>
  <c r="AL12" i="3"/>
  <c r="AK12" i="3"/>
  <c r="X12" i="3"/>
  <c r="W12" i="3"/>
  <c r="K12" i="3"/>
  <c r="J12" i="3"/>
  <c r="CY11" i="3"/>
  <c r="CX11" i="3"/>
  <c r="CL11" i="3"/>
  <c r="CK11" i="3"/>
  <c r="BY11" i="3"/>
  <c r="BX11" i="3"/>
  <c r="BL11" i="3"/>
  <c r="BK11" i="3"/>
  <c r="AY11" i="3"/>
  <c r="AX11" i="3"/>
  <c r="AL11" i="3"/>
  <c r="AK11" i="3"/>
  <c r="X11" i="3"/>
  <c r="W11" i="3"/>
  <c r="K11" i="3"/>
  <c r="J11" i="3"/>
  <c r="CY10" i="3"/>
  <c r="CX10" i="3"/>
  <c r="CL10" i="3"/>
  <c r="CK10" i="3"/>
  <c r="BY10" i="3"/>
  <c r="BX10" i="3"/>
  <c r="BL10" i="3"/>
  <c r="BK10" i="3"/>
  <c r="AY10" i="3"/>
  <c r="AX10" i="3"/>
  <c r="AL10" i="3"/>
  <c r="AK10" i="3"/>
  <c r="X10" i="3"/>
  <c r="W10" i="3"/>
  <c r="K10" i="3"/>
  <c r="J10" i="3"/>
  <c r="CY9" i="3"/>
  <c r="CX9" i="3"/>
  <c r="CL9" i="3"/>
  <c r="CK9" i="3"/>
  <c r="BY9" i="3"/>
  <c r="BX9" i="3"/>
  <c r="BL9" i="3"/>
  <c r="BK9" i="3"/>
  <c r="AY9" i="3"/>
  <c r="AX9" i="3"/>
  <c r="AL9" i="3"/>
  <c r="AK9" i="3"/>
  <c r="X9" i="3"/>
  <c r="W9" i="3"/>
  <c r="K9" i="3"/>
  <c r="J9" i="3"/>
  <c r="CY8" i="3"/>
  <c r="CX8" i="3"/>
  <c r="CL8" i="3"/>
  <c r="CK8" i="3"/>
  <c r="BY8" i="3"/>
  <c r="BX8" i="3"/>
  <c r="BL8" i="3"/>
  <c r="BK8" i="3"/>
  <c r="AY8" i="3"/>
  <c r="AX8" i="3"/>
  <c r="AL8" i="3"/>
  <c r="AK8" i="3"/>
  <c r="X8" i="3"/>
  <c r="W8" i="3"/>
  <c r="K8" i="3"/>
  <c r="J8" i="3"/>
  <c r="N32" i="1"/>
  <c r="O32" i="1" s="1"/>
  <c r="N31" i="1"/>
  <c r="O31" i="1" s="1"/>
  <c r="N30" i="1"/>
  <c r="O30" i="1" s="1"/>
  <c r="N29" i="1"/>
  <c r="O29" i="1" s="1"/>
  <c r="N28" i="1"/>
  <c r="O28" i="1" s="1"/>
  <c r="N27" i="1"/>
  <c r="O27" i="1" s="1"/>
  <c r="N26" i="1"/>
  <c r="O26" i="1" s="1"/>
  <c r="N25" i="1"/>
  <c r="O25" i="1" s="1"/>
  <c r="N24" i="1"/>
  <c r="O24" i="1" s="1"/>
  <c r="N23" i="1"/>
  <c r="O23" i="1" s="1"/>
  <c r="N22" i="1"/>
  <c r="O22" i="1" s="1"/>
  <c r="N21" i="1"/>
  <c r="O21" i="1" s="1"/>
  <c r="N20" i="1"/>
  <c r="O20" i="1" s="1"/>
  <c r="N19" i="1"/>
  <c r="O19" i="1" s="1"/>
  <c r="N18" i="1"/>
  <c r="O18" i="1" s="1"/>
  <c r="N17" i="1"/>
  <c r="O17" i="1" s="1"/>
  <c r="N16" i="1"/>
  <c r="O16" i="1" s="1"/>
  <c r="N15" i="1"/>
  <c r="O15" i="1" s="1"/>
  <c r="N14" i="1"/>
  <c r="O14" i="1" s="1"/>
  <c r="N13" i="1"/>
  <c r="O13" i="1" s="1"/>
  <c r="N12" i="1"/>
  <c r="O12" i="1" s="1"/>
  <c r="N11" i="1"/>
  <c r="O11" i="1" s="1"/>
  <c r="N10" i="1"/>
  <c r="O10" i="1" s="1"/>
  <c r="N9" i="1"/>
  <c r="O9" i="1" s="1"/>
  <c r="N8" i="1"/>
  <c r="O8" i="1" s="1"/>
  <c r="N7" i="1"/>
  <c r="O7" i="1" s="1"/>
  <c r="N6" i="1"/>
  <c r="O6" i="1" s="1"/>
  <c r="N5" i="1"/>
  <c r="O5" i="1" s="1"/>
  <c r="N4" i="1"/>
  <c r="O4" i="1" s="1"/>
  <c r="N3" i="1"/>
  <c r="O3" i="1" s="1"/>
  <c r="N2" i="1"/>
  <c r="O2" i="1" s="1"/>
  <c r="D172" i="3" l="1"/>
  <c r="D160" i="3"/>
  <c r="E169" i="3"/>
  <c r="E160" i="3"/>
  <c r="D164" i="3"/>
  <c r="D167" i="3"/>
  <c r="D170" i="3"/>
  <c r="AI26" i="4"/>
  <c r="D166" i="3"/>
  <c r="D169" i="3"/>
  <c r="D163" i="3"/>
  <c r="E172" i="3"/>
  <c r="E154" i="3"/>
  <c r="AI22" i="4"/>
  <c r="D155" i="3"/>
  <c r="D158" i="3"/>
  <c r="D161" i="3"/>
  <c r="E164" i="3"/>
  <c r="E170" i="3"/>
  <c r="E155" i="3"/>
  <c r="E158" i="3"/>
  <c r="E161" i="3"/>
  <c r="C30" i="4"/>
  <c r="R183" i="4"/>
  <c r="R184" i="4" s="1"/>
  <c r="D157" i="3"/>
  <c r="E166" i="3"/>
  <c r="E163" i="3"/>
  <c r="AI18" i="4"/>
  <c r="D165" i="3"/>
  <c r="D168" i="3"/>
  <c r="D171" i="3"/>
  <c r="AI21" i="4"/>
  <c r="AI23" i="4"/>
  <c r="D154" i="3"/>
  <c r="AI14" i="4"/>
  <c r="D153" i="3"/>
  <c r="D156" i="3"/>
  <c r="D159" i="3"/>
  <c r="D162" i="3"/>
  <c r="E165" i="3"/>
  <c r="E168" i="3"/>
  <c r="E171" i="3"/>
  <c r="AI27" i="4"/>
  <c r="D30" i="4"/>
  <c r="E153" i="3"/>
  <c r="E156" i="3"/>
  <c r="E159" i="3"/>
  <c r="E162" i="3"/>
  <c r="E157" i="3"/>
  <c r="E167" i="3"/>
  <c r="R181" i="4"/>
  <c r="R182" i="4" s="1"/>
  <c r="BJ28" i="3"/>
  <c r="BJ29" i="3"/>
  <c r="BT187" i="3"/>
  <c r="BT186" i="3"/>
  <c r="BJ31" i="3"/>
  <c r="O210" i="3"/>
  <c r="O211" i="3" s="1"/>
  <c r="O212" i="3"/>
  <c r="O213" i="3" s="1"/>
  <c r="BJ30" i="3"/>
</calcChain>
</file>

<file path=xl/sharedStrings.xml><?xml version="1.0" encoding="utf-8"?>
<sst xmlns="http://schemas.openxmlformats.org/spreadsheetml/2006/main" count="4620" uniqueCount="409">
  <si>
    <t>Fecha</t>
  </si>
  <si>
    <t>Costo_total</t>
  </si>
  <si>
    <t>Parametro_tiempo</t>
  </si>
  <si>
    <t>Tiempo_de_Ejecucion</t>
  </si>
  <si>
    <t>Estaciones</t>
  </si>
  <si>
    <t>Inventario_inicial</t>
  </si>
  <si>
    <t>Asimetria orden de excel dado</t>
  </si>
  <si>
    <t>Inventario_final</t>
  </si>
  <si>
    <t>Cantidad Total de Flujos</t>
  </si>
  <si>
    <t>Estaciones_Flujos</t>
  </si>
  <si>
    <t>Cantidad_Flujos</t>
  </si>
  <si>
    <t>Limites</t>
  </si>
  <si>
    <t>capacidad</t>
  </si>
  <si>
    <t>Día</t>
  </si>
  <si>
    <t>Dia_sem</t>
  </si>
  <si>
    <t>2024-11-08 18:00</t>
  </si>
  <si>
    <t>['LC007 - Centro Cívico De Las Condes', 'LC018 - Fiscalía Local De Las Condes', 'LC047 - Apoquindo / Luiz Zegers', 'LC049 - Presidente Riesco / Américo Vespucio', 'LC089 - Chesterton / Bocaccio', 'N16 - Polideportivo de Ñuñoa', 'N47 - Unimarc', 'P05 - Costanera Center 2', 'P11 - Metro Parque Bustamante', 'P18 - Metro Tobalaba', 'P34 - Santa Victoria / Bustamante', 'P62 - El Cerro', 'S03 - Teatinos / General Mackenna', 'S05 - Metro Bellas Artes', 'S17 - San Isidro / Santa Isabel', 'S24 - Plaza Yungay', 'S30 - San Pablo', 'V02 - Alonso de Cordova', 'V10 - Casa Costanera', 'V35 - Municipalidad de Vitacura']</t>
  </si>
  <si>
    <t>[11, 1, 4, 0, 3, 15, 6, 0, 15, 1, 13, 6, 15, 17, 25, 11, 13, 0, 0, 0]</t>
  </si>
  <si>
    <t>[1.247177188019948, 1.142529291833076, 1.123713972805261, 1.113919675588955, 1.04164028118629, 0.9958344961281658, 0.9957863323050703, 0.989954421057444, 0.8928339600558084, 0.8859789386606381, -1.092371897158798, -1.115413321197425, -1.12017317951397, -1.133956296544261, -1.142832783281643, -1.192089357365438, -1.196962071035268, -1.209770588374047, -1.336716556061441, -1.679865001322572]</t>
  </si>
  <si>
    <t>[10, 5, 7, 5, 3, 8, 6, 9, 3, 13, 4, 6, 8, 12, 16, 11, 13, 5, 5, 7]</t>
  </si>
  <si>
    <t>['LC007 - Centro Cívico De Las Condes -&gt; LC049 - Presidente Riesco / Américo Vespucio', 'LC007 - Centro Cívico De Las Condes -&gt; V02 - Alonso de Cordova', 'LC047 - Apoquindo / Luiz Zegers -&gt; LC018 - Fiscalía Local De Las Condes', 'N16 - Polideportivo de Ñuñoa -&gt; LC047 - Apoquindo / Luiz Zegers', 'P11 - Metro Parque Bustamante -&gt; P18 - Metro Tobalaba', 'P34 - Santa Victoria / Bustamante -&gt; LC007 - Centro Cívico De Las Condes', 'S03 - Teatinos / General Mackenna -&gt; V35 - Municipalidad de Vitacura', 'S05 - Metro Bellas Artes -&gt; V10 - Casa Costanera', 'S17 - San Isidro / Santa Isabel -&gt; P05 - Costanera Center 2']</t>
  </si>
  <si>
    <t>[5.0, 5.0, 4.0, 7.0, 12.0, 9.0, 7.0, 5.0, 9.0]</t>
  </si>
  <si>
    <t>[[10.92133768371537, 7.325839504304578], [7.5218721184962325, 4.592047557092723], [10.099401024599093, 6.043128267233983], [7.325345897359268, 4.798368075445993], [5.106752730883812, 1.8932472691161872], [13.31082423038729, 1.68917576961271], [13.37140019860973, 1.62859980139027], [9.87541716482847, 6.1203691674766], [14.879510095994704, 2.1204899040052947], [19.094573984244157, 10.90126051188401], [13.44107911287653, 1.5589208871234699], [7.341864014183017, 4.544114924477621], [13.776895067858325, 2.223104932141675], [16.680569347898047, 2.319430652101955], [24.496714129244246, 2.5032858707557506], [16.690830850711684, 2.3091691492883153], [13.09930486593843, 1.9006951340615696], [7.2382977969983076, 4.803342484187981], [7.424139739492641, 4.565814681564802], [9.835030022066963, 6.057803937988845]]</t>
  </si>
  <si>
    <t>[17,11,15,11,7,15,15,15,17,29,15,11,16,19,27,19,15,11,11,15]</t>
  </si>
  <si>
    <t>2024-11-09 18:00</t>
  </si>
  <si>
    <t>[2, 1, 5, 5, 1, 11, 5, 1, 9, 21, 15, 1, 14, 16, 18, 19, 12, 9, 2, 4]</t>
  </si>
  <si>
    <t>[8, 5, 7, 5, 2, 11, 5, 7, 9, 13, 2, 7, 11, 16, 18, 16, 12, 5, 5, 7]</t>
  </si>
  <si>
    <t>['LC007 - Centro Cívico De Las Condes -&gt; V02 - Alonso de Cordova', 'LC018 - Fiscalía Local De Las Condes -&gt; LC089 - Chesterton / Bocaccio', 'LC047 - Apoquindo / Luiz Zegers -&gt; LC018 - Fiscalía Local De Las Condes', 'P18 - Metro Tobalaba -&gt; LC007 - Centro Cívico De Las Condes', 'P18 - Metro Tobalaba -&gt; LC047 - Apoquindo / Luiz Zegers', 'P18 - Metro Tobalaba -&gt; P05 - Costanera Center 2', 'P34 - Santa Victoria / Bustamante -&gt; P18 - Metro Tobalaba', 'S03 - Teatinos / General Mackenna -&gt; P62 - El Cerro', 'S24 - Plaza Yungay -&gt; S03 - Teatinos / General Mackenna', 'V02 - Alonso de Cordova -&gt; V35 - Municipalidad de Vitacura', 'V35 - Municipalidad de Vitacura -&gt; V10 - Casa Costanera']</t>
  </si>
  <si>
    <t>[2.0, 1.0, 5.0, 8.0, 7.0, 6.0, 13.0, 6.0, 3.0, 6.0, 3.0]</t>
  </si>
  <si>
    <t>2024-11-10 18:00</t>
  </si>
  <si>
    <t>[4, 3, 5, 3, 4, 12, 12, 4, 13, 9, 12, 3, 12, 15, 22, 15, 12, 3, 3, 4]</t>
  </si>
  <si>
    <t>[8, 5, 10, 6, 4, 12, 2, 7, 3, 11, 11, 5, 12, 6, 22, 15, 12, 5, 5, 9]</t>
  </si>
  <si>
    <t>['LC047 - Apoquindo / Luiz Zegers -&gt; LC018 - Fiscalía Local De Las Condes', 'LC047 - Apoquindo / Luiz Zegers -&gt; LC049 - Presidente Riesco / Américo Vespucio', 'N47 - Unimarc -&gt; LC047 - Apoquindo / Luiz Zegers', 'P05 - Costanera Center 2 -&gt; P62 - El Cerro', 'P11 - Metro Parque Bustamante -&gt; P18 - Metro Tobalaba', 'P18 - Metro Tobalaba -&gt; LC007 - Centro Cívico De Las Condes', 'P18 - Metro Tobalaba -&gt; P05 - Costanera Center 2', 'P34 - Santa Victoria / Bustamante -&gt; P11 - Metro Parque Bustamante', 'S05 - Metro Bellas Artes -&gt; V35 - Municipalidad de Vitacura', 'V10 - Casa Costanera -&gt; V02 - Alonso de Cordova', 'V35 - Municipalidad de Vitacura -&gt; V10 - Casa Costanera']</t>
  </si>
  <si>
    <t>[2.0, 3.0, 10.0, 2.0, 11.0, 4.0, 5.0, 1.0, 9.0, 2.0, 4.0]</t>
  </si>
  <si>
    <t>2024-11-11 18:00</t>
  </si>
  <si>
    <t>[8, 3, 6, 3, 4, 12, 10, 4, 12, 17, 7, 1, 14, 6, 23, 16, 10, 6, 8, 2]</t>
  </si>
  <si>
    <t>[8, 5, 7, 5, 4, 12, 3, 7, 12, 11, 7, 5, 11, 6, 23, 16, 13, 5, 5, 7]</t>
  </si>
  <si>
    <t>['LC007 - Centro Cívico De Las Condes -&gt; LC049 - Presidente Riesco / Américo Vespucio', 'LC007 - Centro Cívico De Las Condes -&gt; V02 - Alonso de Cordova', 'LC047 - Apoquindo / Luiz Zegers -&gt; LC018 - Fiscalía Local De Las Condes', 'LC049 - Presidente Riesco / Américo Vespucio -&gt; LC047 - Apoquindo / Luiz Zegers', 'N47 - Unimarc -&gt; P05 - Costanera Center 2', 'P05 - Costanera Center 2 -&gt; P62 - El Cerro', 'P18 - Metro Tobalaba -&gt; LC007 - Centro Cívico De Las Condes', 'S03 - Teatinos / General Mackenna -&gt; S30 - San Pablo', 'V02 - Alonso de Cordova -&gt; V10 - Casa Costanera', 'V10 - Casa Costanera -&gt; V35 - Municipalidad de Vitacura']</t>
  </si>
  <si>
    <t>[5.0, 1.0, 2.0, 3.0, 7.0, 4.0, 6.0, 3.0, 2.0, 5.0]</t>
  </si>
  <si>
    <t>2024-11-12 18:00</t>
  </si>
  <si>
    <t>[4, 3, 2, 8, 4, 6, 7, 4, 16, 7, 14, 2, 5, 1, 26, 16, 8, 8, 1, 5]</t>
  </si>
  <si>
    <t>[8, 5, 10, 5, 4, 6, 7, 7, 3, 11, 3, 5, 5, 3, 24, 16, 8, 5, 5, 7]</t>
  </si>
  <si>
    <t>['LC047 - Apoquindo / Luiz Zegers -&gt; LC018 - Fiscalía Local De Las Condes', 'LC049 - Presidente Riesco / Américo Vespucio -&gt; V02 - Alonso de Cordova', 'P11 - Metro Parque Bustamante -&gt; LC047 - Apoquindo / Luiz Zegers', 'P11 - Metro Parque Bustamante -&gt; P62 - El Cerro', 'P18 - Metro Tobalaba -&gt; LC007 - Centro Cívico De Las Condes', 'P18 - Metro Tobalaba -&gt; P05 - Costanera Center 2', 'P34 - Santa Victoria / Bustamante -&gt; P18 - Metro Tobalaba', 'S17 - San Isidro / Santa Isabel -&gt; S05 - Metro Bellas Artes', 'V02 - Alonso de Cordova -&gt; V35 - Municipalidad de Vitacura', 'V35 - Municipalidad de Vitacura -&gt; V10 - Casa Costanera']</t>
  </si>
  <si>
    <t>[2.0, 3.0, 10.0, 3.0, 4.0, 3.0, 11.0, 2.0, 6.0, 4.0]</t>
  </si>
  <si>
    <t>2024-11-13 18:00</t>
  </si>
  <si>
    <t>[4, 7, 10, 6, 2, 14, 7, 3, 9, 2, 1, 11, 5, 12, 27, 15, 4, 1, 0, 0]</t>
  </si>
  <si>
    <t>[8, 7, 7, 5, 2, 3, 7, 7, 3, 11, 4, 5, 5, 5, 24, 15, 4, 5, 6, 7]</t>
  </si>
  <si>
    <t>['LC047 - Apoquindo / Luiz Zegers -&gt; LC049 - Presidente Riesco / Américo Vespucio', 'LC049 - Presidente Riesco / Américo Vespucio -&gt; V02 - Alonso de Cordova', 'N16 - Polideportivo de Ñuñoa -&gt; P18 - Metro Tobalaba', 'P05 - Costanera Center 2 -&gt; LC007 - Centro Cívico De Las Condes', 'P11 - Metro Parque Bustamante -&gt; P05 - Costanera Center 2', 'P18 - Metro Tobalaba -&gt; LC007 - Centro Cívico De Las Condes', 'P62 - El Cerro -&gt; V10 - Casa Costanera', 'S05 - Metro Bellas Artes -&gt; V35 - Municipalidad de Vitacura', 'S17 - San Isidro / Santa Isabel -&gt; P34 - Santa Victoria / Bustamante']</t>
  </si>
  <si>
    <t>[3.0, 4.0, 11.0, 2.0, 6.0, 2.0, 6.0, 7.0, 3.0]</t>
  </si>
  <si>
    <t>2024-11-14 18:00</t>
  </si>
  <si>
    <t>[4, 2, 8, 9, 2, 6, 8, 14, 12, 5, 10, 7, 8, 6, 26, 14, 8, 2, 4, 11]</t>
  </si>
  <si>
    <t>[8, 5, 8, 5, 2, 6, 8, 7, 12, 11, 12, 5, 8, 6, 24, 14, 8, 5, 5, 7]</t>
  </si>
  <si>
    <t>['LC049 - Presidente Riesco / Américo Vespucio -&gt; LC007 - Centro Cívico De Las Condes', 'LC049 - Presidente Riesco / Américo Vespucio -&gt; LC018 - Fiscalía Local De Las Condes', 'P05 - Costanera Center 2 -&gt; P18 - Metro Tobalaba', 'P18 - Metro Tobalaba -&gt; LC007 - Centro Cívico De Las Condes', 'P62 - El Cerro -&gt; P05 - Costanera Center 2', 'S17 - San Isidro / Santa Isabel -&gt; P34 - Santa Victoria / Bustamante', 'V10 - Casa Costanera -&gt; V02 - Alonso de Cordova', 'V35 - Municipalidad de Vitacura -&gt; V10 - Casa Costanera']</t>
  </si>
  <si>
    <t>[1.0, 3.0, 9.0, 3.0, 2.0, 2.0, 3.0, 4.0]</t>
  </si>
  <si>
    <t>2024-11-15 18:00</t>
  </si>
  <si>
    <t>[6, 4, 7, 4, 2, 13, 9, 6, 8, 2, 3, 3, 10, 11, 27, 13, 13, 3, 4, 3]</t>
  </si>
  <si>
    <t>[8, 5, 7, 5, 2, 13, 2, 7, 3, 11, 3, 5, 10, 11, 16, 13, 13, 5, 5, 7]</t>
  </si>
  <si>
    <t>['LC007 - Centro Cívico De Las Condes -&gt; LC049 - Presidente Riesco / Américo Vespucio', 'LC049 - Presidente Riesco / Américo Vespucio -&gt; LC018 - Fiscalía Local De Las Condes', 'N47 - Unimarc -&gt; V35 - Municipalidad de Vitacura', 'P05 - Costanera Center 2 -&gt; LC007 - Centro Cívico De Las Condes', 'P11 - Metro Parque Bustamante -&gt; P62 - El Cerro', 'P18 - Metro Tobalaba -&gt; P05 - Costanera Center 2', 'P62 - El Cerro -&gt; P05 - Costanera Center 2', 'S17 - San Isidro / Santa Isabel -&gt; P18 - Metro Tobalaba', 'V10 - Casa Costanera -&gt; V02 - Alonso de Cordova', 'V35 - Municipalidad de Vitacura -&gt; V10 - Casa Costanera']</t>
  </si>
  <si>
    <t>[2.0, 1.0, 7.0, 4.0, 5.0, 2.0, 3.0, 11.0, 2.0, 3.0]</t>
  </si>
  <si>
    <t>2024-11-16 18:00</t>
  </si>
  <si>
    <t>[0, 8, 7, 4, 2, 11, 12, 3, 17, 2, 11, 1, 13, 7, 26, 6, 12, 5, 5, 4]</t>
  </si>
  <si>
    <t>[8, 7, 7, 5, 2, 11, 4, 7, 3, 12, 11, 5, 13, 7, 19, 6, 12, 5, 5, 7]</t>
  </si>
  <si>
    <t>['LC018 - Fiscalía Local De Las Condes -&gt; LC049 - Presidente Riesco / Américo Vespucio', 'N47 - Unimarc -&gt; LC007 - Centro Cívico De Las Condes', 'P05 - Costanera Center 2 -&gt; V35 - Municipalidad de Vitacura', 'P11 - Metro Parque Bustamante -&gt; P18 - Metro Tobalaba', 'P11 - Metro Parque Bustamante -&gt; P62 - El Cerro', 'S17 - San Isidro / Santa Isabel -&gt; P05 - Costanera Center 2']</t>
  </si>
  <si>
    <t>[1.0, 8.0, 3.0, 10.0, 4.0, 7.0]</t>
  </si>
  <si>
    <t>2024-11-17 18:00</t>
  </si>
  <si>
    <t>[0, 4, 6, 5, 2, 11, 11, 1, 16, 0, 13, 2, 14, 12, 20, 10, 14, 6, 4, 5]</t>
  </si>
  <si>
    <t>[8, 5, 7, 5, 2, 11, 3, 7, 10, 11, 2, 5, 13, 12, 20, 10, 6, 5, 5, 9]</t>
  </si>
  <si>
    <t>['LC018 - Fiscalía Local De Las Condes -&gt; LC047 - Apoquindo / Luiz Zegers', 'N47 - Unimarc -&gt; LC007 - Centro Cívico De Las Condes', 'P11 - Metro Parque Bustamante -&gt; P05 - Costanera Center 2', 'P34 - Santa Victoria / Bustamante -&gt; P18 - Metro Tobalaba', 'S03 - Teatinos / General Mackenna -&gt; V35 - Municipalidad de Vitacura', 'S30 - San Pablo -&gt; S03 - Teatinos / General Mackenna', 'V02 - Alonso de Cordova -&gt; LC018 - Fiscalía Local De Las Condes', 'V10 - Casa Costanera -&gt; V02 - Alonso de Cordova', 'V35 - Municipalidad de Vitacura -&gt; P62 - El Cerro', 'V35 - Municipalidad de Vitacura -&gt; V10 - Casa Costanera']</t>
  </si>
  <si>
    <t>[1.0, 8.0, 6.0, 11.0, 9.0, 8.0, 2.0, 1.0, 3.0, 2.0]</t>
  </si>
  <si>
    <t>2024-11-18 18:00</t>
  </si>
  <si>
    <t>[5, 1, 8, 6, 2, 12, 1, 1, 15, 17, 15, 3, 14, 16, 27, 12, 3, 5, 1, 7]</t>
  </si>
  <si>
    <t>[8, 5, 7, 5, 2, 2, 11, 7, 9, 11, 13, 5, 13, 16, 24, 12, 4, 5, 5, 7]</t>
  </si>
  <si>
    <t>['LC007 - Centro Cívico De Las Condes -&gt; LC049 - Presidente Riesco / Américo Vespucio', 'LC047 - Apoquindo / Luiz Zegers -&gt; LC018 - Fiscalía Local De Las Condes', 'LC049 - Presidente Riesco / Américo Vespucio -&gt; LC047 - Apoquindo / Luiz Zegers', 'N16 - Polideportivo de Ñuñoa -&gt; N47 - Unimarc', 'P11 - Metro Parque Bustamante -&gt; P18 - Metro Tobalaba', 'P18 - Metro Tobalaba -&gt; LC007 - Centro Cívico De Las Condes', 'P18 - Metro Tobalaba -&gt; P05 - Costanera Center 2', 'P18 - Metro Tobalaba -&gt; P62 - El Cerro', 'P18 - Metro Tobalaba -&gt; V10 - Casa Costanera', 'P34 - Santa Victoria / Bustamante -&gt; P11 - Metro Parque Bustamante', 'S03 - Teatinos / General Mackenna -&gt; S30 - San Pablo', 'S17 - San Isidro / Santa Isabel -&gt; P34 - Santa Victoria / Bustamante']</t>
  </si>
  <si>
    <t>[2.0, 4.0, 3.0, 10.0, 11.0, 5.0, 6.0, 2.0, 4.0, 5.0, 1.0, 3.0]</t>
  </si>
  <si>
    <t>2024-11-19 18:00</t>
  </si>
  <si>
    <t>[4, 8, 0, 6, 2, 6, 9, 9, 14, 13, 3, 3, 14, 14, 26, 18, 14, 2, 2, 0]</t>
  </si>
  <si>
    <t>[8, 5, 7, 5, 2, 6, 9, 7, 3, 11, 13, 5, 13, 14, 16, 13, 13, 5, 5, 7]</t>
  </si>
  <si>
    <t>['LC007 - Centro Cívico De Las Condes -&gt; LC047 - Apoquindo / Luiz Zegers', 'LC018 - Fiscalía Local De Las Condes -&gt; LC047 - Apoquindo / Luiz Zegers', 'LC049 - Presidente Riesco / Américo Vespucio -&gt; V02 - Alonso de Cordova', 'P05 - Costanera Center 2 -&gt; P62 - El Cerro', 'P11 - Metro Parque Bustamante -&gt; P18 - Metro Tobalaba', 'P18 - Metro Tobalaba -&gt; LC007 - Centro Cívico De Las Condes', 'P18 - Metro Tobalaba -&gt; V10 - Casa Costanera', 'S03 - Teatinos / General Mackenna -&gt; V35 - Municipalidad de Vitacura', 'S17 - San Isidro / Santa Isabel -&gt; P34 - Santa Victoria / Bustamante', 'S24 - Plaza Yungay -&gt; S30 - San Pablo', 'S30 - San Pablo -&gt; S03 - Teatinos / General Mackenna', 'V10 - Casa Costanera -&gt; V02 - Alonso de Cordova']</t>
  </si>
  <si>
    <t>[4.0, 3.0, 1.0, 2.0, 11.0, 8.0, 5.0, 7.0, 10.0, 5.0, 6.0, 2.0]</t>
  </si>
  <si>
    <t>2024-11-20 18:00</t>
  </si>
  <si>
    <t>[1, 5, 8, 5, 1, 8, 8, 8, 6, 8, 4, 0, 10, 12, 27, 17, 14, 0, 1, 9]</t>
  </si>
  <si>
    <t>[8, 5, 7, 5, 2, 8, 2, 7, 6, 11, 4, 5, 13, 7, 17, 15, 13, 5, 5, 7]</t>
  </si>
  <si>
    <t>['LC047 - Apoquindo / Luiz Zegers -&gt; LC089 - Chesterton / Bocaccio', 'N47 - Unimarc -&gt; P05 - Costanera Center 2', 'P05 - Costanera Center 2 -&gt; V35 - Municipalidad de Vitacura', 'P18 - Metro Tobalaba -&gt; LC007 - Centro Cívico De Las Condes', 'S05 - Metro Bellas Artes -&gt; P62 - El Cerro', 'S17 - San Isidro / Santa Isabel -&gt; P18 - Metro Tobalaba', 'S24 - Plaza Yungay -&gt; S30 - San Pablo', 'S30 - San Pablo -&gt; S03 - Teatinos / General Mackenna', 'V35 - Municipalidad de Vitacura -&gt; V02 - Alonso de Cordova', 'V35 - Municipalidad de Vitacura -&gt; V10 - Casa Costanera']</t>
  </si>
  <si>
    <t>[1.0, 6.0, 7.0, 7.0, 5.0, 10.0, 2.0, 3.0, 5.0, 4.0]</t>
  </si>
  <si>
    <t>2024-11-21 18:00</t>
  </si>
  <si>
    <t>[14, 9, 3, 6, 4, 6, 12, 8, 14, 8, 3, 6, 1, 12, 23, 15, 13, 10, 0, 6]</t>
  </si>
  <si>
    <t>[8, 5, 7, 5, 4, 6, 12, 8, 14, 14, 3, 6, 3, 12, 23, 15, 11, 5, 5, 7]</t>
  </si>
  <si>
    <t>['LC007 - Centro Cívico De Las Condes -&gt; P18 - Metro Tobalaba', 'LC018 - Fiscalía Local De Las Condes -&gt; LC047 - Apoquindo / Luiz Zegers', 'LC049 - Presidente Riesco / Américo Vespucio -&gt; V02 - Alonso de Cordova', 'S30 - San Pablo -&gt; S03 - Teatinos / General Mackenna', 'V02 - Alonso de Cordova -&gt; V35 - Municipalidad de Vitacura', 'V35 - Municipalidad de Vitacura -&gt; V10 - Casa Costanera']</t>
  </si>
  <si>
    <t>[6.0, 4.0, 1.0, 2.0, 6.0, 5.0]</t>
  </si>
  <si>
    <t>2024-11-22 18:00</t>
  </si>
  <si>
    <t>[7, 3, 10, 5, 4, 8, 8, 0, 15, 4, 12, 10, 4, 12, 27, 19, 5, 5, 0, 4]</t>
  </si>
  <si>
    <t>[8, 5, 8, 5, 4, 8, 8, 7, 3, 12, 12, 5, 4, 12, 20, 16, 8, 5, 5, 7]</t>
  </si>
  <si>
    <t>['LC007 - Centro Cívico De Las Condes -&gt; V35 - Municipalidad de Vitacura', 'LC047 - Apoquindo / Luiz Zegers -&gt; LC018 - Fiscalía Local De Las Condes', 'P11 - Metro Parque Bustamante -&gt; P18 - Metro Tobalaba', 'P18 - Metro Tobalaba -&gt; LC007 - Centro Cívico De Las Condes', 'P62 - El Cerro -&gt; V10 - Casa Costanera', 'S17 - San Isidro / Santa Isabel -&gt; P05 - Costanera Center 2', 'S24 - Plaza Yungay -&gt; S30 - San Pablo']</t>
  </si>
  <si>
    <t>[3.0, 2.0, 12.0, 4.0, 5.0, 7.0, 3.0]</t>
  </si>
  <si>
    <t>2024-11-23 18:00</t>
  </si>
  <si>
    <t>[7, 0, 7, 4, 3, 8, 7, 0, 16, 17, 8, 1, 9, 19, 21, 19, 11, 0, 3, 9]</t>
  </si>
  <si>
    <t>[8, 6, 7, 5, 3, 8, 7, 7, 5, 11, 8, 5, 12, 12, 21, 16, 11, 5, 5, 7]</t>
  </si>
  <si>
    <t>['LC007 - Centro Cívico De Las Condes -&gt; LC018 - Fiscalía Local De Las Condes', 'LC007 - Centro Cívico De Las Condes -&gt; LC049 - Presidente Riesco / Américo Vespucio', 'P11 - Metro Parque Bustamante -&gt; P18 - Metro Tobalaba', 'P18 - Metro Tobalaba -&gt; LC007 - Centro Cívico De Las Condes', 'P18 - Metro Tobalaba -&gt; P62 - El Cerro', 'P18 - Metro Tobalaba -&gt; V02 - Alonso de Cordova', 'S05 - Metro Bellas Artes -&gt; P05 - Costanera Center 2', 'S24 - Plaza Yungay -&gt; S03 - Teatinos / General Mackenna', 'V35 - Municipalidad de Vitacura -&gt; V10 - Casa Costanera']</t>
  </si>
  <si>
    <t>[6.0, 1.0, 11.0, 8.0, 4.0, 5.0, 7.0, 3.0, 2.0]</t>
  </si>
  <si>
    <t>2024-11-24 18:00</t>
  </si>
  <si>
    <t>[4, 5, 4, 3, 3, 10, 7, 6, 16, 6, 14, 9, 6, 16, 26, 17, 14, 8, 3, 3]</t>
  </si>
  <si>
    <t>[8, 5, 7, 5, 3, 10, 2, 8, 14, 11, 13, 5, 13, 16, 18, 11, 13, 6, 5, 7]</t>
  </si>
  <si>
    <t>['LC049 - Presidente Riesco / Américo Vespucio -&gt; LC047 - Apoquindo / Luiz Zegers', 'N47 - Unimarc -&gt; LC049 - Presidente Riesco / Américo Vespucio', 'P11 - Metro Parque Bustamante -&gt; P18 - Metro Tobalaba', 'P18 - Metro Tobalaba -&gt; LC007 - Centro Cívico De Las Condes', 'P18 - Metro Tobalaba -&gt; P05 - Costanera Center 2', 'P34 - Santa Victoria / Bustamante -&gt; P11 - Metro Parque Bustamante', 'P62 - El Cerro -&gt; V35 - Municipalidad de Vitacura', 'S17 - San Isidro / Santa Isabel -&gt; P34 - Santa Victoria / Bustamante', 'S24 - Plaza Yungay -&gt; S30 - San Pablo', 'S30 - San Pablo -&gt; S03 - Teatinos / General Mackenna', 'V02 - Alonso de Cordova -&gt; V10 - Casa Costanera']</t>
  </si>
  <si>
    <t>[3.0, 5.0, 11.0, 4.0, 2.0, 9.0, 4.0, 8.0, 6.0, 7.0, 2.0]</t>
  </si>
  <si>
    <t>2024-11-25 18:00</t>
  </si>
  <si>
    <t>[2, 7, 3, 3, 3, 11, 4, 13, 11, 3, 12, 2, 14, 16, 25, 8, 14, 3, 1, 6]</t>
  </si>
  <si>
    <t>[8, 5, 7, 5, 3, 11, 4, 7, 3, 11, 12, 7, 10, 16, 14, 8, 13, 5, 5, 7]</t>
  </si>
  <si>
    <t>['LC007 - Centro Cívico De Las Condes -&gt; LC049 - Presidente Riesco / Américo Vespucio', 'LC018 - Fiscalía Local De Las Condes -&gt; LC047 - Apoquindo / Luiz Zegers', 'P05 - Costanera Center 2 -&gt; V35 - Municipalidad de Vitacura', 'P11 - Metro Parque Bustamante -&gt; LC007 - Centro Cívico De Las Condes', 'P18 - Metro Tobalaba -&gt; LC047 - Apoquindo / Luiz Zegers', 'P18 - Metro Tobalaba -&gt; P05 - Costanera Center 2', 'S03 - Teatinos / General Mackenna -&gt; P62 - El Cerro', 'S17 - San Isidro / Santa Isabel -&gt; P18 - Metro Tobalaba', 'S30 - San Pablo -&gt; S03 - Teatinos / General Mackenna', 'V35 - Municipalidad de Vitacura -&gt; V02 - Alonso de Cordova', 'V35 - Municipalidad de Vitacura -&gt; V10 - Casa Costanera']</t>
  </si>
  <si>
    <t>[2.0, 2.0, 7.0, 8.0, 2.0, 1.0, 5.0, 11.0, 1.0, 2.0, 4.0]</t>
  </si>
  <si>
    <t>2024-11-26 18:00</t>
  </si>
  <si>
    <t>[3, 10, 5, 7, 1, 14, 10, 9, 17, 4, 8, 1, 10, 14, 19, 2, 9, 2, 3, 4]</t>
  </si>
  <si>
    <t>[8, 5, 9, 7, 2, 4, 2, 7, 13, 11, 8, 5, 10, 14, 19, 3, 8, 5, 5, 7]</t>
  </si>
  <si>
    <t>['LC007 - Centro Cívico De Las Condes -&gt; V02 - Alonso de Cordova', 'LC018 - Fiscalía Local De Las Condes -&gt; LC047 - Apoquindo / Luiz Zegers', 'LC018 - Fiscalía Local De Las Condes -&gt; LC089 - Chesterton / Bocaccio', 'N16 - Polideportivo de Ñuñoa -&gt; P18 - Metro Tobalaba', 'N47 - Unimarc -&gt; LC007 - Centro Cívico De Las Condes', 'P05 - Costanera Center 2 -&gt; V35 - Municipalidad de Vitacura', 'P11 - Metro Parque Bustamante -&gt; P62 - El Cerro', 'P18 - Metro Tobalaba -&gt; P05 - Costanera Center 2', 'S30 - San Pablo -&gt; S24 - Plaza Yungay', 'V35 - Municipalidad de Vitacura -&gt; V10 - Casa Costanera']</t>
  </si>
  <si>
    <t>[3.0, 4.0, 1.0, 10.0, 8.0, 5.0, 4.0, 3.0, 1.0, 2.0]</t>
  </si>
  <si>
    <t>2024-11-27 18:00</t>
  </si>
  <si>
    <t>[3, 6, 2, 1, 0, 10, 4, 9, 9, 12, 7, 4, 6, 7, 26, 12, 4, 3, 2, 6]</t>
  </si>
  <si>
    <t>[9, 5, 7, 5, 2, 10, 4, 7, 3, 19, 4, 5, 6, 7, 7, 12, 4, 5, 5, 7]</t>
  </si>
  <si>
    <t>['LC007 - Centro Cívico De Las Condes -&gt; LC049 - Presidente Riesco / Américo Vespucio', 'LC018 - Fiscalía Local De Las Condes -&gt; LC049 - Presidente Riesco / Américo Vespucio', 'LC047 - Apoquindo / Luiz Zegers -&gt; LC089 - Chesterton / Bocaccio', 'P05 - Costanera Center 2 -&gt; P62 - El Cerro', 'P05 - Costanera Center 2 -&gt; V35 - Municipalidad de Vitacura', 'P11 - Metro Parque Bustamante -&gt; LC007 - Centro Cívico De Las Condes', 'P18 - Metro Tobalaba -&gt; LC047 - Apoquindo / Luiz Zegers', 'P18 - Metro Tobalaba -&gt; P05 - Costanera Center 2', 'P34 - Santa Victoria / Bustamante -&gt; P11 - Metro Parque Bustamante', 'S17 - San Isidro / Santa Isabel -&gt; P18 - Metro Tobalaba', 'V10 - Casa Costanera -&gt; V02 - Alonso de Cordova', 'V35 - Municipalidad de Vitacura -&gt; V10 - Casa Costanera']</t>
  </si>
  <si>
    <t>[3.0, 1.0, 2.0, 1.0, 6.0, 9.0, 7.0, 5.0, 3.0, 19.0, 2.0, 5.0]</t>
  </si>
  <si>
    <t>2024-11-28 18:00</t>
  </si>
  <si>
    <t>[6, 5, 5, 8, 0, 13, 2, 5, 12, 4, 6, 2, 4, 16, 26, 7, 9, 5, 4, 2]</t>
  </si>
  <si>
    <t>[8, 5, 7, 5, 2, 13, 2, 7, 5, 19, 6, 7, 4, 11, 7, 7, 9, 5, 5, 7]</t>
  </si>
  <si>
    <t>['LC047 - Apoquindo / Luiz Zegers -&gt; LC089 - Chesterton / Bocaccio', 'LC049 - Presidente Riesco / Américo Vespucio -&gt; LC047 - Apoquindo / Luiz Zegers', 'P11 - Metro Parque Bustamante -&gt; V35 - Municipalidad de Vitacura', 'P18 - Metro Tobalaba -&gt; LC007 - Centro Cívico De Las Condes', 'P18 - Metro Tobalaba -&gt; P05 - Costanera Center 2', 'S05 - Metro Bellas Artes -&gt; P62 - El Cerro', 'S17 - San Isidro / Santa Isabel -&gt; P18 - Metro Tobalaba', 'V10 - Casa Costanera -&gt; LC049 - Presidente Riesco / Américo Vespucio', 'V35 - Municipalidad de Vitacura -&gt; V10 - Casa Costanera']</t>
  </si>
  <si>
    <t>[2.0, 4.0, 7.0, 2.0, 2.0, 5.0, 19.0, 1.0, 2.0]</t>
  </si>
  <si>
    <t>2024-11-29 18:00</t>
  </si>
  <si>
    <t>[3, 2, 10, 3, 4, 5, 4, 13, 12, 9, 5, 1, 8, 9, 27, 15, 6, 4, 7, 4]</t>
  </si>
  <si>
    <t>[8, 5, 7, 5, 4, 5, 4, 7, 12, 11, 5, 7, 8, 9, 16, 15, 6, 5, 5, 7]</t>
  </si>
  <si>
    <t>['LC047 - Apoquindo / Luiz Zegers -&gt; LC018 - Fiscalía Local De Las Condes', 'LC049 - Presidente Riesco / Américo Vespucio -&gt; V02 - Alonso de Cordova', 'P05 - Costanera Center 2 -&gt; P62 - El Cerro', 'P18 - Metro Tobalaba -&gt; LC007 - Centro Cívico De Las Condes', 'P18 - Metro Tobalaba -&gt; LC049 - Presidente Riesco / Américo Vespucio', 'S17 - San Isidro / Santa Isabel -&gt; P18 - Metro Tobalaba', 'V02 - Alonso de Cordova -&gt; V10 - Casa Costanera', 'V10 - Casa Costanera -&gt; V35 - Municipalidad de Vitacura']</t>
  </si>
  <si>
    <t>[3.0, 2.0, 6.0, 5.0, 4.0, 11.0, 1.0, 3.0]</t>
  </si>
  <si>
    <t>2024-11-30 18:00</t>
  </si>
  <si>
    <t>[2, 5, 5, 3, 4, 9, 2, 12, 12, 9, 13, 2, 16, 14, 13, 15, 15, 1, 5, 13]</t>
  </si>
  <si>
    <t>[8, 5, 7, 6, 4, 9, 2, 7, 12, 16, 13, 5, 3, 14, 13, 15, 12, 5, 5, 9]</t>
  </si>
  <si>
    <t>['LC049 - Presidente Riesco / Américo Vespucio -&gt; LC047 - Apoquindo / Luiz Zegers', 'P05 - Costanera Center 2 -&gt; LC049 - Presidente Riesco / Américo Vespucio', 'P18 - Metro Tobalaba -&gt; LC007 - Centro Cívico De Las Condes', 'P18 - Metro Tobalaba -&gt; P62 - El Cerro', 'S03 - Teatinos / General Mackenna -&gt; P18 - Metro Tobalaba', 'S30 - San Pablo -&gt; S03 - Teatinos / General Mackenna', 'V35 - Municipalidad de Vitacura -&gt; V02 - Alonso de Cordova']</t>
  </si>
  <si>
    <t>[2.0, 5.0, 6.0, 3.0, 16.0, 3.0, 4.0]</t>
  </si>
  <si>
    <t>2024-12-01 18:00</t>
  </si>
  <si>
    <t>[12, 5, 6, 3, 4, 12, 7, 5, 12, 5, 13, 5, 14, 15, 27, 16, 13, 0, 0, 6]</t>
  </si>
  <si>
    <t>[8, 5, 7, 5, 4, 12, 7, 7, 12, 11, 13, 5, 7, 15, 16, 16, 13, 5, 5, 7]</t>
  </si>
  <si>
    <t>['LC007 - Centro Cívico De Las Condes -&gt; V02 - Alonso de Cordova', 'LC049 - Presidente Riesco / Américo Vespucio -&gt; LC047 - Apoquindo / Luiz Zegers', 'P18 - Metro Tobalaba -&gt; LC049 - Presidente Riesco / Américo Vespucio', 'P18 - Metro Tobalaba -&gt; P05 - Costanera Center 2', 'S03 - Teatinos / General Mackenna -&gt; V35 - Municipalidad de Vitacura', 'S17 - San Isidro / Santa Isabel -&gt; P18 - Metro Tobalaba', 'V35 - Municipalidad de Vitacura -&gt; V02 - Alonso de Cordova', 'V35 - Municipalidad de Vitacura -&gt; V10 - Casa Costanera']</t>
  </si>
  <si>
    <t>[4.0, 1.0, 3.0, 2.0, 7.0, 11.0, 1.0, 5.0]</t>
  </si>
  <si>
    <t>2024-12-02 18:00</t>
  </si>
  <si>
    <t>[15, 4, 7, 8, 5, 14, 3, 6, 17, 4, 13, 7, 9, 3, 24, 18, 10, 4, 2, 3]</t>
  </si>
  <si>
    <t>[8, 5, 7, 6, 5, 4, 13, 7, 9, 11, 13, 7, 9, 3, 24, 15, 13, 5, 5, 7]</t>
  </si>
  <si>
    <t>['LC007 - Centro Cívico De Las Condes -&gt; V35 - Municipalidad de Vitacura', 'LC049 - Presidente Riesco / Américo Vespucio -&gt; LC018 - Fiscalía Local De Las Condes', 'LC049 - Presidente Riesco / Américo Vespucio -&gt; V02 - Alonso de Cordova', 'N16 - Polideportivo de Ñuñoa -&gt; N47 - Unimarc', 'P11 - Metro Parque Bustamante -&gt; P18 - Metro Tobalaba', 'P18 - Metro Tobalaba -&gt; P05 - Costanera Center 2', 'S24 - Plaza Yungay -&gt; S30 - San Pablo', 'V35 - Municipalidad de Vitacura -&gt; V10 - Casa Costanera']</t>
  </si>
  <si>
    <t>[7.0, 1.0, 1.0, 10.0, 8.0, 1.0, 3.0, 3.0]</t>
  </si>
  <si>
    <t>2024-12-03 18:00</t>
  </si>
  <si>
    <t>2024-12-04 18:00</t>
  </si>
  <si>
    <t>[14, 5, 2, 2, 5, 6, 7, 10, 3, 7, 1, 5, 9, 18, 21, 8, 11, 1, 0, 3]</t>
  </si>
  <si>
    <t>[8, 5, 7, 5, 5, 6, 2, 7, 3, 15, 13, 5, 9, 3, 9, 8, 11, 5, 5, 7]</t>
  </si>
  <si>
    <t>['LC007 - Centro Cívico De Las Condes -&gt; LC049 - Presidente Riesco / Américo Vespucio', 'LC007 - Centro Cívico De Las Condes -&gt; V02 - Alonso de Cordova', 'LC007 - Centro Cívico De Las Condes -&gt; V10 - Casa Costanera', 'N47 - Unimarc -&gt; LC047 - Apoquindo / Luiz Zegers', 'P05 - Costanera Center 2 -&gt; V35 - Municipalidad de Vitacura', 'P18 - Metro Tobalaba -&gt; LC007 - Centro Cívico De Las Condes', 'P18 - Metro Tobalaba -&gt; P05 - Costanera Center 2', 'S05 - Metro Bellas Artes -&gt; P18 - Metro Tobalaba', 'S17 - San Isidro / Santa Isabel -&gt; P34 - Santa Victoria / Bustamante']</t>
  </si>
  <si>
    <t>[3.0, 4.0, 5.0, 5.0, 4.0, 6.0, 1.0, 15.0, 12.0]</t>
  </si>
  <si>
    <t>2024-12-05 18:00</t>
  </si>
  <si>
    <t>[3, 4, 8, 5, 3, 8, 8, 13, 14, 2, 15, 1, 12, 16, 26, 13, 14, 2, 0, 0]</t>
  </si>
  <si>
    <t>[8, 5, 7, 5, 3, 8, 2, 8, 7, 13, 2, 5, 13, 16, 22, 13, 13, 5, 5, 7]</t>
  </si>
  <si>
    <t>['LC007 - Centro Cívico De Las Condes -&gt; V02 - Alonso de Cordova', 'LC047 - Apoquindo / Luiz Zegers -&gt; LC018 - Fiscalía Local De Las Condes', 'N47 - Unimarc -&gt; LC007 - Centro Cívico De Las Condes', 'P05 - Costanera Center 2 -&gt; V10 - Casa Costanera', 'P11 - Metro Parque Bustamante -&gt; V35 - Municipalidad de Vitacura', 'P18 - Metro Tobalaba -&gt; LC007 - Centro Cívico De Las Condes', 'P34 - Santa Victoria / Bustamante -&gt; P18 - Metro Tobalaba', 'S17 - San Isidro / Santa Isabel -&gt; P62 - El Cerro', 'S30 - San Pablo -&gt; S03 - Teatinos / General Mackenna']</t>
  </si>
  <si>
    <t>[3.0, 1.0, 6.0, 5.0, 7.0, 2.0, 13.0, 4.0, 1.0]</t>
  </si>
  <si>
    <t>2024-12-06 18:00</t>
  </si>
  <si>
    <t>[6, 1, 2, 3, 3, 6, 11, 10, 14, 3, 2, 9, 9, 19, 21, 17, 10, 0, 1, 2]</t>
  </si>
  <si>
    <t>[8, 5, 9, 5, 3, 6, 2, 7, 3, 17, 2, 5, 9, 3, 21, 16, 11, 5, 5, 7]</t>
  </si>
  <si>
    <t>['LC007 - Centro Cívico De Las Condes -&gt; LC049 - Presidente Riesco / Américo Vespucio', 'LC007 - Centro Cívico De Las Condes -&gt; V10 - Casa Costanera', 'LC047 - Apoquindo / Luiz Zegers -&gt; LC018 - Fiscalía Local De Las Condes', 'LC049 - Presidente Riesco / Américo Vespucio -&gt; LC018 - Fiscalía Local De Las Condes', 'N47 - Unimarc -&gt; LC047 - Apoquindo / Luiz Zegers', 'P05 - Costanera Center 2 -&gt; V02 - Alonso de Cordova', 'P11 - Metro Parque Bustamante -&gt; LC007 - Centro Cívico De Las Condes', 'P11 - Metro Parque Bustamante -&gt; P62 - El Cerro', 'P18 - Metro Tobalaba -&gt; P05 - Costanera Center 2', 'P62 - El Cerro -&gt; V35 - Municipalidad de Vitacura', 'S05 - Metro Bellas Artes -&gt; P18 - Metro Tobalaba', 'S24 - Plaza Yungay -&gt; S30 - San Pablo', 'V35 - Municipalidad de Vitacura -&gt; V10 - Casa Costanera']</t>
  </si>
  <si>
    <t>[4.0, 2.0, 2.0, 2.0, 9.0, 5.0, 8.0, 3.0, 2.0, 7.0, 16.0, 1.0, 2.0]</t>
  </si>
  <si>
    <t>2024-12-07 18:00</t>
  </si>
  <si>
    <t>[6, 2, 1, 6, 2, 9, 13, 4, 10, 6, 9, 10, 16, 13, 25, 19, 11, 1, 6, 5]</t>
  </si>
  <si>
    <t>[8, 5, 7, 5, 2, 9, 6, 7, 10, 11, 13, 5, 8, 13, 21, 16, 11, 5, 5, 7]</t>
  </si>
  <si>
    <t>['LC007 - Centro Cívico De Las Condes -&gt; LC049 - Presidente Riesco / Américo Vespucio', 'LC047 - Apoquindo / Luiz Zegers -&gt; LC018 - Fiscalía Local De Las Condes', 'LC049 - Presidente Riesco / Américo Vespucio -&gt; LC018 - Fiscalía Local De Las Condes', 'N47 - Unimarc -&gt; LC047 - Apoquindo / Luiz Zegers', 'P18 - Metro Tobalaba -&gt; LC007 - Centro Cívico De Las Condes', 'P18 - Metro Tobalaba -&gt; P05 - Costanera Center 2', 'P62 - El Cerro -&gt; V35 - Municipalidad de Vitacura', 'S03 - Teatinos / General Mackenna -&gt; P18 - Metro Tobalaba', 'S17 - San Isidro / Santa Isabel -&gt; P34 - Santa Victoria / Bustamante', 'S24 - Plaza Yungay -&gt; S03 - Teatinos / General Mackenna', 'V10 - Casa Costanera -&gt; V02 - Alonso de Cordova', 'V35 - Municipalidad de Vitacura -&gt; V10 - Casa Costanera']</t>
  </si>
  <si>
    <t>[1.0, 1.0, 2.0, 7.0, 3.0, 3.0, 5.0, 11.0, 4.0, 3.0, 4.0, 3.0]</t>
  </si>
  <si>
    <t>2024-12-08 18:00</t>
  </si>
  <si>
    <t>[1, 2, 4, 4, 2, 9, 10, 3, 5, 1, 14, 3, 12, 15, 26, 18, 15, 1, 4, 5]</t>
  </si>
  <si>
    <t>[8, 5, 7, 5, 2, 9, 4, 7, 5, 19, 6, 5, 12, 10, 7, 13, 13, 5, 5, 7]</t>
  </si>
  <si>
    <t>['LC007 - Centro Cívico De Las Condes -&gt; LC049 - Presidente Riesco / Américo Vespucio', 'LC047 - Apoquindo / Luiz Zegers -&gt; LC018 - Fiscalía Local De Las Condes', 'N47 - Unimarc -&gt; LC047 - Apoquindo / Luiz Zegers', 'P18 - Metro Tobalaba -&gt; P05 - Costanera Center 2', 'P34 - Santa Victoria / Bustamante -&gt; LC007 - Centro Cívico De Las Condes', 'P62 - El Cerro -&gt; P05 - Costanera Center 2', 'S05 - Metro Bellas Artes -&gt; P62 - El Cerro', 'S17 - San Isidro / Santa Isabel -&gt; P18 - Metro Tobalaba', 'S24 - Plaza Yungay -&gt; S30 - San Pablo', 'S30 - San Pablo -&gt; V35 - Municipalidad de Vitacura', 'V10 - Casa Costanera -&gt; V02 - Alonso de Cordova', 'V35 - Municipalidad de Vitacura -&gt; V10 - Casa Costanera']</t>
  </si>
  <si>
    <t>[1.0, 3.0, 6.0, 1.0, 8.0, 3.0, 5.0, 19.0, 5.0, 7.0, 4.0, 5.0]</t>
  </si>
  <si>
    <t>Lunes</t>
  </si>
  <si>
    <t>Martes</t>
  </si>
  <si>
    <t>Miércoles</t>
  </si>
  <si>
    <t>Jueves</t>
  </si>
  <si>
    <t>Viernes</t>
  </si>
  <si>
    <t>Sábado</t>
  </si>
  <si>
    <t>Domingo</t>
  </si>
  <si>
    <t>V dejar mayor a CM</t>
  </si>
  <si>
    <t>LL dejar menor a CM</t>
  </si>
  <si>
    <t>Viernes 8 noviembre 18:00 hrs</t>
  </si>
  <si>
    <t>Sabado 9 noviembre 18:00 hrs</t>
  </si>
  <si>
    <t>Domingo 10 noviembre 18:00 hrs</t>
  </si>
  <si>
    <t>Lunes 11 noviembre 18:00 hrs</t>
  </si>
  <si>
    <t>Martes 12 noviembre 18:00 hrs</t>
  </si>
  <si>
    <t>Miercoles 13 noviembre 18:00 hrs</t>
  </si>
  <si>
    <t>Jueves 14 noviembre 18:00 hrs</t>
  </si>
  <si>
    <t>Viernes 15 noviembre 18:00 hrs</t>
  </si>
  <si>
    <t>Estación</t>
  </si>
  <si>
    <t>Inv_inicialprom_viernes</t>
  </si>
  <si>
    <t>Inv_final 18:45</t>
  </si>
  <si>
    <t>Inv_final 19:00</t>
  </si>
  <si>
    <t>Inventario_Final</t>
  </si>
  <si>
    <t>Asimetría</t>
  </si>
  <si>
    <t>Capacidad</t>
  </si>
  <si>
    <t>Estado</t>
  </si>
  <si>
    <t>ESTADO +-2</t>
  </si>
  <si>
    <t>Quiebre</t>
  </si>
  <si>
    <t>Validar_asimetria</t>
  </si>
  <si>
    <t>Diferencia</t>
  </si>
  <si>
    <t>aca estan al reves</t>
  </si>
  <si>
    <t>mas actual y correcta</t>
  </si>
  <si>
    <t>Estacion</t>
  </si>
  <si>
    <t>Inv_inicialprom_sabado</t>
  </si>
  <si>
    <t>y</t>
  </si>
  <si>
    <t>o</t>
  </si>
  <si>
    <t>Estado_final</t>
  </si>
  <si>
    <t>Inv_inicialprom_domingo</t>
  </si>
  <si>
    <t>Estado_final_correcto</t>
  </si>
  <si>
    <t>Inv_inicialprom_lunes</t>
  </si>
  <si>
    <t>Inv_inicialprom_martes</t>
  </si>
  <si>
    <t>Diferecia</t>
  </si>
  <si>
    <t>Inv_inicialprom_miercoles</t>
  </si>
  <si>
    <t>Inv_inicialprom_jueves</t>
  </si>
  <si>
    <t>LC007 - Centro Cívico De Las Condes</t>
  </si>
  <si>
    <t>-1, había quiebre y deje CM</t>
  </si>
  <si>
    <t>LC047 - Apoquindo / Luiz Zegers</t>
  </si>
  <si>
    <t>LC049 - Presidente Riesco / Américo Vespucio</t>
  </si>
  <si>
    <t>LC018 - Fiscalía Local De Las Condes</t>
  </si>
  <si>
    <t>V02 - Alonso de Cordova</t>
  </si>
  <si>
    <t>-1, no había quiebre y deje CM</t>
  </si>
  <si>
    <t>P18 - Metro Tobalaba</t>
  </si>
  <si>
    <t>perdi</t>
  </si>
  <si>
    <t>0, no había quiebre y la deje con quiebre</t>
  </si>
  <si>
    <t>P05 - Costanera Center 2</t>
  </si>
  <si>
    <t>V10 - Casa Costanera</t>
  </si>
  <si>
    <t>V35 - Municipalidad de Vitacura</t>
  </si>
  <si>
    <t>-1?</t>
  </si>
  <si>
    <t>P62 - El Cerro</t>
  </si>
  <si>
    <t>1, Había quiebre y supere quiebre</t>
  </si>
  <si>
    <t>N47 - Unimarc</t>
  </si>
  <si>
    <t>no supere mas de lo que hbia</t>
  </si>
  <si>
    <t>1, no había quiebre, pero el resultado fue mejor</t>
  </si>
  <si>
    <t>S05 - Metro Bellas Artes</t>
  </si>
  <si>
    <t>habia quiebre(casi llena) y saque bicis, pero debe ser hasta mas de cap media o menor a CM?</t>
  </si>
  <si>
    <t>S03 - Teatinos / General Mackenna</t>
  </si>
  <si>
    <t>0, Había quiebre y no supere quiebre</t>
  </si>
  <si>
    <t>P34 - Santa Victoria / Bustamante</t>
  </si>
  <si>
    <t>pierdo porque si bien le saco, no le dejo la ni si quiera la CM como colchon</t>
  </si>
  <si>
    <t>LC089 - Chesterton / Bocaccio</t>
  </si>
  <si>
    <t>N16 - Polideportivo de Ñuñoa</t>
  </si>
  <si>
    <t>S24 - Plaza Yungay</t>
  </si>
  <si>
    <t>S30 - San Pablo</t>
  </si>
  <si>
    <t>P11 - Metro Parque Bustamante</t>
  </si>
  <si>
    <t>S17 - San Isidro / Santa Isabel</t>
  </si>
  <si>
    <t>Promedio L(Vaciado)</t>
  </si>
  <si>
    <t>Promedio L</t>
  </si>
  <si>
    <t>Promedio L(vaciado)</t>
  </si>
  <si>
    <t>cantidad ok Vaciado</t>
  </si>
  <si>
    <t>Promedio S(Llenado)</t>
  </si>
  <si>
    <t>Promedio S</t>
  </si>
  <si>
    <t>Promedio S(llenado)</t>
  </si>
  <si>
    <t>cantidad ok Llenado</t>
  </si>
  <si>
    <t>Asimetria L</t>
  </si>
  <si>
    <t>Prom diferencia Vaciado</t>
  </si>
  <si>
    <t>Asimetria S</t>
  </si>
  <si>
    <t>Prom diferencia Llenado</t>
  </si>
  <si>
    <t>Costo</t>
  </si>
  <si>
    <t>Flujos</t>
  </si>
  <si>
    <t>Cantidad de estaciones que visita</t>
  </si>
  <si>
    <t>Sabado 16 noviembre 18:00 hrs</t>
  </si>
  <si>
    <t>Domingo 17 noviembre 18:00 hrs</t>
  </si>
  <si>
    <t>Lunes 18 noviembre 18:00 hrs</t>
  </si>
  <si>
    <t>Martes 19 noviembre 18:00 hrs</t>
  </si>
  <si>
    <t>Miercoles 20 noviembre 18:00 hrs</t>
  </si>
  <si>
    <t>Jueves 21 noviembre 18:00 hrs</t>
  </si>
  <si>
    <t>Viernes 22 noviembre 18:00 hrs</t>
  </si>
  <si>
    <t>Sabado 23 noviembre 18:00 hrs</t>
  </si>
  <si>
    <t>Domingo 24 noviembre 18:00 hrs</t>
  </si>
  <si>
    <t>Lunes 25 noviembre 18:00 hrs</t>
  </si>
  <si>
    <t>Martes 26 noviembre 18:00 hrs</t>
  </si>
  <si>
    <t>Miercoles 27 noviembre 18:00 hrs</t>
  </si>
  <si>
    <t>Jueves 28 noviembre 18:00 hrs</t>
  </si>
  <si>
    <t>Viernes 29 noviembre 18:00 hrs</t>
  </si>
  <si>
    <t>Sabado 30 noviembre 18:00 hrs</t>
  </si>
  <si>
    <t>Domingo 01 diciembre 18:00 hrs</t>
  </si>
  <si>
    <t>Promedio vaciado</t>
  </si>
  <si>
    <t>Promedio llenado</t>
  </si>
  <si>
    <t>Lunes 02 diciembre 18:00 hrs</t>
  </si>
  <si>
    <t>Martes 03 diciembre 18:00 hrs</t>
  </si>
  <si>
    <t>Miercoles 04 diciembre 18:00 hrs</t>
  </si>
  <si>
    <t>Jueves 05 diciembre 18:00 hrs</t>
  </si>
  <si>
    <t>Viernes 06 diciembre 18:00 hrs</t>
  </si>
  <si>
    <t>Sabado 07 diciembre 18:00 hrs</t>
  </si>
  <si>
    <t>Domingo 08 diciembre 18:00 hrs</t>
  </si>
  <si>
    <t>Lunes 18:00 hrs</t>
  </si>
  <si>
    <t>Miercoles</t>
  </si>
  <si>
    <t>Recomendación global</t>
  </si>
  <si>
    <t>CT semanal</t>
  </si>
  <si>
    <t>Flujos totales</t>
  </si>
  <si>
    <t>60 flujos AM</t>
  </si>
  <si>
    <t>se multiplica por 2, pq hay 2 estaciones</t>
  </si>
  <si>
    <t>visitan la estacion de las condes 20</t>
  </si>
  <si>
    <t>Costo promedio</t>
  </si>
  <si>
    <t>Flujos promedio</t>
  </si>
  <si>
    <t>Costo promedio semanal</t>
  </si>
  <si>
    <t>Flujos empresa</t>
  </si>
  <si>
    <t>Flujos sistema</t>
  </si>
  <si>
    <t>Costo promedio mensual</t>
  </si>
  <si>
    <t>Asumir que rebalancean las Top 10 y comparar con nuestras Top 10</t>
  </si>
  <si>
    <t>Flujo prom diario</t>
  </si>
  <si>
    <t>Comparar tomar del total 2 muestras representativas y ver que pasa con ellas</t>
  </si>
  <si>
    <t>Estaciones visitadas diario</t>
  </si>
  <si>
    <t>$1 costo de rebalancear lo nuestro CT</t>
  </si>
  <si>
    <t>$2 costo de rebalancear top 10 de ellos CT</t>
  </si>
  <si>
    <t>A medida que el promedio de vaciado baja el costo va a subir</t>
  </si>
  <si>
    <t>Promedio_bikes</t>
  </si>
  <si>
    <t>-1, había quiebre y deje la capacidad media</t>
  </si>
  <si>
    <t>-2,había quiebre y resultado fue bueno</t>
  </si>
  <si>
    <t>-2, no había quiebre y resultado fue bueno</t>
  </si>
  <si>
    <t>Origen</t>
  </si>
  <si>
    <t>Destino</t>
  </si>
  <si>
    <t>Cantidad</t>
  </si>
  <si>
    <t>LC007 - Centro Cívico De Las Condes -</t>
  </si>
  <si>
    <t>LC049 - Presidente Riesco / Américo Vespucio'</t>
  </si>
  <si>
    <t>V02 - Alonso de Cordova'</t>
  </si>
  <si>
    <t>LC047 - Apoquindo / Luiz Zegers -</t>
  </si>
  <si>
    <t>LC018 - Fiscalía Local De Las Condes'</t>
  </si>
  <si>
    <t>N16 - Polideportivo de Ñuñoa -</t>
  </si>
  <si>
    <t>LC047 - Apoquindo / Luiz Zegers'</t>
  </si>
  <si>
    <t>P11 - Metro Parque Bustamante -</t>
  </si>
  <si>
    <t>P18 - Metro Tobalaba'</t>
  </si>
  <si>
    <t>P34 - Santa Victoria / Bustamante -</t>
  </si>
  <si>
    <t>LC007 - Centro Cívico De Las Condes'</t>
  </si>
  <si>
    <t>S03 - Teatinos / General Mackenna -</t>
  </si>
  <si>
    <t>V35 - Municipalidad de Vitacura'</t>
  </si>
  <si>
    <t>S05 - Metro Bellas Artes -</t>
  </si>
  <si>
    <t>V10 - Casa Costanera'</t>
  </si>
  <si>
    <t>S17 - San Isidro / Santa Isabel -</t>
  </si>
  <si>
    <t>P05 - Costanera Center 2'</t>
  </si>
  <si>
    <t>Sabado</t>
  </si>
  <si>
    <t>DESPUES AL ULTIMO CAMBIAR ESTO</t>
  </si>
  <si>
    <t>octubre y noviembre</t>
  </si>
  <si>
    <t xml:space="preserve"> Inv_inical 18:00</t>
  </si>
  <si>
    <t>Asimetria</t>
  </si>
  <si>
    <t>Lunes 14-10</t>
  </si>
  <si>
    <t>Lunes 21-10</t>
  </si>
  <si>
    <t>Lunes 28-10</t>
  </si>
  <si>
    <t>Lunes 04-11</t>
  </si>
  <si>
    <t>Lunes 11-11</t>
  </si>
  <si>
    <t>Lunes 18-11</t>
  </si>
  <si>
    <t>Lunes 25-11</t>
  </si>
  <si>
    <t>Lunes 02-12</t>
  </si>
  <si>
    <t>Lunes 09-12</t>
  </si>
  <si>
    <t>RECUERDA ORDENAR LOS PROM_LUNES</t>
  </si>
  <si>
    <t>LC009 - Municipalidad De Las Condes</t>
  </si>
  <si>
    <t>S11 - Metro Toesca</t>
  </si>
  <si>
    <t>LC034 - Zurich</t>
  </si>
  <si>
    <t>S09 - Santo Domingo / Morandé</t>
  </si>
  <si>
    <t>LC019 - Metro Alcántara</t>
  </si>
  <si>
    <t>S20 - Metro Santa Lucía</t>
  </si>
  <si>
    <t>LC011 - Metro Hernando De Magallanes</t>
  </si>
  <si>
    <t>LC033 - Vitacura / San Patricio</t>
  </si>
  <si>
    <t>LC010 - Metro Manquehue - Norte</t>
  </si>
  <si>
    <t>S01 - Agustinas / Manuel Rodríguez Norte</t>
  </si>
  <si>
    <t>LC068 - Metro Manquehue - Sur</t>
  </si>
  <si>
    <t>S64 - República / Gorbea</t>
  </si>
  <si>
    <t>LC097 - Roger de Flor</t>
  </si>
  <si>
    <t>LC066 - Cerro Colorado / Rosario Norte</t>
  </si>
  <si>
    <t xml:space="preserve"> Inv_inical 18:00 Martes</t>
  </si>
  <si>
    <t xml:space="preserve"> Inv_inical 18:00 Miercoles</t>
  </si>
  <si>
    <t xml:space="preserve"> Inv_inical 18:00 Jueves</t>
  </si>
  <si>
    <t xml:space="preserve"> Inv_inical 18:00 Viernes</t>
  </si>
  <si>
    <t>no habia valor y le puse promedio</t>
  </si>
  <si>
    <t>no hay info</t>
  </si>
  <si>
    <t xml:space="preserve"> Inv_inical 18:00 Sabado</t>
  </si>
  <si>
    <t xml:space="preserve"> Inv_inical 18:00 Domingo</t>
  </si>
  <si>
    <t xml:space="preserve">20-10 cambiada falta info </t>
  </si>
  <si>
    <t>27 falta info</t>
  </si>
  <si>
    <t>FALTA INFO 3 NOV</t>
  </si>
  <si>
    <t>Bikes disponibles</t>
  </si>
  <si>
    <t>Fecha_Hora</t>
  </si>
  <si>
    <t>2024-12-08 19:00</t>
  </si>
  <si>
    <t>2024-12-08 18:45</t>
  </si>
  <si>
    <t>Inventario</t>
  </si>
  <si>
    <t>Promedio diferencia</t>
  </si>
  <si>
    <t>Conteo_validar_asimetria</t>
  </si>
  <si>
    <t>10.92133768371537, 7.325839504304578</t>
  </si>
  <si>
    <t>7.5218721184962325, 4.592047557092723</t>
  </si>
  <si>
    <t>10.099401024599093, 6.043128267233983</t>
  </si>
  <si>
    <t>7.325345897359268, 4.798368075445993</t>
  </si>
  <si>
    <t>5.106752730883812, 1.8932472691161872</t>
  </si>
  <si>
    <t>13.31082423038729, 1.68917576961271</t>
  </si>
  <si>
    <t>13.37140019860973, 1.62859980139027</t>
  </si>
  <si>
    <t>9.87541716482847, 6.1203691674766</t>
  </si>
  <si>
    <t>14.879510095994704, 2.1204899040052947</t>
  </si>
  <si>
    <t>19.094573984244157, 10.90126051188401</t>
  </si>
  <si>
    <t>13.44107911287653, 1.5589208871234699</t>
  </si>
  <si>
    <t>7.341864014183017, 4.544114924477621</t>
  </si>
  <si>
    <t>13.776895067858325, 2.223104932141675</t>
  </si>
  <si>
    <t>16.680569347898047, 2.319430652101955</t>
  </si>
  <si>
    <t>24.496714129244246, 2.5032858707557506</t>
  </si>
  <si>
    <t>16.690830850711684, 2.3091691492883153</t>
  </si>
  <si>
    <t>13.09930486593843, 1.9006951340615696</t>
  </si>
  <si>
    <t>7.2382977969983076, 4.803342484187981</t>
  </si>
  <si>
    <t>7.424139739492641, 4.565814681564802</t>
  </si>
  <si>
    <t>9.835030022066963, 6.057803937988845</t>
  </si>
  <si>
    <t>Límites</t>
  </si>
  <si>
    <t>7-10</t>
  </si>
  <si>
    <t>4-7</t>
  </si>
  <si>
    <t>6-10</t>
  </si>
  <si>
    <t>1-5</t>
  </si>
  <si>
    <t>1-13</t>
  </si>
  <si>
    <t>6-9</t>
  </si>
  <si>
    <t>2-14</t>
  </si>
  <si>
    <t>10-19</t>
  </si>
  <si>
    <t>2-13</t>
  </si>
  <si>
    <t>2-16</t>
  </si>
  <si>
    <t>2-24</t>
  </si>
  <si>
    <t>Promedio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</si>
</sst>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0"/>
    <numFmt numFmtId="165" formatCode="0.0000"/>
    <numFmt numFmtId="166" formatCode="0.0"/>
    <numFmt numFmtId="167" formatCode="#,##0.000"/>
  </numFmts>
  <fonts count="14" x14ac:knownFonts="1">
    <font>
      <sz val="11"/>
      <color theme="1"/>
      <name val="Calibri"/>
      <scheme val="minor"/>
    </font>
    <font>
      <b/>
      <sz val="11"/>
      <color theme="1"/>
      <name val="Calibri"/>
      <family val="2"/>
    </font>
    <font>
      <sz val="11"/>
      <color theme="1"/>
      <name val="Calibri"/>
      <family val="2"/>
      <scheme val="minor"/>
    </font>
    <font>
      <sz val="14"/>
      <color rgb="FF595959"/>
      <name val="Calibri"/>
      <family val="2"/>
    </font>
    <font>
      <sz val="9"/>
      <color theme="1"/>
      <name val="Calibri"/>
      <family val="2"/>
    </font>
    <font>
      <sz val="9"/>
      <color theme="1"/>
      <name val="Calibri"/>
      <family val="2"/>
      <scheme val="minor"/>
    </font>
    <font>
      <sz val="8"/>
      <color theme="1"/>
      <name val="Calibri"/>
      <family val="2"/>
      <scheme val="minor"/>
    </font>
    <font>
      <sz val="11"/>
      <color theme="1"/>
      <name val="Calibri"/>
      <family val="2"/>
    </font>
    <font>
      <b/>
      <sz val="11"/>
      <color theme="1"/>
      <name val="Calibri"/>
      <family val="2"/>
      <scheme val="minor"/>
    </font>
    <font>
      <sz val="11"/>
      <color rgb="FFF9CB9C"/>
      <name val="Calibri"/>
      <family val="2"/>
      <scheme val="minor"/>
    </font>
    <font>
      <sz val="11"/>
      <color rgb="FFFF0000"/>
      <name val="Calibri"/>
      <family val="2"/>
    </font>
    <font>
      <sz val="9"/>
      <color rgb="FF000000"/>
      <name val="Calibri"/>
      <family val="2"/>
    </font>
    <font>
      <sz val="11"/>
      <color theme="1"/>
      <name val="Arial"/>
      <family val="2"/>
    </font>
    <font>
      <sz val="8"/>
      <color theme="1"/>
      <name val="Arial"/>
      <family val="2"/>
    </font>
  </fonts>
  <fills count="3">
    <fill>
      <patternFill patternType="none"/>
    </fill>
    <fill>
      <patternFill patternType="gray125"/>
    </fill>
    <fill>
      <patternFill patternType="solid">
        <fgColor rgb="FFFF0000"/>
        <bgColor rgb="FFFF0000"/>
      </patternFill>
    </fill>
  </fills>
  <borders count="1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right style="thin">
        <color indexed="64"/>
      </right>
      <top style="thin">
        <color indexed="64"/>
      </top>
      <bottom style="thin">
        <color indexed="64"/>
      </bottom>
      <diagonal/>
    </border>
    <border>
      <left/>
      <right style="thin">
        <color rgb="FF000000"/>
      </right>
      <top/>
      <bottom style="thin">
        <color rgb="FF000000"/>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8">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2" fillId="0" borderId="0" xfId="0" applyFont="1"/>
    <xf numFmtId="0" fontId="3" fillId="0" borderId="0" xfId="0" applyFont="1" applyAlignment="1">
      <alignment horizontal="center" vertical="center" readingOrder="1"/>
    </xf>
    <xf numFmtId="0" fontId="4" fillId="0" borderId="1" xfId="0" applyFont="1" applyBorder="1"/>
    <xf numFmtId="0" fontId="5" fillId="0" borderId="0" xfId="0" applyFont="1"/>
    <xf numFmtId="0" fontId="4" fillId="0" borderId="0" xfId="0" applyFont="1"/>
    <xf numFmtId="0" fontId="6" fillId="0" borderId="0" xfId="0" applyFont="1"/>
    <xf numFmtId="0" fontId="5" fillId="0" borderId="1" xfId="0" applyFont="1" applyBorder="1"/>
    <xf numFmtId="0" fontId="4" fillId="0" borderId="1" xfId="0" applyFont="1" applyBorder="1" applyAlignment="1">
      <alignment horizontal="center" vertical="top"/>
    </xf>
    <xf numFmtId="0" fontId="2" fillId="0" borderId="1" xfId="0" applyFont="1" applyBorder="1"/>
    <xf numFmtId="0" fontId="7" fillId="0" borderId="0" xfId="0" applyFont="1"/>
    <xf numFmtId="0" fontId="7" fillId="0" borderId="1" xfId="0" applyFont="1" applyBorder="1"/>
    <xf numFmtId="0" fontId="7" fillId="0" borderId="1" xfId="0" applyFont="1" applyBorder="1" applyAlignment="1">
      <alignment horizontal="center" vertical="top"/>
    </xf>
    <xf numFmtId="0" fontId="2" fillId="2" borderId="0" xfId="0" applyFont="1" applyFill="1"/>
    <xf numFmtId="1" fontId="4" fillId="0" borderId="1" xfId="0" applyNumberFormat="1" applyFont="1" applyBorder="1"/>
    <xf numFmtId="164" fontId="4" fillId="0" borderId="1" xfId="0" applyNumberFormat="1" applyFont="1" applyBorder="1"/>
    <xf numFmtId="1" fontId="7" fillId="0" borderId="0" xfId="0" applyNumberFormat="1" applyFont="1"/>
    <xf numFmtId="165" fontId="4" fillId="0" borderId="1" xfId="0" applyNumberFormat="1" applyFont="1" applyBorder="1"/>
    <xf numFmtId="0" fontId="8" fillId="0" borderId="0" xfId="0" applyFont="1"/>
    <xf numFmtId="1" fontId="1" fillId="0" borderId="0" xfId="0" applyNumberFormat="1" applyFont="1"/>
    <xf numFmtId="0" fontId="9" fillId="0" borderId="0" xfId="0" applyFont="1"/>
    <xf numFmtId="0" fontId="1" fillId="0" borderId="1" xfId="0" applyFont="1" applyBorder="1"/>
    <xf numFmtId="0" fontId="8" fillId="0" borderId="1" xfId="0" applyFont="1" applyBorder="1"/>
    <xf numFmtId="1" fontId="7" fillId="0" borderId="1" xfId="0" applyNumberFormat="1" applyFont="1" applyBorder="1"/>
    <xf numFmtId="0" fontId="4" fillId="0" borderId="1" xfId="0" applyFont="1" applyBorder="1" applyAlignment="1">
      <alignment wrapText="1"/>
    </xf>
    <xf numFmtId="0" fontId="7" fillId="0" borderId="0" xfId="0" applyFont="1" applyAlignment="1">
      <alignment wrapText="1"/>
    </xf>
    <xf numFmtId="0" fontId="7" fillId="0" borderId="1" xfId="0" applyFont="1" applyBorder="1" applyAlignment="1">
      <alignment wrapText="1"/>
    </xf>
    <xf numFmtId="0" fontId="7" fillId="0" borderId="3" xfId="0" applyFont="1" applyBorder="1"/>
    <xf numFmtId="0" fontId="10" fillId="0" borderId="0" xfId="0" applyFont="1"/>
    <xf numFmtId="0" fontId="11" fillId="0" borderId="1" xfId="0" applyFont="1" applyBorder="1"/>
    <xf numFmtId="0" fontId="11" fillId="0" borderId="1" xfId="0" applyFont="1" applyBorder="1" applyAlignment="1">
      <alignment horizontal="right"/>
    </xf>
    <xf numFmtId="0" fontId="11" fillId="0" borderId="1" xfId="0" quotePrefix="1" applyFont="1" applyBorder="1"/>
    <xf numFmtId="0" fontId="1" fillId="0" borderId="0" xfId="0" applyFont="1" applyAlignment="1">
      <alignment horizontal="center" vertical="top"/>
    </xf>
    <xf numFmtId="16" fontId="7" fillId="0" borderId="1" xfId="0" applyNumberFormat="1" applyFont="1" applyBorder="1"/>
    <xf numFmtId="16" fontId="10" fillId="0" borderId="2" xfId="0" applyNumberFormat="1" applyFont="1" applyBorder="1"/>
    <xf numFmtId="1" fontId="7" fillId="0" borderId="4" xfId="0" applyNumberFormat="1" applyFont="1" applyBorder="1"/>
    <xf numFmtId="0" fontId="12" fillId="0" borderId="0" xfId="0" applyFont="1"/>
    <xf numFmtId="0" fontId="12" fillId="0" borderId="8" xfId="0" applyFont="1" applyBorder="1"/>
    <xf numFmtId="0" fontId="12" fillId="0" borderId="7" xfId="0" applyFont="1" applyBorder="1"/>
    <xf numFmtId="0" fontId="12" fillId="0" borderId="5" xfId="0" applyFont="1" applyBorder="1"/>
    <xf numFmtId="0" fontId="12" fillId="0" borderId="5" xfId="0" applyFont="1" applyBorder="1" applyAlignment="1">
      <alignment horizontal="center" vertical="top"/>
    </xf>
    <xf numFmtId="1" fontId="12" fillId="0" borderId="5" xfId="0" applyNumberFormat="1" applyFont="1" applyBorder="1"/>
    <xf numFmtId="2" fontId="12" fillId="0" borderId="5" xfId="0" applyNumberFormat="1" applyFont="1" applyBorder="1"/>
    <xf numFmtId="0" fontId="12" fillId="0" borderId="6" xfId="0" applyFont="1" applyBorder="1"/>
    <xf numFmtId="1" fontId="12" fillId="0" borderId="6" xfId="0" applyNumberFormat="1" applyFont="1" applyBorder="1"/>
    <xf numFmtId="0" fontId="12" fillId="0" borderId="1" xfId="0" applyFont="1" applyBorder="1"/>
    <xf numFmtId="1" fontId="12" fillId="0" borderId="1" xfId="0" applyNumberFormat="1" applyFont="1" applyBorder="1"/>
    <xf numFmtId="0" fontId="7" fillId="0" borderId="6" xfId="0" applyFont="1" applyBorder="1"/>
    <xf numFmtId="1" fontId="7" fillId="0" borderId="6" xfId="0" applyNumberFormat="1" applyFont="1" applyBorder="1"/>
    <xf numFmtId="0" fontId="7" fillId="0" borderId="5" xfId="0" applyFont="1" applyBorder="1"/>
    <xf numFmtId="0" fontId="7" fillId="0" borderId="5" xfId="0" applyFont="1" applyBorder="1" applyAlignment="1">
      <alignment horizontal="center" vertical="top"/>
    </xf>
    <xf numFmtId="0" fontId="2" fillId="0" borderId="5" xfId="0" applyFont="1" applyBorder="1"/>
    <xf numFmtId="1" fontId="7" fillId="0" borderId="5" xfId="0" applyNumberFormat="1" applyFont="1" applyBorder="1"/>
    <xf numFmtId="1" fontId="2" fillId="0" borderId="5" xfId="0" applyNumberFormat="1" applyFont="1" applyBorder="1"/>
    <xf numFmtId="0" fontId="8" fillId="0" borderId="5" xfId="0" applyFont="1" applyBorder="1"/>
    <xf numFmtId="1" fontId="1" fillId="0" borderId="5" xfId="0" applyNumberFormat="1" applyFont="1" applyBorder="1"/>
    <xf numFmtId="0" fontId="1" fillId="0" borderId="5" xfId="0" applyFont="1" applyBorder="1"/>
    <xf numFmtId="0" fontId="4" fillId="0" borderId="9" xfId="0" applyFont="1" applyBorder="1"/>
    <xf numFmtId="0" fontId="4" fillId="0" borderId="6" xfId="0" applyFont="1" applyBorder="1"/>
    <xf numFmtId="1" fontId="4" fillId="0" borderId="6" xfId="0" applyNumberFormat="1" applyFont="1" applyBorder="1"/>
    <xf numFmtId="0" fontId="4" fillId="0" borderId="5" xfId="0" applyFont="1" applyBorder="1"/>
    <xf numFmtId="0" fontId="4" fillId="0" borderId="5" xfId="0" applyFont="1" applyBorder="1" applyAlignment="1">
      <alignment horizontal="center" vertical="top"/>
    </xf>
    <xf numFmtId="0" fontId="0" fillId="0" borderId="5" xfId="0" applyBorder="1"/>
    <xf numFmtId="1" fontId="4" fillId="0" borderId="5" xfId="0" applyNumberFormat="1" applyFont="1" applyBorder="1"/>
    <xf numFmtId="0" fontId="5" fillId="0" borderId="5" xfId="0" applyFont="1" applyBorder="1"/>
    <xf numFmtId="164" fontId="4" fillId="0" borderId="5" xfId="0" applyNumberFormat="1" applyFont="1" applyBorder="1"/>
    <xf numFmtId="0" fontId="5" fillId="0" borderId="9" xfId="0" applyFont="1" applyBorder="1"/>
    <xf numFmtId="165" fontId="4" fillId="0" borderId="5" xfId="0" applyNumberFormat="1" applyFont="1" applyBorder="1"/>
    <xf numFmtId="0" fontId="2" fillId="0" borderId="6" xfId="0" applyFont="1" applyBorder="1"/>
    <xf numFmtId="0" fontId="2" fillId="0" borderId="4" xfId="0" applyFont="1" applyBorder="1"/>
    <xf numFmtId="0" fontId="7" fillId="0" borderId="4" xfId="0" applyFont="1" applyBorder="1"/>
    <xf numFmtId="0" fontId="7" fillId="0" borderId="9" xfId="0" applyFont="1" applyBorder="1"/>
    <xf numFmtId="2" fontId="0" fillId="0" borderId="0" xfId="0" applyNumberFormat="1"/>
    <xf numFmtId="166" fontId="0" fillId="0" borderId="0" xfId="0" applyNumberFormat="1"/>
    <xf numFmtId="3" fontId="0" fillId="0" borderId="0" xfId="0" applyNumberFormat="1"/>
    <xf numFmtId="167" fontId="0" fillId="0" borderId="0" xfId="0" applyNumberFormat="1"/>
    <xf numFmtId="1" fontId="0" fillId="0" borderId="0" xfId="0" applyNumberFormat="1"/>
    <xf numFmtId="0" fontId="4" fillId="0" borderId="10" xfId="0" applyFont="1" applyBorder="1"/>
    <xf numFmtId="0" fontId="5" fillId="0" borderId="10" xfId="0" applyFont="1" applyBorder="1"/>
    <xf numFmtId="0" fontId="4" fillId="0" borderId="11" xfId="0" applyFont="1" applyBorder="1"/>
    <xf numFmtId="0" fontId="4" fillId="0" borderId="3" xfId="0" applyFont="1" applyBorder="1"/>
    <xf numFmtId="0" fontId="7" fillId="0" borderId="3" xfId="0" applyFont="1" applyBorder="1" applyAlignment="1">
      <alignment wrapText="1"/>
    </xf>
    <xf numFmtId="0" fontId="12" fillId="0" borderId="10" xfId="0" applyFont="1" applyBorder="1"/>
    <xf numFmtId="0" fontId="12" fillId="0" borderId="11" xfId="0" applyFont="1" applyBorder="1"/>
    <xf numFmtId="0" fontId="12" fillId="0" borderId="3" xfId="0" applyFont="1" applyBorder="1"/>
    <xf numFmtId="0" fontId="7" fillId="0" borderId="10" xfId="0" applyFont="1" applyBorder="1"/>
    <xf numFmtId="0" fontId="2" fillId="0" borderId="10" xfId="0" applyFont="1" applyBorder="1"/>
    <xf numFmtId="0" fontId="7" fillId="0" borderId="11" xfId="0" applyFont="1" applyBorder="1"/>
    <xf numFmtId="0" fontId="2" fillId="0" borderId="3" xfId="0" applyFont="1" applyBorder="1"/>
    <xf numFmtId="0" fontId="7" fillId="0" borderId="5" xfId="0" applyFont="1" applyBorder="1" applyAlignment="1">
      <alignment wrapText="1"/>
    </xf>
    <xf numFmtId="0" fontId="7" fillId="0" borderId="12" xfId="0" applyFont="1" applyBorder="1"/>
    <xf numFmtId="0" fontId="0" fillId="0" borderId="0" xfId="0" applyBorder="1"/>
    <xf numFmtId="0" fontId="0" fillId="0" borderId="13" xfId="0" applyBorder="1"/>
    <xf numFmtId="0" fontId="7" fillId="0" borderId="4" xfId="0" applyFont="1" applyBorder="1" applyAlignment="1">
      <alignment wrapText="1"/>
    </xf>
    <xf numFmtId="0" fontId="7" fillId="0" borderId="0" xfId="0" applyFont="1" applyBorder="1"/>
    <xf numFmtId="0" fontId="7" fillId="0" borderId="0" xfId="0" applyFont="1" applyBorder="1" applyAlignment="1">
      <alignment wrapText="1"/>
    </xf>
    <xf numFmtId="2" fontId="0" fillId="0" borderId="0" xfId="0" applyNumberFormat="1" applyBorder="1"/>
    <xf numFmtId="0" fontId="7" fillId="0" borderId="13" xfId="0" applyFont="1" applyBorder="1"/>
    <xf numFmtId="0" fontId="2" fillId="0" borderId="13" xfId="0" applyFont="1" applyBorder="1"/>
    <xf numFmtId="0" fontId="13" fillId="0" borderId="5" xfId="0" applyFont="1" applyBorder="1" applyAlignment="1">
      <alignment horizontal="center"/>
    </xf>
    <xf numFmtId="0" fontId="13" fillId="0" borderId="18" xfId="0" applyFont="1" applyBorder="1" applyAlignment="1">
      <alignment horizontal="center"/>
    </xf>
    <xf numFmtId="0" fontId="13" fillId="0" borderId="10" xfId="0" applyFont="1" applyBorder="1" applyAlignment="1">
      <alignment horizontal="center"/>
    </xf>
    <xf numFmtId="0" fontId="13" fillId="0" borderId="14" xfId="0" applyFont="1" applyBorder="1"/>
    <xf numFmtId="2" fontId="13" fillId="0" borderId="14" xfId="0" applyNumberFormat="1" applyFont="1" applyBorder="1" applyAlignment="1">
      <alignment horizontal="center"/>
    </xf>
    <xf numFmtId="0" fontId="13" fillId="0" borderId="0" xfId="0" applyFont="1" applyBorder="1" applyAlignment="1">
      <alignment horizontal="center"/>
    </xf>
    <xf numFmtId="0" fontId="13" fillId="0" borderId="15" xfId="0" applyFont="1" applyBorder="1" applyAlignment="1">
      <alignment horizontal="center"/>
    </xf>
    <xf numFmtId="2" fontId="13" fillId="0" borderId="15" xfId="0" applyNumberFormat="1" applyFont="1" applyBorder="1" applyAlignment="1">
      <alignment horizontal="center"/>
    </xf>
    <xf numFmtId="0" fontId="13" fillId="0" borderId="12" xfId="0" applyFont="1" applyBorder="1"/>
    <xf numFmtId="2" fontId="13" fillId="0" borderId="12" xfId="0" applyNumberFormat="1" applyFont="1" applyBorder="1" applyAlignment="1">
      <alignment horizontal="center"/>
    </xf>
    <xf numFmtId="0" fontId="13" fillId="0" borderId="16" xfId="0" applyFont="1" applyBorder="1" applyAlignment="1">
      <alignment horizontal="center"/>
    </xf>
    <xf numFmtId="0" fontId="13" fillId="0" borderId="17" xfId="0" applyFont="1" applyBorder="1" applyAlignment="1">
      <alignment horizontal="center"/>
    </xf>
    <xf numFmtId="2" fontId="13" fillId="0" borderId="17" xfId="0" applyNumberFormat="1" applyFont="1" applyBorder="1" applyAlignment="1">
      <alignment horizontal="center"/>
    </xf>
    <xf numFmtId="0" fontId="6" fillId="0" borderId="13" xfId="0" applyFont="1" applyBorder="1" applyAlignment="1">
      <alignment horizontal="center"/>
    </xf>
    <xf numFmtId="0" fontId="6" fillId="0" borderId="18" xfId="0" applyFont="1" applyBorder="1" applyAlignment="1">
      <alignment horizontal="center"/>
    </xf>
    <xf numFmtId="0" fontId="13" fillId="0" borderId="5" xfId="0" applyFont="1" applyFill="1" applyBorder="1" applyAlignment="1">
      <alignment horizontal="center"/>
    </xf>
    <xf numFmtId="2" fontId="6" fillId="0" borderId="10" xfId="0" applyNumberFormat="1" applyFont="1" applyBorder="1" applyAlignment="1">
      <alignment horizontal="center"/>
    </xf>
  </cellXfs>
  <cellStyles count="1">
    <cellStyle name="Normal" xfId="0" builtinId="0"/>
  </cellStyles>
  <dxfs count="2">
    <dxf>
      <font>
        <color rgb="FF9C0006"/>
      </font>
      <fill>
        <patternFill patternType="solid">
          <fgColor rgb="FFFFC7CE"/>
          <bgColor rgb="FFFFC7CE"/>
        </patternFill>
      </fill>
    </dxf>
    <dxf>
      <font>
        <color rgb="FF9C0006"/>
      </font>
      <fill>
        <patternFill patternType="solid">
          <fgColor rgb="FFFFC7CE"/>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Lunes 18-11 18:00 hrs Llenado C2</a:t>
            </a:r>
          </a:p>
        </c:rich>
      </c:tx>
      <c:overlay val="0"/>
    </c:title>
    <c:autoTitleDeleted val="0"/>
    <c:plotArea>
      <c:layout/>
      <c:lineChart>
        <c:grouping val="standard"/>
        <c:varyColors val="1"/>
        <c:ser>
          <c:idx val="0"/>
          <c:order val="0"/>
          <c:tx>
            <c:v>Inv_inicialprom_lunes</c:v>
          </c:tx>
          <c:spPr>
            <a:ln w="28575" cmpd="sng">
              <a:solidFill>
                <a:schemeClr val="accent1"/>
              </a:solidFill>
            </a:ln>
          </c:spPr>
          <c:marker>
            <c:symbol val="none"/>
          </c:marker>
          <c:val>
            <c:numRef>
              <c:f>'120seg'!$AD$68:$AD$77</c:f>
              <c:numCache>
                <c:formatCode>0</c:formatCode>
                <c:ptCount val="10"/>
                <c:pt idx="0">
                  <c:v>6.666666666666667</c:v>
                </c:pt>
                <c:pt idx="1">
                  <c:v>10.333333333333334</c:v>
                </c:pt>
                <c:pt idx="2">
                  <c:v>10.777777777777779</c:v>
                </c:pt>
                <c:pt idx="3">
                  <c:v>11.777777777777779</c:v>
                </c:pt>
                <c:pt idx="4">
                  <c:v>3.2222222222222223</c:v>
                </c:pt>
                <c:pt idx="5">
                  <c:v>11.777777777777779</c:v>
                </c:pt>
                <c:pt idx="6">
                  <c:v>13.111111111111111</c:v>
                </c:pt>
                <c:pt idx="7">
                  <c:v>11.222222222222221</c:v>
                </c:pt>
                <c:pt idx="8">
                  <c:v>13.444444444444445</c:v>
                </c:pt>
                <c:pt idx="9">
                  <c:v>23.111111111111111</c:v>
                </c:pt>
              </c:numCache>
            </c:numRef>
          </c:val>
          <c:smooth val="0"/>
          <c:extLst>
            <c:ext xmlns:c16="http://schemas.microsoft.com/office/drawing/2014/chart" uri="{C3380CC4-5D6E-409C-BE32-E72D297353CC}">
              <c16:uniqueId val="{00000000-C974-408B-9EDB-533F8C73152E}"/>
            </c:ext>
          </c:extLst>
        </c:ser>
        <c:ser>
          <c:idx val="1"/>
          <c:order val="1"/>
          <c:tx>
            <c:v>Inventario_Final</c:v>
          </c:tx>
          <c:spPr>
            <a:ln w="28575" cmpd="sng">
              <a:solidFill>
                <a:schemeClr val="accent2"/>
              </a:solidFill>
            </a:ln>
          </c:spPr>
          <c:marker>
            <c:symbol val="none"/>
          </c:marker>
          <c:val>
            <c:numRef>
              <c:f>'120seg'!$AG$68:$AG$77</c:f>
              <c:numCache>
                <c:formatCode>General</c:formatCode>
                <c:ptCount val="10"/>
                <c:pt idx="0">
                  <c:v>11</c:v>
                </c:pt>
                <c:pt idx="1">
                  <c:v>16</c:v>
                </c:pt>
                <c:pt idx="2">
                  <c:v>13</c:v>
                </c:pt>
                <c:pt idx="3">
                  <c:v>13</c:v>
                </c:pt>
                <c:pt idx="4">
                  <c:v>2</c:v>
                </c:pt>
                <c:pt idx="5">
                  <c:v>2</c:v>
                </c:pt>
                <c:pt idx="6">
                  <c:v>12</c:v>
                </c:pt>
                <c:pt idx="7">
                  <c:v>4</c:v>
                </c:pt>
                <c:pt idx="8">
                  <c:v>9</c:v>
                </c:pt>
                <c:pt idx="9">
                  <c:v>24</c:v>
                </c:pt>
              </c:numCache>
            </c:numRef>
          </c:val>
          <c:smooth val="0"/>
          <c:extLst>
            <c:ext xmlns:c16="http://schemas.microsoft.com/office/drawing/2014/chart" uri="{C3380CC4-5D6E-409C-BE32-E72D297353CC}">
              <c16:uniqueId val="{00000001-C974-408B-9EDB-533F8C73152E}"/>
            </c:ext>
          </c:extLst>
        </c:ser>
        <c:dLbls>
          <c:showLegendKey val="0"/>
          <c:showVal val="0"/>
          <c:showCatName val="0"/>
          <c:showSerName val="0"/>
          <c:showPercent val="0"/>
          <c:showBubbleSize val="0"/>
        </c:dLbls>
        <c:smooth val="0"/>
        <c:axId val="823992721"/>
        <c:axId val="1345764699"/>
      </c:lineChart>
      <c:catAx>
        <c:axId val="823992721"/>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345764699"/>
        <c:crosses val="autoZero"/>
        <c:auto val="1"/>
        <c:lblAlgn val="ctr"/>
        <c:lblOffset val="100"/>
        <c:noMultiLvlLbl val="1"/>
      </c:catAx>
      <c:valAx>
        <c:axId val="134576469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823992721"/>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Lunes 18-11 18:00 hrs vaciado C2</a:t>
            </a:r>
          </a:p>
        </c:rich>
      </c:tx>
      <c:overlay val="0"/>
    </c:title>
    <c:autoTitleDeleted val="0"/>
    <c:plotArea>
      <c:layout/>
      <c:lineChart>
        <c:grouping val="standard"/>
        <c:varyColors val="1"/>
        <c:ser>
          <c:idx val="0"/>
          <c:order val="0"/>
          <c:tx>
            <c:v>Inv_inicialprom_lunes</c:v>
          </c:tx>
          <c:spPr>
            <a:ln w="28575" cmpd="sng">
              <a:solidFill>
                <a:schemeClr val="accent1"/>
              </a:solidFill>
            </a:ln>
          </c:spPr>
          <c:marker>
            <c:symbol val="none"/>
          </c:marker>
          <c:val>
            <c:numRef>
              <c:f>'120seg'!$AD$58:$AD$67</c:f>
              <c:numCache>
                <c:formatCode>0</c:formatCode>
                <c:ptCount val="10"/>
                <c:pt idx="0">
                  <c:v>7</c:v>
                </c:pt>
                <c:pt idx="1">
                  <c:v>6.1111111111111107</c:v>
                </c:pt>
                <c:pt idx="2">
                  <c:v>5</c:v>
                </c:pt>
                <c:pt idx="3">
                  <c:v>4.4444444444444446</c:v>
                </c:pt>
                <c:pt idx="4">
                  <c:v>3.5555555555555554</c:v>
                </c:pt>
                <c:pt idx="5">
                  <c:v>10.222222222222221</c:v>
                </c:pt>
                <c:pt idx="6">
                  <c:v>6.7777777777777777</c:v>
                </c:pt>
                <c:pt idx="7">
                  <c:v>1.8888888888888888</c:v>
                </c:pt>
                <c:pt idx="8">
                  <c:v>2.6666666666666665</c:v>
                </c:pt>
                <c:pt idx="9">
                  <c:v>2.4444444444444446</c:v>
                </c:pt>
              </c:numCache>
            </c:numRef>
          </c:val>
          <c:smooth val="0"/>
          <c:extLst>
            <c:ext xmlns:c16="http://schemas.microsoft.com/office/drawing/2014/chart" uri="{C3380CC4-5D6E-409C-BE32-E72D297353CC}">
              <c16:uniqueId val="{00000000-0578-4255-A871-05F1281ECA70}"/>
            </c:ext>
          </c:extLst>
        </c:ser>
        <c:ser>
          <c:idx val="1"/>
          <c:order val="1"/>
          <c:tx>
            <c:v>Inventario_Final</c:v>
          </c:tx>
          <c:spPr>
            <a:ln w="28575" cmpd="sng">
              <a:solidFill>
                <a:schemeClr val="accent2"/>
              </a:solidFill>
            </a:ln>
          </c:spPr>
          <c:marker>
            <c:symbol val="none"/>
          </c:marker>
          <c:val>
            <c:numRef>
              <c:f>'120seg'!$AG$58:$AG$67</c:f>
              <c:numCache>
                <c:formatCode>General</c:formatCode>
                <c:ptCount val="10"/>
                <c:pt idx="0">
                  <c:v>8</c:v>
                </c:pt>
                <c:pt idx="1">
                  <c:v>7</c:v>
                </c:pt>
                <c:pt idx="2">
                  <c:v>5</c:v>
                </c:pt>
                <c:pt idx="3">
                  <c:v>5</c:v>
                </c:pt>
                <c:pt idx="4">
                  <c:v>5</c:v>
                </c:pt>
                <c:pt idx="5">
                  <c:v>11</c:v>
                </c:pt>
                <c:pt idx="6">
                  <c:v>7</c:v>
                </c:pt>
                <c:pt idx="7">
                  <c:v>5</c:v>
                </c:pt>
                <c:pt idx="8">
                  <c:v>7</c:v>
                </c:pt>
                <c:pt idx="9">
                  <c:v>5</c:v>
                </c:pt>
              </c:numCache>
            </c:numRef>
          </c:val>
          <c:smooth val="0"/>
          <c:extLst>
            <c:ext xmlns:c16="http://schemas.microsoft.com/office/drawing/2014/chart" uri="{C3380CC4-5D6E-409C-BE32-E72D297353CC}">
              <c16:uniqueId val="{00000001-0578-4255-A871-05F1281ECA70}"/>
            </c:ext>
          </c:extLst>
        </c:ser>
        <c:dLbls>
          <c:showLegendKey val="0"/>
          <c:showVal val="0"/>
          <c:showCatName val="0"/>
          <c:showSerName val="0"/>
          <c:showPercent val="0"/>
          <c:showBubbleSize val="0"/>
        </c:dLbls>
        <c:smooth val="0"/>
        <c:axId val="1431965212"/>
        <c:axId val="125669435"/>
      </c:lineChart>
      <c:catAx>
        <c:axId val="1431965212"/>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25669435"/>
        <c:crosses val="autoZero"/>
        <c:auto val="1"/>
        <c:lblAlgn val="ctr"/>
        <c:lblOffset val="100"/>
        <c:noMultiLvlLbl val="1"/>
      </c:catAx>
      <c:valAx>
        <c:axId val="12566943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431965212"/>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Martes 19-11 18:00 hrs vaciado C2</a:t>
            </a:r>
          </a:p>
        </c:rich>
      </c:tx>
      <c:overlay val="0"/>
    </c:title>
    <c:autoTitleDeleted val="0"/>
    <c:plotArea>
      <c:layout/>
      <c:lineChart>
        <c:grouping val="standard"/>
        <c:varyColors val="1"/>
        <c:ser>
          <c:idx val="0"/>
          <c:order val="0"/>
          <c:tx>
            <c:v>Inv_inicialprom_martes</c:v>
          </c:tx>
          <c:spPr>
            <a:ln w="28575" cmpd="sng">
              <a:solidFill>
                <a:schemeClr val="accent1"/>
              </a:solidFill>
            </a:ln>
          </c:spPr>
          <c:marker>
            <c:symbol val="none"/>
          </c:marker>
          <c:val>
            <c:numRef>
              <c:f>'120seg'!$AQ$58:$AQ$67</c:f>
            </c:numRef>
          </c:val>
          <c:smooth val="0"/>
          <c:extLst>
            <c:ext xmlns:c16="http://schemas.microsoft.com/office/drawing/2014/chart" uri="{C3380CC4-5D6E-409C-BE32-E72D297353CC}">
              <c16:uniqueId val="{00000000-89A9-4A50-8A25-26C399407BC7}"/>
            </c:ext>
          </c:extLst>
        </c:ser>
        <c:ser>
          <c:idx val="1"/>
          <c:order val="1"/>
          <c:tx>
            <c:v>Inventario_Final</c:v>
          </c:tx>
          <c:spPr>
            <a:ln w="28575" cmpd="sng">
              <a:solidFill>
                <a:schemeClr val="accent2"/>
              </a:solidFill>
            </a:ln>
          </c:spPr>
          <c:marker>
            <c:symbol val="none"/>
          </c:marker>
          <c:val>
            <c:numRef>
              <c:f>'120seg'!$AT$58:$AT$67</c:f>
              <c:numCache>
                <c:formatCode>General</c:formatCode>
                <c:ptCount val="10"/>
                <c:pt idx="0">
                  <c:v>8</c:v>
                </c:pt>
                <c:pt idx="1">
                  <c:v>7</c:v>
                </c:pt>
                <c:pt idx="2">
                  <c:v>5</c:v>
                </c:pt>
                <c:pt idx="3">
                  <c:v>5</c:v>
                </c:pt>
                <c:pt idx="4">
                  <c:v>5</c:v>
                </c:pt>
                <c:pt idx="5">
                  <c:v>11</c:v>
                </c:pt>
                <c:pt idx="6">
                  <c:v>7</c:v>
                </c:pt>
                <c:pt idx="7">
                  <c:v>5</c:v>
                </c:pt>
                <c:pt idx="8">
                  <c:v>7</c:v>
                </c:pt>
                <c:pt idx="9">
                  <c:v>5</c:v>
                </c:pt>
              </c:numCache>
            </c:numRef>
          </c:val>
          <c:smooth val="0"/>
          <c:extLst>
            <c:ext xmlns:c16="http://schemas.microsoft.com/office/drawing/2014/chart" uri="{C3380CC4-5D6E-409C-BE32-E72D297353CC}">
              <c16:uniqueId val="{00000001-89A9-4A50-8A25-26C399407BC7}"/>
            </c:ext>
          </c:extLst>
        </c:ser>
        <c:dLbls>
          <c:showLegendKey val="0"/>
          <c:showVal val="0"/>
          <c:showCatName val="0"/>
          <c:showSerName val="0"/>
          <c:showPercent val="0"/>
          <c:showBubbleSize val="0"/>
        </c:dLbls>
        <c:smooth val="0"/>
        <c:axId val="559127323"/>
        <c:axId val="1499313514"/>
      </c:lineChart>
      <c:catAx>
        <c:axId val="559127323"/>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499313514"/>
        <c:crosses val="autoZero"/>
        <c:auto val="1"/>
        <c:lblAlgn val="ctr"/>
        <c:lblOffset val="100"/>
        <c:noMultiLvlLbl val="1"/>
      </c:catAx>
      <c:valAx>
        <c:axId val="149931351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559127323"/>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Martes 19-11 18:00 hrs Llenado C2</a:t>
            </a:r>
          </a:p>
        </c:rich>
      </c:tx>
      <c:overlay val="0"/>
    </c:title>
    <c:autoTitleDeleted val="0"/>
    <c:plotArea>
      <c:layout/>
      <c:lineChart>
        <c:grouping val="standard"/>
        <c:varyColors val="1"/>
        <c:ser>
          <c:idx val="0"/>
          <c:order val="0"/>
          <c:tx>
            <c:v>Inv_inicialprom_martes</c:v>
          </c:tx>
          <c:spPr>
            <a:ln w="28575" cmpd="sng">
              <a:solidFill>
                <a:schemeClr val="accent1"/>
              </a:solidFill>
            </a:ln>
          </c:spPr>
          <c:marker>
            <c:symbol val="none"/>
          </c:marker>
          <c:val>
            <c:numRef>
              <c:f>'120seg'!$AQ$68:$AQ$77</c:f>
            </c:numRef>
          </c:val>
          <c:smooth val="0"/>
          <c:extLst>
            <c:ext xmlns:c16="http://schemas.microsoft.com/office/drawing/2014/chart" uri="{C3380CC4-5D6E-409C-BE32-E72D297353CC}">
              <c16:uniqueId val="{00000000-9BB0-48D2-BB71-16B3C4460C03}"/>
            </c:ext>
          </c:extLst>
        </c:ser>
        <c:ser>
          <c:idx val="1"/>
          <c:order val="1"/>
          <c:tx>
            <c:v>Inventario_Final</c:v>
          </c:tx>
          <c:spPr>
            <a:ln w="28575" cmpd="sng">
              <a:solidFill>
                <a:schemeClr val="accent2"/>
              </a:solidFill>
            </a:ln>
          </c:spPr>
          <c:marker>
            <c:symbol val="none"/>
          </c:marker>
          <c:val>
            <c:numRef>
              <c:f>'120seg'!$AT$68:$AT$77</c:f>
              <c:numCache>
                <c:formatCode>General</c:formatCode>
                <c:ptCount val="10"/>
                <c:pt idx="0">
                  <c:v>9</c:v>
                </c:pt>
                <c:pt idx="1">
                  <c:v>14</c:v>
                </c:pt>
                <c:pt idx="2">
                  <c:v>13</c:v>
                </c:pt>
                <c:pt idx="3">
                  <c:v>13</c:v>
                </c:pt>
                <c:pt idx="4">
                  <c:v>2</c:v>
                </c:pt>
                <c:pt idx="5">
                  <c:v>6</c:v>
                </c:pt>
                <c:pt idx="6">
                  <c:v>13</c:v>
                </c:pt>
                <c:pt idx="7">
                  <c:v>13</c:v>
                </c:pt>
                <c:pt idx="8">
                  <c:v>3</c:v>
                </c:pt>
                <c:pt idx="9">
                  <c:v>16</c:v>
                </c:pt>
              </c:numCache>
            </c:numRef>
          </c:val>
          <c:smooth val="0"/>
          <c:extLst>
            <c:ext xmlns:c16="http://schemas.microsoft.com/office/drawing/2014/chart" uri="{C3380CC4-5D6E-409C-BE32-E72D297353CC}">
              <c16:uniqueId val="{00000001-9BB0-48D2-BB71-16B3C4460C03}"/>
            </c:ext>
          </c:extLst>
        </c:ser>
        <c:dLbls>
          <c:showLegendKey val="0"/>
          <c:showVal val="0"/>
          <c:showCatName val="0"/>
          <c:showSerName val="0"/>
          <c:showPercent val="0"/>
          <c:showBubbleSize val="0"/>
        </c:dLbls>
        <c:smooth val="0"/>
        <c:axId val="1748459829"/>
        <c:axId val="833379347"/>
      </c:lineChart>
      <c:catAx>
        <c:axId val="1748459829"/>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833379347"/>
        <c:crosses val="autoZero"/>
        <c:auto val="1"/>
        <c:lblAlgn val="ctr"/>
        <c:lblOffset val="100"/>
        <c:noMultiLvlLbl val="1"/>
      </c:catAx>
      <c:valAx>
        <c:axId val="833379347"/>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748459829"/>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Miércoles 20-11 18:00 hrs vaciado C3</a:t>
            </a:r>
          </a:p>
        </c:rich>
      </c:tx>
      <c:overlay val="0"/>
    </c:title>
    <c:autoTitleDeleted val="0"/>
    <c:plotArea>
      <c:layout/>
      <c:lineChart>
        <c:grouping val="standard"/>
        <c:varyColors val="1"/>
        <c:ser>
          <c:idx val="0"/>
          <c:order val="0"/>
          <c:tx>
            <c:v>Inv_inicialprom_miercoles</c:v>
          </c:tx>
          <c:spPr>
            <a:ln w="28575" cmpd="sng">
              <a:solidFill>
                <a:schemeClr val="accent1"/>
              </a:solidFill>
            </a:ln>
          </c:spPr>
          <c:marker>
            <c:symbol val="none"/>
          </c:marker>
          <c:val>
            <c:numRef>
              <c:f>'120seg'!$BD$58:$BD$67</c:f>
            </c:numRef>
          </c:val>
          <c:smooth val="0"/>
          <c:extLst>
            <c:ext xmlns:c16="http://schemas.microsoft.com/office/drawing/2014/chart" uri="{C3380CC4-5D6E-409C-BE32-E72D297353CC}">
              <c16:uniqueId val="{00000000-813D-4D7C-899A-0A9841D5BE83}"/>
            </c:ext>
          </c:extLst>
        </c:ser>
        <c:ser>
          <c:idx val="1"/>
          <c:order val="1"/>
          <c:tx>
            <c:v>Inventario_Final</c:v>
          </c:tx>
          <c:spPr>
            <a:ln w="28575" cmpd="sng">
              <a:solidFill>
                <a:schemeClr val="accent2"/>
              </a:solidFill>
            </a:ln>
          </c:spPr>
          <c:marker>
            <c:symbol val="none"/>
          </c:marker>
          <c:val>
            <c:numRef>
              <c:f>'120seg'!$BG$58:$BG$67</c:f>
              <c:numCache>
                <c:formatCode>General</c:formatCode>
                <c:ptCount val="10"/>
                <c:pt idx="0">
                  <c:v>8</c:v>
                </c:pt>
                <c:pt idx="1">
                  <c:v>7</c:v>
                </c:pt>
                <c:pt idx="2">
                  <c:v>5</c:v>
                </c:pt>
                <c:pt idx="3">
                  <c:v>5</c:v>
                </c:pt>
                <c:pt idx="4">
                  <c:v>5</c:v>
                </c:pt>
                <c:pt idx="5">
                  <c:v>11</c:v>
                </c:pt>
                <c:pt idx="6">
                  <c:v>7</c:v>
                </c:pt>
                <c:pt idx="7">
                  <c:v>5</c:v>
                </c:pt>
                <c:pt idx="8">
                  <c:v>7</c:v>
                </c:pt>
                <c:pt idx="9">
                  <c:v>5</c:v>
                </c:pt>
              </c:numCache>
            </c:numRef>
          </c:val>
          <c:smooth val="0"/>
          <c:extLst>
            <c:ext xmlns:c16="http://schemas.microsoft.com/office/drawing/2014/chart" uri="{C3380CC4-5D6E-409C-BE32-E72D297353CC}">
              <c16:uniqueId val="{00000001-813D-4D7C-899A-0A9841D5BE83}"/>
            </c:ext>
          </c:extLst>
        </c:ser>
        <c:dLbls>
          <c:showLegendKey val="0"/>
          <c:showVal val="0"/>
          <c:showCatName val="0"/>
          <c:showSerName val="0"/>
          <c:showPercent val="0"/>
          <c:showBubbleSize val="0"/>
        </c:dLbls>
        <c:smooth val="0"/>
        <c:axId val="1852840451"/>
        <c:axId val="895932705"/>
      </c:lineChart>
      <c:catAx>
        <c:axId val="1852840451"/>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895932705"/>
        <c:crosses val="autoZero"/>
        <c:auto val="1"/>
        <c:lblAlgn val="ctr"/>
        <c:lblOffset val="100"/>
        <c:noMultiLvlLbl val="1"/>
      </c:catAx>
      <c:valAx>
        <c:axId val="89593270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852840451"/>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Miércoles 20-11 18:00 hrs Llenado C3</a:t>
            </a:r>
          </a:p>
        </c:rich>
      </c:tx>
      <c:overlay val="0"/>
    </c:title>
    <c:autoTitleDeleted val="0"/>
    <c:plotArea>
      <c:layout/>
      <c:lineChart>
        <c:grouping val="standard"/>
        <c:varyColors val="1"/>
        <c:ser>
          <c:idx val="0"/>
          <c:order val="0"/>
          <c:tx>
            <c:v>Inv_inicialprom_miercoles</c:v>
          </c:tx>
          <c:spPr>
            <a:ln w="28575" cmpd="sng">
              <a:solidFill>
                <a:schemeClr val="accent1"/>
              </a:solidFill>
            </a:ln>
          </c:spPr>
          <c:marker>
            <c:symbol val="none"/>
          </c:marker>
          <c:val>
            <c:numRef>
              <c:f>'120seg'!$BD$68:$BD$77</c:f>
            </c:numRef>
          </c:val>
          <c:smooth val="0"/>
          <c:extLst>
            <c:ext xmlns:c16="http://schemas.microsoft.com/office/drawing/2014/chart" uri="{C3380CC4-5D6E-409C-BE32-E72D297353CC}">
              <c16:uniqueId val="{00000000-9224-4A65-A04E-ACCB80F68959}"/>
            </c:ext>
          </c:extLst>
        </c:ser>
        <c:ser>
          <c:idx val="1"/>
          <c:order val="1"/>
          <c:tx>
            <c:v>Inventario_Final</c:v>
          </c:tx>
          <c:spPr>
            <a:ln w="28575" cmpd="sng">
              <a:solidFill>
                <a:schemeClr val="accent2"/>
              </a:solidFill>
            </a:ln>
          </c:spPr>
          <c:marker>
            <c:symbol val="none"/>
          </c:marker>
          <c:val>
            <c:numRef>
              <c:f>'120seg'!$BG$68:$BG$77</c:f>
              <c:numCache>
                <c:formatCode>General</c:formatCode>
                <c:ptCount val="10"/>
                <c:pt idx="0">
                  <c:v>2</c:v>
                </c:pt>
                <c:pt idx="1">
                  <c:v>7</c:v>
                </c:pt>
                <c:pt idx="2">
                  <c:v>13</c:v>
                </c:pt>
                <c:pt idx="3">
                  <c:v>4</c:v>
                </c:pt>
                <c:pt idx="4">
                  <c:v>2</c:v>
                </c:pt>
                <c:pt idx="5">
                  <c:v>8</c:v>
                </c:pt>
                <c:pt idx="6">
                  <c:v>15</c:v>
                </c:pt>
                <c:pt idx="7">
                  <c:v>13</c:v>
                </c:pt>
                <c:pt idx="8">
                  <c:v>6</c:v>
                </c:pt>
                <c:pt idx="9">
                  <c:v>17</c:v>
                </c:pt>
              </c:numCache>
            </c:numRef>
          </c:val>
          <c:smooth val="0"/>
          <c:extLst>
            <c:ext xmlns:c16="http://schemas.microsoft.com/office/drawing/2014/chart" uri="{C3380CC4-5D6E-409C-BE32-E72D297353CC}">
              <c16:uniqueId val="{00000001-9224-4A65-A04E-ACCB80F68959}"/>
            </c:ext>
          </c:extLst>
        </c:ser>
        <c:dLbls>
          <c:showLegendKey val="0"/>
          <c:showVal val="0"/>
          <c:showCatName val="0"/>
          <c:showSerName val="0"/>
          <c:showPercent val="0"/>
          <c:showBubbleSize val="0"/>
        </c:dLbls>
        <c:smooth val="0"/>
        <c:axId val="1564232604"/>
        <c:axId val="119944496"/>
      </c:lineChart>
      <c:catAx>
        <c:axId val="1564232604"/>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19944496"/>
        <c:crosses val="autoZero"/>
        <c:auto val="1"/>
        <c:lblAlgn val="ctr"/>
        <c:lblOffset val="100"/>
        <c:noMultiLvlLbl val="1"/>
      </c:catAx>
      <c:valAx>
        <c:axId val="11994449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564232604"/>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Jueves 21-11 18:00 hrs vaciado C3</a:t>
            </a:r>
          </a:p>
        </c:rich>
      </c:tx>
      <c:overlay val="0"/>
    </c:title>
    <c:autoTitleDeleted val="0"/>
    <c:plotArea>
      <c:layout/>
      <c:lineChart>
        <c:grouping val="standard"/>
        <c:varyColors val="1"/>
        <c:ser>
          <c:idx val="0"/>
          <c:order val="0"/>
          <c:tx>
            <c:v>Inv_inicialprom_jueves</c:v>
          </c:tx>
          <c:spPr>
            <a:ln w="28575" cmpd="sng">
              <a:solidFill>
                <a:schemeClr val="accent1"/>
              </a:solidFill>
            </a:ln>
          </c:spPr>
          <c:marker>
            <c:symbol val="none"/>
          </c:marker>
          <c:val>
            <c:numRef>
              <c:f>'120seg'!$BQ$58:$BQ$67</c:f>
            </c:numRef>
          </c:val>
          <c:smooth val="0"/>
          <c:extLst>
            <c:ext xmlns:c16="http://schemas.microsoft.com/office/drawing/2014/chart" uri="{C3380CC4-5D6E-409C-BE32-E72D297353CC}">
              <c16:uniqueId val="{00000000-B8A7-4F10-8BDD-3131019AD306}"/>
            </c:ext>
          </c:extLst>
        </c:ser>
        <c:ser>
          <c:idx val="1"/>
          <c:order val="1"/>
          <c:tx>
            <c:v>Inventario_Final</c:v>
          </c:tx>
          <c:spPr>
            <a:ln w="28575" cmpd="sng">
              <a:solidFill>
                <a:schemeClr val="accent2"/>
              </a:solidFill>
            </a:ln>
          </c:spPr>
          <c:marker>
            <c:symbol val="none"/>
          </c:marker>
          <c:val>
            <c:numRef>
              <c:f>'120seg'!$BT$58:$BT$67</c:f>
              <c:numCache>
                <c:formatCode>General</c:formatCode>
                <c:ptCount val="10"/>
                <c:pt idx="0">
                  <c:v>8</c:v>
                </c:pt>
                <c:pt idx="1">
                  <c:v>7</c:v>
                </c:pt>
                <c:pt idx="2">
                  <c:v>5</c:v>
                </c:pt>
                <c:pt idx="3">
                  <c:v>5</c:v>
                </c:pt>
                <c:pt idx="4">
                  <c:v>5</c:v>
                </c:pt>
                <c:pt idx="5">
                  <c:v>14</c:v>
                </c:pt>
                <c:pt idx="6">
                  <c:v>8</c:v>
                </c:pt>
                <c:pt idx="7">
                  <c:v>5</c:v>
                </c:pt>
                <c:pt idx="8">
                  <c:v>7</c:v>
                </c:pt>
                <c:pt idx="9">
                  <c:v>6</c:v>
                </c:pt>
              </c:numCache>
            </c:numRef>
          </c:val>
          <c:smooth val="0"/>
          <c:extLst>
            <c:ext xmlns:c16="http://schemas.microsoft.com/office/drawing/2014/chart" uri="{C3380CC4-5D6E-409C-BE32-E72D297353CC}">
              <c16:uniqueId val="{00000001-B8A7-4F10-8BDD-3131019AD306}"/>
            </c:ext>
          </c:extLst>
        </c:ser>
        <c:dLbls>
          <c:showLegendKey val="0"/>
          <c:showVal val="0"/>
          <c:showCatName val="0"/>
          <c:showSerName val="0"/>
          <c:showPercent val="0"/>
          <c:showBubbleSize val="0"/>
        </c:dLbls>
        <c:smooth val="0"/>
        <c:axId val="2144817926"/>
        <c:axId val="1866715517"/>
      </c:lineChart>
      <c:catAx>
        <c:axId val="2144817926"/>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866715517"/>
        <c:crosses val="autoZero"/>
        <c:auto val="1"/>
        <c:lblAlgn val="ctr"/>
        <c:lblOffset val="100"/>
        <c:noMultiLvlLbl val="1"/>
      </c:catAx>
      <c:valAx>
        <c:axId val="1866715517"/>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2144817926"/>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Jueves 21-11 18:00 hrs llenado C3</a:t>
            </a:r>
          </a:p>
        </c:rich>
      </c:tx>
      <c:overlay val="0"/>
    </c:title>
    <c:autoTitleDeleted val="0"/>
    <c:plotArea>
      <c:layout/>
      <c:lineChart>
        <c:grouping val="standard"/>
        <c:varyColors val="1"/>
        <c:ser>
          <c:idx val="0"/>
          <c:order val="0"/>
          <c:tx>
            <c:v>Inv_inicialprom_jueves</c:v>
          </c:tx>
          <c:spPr>
            <a:ln w="28575" cmpd="sng">
              <a:solidFill>
                <a:schemeClr val="accent1"/>
              </a:solidFill>
            </a:ln>
          </c:spPr>
          <c:marker>
            <c:symbol val="none"/>
          </c:marker>
          <c:val>
            <c:numRef>
              <c:f>'120seg'!$BQ$68:$BQ$77</c:f>
            </c:numRef>
          </c:val>
          <c:smooth val="0"/>
          <c:extLst>
            <c:ext xmlns:c16="http://schemas.microsoft.com/office/drawing/2014/chart" uri="{C3380CC4-5D6E-409C-BE32-E72D297353CC}">
              <c16:uniqueId val="{00000000-6D42-413C-86FF-FB3A86DE8956}"/>
            </c:ext>
          </c:extLst>
        </c:ser>
        <c:ser>
          <c:idx val="1"/>
          <c:order val="1"/>
          <c:tx>
            <c:v>Inventario_Final</c:v>
          </c:tx>
          <c:spPr>
            <a:ln w="28575" cmpd="sng">
              <a:solidFill>
                <a:schemeClr val="accent2"/>
              </a:solidFill>
            </a:ln>
          </c:spPr>
          <c:marker>
            <c:symbol val="none"/>
          </c:marker>
          <c:val>
            <c:numRef>
              <c:f>'120seg'!$BT$68:$BT$77</c:f>
              <c:numCache>
                <c:formatCode>General</c:formatCode>
                <c:ptCount val="10"/>
                <c:pt idx="0">
                  <c:v>12</c:v>
                </c:pt>
                <c:pt idx="1">
                  <c:v>12</c:v>
                </c:pt>
                <c:pt idx="2">
                  <c:v>3</c:v>
                </c:pt>
                <c:pt idx="3">
                  <c:v>3</c:v>
                </c:pt>
                <c:pt idx="4">
                  <c:v>4</c:v>
                </c:pt>
                <c:pt idx="5">
                  <c:v>6</c:v>
                </c:pt>
                <c:pt idx="6">
                  <c:v>15</c:v>
                </c:pt>
                <c:pt idx="7">
                  <c:v>11</c:v>
                </c:pt>
                <c:pt idx="8">
                  <c:v>14</c:v>
                </c:pt>
                <c:pt idx="9">
                  <c:v>23</c:v>
                </c:pt>
              </c:numCache>
            </c:numRef>
          </c:val>
          <c:smooth val="0"/>
          <c:extLst>
            <c:ext xmlns:c16="http://schemas.microsoft.com/office/drawing/2014/chart" uri="{C3380CC4-5D6E-409C-BE32-E72D297353CC}">
              <c16:uniqueId val="{00000001-6D42-413C-86FF-FB3A86DE8956}"/>
            </c:ext>
          </c:extLst>
        </c:ser>
        <c:dLbls>
          <c:showLegendKey val="0"/>
          <c:showVal val="0"/>
          <c:showCatName val="0"/>
          <c:showSerName val="0"/>
          <c:showPercent val="0"/>
          <c:showBubbleSize val="0"/>
        </c:dLbls>
        <c:smooth val="0"/>
        <c:axId val="1946343454"/>
        <c:axId val="2048709915"/>
      </c:lineChart>
      <c:catAx>
        <c:axId val="1946343454"/>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048709915"/>
        <c:crosses val="autoZero"/>
        <c:auto val="1"/>
        <c:lblAlgn val="ctr"/>
        <c:lblOffset val="100"/>
        <c:noMultiLvlLbl val="1"/>
      </c:catAx>
      <c:valAx>
        <c:axId val="204870991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946343454"/>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Viernes 22-11 18:00 hrs vaciado C3</a:t>
            </a:r>
          </a:p>
        </c:rich>
      </c:tx>
      <c:overlay val="0"/>
    </c:title>
    <c:autoTitleDeleted val="0"/>
    <c:plotArea>
      <c:layout/>
      <c:lineChart>
        <c:grouping val="standard"/>
        <c:varyColors val="1"/>
        <c:ser>
          <c:idx val="0"/>
          <c:order val="0"/>
          <c:tx>
            <c:v>Inv_inicialprom_viernes</c:v>
          </c:tx>
          <c:spPr>
            <a:ln w="28575" cmpd="sng">
              <a:solidFill>
                <a:schemeClr val="accent1"/>
              </a:solidFill>
            </a:ln>
          </c:spPr>
          <c:marker>
            <c:symbol val="none"/>
          </c:marker>
          <c:val>
            <c:numRef>
              <c:f>'120seg'!$CD$58:$CD$67</c:f>
            </c:numRef>
          </c:val>
          <c:smooth val="0"/>
          <c:extLst>
            <c:ext xmlns:c16="http://schemas.microsoft.com/office/drawing/2014/chart" uri="{C3380CC4-5D6E-409C-BE32-E72D297353CC}">
              <c16:uniqueId val="{00000000-A531-4548-BFCE-BA47EFC61A4F}"/>
            </c:ext>
          </c:extLst>
        </c:ser>
        <c:ser>
          <c:idx val="1"/>
          <c:order val="1"/>
          <c:tx>
            <c:v>Inventario_Final</c:v>
          </c:tx>
          <c:spPr>
            <a:ln w="28575" cmpd="sng">
              <a:solidFill>
                <a:schemeClr val="accent2"/>
              </a:solidFill>
            </a:ln>
          </c:spPr>
          <c:marker>
            <c:symbol val="none"/>
          </c:marker>
          <c:val>
            <c:numRef>
              <c:f>'120seg'!$CG$58:$CG$67</c:f>
              <c:numCache>
                <c:formatCode>General</c:formatCode>
                <c:ptCount val="10"/>
                <c:pt idx="0">
                  <c:v>8</c:v>
                </c:pt>
                <c:pt idx="1">
                  <c:v>8</c:v>
                </c:pt>
                <c:pt idx="2">
                  <c:v>5</c:v>
                </c:pt>
                <c:pt idx="3">
                  <c:v>5</c:v>
                </c:pt>
                <c:pt idx="4">
                  <c:v>5</c:v>
                </c:pt>
                <c:pt idx="5">
                  <c:v>12</c:v>
                </c:pt>
                <c:pt idx="6">
                  <c:v>7</c:v>
                </c:pt>
                <c:pt idx="7">
                  <c:v>5</c:v>
                </c:pt>
                <c:pt idx="8">
                  <c:v>7</c:v>
                </c:pt>
                <c:pt idx="9">
                  <c:v>5</c:v>
                </c:pt>
              </c:numCache>
            </c:numRef>
          </c:val>
          <c:smooth val="0"/>
          <c:extLst>
            <c:ext xmlns:c16="http://schemas.microsoft.com/office/drawing/2014/chart" uri="{C3380CC4-5D6E-409C-BE32-E72D297353CC}">
              <c16:uniqueId val="{00000001-A531-4548-BFCE-BA47EFC61A4F}"/>
            </c:ext>
          </c:extLst>
        </c:ser>
        <c:dLbls>
          <c:showLegendKey val="0"/>
          <c:showVal val="0"/>
          <c:showCatName val="0"/>
          <c:showSerName val="0"/>
          <c:showPercent val="0"/>
          <c:showBubbleSize val="0"/>
        </c:dLbls>
        <c:smooth val="0"/>
        <c:axId val="82894808"/>
        <c:axId val="1589970503"/>
      </c:lineChart>
      <c:catAx>
        <c:axId val="8289480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589970503"/>
        <c:crosses val="autoZero"/>
        <c:auto val="1"/>
        <c:lblAlgn val="ctr"/>
        <c:lblOffset val="100"/>
        <c:noMultiLvlLbl val="1"/>
      </c:catAx>
      <c:valAx>
        <c:axId val="158997050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82894808"/>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Viernes 22-11 18:00 hrs llenado C3</a:t>
            </a:r>
          </a:p>
        </c:rich>
      </c:tx>
      <c:overlay val="0"/>
    </c:title>
    <c:autoTitleDeleted val="0"/>
    <c:plotArea>
      <c:layout/>
      <c:lineChart>
        <c:grouping val="standard"/>
        <c:varyColors val="1"/>
        <c:ser>
          <c:idx val="0"/>
          <c:order val="0"/>
          <c:tx>
            <c:v>Inv_inicialprom_viernes</c:v>
          </c:tx>
          <c:spPr>
            <a:ln w="28575" cmpd="sng">
              <a:solidFill>
                <a:schemeClr val="accent1"/>
              </a:solidFill>
            </a:ln>
          </c:spPr>
          <c:marker>
            <c:symbol val="none"/>
          </c:marker>
          <c:val>
            <c:numRef>
              <c:f>'120seg'!$CD$68:$CD$77</c:f>
            </c:numRef>
          </c:val>
          <c:smooth val="0"/>
          <c:extLst>
            <c:ext xmlns:c16="http://schemas.microsoft.com/office/drawing/2014/chart" uri="{C3380CC4-5D6E-409C-BE32-E72D297353CC}">
              <c16:uniqueId val="{00000000-2975-4693-A16C-2D39F4325611}"/>
            </c:ext>
          </c:extLst>
        </c:ser>
        <c:ser>
          <c:idx val="1"/>
          <c:order val="1"/>
          <c:tx>
            <c:v>Inventario_Final</c:v>
          </c:tx>
          <c:spPr>
            <a:ln w="28575" cmpd="sng">
              <a:solidFill>
                <a:schemeClr val="accent2"/>
              </a:solidFill>
            </a:ln>
          </c:spPr>
          <c:marker>
            <c:symbol val="none"/>
          </c:marker>
          <c:val>
            <c:numRef>
              <c:f>'120seg'!$CG$68:$CG$77</c:f>
              <c:numCache>
                <c:formatCode>General</c:formatCode>
                <c:ptCount val="10"/>
                <c:pt idx="0">
                  <c:v>8</c:v>
                </c:pt>
                <c:pt idx="1">
                  <c:v>12</c:v>
                </c:pt>
                <c:pt idx="2">
                  <c:v>4</c:v>
                </c:pt>
                <c:pt idx="3">
                  <c:v>12</c:v>
                </c:pt>
                <c:pt idx="4">
                  <c:v>4</c:v>
                </c:pt>
                <c:pt idx="5">
                  <c:v>8</c:v>
                </c:pt>
                <c:pt idx="6">
                  <c:v>16</c:v>
                </c:pt>
                <c:pt idx="7">
                  <c:v>8</c:v>
                </c:pt>
                <c:pt idx="8">
                  <c:v>3</c:v>
                </c:pt>
                <c:pt idx="9">
                  <c:v>20</c:v>
                </c:pt>
              </c:numCache>
            </c:numRef>
          </c:val>
          <c:smooth val="0"/>
          <c:extLst>
            <c:ext xmlns:c16="http://schemas.microsoft.com/office/drawing/2014/chart" uri="{C3380CC4-5D6E-409C-BE32-E72D297353CC}">
              <c16:uniqueId val="{00000001-2975-4693-A16C-2D39F4325611}"/>
            </c:ext>
          </c:extLst>
        </c:ser>
        <c:dLbls>
          <c:showLegendKey val="0"/>
          <c:showVal val="0"/>
          <c:showCatName val="0"/>
          <c:showSerName val="0"/>
          <c:showPercent val="0"/>
          <c:showBubbleSize val="0"/>
        </c:dLbls>
        <c:smooth val="0"/>
        <c:axId val="806815118"/>
        <c:axId val="840554833"/>
      </c:lineChart>
      <c:catAx>
        <c:axId val="80681511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840554833"/>
        <c:crosses val="autoZero"/>
        <c:auto val="1"/>
        <c:lblAlgn val="ctr"/>
        <c:lblOffset val="100"/>
        <c:noMultiLvlLbl val="1"/>
      </c:catAx>
      <c:valAx>
        <c:axId val="84055483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806815118"/>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Sábado 23-11 18:00 hrs vaciado C3</a:t>
            </a:r>
          </a:p>
        </c:rich>
      </c:tx>
      <c:overlay val="0"/>
    </c:title>
    <c:autoTitleDeleted val="0"/>
    <c:plotArea>
      <c:layout/>
      <c:lineChart>
        <c:grouping val="standard"/>
        <c:varyColors val="1"/>
        <c:ser>
          <c:idx val="0"/>
          <c:order val="0"/>
          <c:tx>
            <c:v>Inv_inicialprom_sabado</c:v>
          </c:tx>
          <c:spPr>
            <a:ln w="28575" cmpd="sng">
              <a:solidFill>
                <a:schemeClr val="accent1"/>
              </a:solidFill>
            </a:ln>
          </c:spPr>
          <c:marker>
            <c:symbol val="none"/>
          </c:marker>
          <c:val>
            <c:numRef>
              <c:f>'120seg'!$CQ$58:$CQ$67</c:f>
            </c:numRef>
          </c:val>
          <c:smooth val="0"/>
          <c:extLst>
            <c:ext xmlns:c16="http://schemas.microsoft.com/office/drawing/2014/chart" uri="{C3380CC4-5D6E-409C-BE32-E72D297353CC}">
              <c16:uniqueId val="{00000000-E927-48C5-B2AA-D91518D9E764}"/>
            </c:ext>
          </c:extLst>
        </c:ser>
        <c:ser>
          <c:idx val="1"/>
          <c:order val="1"/>
          <c:tx>
            <c:v>Inventario_Final</c:v>
          </c:tx>
          <c:spPr>
            <a:ln w="28575" cmpd="sng">
              <a:solidFill>
                <a:schemeClr val="accent2"/>
              </a:solidFill>
            </a:ln>
          </c:spPr>
          <c:marker>
            <c:symbol val="none"/>
          </c:marker>
          <c:val>
            <c:numRef>
              <c:f>'120seg'!$CT$58:$CT$67</c:f>
              <c:numCache>
                <c:formatCode>General</c:formatCode>
                <c:ptCount val="10"/>
                <c:pt idx="0">
                  <c:v>8</c:v>
                </c:pt>
                <c:pt idx="1">
                  <c:v>7</c:v>
                </c:pt>
                <c:pt idx="2">
                  <c:v>5</c:v>
                </c:pt>
                <c:pt idx="3">
                  <c:v>6</c:v>
                </c:pt>
                <c:pt idx="4">
                  <c:v>5</c:v>
                </c:pt>
                <c:pt idx="5">
                  <c:v>11</c:v>
                </c:pt>
                <c:pt idx="6">
                  <c:v>7</c:v>
                </c:pt>
                <c:pt idx="7">
                  <c:v>5</c:v>
                </c:pt>
                <c:pt idx="8">
                  <c:v>7</c:v>
                </c:pt>
                <c:pt idx="9">
                  <c:v>5</c:v>
                </c:pt>
              </c:numCache>
            </c:numRef>
          </c:val>
          <c:smooth val="0"/>
          <c:extLst>
            <c:ext xmlns:c16="http://schemas.microsoft.com/office/drawing/2014/chart" uri="{C3380CC4-5D6E-409C-BE32-E72D297353CC}">
              <c16:uniqueId val="{00000001-E927-48C5-B2AA-D91518D9E764}"/>
            </c:ext>
          </c:extLst>
        </c:ser>
        <c:dLbls>
          <c:showLegendKey val="0"/>
          <c:showVal val="0"/>
          <c:showCatName val="0"/>
          <c:showSerName val="0"/>
          <c:showPercent val="0"/>
          <c:showBubbleSize val="0"/>
        </c:dLbls>
        <c:smooth val="0"/>
        <c:axId val="1752448533"/>
        <c:axId val="1092094008"/>
      </c:lineChart>
      <c:catAx>
        <c:axId val="175244853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092094008"/>
        <c:crosses val="autoZero"/>
        <c:auto val="1"/>
        <c:lblAlgn val="ctr"/>
        <c:lblOffset val="100"/>
        <c:noMultiLvlLbl val="1"/>
      </c:catAx>
      <c:valAx>
        <c:axId val="109209400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752448533"/>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Sábado 23-11 18:00 hrs llenado C3</a:t>
            </a:r>
          </a:p>
        </c:rich>
      </c:tx>
      <c:overlay val="0"/>
    </c:title>
    <c:autoTitleDeleted val="0"/>
    <c:plotArea>
      <c:layout/>
      <c:lineChart>
        <c:grouping val="standard"/>
        <c:varyColors val="1"/>
        <c:ser>
          <c:idx val="0"/>
          <c:order val="0"/>
          <c:tx>
            <c:v>Inv_inicialprom_sabado</c:v>
          </c:tx>
          <c:spPr>
            <a:ln w="28575" cmpd="sng">
              <a:solidFill>
                <a:schemeClr val="accent1"/>
              </a:solidFill>
            </a:ln>
          </c:spPr>
          <c:marker>
            <c:symbol val="none"/>
          </c:marker>
          <c:val>
            <c:numRef>
              <c:f>'120seg'!$CQ$68:$CQ$77</c:f>
            </c:numRef>
          </c:val>
          <c:smooth val="0"/>
          <c:extLst>
            <c:ext xmlns:c16="http://schemas.microsoft.com/office/drawing/2014/chart" uri="{C3380CC4-5D6E-409C-BE32-E72D297353CC}">
              <c16:uniqueId val="{00000000-2D15-4745-8805-29618BCAEA85}"/>
            </c:ext>
          </c:extLst>
        </c:ser>
        <c:ser>
          <c:idx val="1"/>
          <c:order val="1"/>
          <c:tx>
            <c:v>Inventario_Final</c:v>
          </c:tx>
          <c:spPr>
            <a:ln w="28575" cmpd="sng">
              <a:solidFill>
                <a:schemeClr val="accent2"/>
              </a:solidFill>
            </a:ln>
          </c:spPr>
          <c:marker>
            <c:symbol val="none"/>
          </c:marker>
          <c:val>
            <c:numRef>
              <c:f>'120seg'!$CT$68:$CT$77</c:f>
              <c:numCache>
                <c:formatCode>General</c:formatCode>
                <c:ptCount val="10"/>
                <c:pt idx="0">
                  <c:v>7</c:v>
                </c:pt>
                <c:pt idx="1">
                  <c:v>12</c:v>
                </c:pt>
                <c:pt idx="2">
                  <c:v>12</c:v>
                </c:pt>
                <c:pt idx="3">
                  <c:v>8</c:v>
                </c:pt>
                <c:pt idx="4">
                  <c:v>3</c:v>
                </c:pt>
                <c:pt idx="5">
                  <c:v>8</c:v>
                </c:pt>
                <c:pt idx="6">
                  <c:v>16</c:v>
                </c:pt>
                <c:pt idx="7">
                  <c:v>11</c:v>
                </c:pt>
                <c:pt idx="8">
                  <c:v>5</c:v>
                </c:pt>
                <c:pt idx="9">
                  <c:v>21</c:v>
                </c:pt>
              </c:numCache>
            </c:numRef>
          </c:val>
          <c:smooth val="0"/>
          <c:extLst>
            <c:ext xmlns:c16="http://schemas.microsoft.com/office/drawing/2014/chart" uri="{C3380CC4-5D6E-409C-BE32-E72D297353CC}">
              <c16:uniqueId val="{00000001-2D15-4745-8805-29618BCAEA85}"/>
            </c:ext>
          </c:extLst>
        </c:ser>
        <c:dLbls>
          <c:showLegendKey val="0"/>
          <c:showVal val="0"/>
          <c:showCatName val="0"/>
          <c:showSerName val="0"/>
          <c:showPercent val="0"/>
          <c:showBubbleSize val="0"/>
        </c:dLbls>
        <c:smooth val="0"/>
        <c:axId val="1876288435"/>
        <c:axId val="1655961504"/>
      </c:lineChart>
      <c:catAx>
        <c:axId val="1876288435"/>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655961504"/>
        <c:crosses val="autoZero"/>
        <c:auto val="1"/>
        <c:lblAlgn val="ctr"/>
        <c:lblOffset val="100"/>
        <c:noMultiLvlLbl val="1"/>
      </c:catAx>
      <c:valAx>
        <c:axId val="165596150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876288435"/>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Domingo 24-11 18:00 hrs vaciado C3</a:t>
            </a:r>
          </a:p>
        </c:rich>
      </c:tx>
      <c:overlay val="0"/>
    </c:title>
    <c:autoTitleDeleted val="0"/>
    <c:plotArea>
      <c:layout/>
      <c:lineChart>
        <c:grouping val="standard"/>
        <c:varyColors val="1"/>
        <c:ser>
          <c:idx val="0"/>
          <c:order val="0"/>
          <c:tx>
            <c:v>Inv_inicialprom_domingo</c:v>
          </c:tx>
          <c:spPr>
            <a:ln w="28575" cmpd="sng">
              <a:solidFill>
                <a:schemeClr val="accent1"/>
              </a:solidFill>
            </a:ln>
          </c:spPr>
          <c:marker>
            <c:symbol val="none"/>
          </c:marker>
          <c:val>
            <c:numRef>
              <c:f>'120seg'!$C$91:$C$100</c:f>
            </c:numRef>
          </c:val>
          <c:smooth val="0"/>
          <c:extLst>
            <c:ext xmlns:c16="http://schemas.microsoft.com/office/drawing/2014/chart" uri="{C3380CC4-5D6E-409C-BE32-E72D297353CC}">
              <c16:uniqueId val="{00000000-52EE-49B0-940C-5F08ED62E4A0}"/>
            </c:ext>
          </c:extLst>
        </c:ser>
        <c:ser>
          <c:idx val="1"/>
          <c:order val="1"/>
          <c:tx>
            <c:v>Inventario_Final</c:v>
          </c:tx>
          <c:spPr>
            <a:ln w="28575" cmpd="sng">
              <a:solidFill>
                <a:schemeClr val="accent2"/>
              </a:solidFill>
            </a:ln>
          </c:spPr>
          <c:marker>
            <c:symbol val="none"/>
          </c:marker>
          <c:val>
            <c:numRef>
              <c:f>'120seg'!$F$91:$F$100</c:f>
              <c:numCache>
                <c:formatCode>General</c:formatCode>
                <c:ptCount val="10"/>
                <c:pt idx="0">
                  <c:v>8</c:v>
                </c:pt>
                <c:pt idx="1">
                  <c:v>7</c:v>
                </c:pt>
                <c:pt idx="2">
                  <c:v>5</c:v>
                </c:pt>
                <c:pt idx="3">
                  <c:v>5</c:v>
                </c:pt>
                <c:pt idx="4">
                  <c:v>6</c:v>
                </c:pt>
                <c:pt idx="5">
                  <c:v>11</c:v>
                </c:pt>
                <c:pt idx="6">
                  <c:v>8</c:v>
                </c:pt>
                <c:pt idx="7">
                  <c:v>5</c:v>
                </c:pt>
                <c:pt idx="8">
                  <c:v>7</c:v>
                </c:pt>
                <c:pt idx="9">
                  <c:v>5</c:v>
                </c:pt>
              </c:numCache>
            </c:numRef>
          </c:val>
          <c:smooth val="0"/>
          <c:extLst>
            <c:ext xmlns:c16="http://schemas.microsoft.com/office/drawing/2014/chart" uri="{C3380CC4-5D6E-409C-BE32-E72D297353CC}">
              <c16:uniqueId val="{00000001-52EE-49B0-940C-5F08ED62E4A0}"/>
            </c:ext>
          </c:extLst>
        </c:ser>
        <c:dLbls>
          <c:showLegendKey val="0"/>
          <c:showVal val="0"/>
          <c:showCatName val="0"/>
          <c:showSerName val="0"/>
          <c:showPercent val="0"/>
          <c:showBubbleSize val="0"/>
        </c:dLbls>
        <c:smooth val="0"/>
        <c:axId val="1841580209"/>
        <c:axId val="1642717461"/>
      </c:lineChart>
      <c:catAx>
        <c:axId val="1841580209"/>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642717461"/>
        <c:crosses val="autoZero"/>
        <c:auto val="1"/>
        <c:lblAlgn val="ctr"/>
        <c:lblOffset val="100"/>
        <c:noMultiLvlLbl val="1"/>
      </c:catAx>
      <c:valAx>
        <c:axId val="164271746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841580209"/>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Domingo 24-11 18:00 hrs llenado C3</a:t>
            </a:r>
          </a:p>
        </c:rich>
      </c:tx>
      <c:overlay val="0"/>
    </c:title>
    <c:autoTitleDeleted val="0"/>
    <c:plotArea>
      <c:layout/>
      <c:lineChart>
        <c:grouping val="standard"/>
        <c:varyColors val="1"/>
        <c:ser>
          <c:idx val="0"/>
          <c:order val="0"/>
          <c:tx>
            <c:v>Inv_inicialprom_domingo</c:v>
          </c:tx>
          <c:spPr>
            <a:ln w="28575" cmpd="sng">
              <a:solidFill>
                <a:schemeClr val="accent1"/>
              </a:solidFill>
            </a:ln>
          </c:spPr>
          <c:marker>
            <c:symbol val="none"/>
          </c:marker>
          <c:val>
            <c:numRef>
              <c:f>'120seg'!$C$101:$C$110</c:f>
            </c:numRef>
          </c:val>
          <c:smooth val="0"/>
          <c:extLst>
            <c:ext xmlns:c16="http://schemas.microsoft.com/office/drawing/2014/chart" uri="{C3380CC4-5D6E-409C-BE32-E72D297353CC}">
              <c16:uniqueId val="{00000000-CCF3-427D-8F6F-A53DDE1780E4}"/>
            </c:ext>
          </c:extLst>
        </c:ser>
        <c:ser>
          <c:idx val="1"/>
          <c:order val="1"/>
          <c:tx>
            <c:v>Inventario_Final</c:v>
          </c:tx>
          <c:spPr>
            <a:ln w="28575" cmpd="sng">
              <a:solidFill>
                <a:schemeClr val="accent2"/>
              </a:solidFill>
            </a:ln>
          </c:spPr>
          <c:marker>
            <c:symbol val="none"/>
          </c:marker>
          <c:val>
            <c:numRef>
              <c:f>'120seg'!$F$101:$F$110</c:f>
              <c:numCache>
                <c:formatCode>General</c:formatCode>
                <c:ptCount val="10"/>
                <c:pt idx="0">
                  <c:v>2</c:v>
                </c:pt>
                <c:pt idx="1">
                  <c:v>16</c:v>
                </c:pt>
                <c:pt idx="2">
                  <c:v>13</c:v>
                </c:pt>
                <c:pt idx="3">
                  <c:v>13</c:v>
                </c:pt>
                <c:pt idx="4">
                  <c:v>3</c:v>
                </c:pt>
                <c:pt idx="5">
                  <c:v>10</c:v>
                </c:pt>
                <c:pt idx="6">
                  <c:v>11</c:v>
                </c:pt>
                <c:pt idx="7">
                  <c:v>13</c:v>
                </c:pt>
                <c:pt idx="8">
                  <c:v>14</c:v>
                </c:pt>
                <c:pt idx="9">
                  <c:v>18</c:v>
                </c:pt>
              </c:numCache>
            </c:numRef>
          </c:val>
          <c:smooth val="0"/>
          <c:extLst>
            <c:ext xmlns:c16="http://schemas.microsoft.com/office/drawing/2014/chart" uri="{C3380CC4-5D6E-409C-BE32-E72D297353CC}">
              <c16:uniqueId val="{00000001-CCF3-427D-8F6F-A53DDE1780E4}"/>
            </c:ext>
          </c:extLst>
        </c:ser>
        <c:dLbls>
          <c:showLegendKey val="0"/>
          <c:showVal val="0"/>
          <c:showCatName val="0"/>
          <c:showSerName val="0"/>
          <c:showPercent val="0"/>
          <c:showBubbleSize val="0"/>
        </c:dLbls>
        <c:smooth val="0"/>
        <c:axId val="809163400"/>
        <c:axId val="1013376881"/>
      </c:lineChart>
      <c:catAx>
        <c:axId val="80916340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013376881"/>
        <c:crosses val="autoZero"/>
        <c:auto val="1"/>
        <c:lblAlgn val="ctr"/>
        <c:lblOffset val="100"/>
        <c:noMultiLvlLbl val="1"/>
      </c:catAx>
      <c:valAx>
        <c:axId val="101337688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809163400"/>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Lunes 18-11 18:00 hrs vaciado C3</a:t>
            </a:r>
          </a:p>
        </c:rich>
      </c:tx>
      <c:overlay val="0"/>
    </c:title>
    <c:autoTitleDeleted val="0"/>
    <c:plotArea>
      <c:layout/>
      <c:lineChart>
        <c:grouping val="standard"/>
        <c:varyColors val="1"/>
        <c:ser>
          <c:idx val="0"/>
          <c:order val="0"/>
          <c:tx>
            <c:v>Inv_inicialprom_lunes</c:v>
          </c:tx>
          <c:spPr>
            <a:ln w="28575" cmpd="sng">
              <a:solidFill>
                <a:schemeClr val="accent1"/>
              </a:solidFill>
            </a:ln>
          </c:spPr>
          <c:marker>
            <c:symbol val="none"/>
          </c:marker>
          <c:val>
            <c:numRef>
              <c:f>'120seg'!$AD$58:$AD$67</c:f>
              <c:numCache>
                <c:formatCode>0</c:formatCode>
                <c:ptCount val="10"/>
                <c:pt idx="0">
                  <c:v>7</c:v>
                </c:pt>
                <c:pt idx="1">
                  <c:v>6.1111111111111107</c:v>
                </c:pt>
                <c:pt idx="2">
                  <c:v>5</c:v>
                </c:pt>
                <c:pt idx="3">
                  <c:v>4.4444444444444446</c:v>
                </c:pt>
                <c:pt idx="4">
                  <c:v>3.5555555555555554</c:v>
                </c:pt>
                <c:pt idx="5">
                  <c:v>10.222222222222221</c:v>
                </c:pt>
                <c:pt idx="6">
                  <c:v>6.7777777777777777</c:v>
                </c:pt>
                <c:pt idx="7">
                  <c:v>1.8888888888888888</c:v>
                </c:pt>
                <c:pt idx="8">
                  <c:v>2.6666666666666665</c:v>
                </c:pt>
                <c:pt idx="9">
                  <c:v>2.4444444444444446</c:v>
                </c:pt>
              </c:numCache>
            </c:numRef>
          </c:val>
          <c:smooth val="0"/>
          <c:extLst>
            <c:ext xmlns:c16="http://schemas.microsoft.com/office/drawing/2014/chart" uri="{C3380CC4-5D6E-409C-BE32-E72D297353CC}">
              <c16:uniqueId val="{00000000-8436-4309-A067-BC1BA04214E0}"/>
            </c:ext>
          </c:extLst>
        </c:ser>
        <c:ser>
          <c:idx val="1"/>
          <c:order val="1"/>
          <c:tx>
            <c:v>Inventario_Final</c:v>
          </c:tx>
          <c:spPr>
            <a:ln w="28575" cmpd="sng">
              <a:solidFill>
                <a:schemeClr val="accent2"/>
              </a:solidFill>
            </a:ln>
          </c:spPr>
          <c:marker>
            <c:symbol val="none"/>
          </c:marker>
          <c:val>
            <c:numRef>
              <c:f>'120seg'!$AG$58:$AG$67</c:f>
              <c:numCache>
                <c:formatCode>General</c:formatCode>
                <c:ptCount val="10"/>
                <c:pt idx="0">
                  <c:v>8</c:v>
                </c:pt>
                <c:pt idx="1">
                  <c:v>7</c:v>
                </c:pt>
                <c:pt idx="2">
                  <c:v>5</c:v>
                </c:pt>
                <c:pt idx="3">
                  <c:v>5</c:v>
                </c:pt>
                <c:pt idx="4">
                  <c:v>5</c:v>
                </c:pt>
                <c:pt idx="5">
                  <c:v>11</c:v>
                </c:pt>
                <c:pt idx="6">
                  <c:v>7</c:v>
                </c:pt>
                <c:pt idx="7">
                  <c:v>5</c:v>
                </c:pt>
                <c:pt idx="8">
                  <c:v>7</c:v>
                </c:pt>
                <c:pt idx="9">
                  <c:v>5</c:v>
                </c:pt>
              </c:numCache>
            </c:numRef>
          </c:val>
          <c:smooth val="0"/>
          <c:extLst>
            <c:ext xmlns:c16="http://schemas.microsoft.com/office/drawing/2014/chart" uri="{C3380CC4-5D6E-409C-BE32-E72D297353CC}">
              <c16:uniqueId val="{00000001-8436-4309-A067-BC1BA04214E0}"/>
            </c:ext>
          </c:extLst>
        </c:ser>
        <c:dLbls>
          <c:showLegendKey val="0"/>
          <c:showVal val="0"/>
          <c:showCatName val="0"/>
          <c:showSerName val="0"/>
          <c:showPercent val="0"/>
          <c:showBubbleSize val="0"/>
        </c:dLbls>
        <c:smooth val="0"/>
        <c:axId val="1862153689"/>
        <c:axId val="397016127"/>
      </c:lineChart>
      <c:catAx>
        <c:axId val="1862153689"/>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397016127"/>
        <c:crosses val="autoZero"/>
        <c:auto val="1"/>
        <c:lblAlgn val="ctr"/>
        <c:lblOffset val="100"/>
        <c:noMultiLvlLbl val="1"/>
      </c:catAx>
      <c:valAx>
        <c:axId val="397016127"/>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862153689"/>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Lunes 18-11 18:00 hrs Llenado C3</a:t>
            </a:r>
          </a:p>
        </c:rich>
      </c:tx>
      <c:overlay val="0"/>
    </c:title>
    <c:autoTitleDeleted val="0"/>
    <c:plotArea>
      <c:layout/>
      <c:lineChart>
        <c:grouping val="standard"/>
        <c:varyColors val="1"/>
        <c:ser>
          <c:idx val="0"/>
          <c:order val="0"/>
          <c:tx>
            <c:v>Inv_inicialprom_lunes</c:v>
          </c:tx>
          <c:spPr>
            <a:ln w="28575" cmpd="sng">
              <a:solidFill>
                <a:schemeClr val="accent1"/>
              </a:solidFill>
            </a:ln>
          </c:spPr>
          <c:marker>
            <c:symbol val="none"/>
          </c:marker>
          <c:val>
            <c:numRef>
              <c:f>'120seg'!$AD$68:$AD$77</c:f>
              <c:numCache>
                <c:formatCode>0</c:formatCode>
                <c:ptCount val="10"/>
                <c:pt idx="0">
                  <c:v>6.666666666666667</c:v>
                </c:pt>
                <c:pt idx="1">
                  <c:v>10.333333333333334</c:v>
                </c:pt>
                <c:pt idx="2">
                  <c:v>10.777777777777779</c:v>
                </c:pt>
                <c:pt idx="3">
                  <c:v>11.777777777777779</c:v>
                </c:pt>
                <c:pt idx="4">
                  <c:v>3.2222222222222223</c:v>
                </c:pt>
                <c:pt idx="5">
                  <c:v>11.777777777777779</c:v>
                </c:pt>
                <c:pt idx="6">
                  <c:v>13.111111111111111</c:v>
                </c:pt>
                <c:pt idx="7">
                  <c:v>11.222222222222221</c:v>
                </c:pt>
                <c:pt idx="8">
                  <c:v>13.444444444444445</c:v>
                </c:pt>
                <c:pt idx="9">
                  <c:v>23.111111111111111</c:v>
                </c:pt>
              </c:numCache>
            </c:numRef>
          </c:val>
          <c:smooth val="0"/>
          <c:extLst>
            <c:ext xmlns:c16="http://schemas.microsoft.com/office/drawing/2014/chart" uri="{C3380CC4-5D6E-409C-BE32-E72D297353CC}">
              <c16:uniqueId val="{00000000-1FC5-4ECB-92FF-B2AA4BA92B13}"/>
            </c:ext>
          </c:extLst>
        </c:ser>
        <c:ser>
          <c:idx val="1"/>
          <c:order val="1"/>
          <c:tx>
            <c:v>Inventario_Final</c:v>
          </c:tx>
          <c:spPr>
            <a:ln w="28575" cmpd="sng">
              <a:solidFill>
                <a:schemeClr val="accent2"/>
              </a:solidFill>
            </a:ln>
          </c:spPr>
          <c:marker>
            <c:symbol val="none"/>
          </c:marker>
          <c:val>
            <c:numRef>
              <c:f>'120seg'!$AG$68:$AG$77</c:f>
              <c:numCache>
                <c:formatCode>General</c:formatCode>
                <c:ptCount val="10"/>
                <c:pt idx="0">
                  <c:v>11</c:v>
                </c:pt>
                <c:pt idx="1">
                  <c:v>16</c:v>
                </c:pt>
                <c:pt idx="2">
                  <c:v>13</c:v>
                </c:pt>
                <c:pt idx="3">
                  <c:v>13</c:v>
                </c:pt>
                <c:pt idx="4">
                  <c:v>2</c:v>
                </c:pt>
                <c:pt idx="5">
                  <c:v>2</c:v>
                </c:pt>
                <c:pt idx="6">
                  <c:v>12</c:v>
                </c:pt>
                <c:pt idx="7">
                  <c:v>4</c:v>
                </c:pt>
                <c:pt idx="8">
                  <c:v>9</c:v>
                </c:pt>
                <c:pt idx="9">
                  <c:v>24</c:v>
                </c:pt>
              </c:numCache>
            </c:numRef>
          </c:val>
          <c:smooth val="0"/>
          <c:extLst>
            <c:ext xmlns:c16="http://schemas.microsoft.com/office/drawing/2014/chart" uri="{C3380CC4-5D6E-409C-BE32-E72D297353CC}">
              <c16:uniqueId val="{00000001-1FC5-4ECB-92FF-B2AA4BA92B13}"/>
            </c:ext>
          </c:extLst>
        </c:ser>
        <c:dLbls>
          <c:showLegendKey val="0"/>
          <c:showVal val="0"/>
          <c:showCatName val="0"/>
          <c:showSerName val="0"/>
          <c:showPercent val="0"/>
          <c:showBubbleSize val="0"/>
        </c:dLbls>
        <c:smooth val="0"/>
        <c:axId val="801625172"/>
        <c:axId val="1674543006"/>
      </c:lineChart>
      <c:catAx>
        <c:axId val="801625172"/>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674543006"/>
        <c:crosses val="autoZero"/>
        <c:auto val="1"/>
        <c:lblAlgn val="ctr"/>
        <c:lblOffset val="100"/>
        <c:noMultiLvlLbl val="1"/>
      </c:catAx>
      <c:valAx>
        <c:axId val="167454300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801625172"/>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Martes 19-11 18:00 hrs vaciado C3</a:t>
            </a:r>
          </a:p>
        </c:rich>
      </c:tx>
      <c:overlay val="0"/>
    </c:title>
    <c:autoTitleDeleted val="0"/>
    <c:plotArea>
      <c:layout/>
      <c:lineChart>
        <c:grouping val="standard"/>
        <c:varyColors val="1"/>
        <c:ser>
          <c:idx val="0"/>
          <c:order val="0"/>
          <c:tx>
            <c:v>Inventario_Final</c:v>
          </c:tx>
          <c:spPr>
            <a:ln w="28575" cmpd="sng">
              <a:solidFill>
                <a:schemeClr val="accent2"/>
              </a:solidFill>
            </a:ln>
          </c:spPr>
          <c:marker>
            <c:symbol val="none"/>
          </c:marker>
          <c:val>
            <c:numRef>
              <c:f>'120seg'!$AT$58:$AT$67</c:f>
              <c:numCache>
                <c:formatCode>General</c:formatCode>
                <c:ptCount val="10"/>
                <c:pt idx="0">
                  <c:v>8</c:v>
                </c:pt>
                <c:pt idx="1">
                  <c:v>7</c:v>
                </c:pt>
                <c:pt idx="2">
                  <c:v>5</c:v>
                </c:pt>
                <c:pt idx="3">
                  <c:v>5</c:v>
                </c:pt>
                <c:pt idx="4">
                  <c:v>5</c:v>
                </c:pt>
                <c:pt idx="5">
                  <c:v>11</c:v>
                </c:pt>
                <c:pt idx="6">
                  <c:v>7</c:v>
                </c:pt>
                <c:pt idx="7">
                  <c:v>5</c:v>
                </c:pt>
                <c:pt idx="8">
                  <c:v>7</c:v>
                </c:pt>
                <c:pt idx="9">
                  <c:v>5</c:v>
                </c:pt>
              </c:numCache>
            </c:numRef>
          </c:val>
          <c:smooth val="0"/>
          <c:extLst>
            <c:ext xmlns:c16="http://schemas.microsoft.com/office/drawing/2014/chart" uri="{C3380CC4-5D6E-409C-BE32-E72D297353CC}">
              <c16:uniqueId val="{00000000-85F8-45BA-9B62-737759A43CC7}"/>
            </c:ext>
          </c:extLst>
        </c:ser>
        <c:ser>
          <c:idx val="1"/>
          <c:order val="1"/>
          <c:tx>
            <c:v>Inv_final 19:00</c:v>
          </c:tx>
          <c:spPr>
            <a:ln w="28575" cmpd="sng">
              <a:solidFill>
                <a:schemeClr val="accent4"/>
              </a:solidFill>
            </a:ln>
          </c:spPr>
          <c:marker>
            <c:symbol val="none"/>
          </c:marker>
          <c:val>
            <c:numRef>
              <c:f>'120seg'!$AS$58:$AS$67</c:f>
              <c:numCache>
                <c:formatCode>General</c:formatCode>
                <c:ptCount val="10"/>
                <c:pt idx="0">
                  <c:v>1</c:v>
                </c:pt>
                <c:pt idx="1">
                  <c:v>0</c:v>
                </c:pt>
                <c:pt idx="2">
                  <c:v>2</c:v>
                </c:pt>
                <c:pt idx="3">
                  <c:v>0</c:v>
                </c:pt>
                <c:pt idx="4">
                  <c:v>0</c:v>
                </c:pt>
                <c:pt idx="5">
                  <c:v>6</c:v>
                </c:pt>
                <c:pt idx="6">
                  <c:v>7</c:v>
                </c:pt>
                <c:pt idx="7">
                  <c:v>2</c:v>
                </c:pt>
                <c:pt idx="8">
                  <c:v>0</c:v>
                </c:pt>
                <c:pt idx="9">
                  <c:v>2</c:v>
                </c:pt>
              </c:numCache>
            </c:numRef>
          </c:val>
          <c:smooth val="0"/>
          <c:extLst>
            <c:ext xmlns:c16="http://schemas.microsoft.com/office/drawing/2014/chart" uri="{C3380CC4-5D6E-409C-BE32-E72D297353CC}">
              <c16:uniqueId val="{00000001-85F8-45BA-9B62-737759A43CC7}"/>
            </c:ext>
          </c:extLst>
        </c:ser>
        <c:ser>
          <c:idx val="2"/>
          <c:order val="2"/>
          <c:tx>
            <c:v>Inventario_inicial</c:v>
          </c:tx>
          <c:spPr>
            <a:ln w="28575" cmpd="sng">
              <a:solidFill>
                <a:schemeClr val="accent5"/>
              </a:solidFill>
            </a:ln>
          </c:spPr>
          <c:marker>
            <c:symbol val="none"/>
          </c:marker>
          <c:val>
            <c:numRef>
              <c:f>'120seg'!$AP$58:$AP$67</c:f>
              <c:numCache>
                <c:formatCode>General</c:formatCode>
                <c:ptCount val="10"/>
                <c:pt idx="0">
                  <c:v>4</c:v>
                </c:pt>
                <c:pt idx="1">
                  <c:v>0</c:v>
                </c:pt>
                <c:pt idx="2">
                  <c:v>6</c:v>
                </c:pt>
                <c:pt idx="3">
                  <c:v>8</c:v>
                </c:pt>
                <c:pt idx="4">
                  <c:v>2</c:v>
                </c:pt>
                <c:pt idx="5">
                  <c:v>13</c:v>
                </c:pt>
                <c:pt idx="6">
                  <c:v>9</c:v>
                </c:pt>
                <c:pt idx="7">
                  <c:v>2</c:v>
                </c:pt>
                <c:pt idx="8">
                  <c:v>0</c:v>
                </c:pt>
                <c:pt idx="9">
                  <c:v>3</c:v>
                </c:pt>
              </c:numCache>
            </c:numRef>
          </c:val>
          <c:smooth val="0"/>
          <c:extLst>
            <c:ext xmlns:c16="http://schemas.microsoft.com/office/drawing/2014/chart" uri="{C3380CC4-5D6E-409C-BE32-E72D297353CC}">
              <c16:uniqueId val="{00000002-85F8-45BA-9B62-737759A43CC7}"/>
            </c:ext>
          </c:extLst>
        </c:ser>
        <c:dLbls>
          <c:showLegendKey val="0"/>
          <c:showVal val="0"/>
          <c:showCatName val="0"/>
          <c:showSerName val="0"/>
          <c:showPercent val="0"/>
          <c:showBubbleSize val="0"/>
        </c:dLbls>
        <c:smooth val="0"/>
        <c:axId val="1395915630"/>
        <c:axId val="1843144838"/>
      </c:lineChart>
      <c:catAx>
        <c:axId val="1395915630"/>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843144838"/>
        <c:crosses val="autoZero"/>
        <c:auto val="1"/>
        <c:lblAlgn val="ctr"/>
        <c:lblOffset val="100"/>
        <c:noMultiLvlLbl val="1"/>
      </c:catAx>
      <c:valAx>
        <c:axId val="184314483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395915630"/>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Martes 19-11 18:00 hrs Llenado C3</a:t>
            </a:r>
          </a:p>
        </c:rich>
      </c:tx>
      <c:overlay val="0"/>
    </c:title>
    <c:autoTitleDeleted val="0"/>
    <c:plotArea>
      <c:layout/>
      <c:lineChart>
        <c:grouping val="standard"/>
        <c:varyColors val="1"/>
        <c:ser>
          <c:idx val="0"/>
          <c:order val="0"/>
          <c:tx>
            <c:v>Inventario_Final</c:v>
          </c:tx>
          <c:spPr>
            <a:ln w="28575" cmpd="sng">
              <a:solidFill>
                <a:schemeClr val="accent2"/>
              </a:solidFill>
            </a:ln>
          </c:spPr>
          <c:marker>
            <c:symbol val="none"/>
          </c:marker>
          <c:val>
            <c:numRef>
              <c:f>'120seg'!$AT$68:$AT$77</c:f>
              <c:numCache>
                <c:formatCode>General</c:formatCode>
                <c:ptCount val="10"/>
                <c:pt idx="0">
                  <c:v>9</c:v>
                </c:pt>
                <c:pt idx="1">
                  <c:v>14</c:v>
                </c:pt>
                <c:pt idx="2">
                  <c:v>13</c:v>
                </c:pt>
                <c:pt idx="3">
                  <c:v>13</c:v>
                </c:pt>
                <c:pt idx="4">
                  <c:v>2</c:v>
                </c:pt>
                <c:pt idx="5">
                  <c:v>6</c:v>
                </c:pt>
                <c:pt idx="6">
                  <c:v>13</c:v>
                </c:pt>
                <c:pt idx="7">
                  <c:v>13</c:v>
                </c:pt>
                <c:pt idx="8">
                  <c:v>3</c:v>
                </c:pt>
                <c:pt idx="9">
                  <c:v>16</c:v>
                </c:pt>
              </c:numCache>
            </c:numRef>
          </c:val>
          <c:smooth val="0"/>
          <c:extLst>
            <c:ext xmlns:c16="http://schemas.microsoft.com/office/drawing/2014/chart" uri="{C3380CC4-5D6E-409C-BE32-E72D297353CC}">
              <c16:uniqueId val="{00000000-AB94-46EE-82B2-F056CBEC44F0}"/>
            </c:ext>
          </c:extLst>
        </c:ser>
        <c:ser>
          <c:idx val="1"/>
          <c:order val="1"/>
          <c:tx>
            <c:v>Inv_final 19:00</c:v>
          </c:tx>
          <c:spPr>
            <a:ln w="28575" cmpd="sng">
              <a:solidFill>
                <a:schemeClr val="accent4"/>
              </a:solidFill>
            </a:ln>
          </c:spPr>
          <c:marker>
            <c:symbol val="none"/>
          </c:marker>
          <c:val>
            <c:numRef>
              <c:f>'120seg'!$AS$68:$AS$77</c:f>
              <c:numCache>
                <c:formatCode>General</c:formatCode>
                <c:ptCount val="10"/>
                <c:pt idx="0">
                  <c:v>11</c:v>
                </c:pt>
                <c:pt idx="1">
                  <c:v>16</c:v>
                </c:pt>
                <c:pt idx="2">
                  <c:v>13</c:v>
                </c:pt>
                <c:pt idx="3">
                  <c:v>6</c:v>
                </c:pt>
                <c:pt idx="4">
                  <c:v>2</c:v>
                </c:pt>
                <c:pt idx="5">
                  <c:v>11</c:v>
                </c:pt>
                <c:pt idx="6">
                  <c:v>19</c:v>
                </c:pt>
                <c:pt idx="7">
                  <c:v>15</c:v>
                </c:pt>
                <c:pt idx="8">
                  <c:v>17</c:v>
                </c:pt>
                <c:pt idx="9">
                  <c:v>27</c:v>
                </c:pt>
              </c:numCache>
            </c:numRef>
          </c:val>
          <c:smooth val="0"/>
          <c:extLst>
            <c:ext xmlns:c16="http://schemas.microsoft.com/office/drawing/2014/chart" uri="{C3380CC4-5D6E-409C-BE32-E72D297353CC}">
              <c16:uniqueId val="{00000001-AB94-46EE-82B2-F056CBEC44F0}"/>
            </c:ext>
          </c:extLst>
        </c:ser>
        <c:ser>
          <c:idx val="2"/>
          <c:order val="2"/>
          <c:tx>
            <c:v>Inventario_inicial</c:v>
          </c:tx>
          <c:spPr>
            <a:ln w="28575" cmpd="sng">
              <a:solidFill>
                <a:schemeClr val="accent5"/>
              </a:solidFill>
            </a:ln>
          </c:spPr>
          <c:marker>
            <c:symbol val="none"/>
          </c:marker>
          <c:val>
            <c:numRef>
              <c:f>'120seg'!$AP$68:$AP$77</c:f>
              <c:numCache>
                <c:formatCode>General</c:formatCode>
                <c:ptCount val="10"/>
                <c:pt idx="0">
                  <c:v>9</c:v>
                </c:pt>
                <c:pt idx="1">
                  <c:v>14</c:v>
                </c:pt>
                <c:pt idx="2">
                  <c:v>14</c:v>
                </c:pt>
                <c:pt idx="3">
                  <c:v>3</c:v>
                </c:pt>
                <c:pt idx="4">
                  <c:v>2</c:v>
                </c:pt>
                <c:pt idx="5">
                  <c:v>6</c:v>
                </c:pt>
                <c:pt idx="6">
                  <c:v>18</c:v>
                </c:pt>
                <c:pt idx="7">
                  <c:v>14</c:v>
                </c:pt>
                <c:pt idx="8">
                  <c:v>14</c:v>
                </c:pt>
                <c:pt idx="9">
                  <c:v>26</c:v>
                </c:pt>
              </c:numCache>
            </c:numRef>
          </c:val>
          <c:smooth val="0"/>
          <c:extLst>
            <c:ext xmlns:c16="http://schemas.microsoft.com/office/drawing/2014/chart" uri="{C3380CC4-5D6E-409C-BE32-E72D297353CC}">
              <c16:uniqueId val="{00000002-AB94-46EE-82B2-F056CBEC44F0}"/>
            </c:ext>
          </c:extLst>
        </c:ser>
        <c:dLbls>
          <c:showLegendKey val="0"/>
          <c:showVal val="0"/>
          <c:showCatName val="0"/>
          <c:showSerName val="0"/>
          <c:showPercent val="0"/>
          <c:showBubbleSize val="0"/>
        </c:dLbls>
        <c:smooth val="0"/>
        <c:axId val="1632313281"/>
        <c:axId val="2089571231"/>
      </c:lineChart>
      <c:catAx>
        <c:axId val="1632313281"/>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089571231"/>
        <c:crosses val="autoZero"/>
        <c:auto val="1"/>
        <c:lblAlgn val="ctr"/>
        <c:lblOffset val="100"/>
        <c:noMultiLvlLbl val="1"/>
      </c:catAx>
      <c:valAx>
        <c:axId val="208957123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632313281"/>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Jueves 21-11 18:00 hrs vaciado C3</a:t>
            </a:r>
          </a:p>
        </c:rich>
      </c:tx>
      <c:overlay val="0"/>
    </c:title>
    <c:autoTitleDeleted val="0"/>
    <c:plotArea>
      <c:layout/>
      <c:lineChart>
        <c:grouping val="standard"/>
        <c:varyColors val="1"/>
        <c:ser>
          <c:idx val="0"/>
          <c:order val="0"/>
          <c:tx>
            <c:v>Inv_inicialprom_jueves</c:v>
          </c:tx>
          <c:spPr>
            <a:ln w="28575" cmpd="sng">
              <a:solidFill>
                <a:schemeClr val="accent1"/>
              </a:solidFill>
            </a:ln>
          </c:spPr>
          <c:marker>
            <c:symbol val="none"/>
          </c:marker>
          <c:val>
            <c:numRef>
              <c:f>'120seg'!$BQ$58:$BQ$67</c:f>
            </c:numRef>
          </c:val>
          <c:smooth val="0"/>
          <c:extLst>
            <c:ext xmlns:c16="http://schemas.microsoft.com/office/drawing/2014/chart" uri="{C3380CC4-5D6E-409C-BE32-E72D297353CC}">
              <c16:uniqueId val="{00000000-054F-46DA-AC77-E2DCB37ADBDC}"/>
            </c:ext>
          </c:extLst>
        </c:ser>
        <c:ser>
          <c:idx val="1"/>
          <c:order val="1"/>
          <c:tx>
            <c:v>Inventario_Final</c:v>
          </c:tx>
          <c:spPr>
            <a:ln w="28575" cmpd="sng">
              <a:solidFill>
                <a:schemeClr val="accent2"/>
              </a:solidFill>
            </a:ln>
          </c:spPr>
          <c:marker>
            <c:symbol val="none"/>
          </c:marker>
          <c:val>
            <c:numRef>
              <c:f>'120seg'!$BT$58:$BT$67</c:f>
              <c:numCache>
                <c:formatCode>General</c:formatCode>
                <c:ptCount val="10"/>
                <c:pt idx="0">
                  <c:v>8</c:v>
                </c:pt>
                <c:pt idx="1">
                  <c:v>7</c:v>
                </c:pt>
                <c:pt idx="2">
                  <c:v>5</c:v>
                </c:pt>
                <c:pt idx="3">
                  <c:v>5</c:v>
                </c:pt>
                <c:pt idx="4">
                  <c:v>5</c:v>
                </c:pt>
                <c:pt idx="5">
                  <c:v>14</c:v>
                </c:pt>
                <c:pt idx="6">
                  <c:v>8</c:v>
                </c:pt>
                <c:pt idx="7">
                  <c:v>5</c:v>
                </c:pt>
                <c:pt idx="8">
                  <c:v>7</c:v>
                </c:pt>
                <c:pt idx="9">
                  <c:v>6</c:v>
                </c:pt>
              </c:numCache>
            </c:numRef>
          </c:val>
          <c:smooth val="0"/>
          <c:extLst>
            <c:ext xmlns:c16="http://schemas.microsoft.com/office/drawing/2014/chart" uri="{C3380CC4-5D6E-409C-BE32-E72D297353CC}">
              <c16:uniqueId val="{00000001-054F-46DA-AC77-E2DCB37ADBDC}"/>
            </c:ext>
          </c:extLst>
        </c:ser>
        <c:dLbls>
          <c:showLegendKey val="0"/>
          <c:showVal val="0"/>
          <c:showCatName val="0"/>
          <c:showSerName val="0"/>
          <c:showPercent val="0"/>
          <c:showBubbleSize val="0"/>
        </c:dLbls>
        <c:smooth val="0"/>
        <c:axId val="1723483177"/>
        <c:axId val="1005619671"/>
      </c:lineChart>
      <c:catAx>
        <c:axId val="1723483177"/>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005619671"/>
        <c:crosses val="autoZero"/>
        <c:auto val="1"/>
        <c:lblAlgn val="ctr"/>
        <c:lblOffset val="100"/>
        <c:noMultiLvlLbl val="1"/>
      </c:catAx>
      <c:valAx>
        <c:axId val="100561967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723483177"/>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Jueves 21-11 18:00 hrs llenado C3</a:t>
            </a:r>
          </a:p>
        </c:rich>
      </c:tx>
      <c:overlay val="0"/>
    </c:title>
    <c:autoTitleDeleted val="0"/>
    <c:plotArea>
      <c:layout/>
      <c:lineChart>
        <c:grouping val="standard"/>
        <c:varyColors val="1"/>
        <c:ser>
          <c:idx val="0"/>
          <c:order val="0"/>
          <c:tx>
            <c:v>Inv_inicialprom_jueves</c:v>
          </c:tx>
          <c:spPr>
            <a:ln w="28575" cmpd="sng">
              <a:solidFill>
                <a:schemeClr val="accent1"/>
              </a:solidFill>
            </a:ln>
          </c:spPr>
          <c:marker>
            <c:symbol val="none"/>
          </c:marker>
          <c:val>
            <c:numRef>
              <c:f>'120seg'!$BQ$68:$BQ$77</c:f>
            </c:numRef>
          </c:val>
          <c:smooth val="0"/>
          <c:extLst>
            <c:ext xmlns:c16="http://schemas.microsoft.com/office/drawing/2014/chart" uri="{C3380CC4-5D6E-409C-BE32-E72D297353CC}">
              <c16:uniqueId val="{00000000-4B63-461B-BB76-7E2EB56B4D37}"/>
            </c:ext>
          </c:extLst>
        </c:ser>
        <c:ser>
          <c:idx val="1"/>
          <c:order val="1"/>
          <c:tx>
            <c:v>Inventario_Final</c:v>
          </c:tx>
          <c:spPr>
            <a:ln w="28575" cmpd="sng">
              <a:solidFill>
                <a:schemeClr val="accent2"/>
              </a:solidFill>
            </a:ln>
          </c:spPr>
          <c:marker>
            <c:symbol val="none"/>
          </c:marker>
          <c:val>
            <c:numRef>
              <c:f>'120seg'!$BT$68:$BT$77</c:f>
              <c:numCache>
                <c:formatCode>General</c:formatCode>
                <c:ptCount val="10"/>
                <c:pt idx="0">
                  <c:v>12</c:v>
                </c:pt>
                <c:pt idx="1">
                  <c:v>12</c:v>
                </c:pt>
                <c:pt idx="2">
                  <c:v>3</c:v>
                </c:pt>
                <c:pt idx="3">
                  <c:v>3</c:v>
                </c:pt>
                <c:pt idx="4">
                  <c:v>4</c:v>
                </c:pt>
                <c:pt idx="5">
                  <c:v>6</c:v>
                </c:pt>
                <c:pt idx="6">
                  <c:v>15</c:v>
                </c:pt>
                <c:pt idx="7">
                  <c:v>11</c:v>
                </c:pt>
                <c:pt idx="8">
                  <c:v>14</c:v>
                </c:pt>
                <c:pt idx="9">
                  <c:v>23</c:v>
                </c:pt>
              </c:numCache>
            </c:numRef>
          </c:val>
          <c:smooth val="0"/>
          <c:extLst>
            <c:ext xmlns:c16="http://schemas.microsoft.com/office/drawing/2014/chart" uri="{C3380CC4-5D6E-409C-BE32-E72D297353CC}">
              <c16:uniqueId val="{00000001-4B63-461B-BB76-7E2EB56B4D37}"/>
            </c:ext>
          </c:extLst>
        </c:ser>
        <c:dLbls>
          <c:showLegendKey val="0"/>
          <c:showVal val="0"/>
          <c:showCatName val="0"/>
          <c:showSerName val="0"/>
          <c:showPercent val="0"/>
          <c:showBubbleSize val="0"/>
        </c:dLbls>
        <c:smooth val="0"/>
        <c:axId val="693052270"/>
        <c:axId val="1683346783"/>
      </c:lineChart>
      <c:catAx>
        <c:axId val="693052270"/>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683346783"/>
        <c:crosses val="autoZero"/>
        <c:auto val="1"/>
        <c:lblAlgn val="ctr"/>
        <c:lblOffset val="100"/>
        <c:noMultiLvlLbl val="1"/>
      </c:catAx>
      <c:valAx>
        <c:axId val="168334678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693052270"/>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Viernes 22-11 18:00 hrs vaciado C3</a:t>
            </a:r>
          </a:p>
        </c:rich>
      </c:tx>
      <c:overlay val="0"/>
    </c:title>
    <c:autoTitleDeleted val="0"/>
    <c:plotArea>
      <c:layout/>
      <c:lineChart>
        <c:grouping val="standard"/>
        <c:varyColors val="1"/>
        <c:ser>
          <c:idx val="0"/>
          <c:order val="0"/>
          <c:tx>
            <c:v>Inv_inicialprom_viernes</c:v>
          </c:tx>
          <c:spPr>
            <a:ln w="28575" cmpd="sng">
              <a:solidFill>
                <a:schemeClr val="accent1"/>
              </a:solidFill>
            </a:ln>
          </c:spPr>
          <c:marker>
            <c:symbol val="none"/>
          </c:marker>
          <c:val>
            <c:numRef>
              <c:f>'120seg'!$CD$58:$CD$67</c:f>
            </c:numRef>
          </c:val>
          <c:smooth val="0"/>
          <c:extLst>
            <c:ext xmlns:c16="http://schemas.microsoft.com/office/drawing/2014/chart" uri="{C3380CC4-5D6E-409C-BE32-E72D297353CC}">
              <c16:uniqueId val="{00000000-5047-478E-BE5A-F1977C8D24C9}"/>
            </c:ext>
          </c:extLst>
        </c:ser>
        <c:ser>
          <c:idx val="1"/>
          <c:order val="1"/>
          <c:tx>
            <c:v>Inventario_Final</c:v>
          </c:tx>
          <c:spPr>
            <a:ln w="28575" cmpd="sng">
              <a:solidFill>
                <a:schemeClr val="accent2"/>
              </a:solidFill>
            </a:ln>
          </c:spPr>
          <c:marker>
            <c:symbol val="none"/>
          </c:marker>
          <c:val>
            <c:numRef>
              <c:f>'120seg'!$CG$58:$CG$67</c:f>
              <c:numCache>
                <c:formatCode>General</c:formatCode>
                <c:ptCount val="10"/>
                <c:pt idx="0">
                  <c:v>8</c:v>
                </c:pt>
                <c:pt idx="1">
                  <c:v>8</c:v>
                </c:pt>
                <c:pt idx="2">
                  <c:v>5</c:v>
                </c:pt>
                <c:pt idx="3">
                  <c:v>5</c:v>
                </c:pt>
                <c:pt idx="4">
                  <c:v>5</c:v>
                </c:pt>
                <c:pt idx="5">
                  <c:v>12</c:v>
                </c:pt>
                <c:pt idx="6">
                  <c:v>7</c:v>
                </c:pt>
                <c:pt idx="7">
                  <c:v>5</c:v>
                </c:pt>
                <c:pt idx="8">
                  <c:v>7</c:v>
                </c:pt>
                <c:pt idx="9">
                  <c:v>5</c:v>
                </c:pt>
              </c:numCache>
            </c:numRef>
          </c:val>
          <c:smooth val="0"/>
          <c:extLst>
            <c:ext xmlns:c16="http://schemas.microsoft.com/office/drawing/2014/chart" uri="{C3380CC4-5D6E-409C-BE32-E72D297353CC}">
              <c16:uniqueId val="{00000001-5047-478E-BE5A-F1977C8D24C9}"/>
            </c:ext>
          </c:extLst>
        </c:ser>
        <c:dLbls>
          <c:showLegendKey val="0"/>
          <c:showVal val="0"/>
          <c:showCatName val="0"/>
          <c:showSerName val="0"/>
          <c:showPercent val="0"/>
          <c:showBubbleSize val="0"/>
        </c:dLbls>
        <c:smooth val="0"/>
        <c:axId val="198052942"/>
        <c:axId val="1535486719"/>
      </c:lineChart>
      <c:catAx>
        <c:axId val="198052942"/>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535486719"/>
        <c:crosses val="autoZero"/>
        <c:auto val="1"/>
        <c:lblAlgn val="ctr"/>
        <c:lblOffset val="100"/>
        <c:noMultiLvlLbl val="1"/>
      </c:catAx>
      <c:valAx>
        <c:axId val="153548671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98052942"/>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Viernes 22-11 18:00 hrs llenado C3</a:t>
            </a:r>
          </a:p>
        </c:rich>
      </c:tx>
      <c:overlay val="0"/>
    </c:title>
    <c:autoTitleDeleted val="0"/>
    <c:plotArea>
      <c:layout/>
      <c:lineChart>
        <c:grouping val="standard"/>
        <c:varyColors val="1"/>
        <c:ser>
          <c:idx val="0"/>
          <c:order val="0"/>
          <c:tx>
            <c:v>Inv_inicialprom_viernes</c:v>
          </c:tx>
          <c:spPr>
            <a:ln w="28575" cmpd="sng">
              <a:solidFill>
                <a:schemeClr val="accent1"/>
              </a:solidFill>
            </a:ln>
          </c:spPr>
          <c:marker>
            <c:symbol val="none"/>
          </c:marker>
          <c:val>
            <c:numRef>
              <c:f>'120seg'!$CD$68:$CD$77</c:f>
            </c:numRef>
          </c:val>
          <c:smooth val="0"/>
          <c:extLst>
            <c:ext xmlns:c16="http://schemas.microsoft.com/office/drawing/2014/chart" uri="{C3380CC4-5D6E-409C-BE32-E72D297353CC}">
              <c16:uniqueId val="{00000000-EA12-421F-AADD-552563BE5B28}"/>
            </c:ext>
          </c:extLst>
        </c:ser>
        <c:ser>
          <c:idx val="1"/>
          <c:order val="1"/>
          <c:tx>
            <c:v>Inventario_Final</c:v>
          </c:tx>
          <c:spPr>
            <a:ln w="28575" cmpd="sng">
              <a:solidFill>
                <a:schemeClr val="accent2"/>
              </a:solidFill>
            </a:ln>
          </c:spPr>
          <c:marker>
            <c:symbol val="none"/>
          </c:marker>
          <c:val>
            <c:numRef>
              <c:f>'120seg'!$CG$68:$CG$77</c:f>
              <c:numCache>
                <c:formatCode>General</c:formatCode>
                <c:ptCount val="10"/>
                <c:pt idx="0">
                  <c:v>8</c:v>
                </c:pt>
                <c:pt idx="1">
                  <c:v>12</c:v>
                </c:pt>
                <c:pt idx="2">
                  <c:v>4</c:v>
                </c:pt>
                <c:pt idx="3">
                  <c:v>12</c:v>
                </c:pt>
                <c:pt idx="4">
                  <c:v>4</c:v>
                </c:pt>
                <c:pt idx="5">
                  <c:v>8</c:v>
                </c:pt>
                <c:pt idx="6">
                  <c:v>16</c:v>
                </c:pt>
                <c:pt idx="7">
                  <c:v>8</c:v>
                </c:pt>
                <c:pt idx="8">
                  <c:v>3</c:v>
                </c:pt>
                <c:pt idx="9">
                  <c:v>20</c:v>
                </c:pt>
              </c:numCache>
            </c:numRef>
          </c:val>
          <c:smooth val="0"/>
          <c:extLst>
            <c:ext xmlns:c16="http://schemas.microsoft.com/office/drawing/2014/chart" uri="{C3380CC4-5D6E-409C-BE32-E72D297353CC}">
              <c16:uniqueId val="{00000001-EA12-421F-AADD-552563BE5B28}"/>
            </c:ext>
          </c:extLst>
        </c:ser>
        <c:dLbls>
          <c:showLegendKey val="0"/>
          <c:showVal val="0"/>
          <c:showCatName val="0"/>
          <c:showSerName val="0"/>
          <c:showPercent val="0"/>
          <c:showBubbleSize val="0"/>
        </c:dLbls>
        <c:smooth val="0"/>
        <c:axId val="1497571681"/>
        <c:axId val="1305728077"/>
      </c:lineChart>
      <c:catAx>
        <c:axId val="1497571681"/>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305728077"/>
        <c:crosses val="autoZero"/>
        <c:auto val="1"/>
        <c:lblAlgn val="ctr"/>
        <c:lblOffset val="100"/>
        <c:noMultiLvlLbl val="1"/>
      </c:catAx>
      <c:valAx>
        <c:axId val="1305728077"/>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497571681"/>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Sábado 23-11 18:00 hrs vaciado C3</a:t>
            </a:r>
          </a:p>
        </c:rich>
      </c:tx>
      <c:overlay val="0"/>
    </c:title>
    <c:autoTitleDeleted val="0"/>
    <c:plotArea>
      <c:layout/>
      <c:lineChart>
        <c:grouping val="standard"/>
        <c:varyColors val="1"/>
        <c:ser>
          <c:idx val="0"/>
          <c:order val="0"/>
          <c:tx>
            <c:v>Inv_inicialprom_sabado</c:v>
          </c:tx>
          <c:spPr>
            <a:ln w="28575" cmpd="sng">
              <a:solidFill>
                <a:schemeClr val="accent1"/>
              </a:solidFill>
            </a:ln>
          </c:spPr>
          <c:marker>
            <c:symbol val="none"/>
          </c:marker>
          <c:val>
            <c:numRef>
              <c:f>'120seg'!$CQ$58:$CQ$67</c:f>
            </c:numRef>
          </c:val>
          <c:smooth val="0"/>
          <c:extLst>
            <c:ext xmlns:c16="http://schemas.microsoft.com/office/drawing/2014/chart" uri="{C3380CC4-5D6E-409C-BE32-E72D297353CC}">
              <c16:uniqueId val="{00000000-33F6-450D-951F-F33F02D9AFDB}"/>
            </c:ext>
          </c:extLst>
        </c:ser>
        <c:ser>
          <c:idx val="1"/>
          <c:order val="1"/>
          <c:tx>
            <c:v>Inventario_Final</c:v>
          </c:tx>
          <c:spPr>
            <a:ln w="28575" cmpd="sng">
              <a:solidFill>
                <a:schemeClr val="accent2"/>
              </a:solidFill>
            </a:ln>
          </c:spPr>
          <c:marker>
            <c:symbol val="none"/>
          </c:marker>
          <c:val>
            <c:numRef>
              <c:f>'120seg'!$CT$58:$CT$67</c:f>
              <c:numCache>
                <c:formatCode>General</c:formatCode>
                <c:ptCount val="10"/>
                <c:pt idx="0">
                  <c:v>8</c:v>
                </c:pt>
                <c:pt idx="1">
                  <c:v>7</c:v>
                </c:pt>
                <c:pt idx="2">
                  <c:v>5</c:v>
                </c:pt>
                <c:pt idx="3">
                  <c:v>6</c:v>
                </c:pt>
                <c:pt idx="4">
                  <c:v>5</c:v>
                </c:pt>
                <c:pt idx="5">
                  <c:v>11</c:v>
                </c:pt>
                <c:pt idx="6">
                  <c:v>7</c:v>
                </c:pt>
                <c:pt idx="7">
                  <c:v>5</c:v>
                </c:pt>
                <c:pt idx="8">
                  <c:v>7</c:v>
                </c:pt>
                <c:pt idx="9">
                  <c:v>5</c:v>
                </c:pt>
              </c:numCache>
            </c:numRef>
          </c:val>
          <c:smooth val="0"/>
          <c:extLst>
            <c:ext xmlns:c16="http://schemas.microsoft.com/office/drawing/2014/chart" uri="{C3380CC4-5D6E-409C-BE32-E72D297353CC}">
              <c16:uniqueId val="{00000001-33F6-450D-951F-F33F02D9AFDB}"/>
            </c:ext>
          </c:extLst>
        </c:ser>
        <c:dLbls>
          <c:showLegendKey val="0"/>
          <c:showVal val="0"/>
          <c:showCatName val="0"/>
          <c:showSerName val="0"/>
          <c:showPercent val="0"/>
          <c:showBubbleSize val="0"/>
        </c:dLbls>
        <c:smooth val="0"/>
        <c:axId val="1977569221"/>
        <c:axId val="2106381093"/>
      </c:lineChart>
      <c:catAx>
        <c:axId val="1977569221"/>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106381093"/>
        <c:crosses val="autoZero"/>
        <c:auto val="1"/>
        <c:lblAlgn val="ctr"/>
        <c:lblOffset val="100"/>
        <c:noMultiLvlLbl val="1"/>
      </c:catAx>
      <c:valAx>
        <c:axId val="210638109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977569221"/>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Sábado 23-11 18:00 hrs llenado C3</a:t>
            </a:r>
          </a:p>
        </c:rich>
      </c:tx>
      <c:overlay val="0"/>
    </c:title>
    <c:autoTitleDeleted val="0"/>
    <c:plotArea>
      <c:layout/>
      <c:lineChart>
        <c:grouping val="standard"/>
        <c:varyColors val="1"/>
        <c:ser>
          <c:idx val="0"/>
          <c:order val="0"/>
          <c:tx>
            <c:v>Inv_inicialprom_sabado</c:v>
          </c:tx>
          <c:spPr>
            <a:ln w="28575" cmpd="sng">
              <a:solidFill>
                <a:schemeClr val="accent1"/>
              </a:solidFill>
            </a:ln>
          </c:spPr>
          <c:marker>
            <c:symbol val="none"/>
          </c:marker>
          <c:val>
            <c:numRef>
              <c:f>'120seg'!$CQ$68:$CQ$77</c:f>
            </c:numRef>
          </c:val>
          <c:smooth val="0"/>
          <c:extLst>
            <c:ext xmlns:c16="http://schemas.microsoft.com/office/drawing/2014/chart" uri="{C3380CC4-5D6E-409C-BE32-E72D297353CC}">
              <c16:uniqueId val="{00000000-2230-4BB3-8EE6-C17424E42F17}"/>
            </c:ext>
          </c:extLst>
        </c:ser>
        <c:ser>
          <c:idx val="1"/>
          <c:order val="1"/>
          <c:tx>
            <c:v>Inventario_Final</c:v>
          </c:tx>
          <c:spPr>
            <a:ln w="28575" cmpd="sng">
              <a:solidFill>
                <a:schemeClr val="accent2"/>
              </a:solidFill>
            </a:ln>
          </c:spPr>
          <c:marker>
            <c:symbol val="none"/>
          </c:marker>
          <c:val>
            <c:numRef>
              <c:f>'120seg'!$CT$68:$CT$77</c:f>
              <c:numCache>
                <c:formatCode>General</c:formatCode>
                <c:ptCount val="10"/>
                <c:pt idx="0">
                  <c:v>7</c:v>
                </c:pt>
                <c:pt idx="1">
                  <c:v>12</c:v>
                </c:pt>
                <c:pt idx="2">
                  <c:v>12</c:v>
                </c:pt>
                <c:pt idx="3">
                  <c:v>8</c:v>
                </c:pt>
                <c:pt idx="4">
                  <c:v>3</c:v>
                </c:pt>
                <c:pt idx="5">
                  <c:v>8</c:v>
                </c:pt>
                <c:pt idx="6">
                  <c:v>16</c:v>
                </c:pt>
                <c:pt idx="7">
                  <c:v>11</c:v>
                </c:pt>
                <c:pt idx="8">
                  <c:v>5</c:v>
                </c:pt>
                <c:pt idx="9">
                  <c:v>21</c:v>
                </c:pt>
              </c:numCache>
            </c:numRef>
          </c:val>
          <c:smooth val="0"/>
          <c:extLst>
            <c:ext xmlns:c16="http://schemas.microsoft.com/office/drawing/2014/chart" uri="{C3380CC4-5D6E-409C-BE32-E72D297353CC}">
              <c16:uniqueId val="{00000001-2230-4BB3-8EE6-C17424E42F17}"/>
            </c:ext>
          </c:extLst>
        </c:ser>
        <c:dLbls>
          <c:showLegendKey val="0"/>
          <c:showVal val="0"/>
          <c:showCatName val="0"/>
          <c:showSerName val="0"/>
          <c:showPercent val="0"/>
          <c:showBubbleSize val="0"/>
        </c:dLbls>
        <c:smooth val="0"/>
        <c:axId val="1459440215"/>
        <c:axId val="1225178615"/>
      </c:lineChart>
      <c:catAx>
        <c:axId val="1459440215"/>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225178615"/>
        <c:crosses val="autoZero"/>
        <c:auto val="1"/>
        <c:lblAlgn val="ctr"/>
        <c:lblOffset val="100"/>
        <c:noMultiLvlLbl val="1"/>
      </c:catAx>
      <c:valAx>
        <c:axId val="122517861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459440215"/>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Domingo 24-11 18:00 hrs vaciado C3</a:t>
            </a:r>
          </a:p>
        </c:rich>
      </c:tx>
      <c:overlay val="0"/>
    </c:title>
    <c:autoTitleDeleted val="0"/>
    <c:plotArea>
      <c:layout/>
      <c:lineChart>
        <c:grouping val="standard"/>
        <c:varyColors val="1"/>
        <c:ser>
          <c:idx val="0"/>
          <c:order val="0"/>
          <c:tx>
            <c:v>Inv_inicialprom_domingo</c:v>
          </c:tx>
          <c:spPr>
            <a:ln w="28575" cmpd="sng">
              <a:solidFill>
                <a:schemeClr val="accent1"/>
              </a:solidFill>
            </a:ln>
          </c:spPr>
          <c:marker>
            <c:symbol val="none"/>
          </c:marker>
          <c:val>
            <c:numRef>
              <c:f>'120seg'!$C$91:$C$100</c:f>
            </c:numRef>
          </c:val>
          <c:smooth val="0"/>
          <c:extLst>
            <c:ext xmlns:c16="http://schemas.microsoft.com/office/drawing/2014/chart" uri="{C3380CC4-5D6E-409C-BE32-E72D297353CC}">
              <c16:uniqueId val="{00000000-BFDA-4FA0-9262-DD8DDDBB8315}"/>
            </c:ext>
          </c:extLst>
        </c:ser>
        <c:ser>
          <c:idx val="1"/>
          <c:order val="1"/>
          <c:tx>
            <c:v>Inventario_Final</c:v>
          </c:tx>
          <c:spPr>
            <a:ln w="28575" cmpd="sng">
              <a:solidFill>
                <a:schemeClr val="accent2"/>
              </a:solidFill>
            </a:ln>
          </c:spPr>
          <c:marker>
            <c:symbol val="none"/>
          </c:marker>
          <c:val>
            <c:numRef>
              <c:f>'120seg'!$F$91:$F$100</c:f>
              <c:numCache>
                <c:formatCode>General</c:formatCode>
                <c:ptCount val="10"/>
                <c:pt idx="0">
                  <c:v>8</c:v>
                </c:pt>
                <c:pt idx="1">
                  <c:v>7</c:v>
                </c:pt>
                <c:pt idx="2">
                  <c:v>5</c:v>
                </c:pt>
                <c:pt idx="3">
                  <c:v>5</c:v>
                </c:pt>
                <c:pt idx="4">
                  <c:v>6</c:v>
                </c:pt>
                <c:pt idx="5">
                  <c:v>11</c:v>
                </c:pt>
                <c:pt idx="6">
                  <c:v>8</c:v>
                </c:pt>
                <c:pt idx="7">
                  <c:v>5</c:v>
                </c:pt>
                <c:pt idx="8">
                  <c:v>7</c:v>
                </c:pt>
                <c:pt idx="9">
                  <c:v>5</c:v>
                </c:pt>
              </c:numCache>
            </c:numRef>
          </c:val>
          <c:smooth val="0"/>
          <c:extLst>
            <c:ext xmlns:c16="http://schemas.microsoft.com/office/drawing/2014/chart" uri="{C3380CC4-5D6E-409C-BE32-E72D297353CC}">
              <c16:uniqueId val="{00000001-BFDA-4FA0-9262-DD8DDDBB8315}"/>
            </c:ext>
          </c:extLst>
        </c:ser>
        <c:dLbls>
          <c:showLegendKey val="0"/>
          <c:showVal val="0"/>
          <c:showCatName val="0"/>
          <c:showSerName val="0"/>
          <c:showPercent val="0"/>
          <c:showBubbleSize val="0"/>
        </c:dLbls>
        <c:smooth val="0"/>
        <c:axId val="1302338627"/>
        <c:axId val="1039295382"/>
      </c:lineChart>
      <c:catAx>
        <c:axId val="1302338627"/>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039295382"/>
        <c:crosses val="autoZero"/>
        <c:auto val="1"/>
        <c:lblAlgn val="ctr"/>
        <c:lblOffset val="100"/>
        <c:noMultiLvlLbl val="1"/>
      </c:catAx>
      <c:valAx>
        <c:axId val="103929538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302338627"/>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Domingo 24-11 18:00 hrs llenado C3</a:t>
            </a:r>
          </a:p>
        </c:rich>
      </c:tx>
      <c:overlay val="0"/>
    </c:title>
    <c:autoTitleDeleted val="0"/>
    <c:plotArea>
      <c:layout/>
      <c:lineChart>
        <c:grouping val="standard"/>
        <c:varyColors val="1"/>
        <c:ser>
          <c:idx val="0"/>
          <c:order val="0"/>
          <c:tx>
            <c:v>Inv_inicialprom_domingo</c:v>
          </c:tx>
          <c:spPr>
            <a:ln w="28575" cmpd="sng">
              <a:solidFill>
                <a:schemeClr val="accent1"/>
              </a:solidFill>
            </a:ln>
          </c:spPr>
          <c:marker>
            <c:symbol val="none"/>
          </c:marker>
          <c:val>
            <c:numRef>
              <c:f>'120seg'!$C$101:$C$110</c:f>
            </c:numRef>
          </c:val>
          <c:smooth val="0"/>
          <c:extLst>
            <c:ext xmlns:c16="http://schemas.microsoft.com/office/drawing/2014/chart" uri="{C3380CC4-5D6E-409C-BE32-E72D297353CC}">
              <c16:uniqueId val="{00000000-8CB3-407A-B177-A414AC041638}"/>
            </c:ext>
          </c:extLst>
        </c:ser>
        <c:ser>
          <c:idx val="1"/>
          <c:order val="1"/>
          <c:tx>
            <c:v>Inventario_Final</c:v>
          </c:tx>
          <c:spPr>
            <a:ln w="28575" cmpd="sng">
              <a:solidFill>
                <a:schemeClr val="accent2"/>
              </a:solidFill>
            </a:ln>
          </c:spPr>
          <c:marker>
            <c:symbol val="none"/>
          </c:marker>
          <c:val>
            <c:numRef>
              <c:f>'120seg'!$F$101:$F$110</c:f>
              <c:numCache>
                <c:formatCode>General</c:formatCode>
                <c:ptCount val="10"/>
                <c:pt idx="0">
                  <c:v>2</c:v>
                </c:pt>
                <c:pt idx="1">
                  <c:v>16</c:v>
                </c:pt>
                <c:pt idx="2">
                  <c:v>13</c:v>
                </c:pt>
                <c:pt idx="3">
                  <c:v>13</c:v>
                </c:pt>
                <c:pt idx="4">
                  <c:v>3</c:v>
                </c:pt>
                <c:pt idx="5">
                  <c:v>10</c:v>
                </c:pt>
                <c:pt idx="6">
                  <c:v>11</c:v>
                </c:pt>
                <c:pt idx="7">
                  <c:v>13</c:v>
                </c:pt>
                <c:pt idx="8">
                  <c:v>14</c:v>
                </c:pt>
                <c:pt idx="9">
                  <c:v>18</c:v>
                </c:pt>
              </c:numCache>
            </c:numRef>
          </c:val>
          <c:smooth val="0"/>
          <c:extLst>
            <c:ext xmlns:c16="http://schemas.microsoft.com/office/drawing/2014/chart" uri="{C3380CC4-5D6E-409C-BE32-E72D297353CC}">
              <c16:uniqueId val="{00000001-8CB3-407A-B177-A414AC041638}"/>
            </c:ext>
          </c:extLst>
        </c:ser>
        <c:dLbls>
          <c:showLegendKey val="0"/>
          <c:showVal val="0"/>
          <c:showCatName val="0"/>
          <c:showSerName val="0"/>
          <c:showPercent val="0"/>
          <c:showBubbleSize val="0"/>
        </c:dLbls>
        <c:smooth val="0"/>
        <c:axId val="809437679"/>
        <c:axId val="1472940245"/>
      </c:lineChart>
      <c:catAx>
        <c:axId val="809437679"/>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472940245"/>
        <c:crosses val="autoZero"/>
        <c:auto val="1"/>
        <c:lblAlgn val="ctr"/>
        <c:lblOffset val="100"/>
        <c:noMultiLvlLbl val="1"/>
      </c:catAx>
      <c:valAx>
        <c:axId val="147294024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809437679"/>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Lunes 18-11 18:00 hrs vaciado C3</a:t>
            </a:r>
          </a:p>
        </c:rich>
      </c:tx>
      <c:overlay val="0"/>
    </c:title>
    <c:autoTitleDeleted val="0"/>
    <c:plotArea>
      <c:layout/>
      <c:lineChart>
        <c:grouping val="standard"/>
        <c:varyColors val="1"/>
        <c:ser>
          <c:idx val="0"/>
          <c:order val="0"/>
          <c:tx>
            <c:v>Inv_inicialprom_lunes</c:v>
          </c:tx>
          <c:spPr>
            <a:ln w="28575" cmpd="sng">
              <a:solidFill>
                <a:schemeClr val="accent1"/>
              </a:solidFill>
            </a:ln>
          </c:spPr>
          <c:marker>
            <c:symbol val="none"/>
          </c:marker>
          <c:val>
            <c:numRef>
              <c:f>'Copia de 120seg'!$AL$59:$AL$68</c:f>
            </c:numRef>
          </c:val>
          <c:smooth val="0"/>
          <c:extLst>
            <c:ext xmlns:c16="http://schemas.microsoft.com/office/drawing/2014/chart" uri="{C3380CC4-5D6E-409C-BE32-E72D297353CC}">
              <c16:uniqueId val="{00000000-D4C5-400A-9037-106D183888A9}"/>
            </c:ext>
          </c:extLst>
        </c:ser>
        <c:ser>
          <c:idx val="1"/>
          <c:order val="1"/>
          <c:tx>
            <c:v>Inventario_Final</c:v>
          </c:tx>
          <c:spPr>
            <a:ln w="28575" cmpd="sng">
              <a:solidFill>
                <a:schemeClr val="accent2"/>
              </a:solidFill>
            </a:ln>
          </c:spPr>
          <c:marker>
            <c:symbol val="none"/>
          </c:marker>
          <c:val>
            <c:numRef>
              <c:f>'Copia de 120seg'!$AO$59:$AO$68</c:f>
              <c:numCache>
                <c:formatCode>General</c:formatCode>
                <c:ptCount val="10"/>
                <c:pt idx="0">
                  <c:v>8</c:v>
                </c:pt>
                <c:pt idx="1">
                  <c:v>7</c:v>
                </c:pt>
                <c:pt idx="2">
                  <c:v>5</c:v>
                </c:pt>
                <c:pt idx="3">
                  <c:v>5</c:v>
                </c:pt>
                <c:pt idx="4">
                  <c:v>5</c:v>
                </c:pt>
                <c:pt idx="5">
                  <c:v>11</c:v>
                </c:pt>
                <c:pt idx="6">
                  <c:v>7</c:v>
                </c:pt>
                <c:pt idx="7">
                  <c:v>5</c:v>
                </c:pt>
                <c:pt idx="8">
                  <c:v>7</c:v>
                </c:pt>
                <c:pt idx="9">
                  <c:v>5</c:v>
                </c:pt>
              </c:numCache>
            </c:numRef>
          </c:val>
          <c:smooth val="0"/>
          <c:extLst>
            <c:ext xmlns:c16="http://schemas.microsoft.com/office/drawing/2014/chart" uri="{C3380CC4-5D6E-409C-BE32-E72D297353CC}">
              <c16:uniqueId val="{00000001-D4C5-400A-9037-106D183888A9}"/>
            </c:ext>
          </c:extLst>
        </c:ser>
        <c:dLbls>
          <c:showLegendKey val="0"/>
          <c:showVal val="0"/>
          <c:showCatName val="0"/>
          <c:showSerName val="0"/>
          <c:showPercent val="0"/>
          <c:showBubbleSize val="0"/>
        </c:dLbls>
        <c:smooth val="0"/>
        <c:axId val="1831674291"/>
        <c:axId val="215030841"/>
      </c:lineChart>
      <c:catAx>
        <c:axId val="1831674291"/>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15030841"/>
        <c:crosses val="autoZero"/>
        <c:auto val="1"/>
        <c:lblAlgn val="ctr"/>
        <c:lblOffset val="100"/>
        <c:noMultiLvlLbl val="1"/>
      </c:catAx>
      <c:valAx>
        <c:axId val="21503084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831674291"/>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Lunes 18-11 18:00 hrs Llenado C3</a:t>
            </a:r>
          </a:p>
        </c:rich>
      </c:tx>
      <c:overlay val="0"/>
    </c:title>
    <c:autoTitleDeleted val="0"/>
    <c:plotArea>
      <c:layout/>
      <c:lineChart>
        <c:grouping val="standard"/>
        <c:varyColors val="1"/>
        <c:ser>
          <c:idx val="0"/>
          <c:order val="0"/>
          <c:tx>
            <c:v>Inv_inicialprom_lunes</c:v>
          </c:tx>
          <c:spPr>
            <a:ln w="28575" cmpd="sng">
              <a:solidFill>
                <a:schemeClr val="accent1"/>
              </a:solidFill>
            </a:ln>
          </c:spPr>
          <c:marker>
            <c:symbol val="none"/>
          </c:marker>
          <c:val>
            <c:numRef>
              <c:f>'Copia de 120seg'!$AL$69:$AL$78</c:f>
            </c:numRef>
          </c:val>
          <c:smooth val="0"/>
          <c:extLst>
            <c:ext xmlns:c16="http://schemas.microsoft.com/office/drawing/2014/chart" uri="{C3380CC4-5D6E-409C-BE32-E72D297353CC}">
              <c16:uniqueId val="{00000000-1344-4395-BAFD-67E17F6633D0}"/>
            </c:ext>
          </c:extLst>
        </c:ser>
        <c:ser>
          <c:idx val="1"/>
          <c:order val="1"/>
          <c:tx>
            <c:v>Inventario_Final</c:v>
          </c:tx>
          <c:spPr>
            <a:ln w="28575" cmpd="sng">
              <a:solidFill>
                <a:schemeClr val="accent2"/>
              </a:solidFill>
            </a:ln>
          </c:spPr>
          <c:marker>
            <c:symbol val="none"/>
          </c:marker>
          <c:val>
            <c:numRef>
              <c:f>'Copia de 120seg'!$AO$69:$AO$78</c:f>
              <c:numCache>
                <c:formatCode>General</c:formatCode>
                <c:ptCount val="10"/>
                <c:pt idx="0">
                  <c:v>11</c:v>
                </c:pt>
                <c:pt idx="1">
                  <c:v>16</c:v>
                </c:pt>
                <c:pt idx="2">
                  <c:v>13</c:v>
                </c:pt>
                <c:pt idx="3">
                  <c:v>13</c:v>
                </c:pt>
                <c:pt idx="4">
                  <c:v>2</c:v>
                </c:pt>
                <c:pt idx="5">
                  <c:v>2</c:v>
                </c:pt>
                <c:pt idx="6">
                  <c:v>12</c:v>
                </c:pt>
                <c:pt idx="7">
                  <c:v>4</c:v>
                </c:pt>
                <c:pt idx="8">
                  <c:v>9</c:v>
                </c:pt>
                <c:pt idx="9">
                  <c:v>24</c:v>
                </c:pt>
              </c:numCache>
            </c:numRef>
          </c:val>
          <c:smooth val="0"/>
          <c:extLst>
            <c:ext xmlns:c16="http://schemas.microsoft.com/office/drawing/2014/chart" uri="{C3380CC4-5D6E-409C-BE32-E72D297353CC}">
              <c16:uniqueId val="{00000001-1344-4395-BAFD-67E17F6633D0}"/>
            </c:ext>
          </c:extLst>
        </c:ser>
        <c:dLbls>
          <c:showLegendKey val="0"/>
          <c:showVal val="0"/>
          <c:showCatName val="0"/>
          <c:showSerName val="0"/>
          <c:showPercent val="0"/>
          <c:showBubbleSize val="0"/>
        </c:dLbls>
        <c:smooth val="0"/>
        <c:axId val="274188556"/>
        <c:axId val="244246565"/>
      </c:lineChart>
      <c:catAx>
        <c:axId val="27418855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44246565"/>
        <c:crosses val="autoZero"/>
        <c:auto val="1"/>
        <c:lblAlgn val="ctr"/>
        <c:lblOffset val="100"/>
        <c:noMultiLvlLbl val="1"/>
      </c:catAx>
      <c:valAx>
        <c:axId val="24424656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274188556"/>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Martes 19-11 18:00 hrs vaciado C3</a:t>
            </a:r>
          </a:p>
        </c:rich>
      </c:tx>
      <c:overlay val="0"/>
    </c:title>
    <c:autoTitleDeleted val="0"/>
    <c:plotArea>
      <c:layout/>
      <c:lineChart>
        <c:grouping val="standard"/>
        <c:varyColors val="1"/>
        <c:ser>
          <c:idx val="0"/>
          <c:order val="0"/>
          <c:tx>
            <c:v>Inventario_Final</c:v>
          </c:tx>
          <c:spPr>
            <a:ln w="28575" cmpd="sng">
              <a:solidFill>
                <a:schemeClr val="accent2"/>
              </a:solidFill>
            </a:ln>
          </c:spPr>
          <c:marker>
            <c:symbol val="none"/>
          </c:marker>
          <c:val>
            <c:numRef>
              <c:f>'Copia de 120seg'!$AZ$59:$AZ$68</c:f>
              <c:numCache>
                <c:formatCode>General</c:formatCode>
                <c:ptCount val="10"/>
                <c:pt idx="0">
                  <c:v>8</c:v>
                </c:pt>
                <c:pt idx="1">
                  <c:v>7</c:v>
                </c:pt>
                <c:pt idx="2">
                  <c:v>5</c:v>
                </c:pt>
                <c:pt idx="3">
                  <c:v>5</c:v>
                </c:pt>
                <c:pt idx="4">
                  <c:v>5</c:v>
                </c:pt>
                <c:pt idx="5">
                  <c:v>11</c:v>
                </c:pt>
                <c:pt idx="6">
                  <c:v>7</c:v>
                </c:pt>
                <c:pt idx="7">
                  <c:v>5</c:v>
                </c:pt>
                <c:pt idx="8">
                  <c:v>7</c:v>
                </c:pt>
                <c:pt idx="9">
                  <c:v>5</c:v>
                </c:pt>
              </c:numCache>
            </c:numRef>
          </c:val>
          <c:smooth val="0"/>
          <c:extLst>
            <c:ext xmlns:c16="http://schemas.microsoft.com/office/drawing/2014/chart" uri="{C3380CC4-5D6E-409C-BE32-E72D297353CC}">
              <c16:uniqueId val="{00000000-8982-4C0B-8A0D-1DACB2DF519D}"/>
            </c:ext>
          </c:extLst>
        </c:ser>
        <c:ser>
          <c:idx val="1"/>
          <c:order val="1"/>
          <c:tx>
            <c:v>Inv_final 19:00</c:v>
          </c:tx>
          <c:spPr>
            <a:ln w="28575" cmpd="sng">
              <a:solidFill>
                <a:schemeClr val="accent4"/>
              </a:solidFill>
            </a:ln>
          </c:spPr>
          <c:marker>
            <c:symbol val="none"/>
          </c:marker>
          <c:val>
            <c:numRef>
              <c:f>'Copia de 120seg'!$AY$59:$AY$68</c:f>
              <c:numCache>
                <c:formatCode>General</c:formatCode>
                <c:ptCount val="10"/>
                <c:pt idx="0">
                  <c:v>1</c:v>
                </c:pt>
                <c:pt idx="1">
                  <c:v>0</c:v>
                </c:pt>
                <c:pt idx="2">
                  <c:v>2</c:v>
                </c:pt>
                <c:pt idx="3">
                  <c:v>0</c:v>
                </c:pt>
                <c:pt idx="4">
                  <c:v>0</c:v>
                </c:pt>
                <c:pt idx="5">
                  <c:v>6</c:v>
                </c:pt>
                <c:pt idx="6">
                  <c:v>7</c:v>
                </c:pt>
                <c:pt idx="7">
                  <c:v>2</c:v>
                </c:pt>
                <c:pt idx="8">
                  <c:v>0</c:v>
                </c:pt>
                <c:pt idx="9">
                  <c:v>2</c:v>
                </c:pt>
              </c:numCache>
            </c:numRef>
          </c:val>
          <c:smooth val="0"/>
          <c:extLst>
            <c:ext xmlns:c16="http://schemas.microsoft.com/office/drawing/2014/chart" uri="{C3380CC4-5D6E-409C-BE32-E72D297353CC}">
              <c16:uniqueId val="{00000001-8982-4C0B-8A0D-1DACB2DF519D}"/>
            </c:ext>
          </c:extLst>
        </c:ser>
        <c:ser>
          <c:idx val="2"/>
          <c:order val="2"/>
          <c:tx>
            <c:v>Inventario_inicial</c:v>
          </c:tx>
          <c:spPr>
            <a:ln w="28575" cmpd="sng">
              <a:solidFill>
                <a:schemeClr val="accent5"/>
              </a:solidFill>
            </a:ln>
          </c:spPr>
          <c:marker>
            <c:symbol val="none"/>
          </c:marker>
          <c:val>
            <c:numRef>
              <c:f>'Copia de 120seg'!$AV$59:$AV$68</c:f>
              <c:numCache>
                <c:formatCode>General</c:formatCode>
                <c:ptCount val="10"/>
                <c:pt idx="0">
                  <c:v>4</c:v>
                </c:pt>
                <c:pt idx="1">
                  <c:v>0</c:v>
                </c:pt>
                <c:pt idx="2">
                  <c:v>6</c:v>
                </c:pt>
                <c:pt idx="3">
                  <c:v>8</c:v>
                </c:pt>
                <c:pt idx="4">
                  <c:v>2</c:v>
                </c:pt>
                <c:pt idx="5">
                  <c:v>13</c:v>
                </c:pt>
                <c:pt idx="6">
                  <c:v>9</c:v>
                </c:pt>
                <c:pt idx="7">
                  <c:v>2</c:v>
                </c:pt>
                <c:pt idx="8">
                  <c:v>0</c:v>
                </c:pt>
                <c:pt idx="9">
                  <c:v>3</c:v>
                </c:pt>
              </c:numCache>
            </c:numRef>
          </c:val>
          <c:smooth val="0"/>
          <c:extLst>
            <c:ext xmlns:c16="http://schemas.microsoft.com/office/drawing/2014/chart" uri="{C3380CC4-5D6E-409C-BE32-E72D297353CC}">
              <c16:uniqueId val="{00000002-8982-4C0B-8A0D-1DACB2DF519D}"/>
            </c:ext>
          </c:extLst>
        </c:ser>
        <c:dLbls>
          <c:showLegendKey val="0"/>
          <c:showVal val="0"/>
          <c:showCatName val="0"/>
          <c:showSerName val="0"/>
          <c:showPercent val="0"/>
          <c:showBubbleSize val="0"/>
        </c:dLbls>
        <c:smooth val="0"/>
        <c:axId val="1097729165"/>
        <c:axId val="1560941553"/>
      </c:lineChart>
      <c:catAx>
        <c:axId val="1097729165"/>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560941553"/>
        <c:crosses val="autoZero"/>
        <c:auto val="1"/>
        <c:lblAlgn val="ctr"/>
        <c:lblOffset val="100"/>
        <c:noMultiLvlLbl val="1"/>
      </c:catAx>
      <c:valAx>
        <c:axId val="156094155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097729165"/>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Martes 19-11 18:00 hrs Llenado C3</a:t>
            </a:r>
          </a:p>
        </c:rich>
      </c:tx>
      <c:overlay val="0"/>
    </c:title>
    <c:autoTitleDeleted val="0"/>
    <c:plotArea>
      <c:layout/>
      <c:lineChart>
        <c:grouping val="standard"/>
        <c:varyColors val="1"/>
        <c:ser>
          <c:idx val="0"/>
          <c:order val="0"/>
          <c:tx>
            <c:v>Inventario_Final</c:v>
          </c:tx>
          <c:spPr>
            <a:ln w="28575" cmpd="sng">
              <a:solidFill>
                <a:schemeClr val="accent2"/>
              </a:solidFill>
            </a:ln>
          </c:spPr>
          <c:marker>
            <c:symbol val="none"/>
          </c:marker>
          <c:val>
            <c:numRef>
              <c:f>'Copia de 120seg'!$AZ$69:$AZ$78</c:f>
              <c:numCache>
                <c:formatCode>General</c:formatCode>
                <c:ptCount val="10"/>
                <c:pt idx="0">
                  <c:v>9</c:v>
                </c:pt>
                <c:pt idx="1">
                  <c:v>14</c:v>
                </c:pt>
                <c:pt idx="2">
                  <c:v>13</c:v>
                </c:pt>
                <c:pt idx="3">
                  <c:v>13</c:v>
                </c:pt>
                <c:pt idx="4">
                  <c:v>2</c:v>
                </c:pt>
                <c:pt idx="5">
                  <c:v>6</c:v>
                </c:pt>
                <c:pt idx="6">
                  <c:v>13</c:v>
                </c:pt>
                <c:pt idx="7">
                  <c:v>13</c:v>
                </c:pt>
                <c:pt idx="8">
                  <c:v>3</c:v>
                </c:pt>
                <c:pt idx="9">
                  <c:v>16</c:v>
                </c:pt>
              </c:numCache>
            </c:numRef>
          </c:val>
          <c:smooth val="0"/>
          <c:extLst>
            <c:ext xmlns:c16="http://schemas.microsoft.com/office/drawing/2014/chart" uri="{C3380CC4-5D6E-409C-BE32-E72D297353CC}">
              <c16:uniqueId val="{00000000-E491-4D05-B35A-145752931002}"/>
            </c:ext>
          </c:extLst>
        </c:ser>
        <c:ser>
          <c:idx val="1"/>
          <c:order val="1"/>
          <c:tx>
            <c:v>Inv_final 19:00</c:v>
          </c:tx>
          <c:spPr>
            <a:ln w="28575" cmpd="sng">
              <a:solidFill>
                <a:schemeClr val="accent4"/>
              </a:solidFill>
            </a:ln>
          </c:spPr>
          <c:marker>
            <c:symbol val="none"/>
          </c:marker>
          <c:val>
            <c:numRef>
              <c:f>'Copia de 120seg'!$AY$69:$AY$78</c:f>
              <c:numCache>
                <c:formatCode>General</c:formatCode>
                <c:ptCount val="10"/>
                <c:pt idx="0">
                  <c:v>11</c:v>
                </c:pt>
                <c:pt idx="1">
                  <c:v>16</c:v>
                </c:pt>
                <c:pt idx="2">
                  <c:v>13</c:v>
                </c:pt>
                <c:pt idx="3">
                  <c:v>6</c:v>
                </c:pt>
                <c:pt idx="4">
                  <c:v>2</c:v>
                </c:pt>
                <c:pt idx="5">
                  <c:v>11</c:v>
                </c:pt>
                <c:pt idx="6">
                  <c:v>19</c:v>
                </c:pt>
                <c:pt idx="7">
                  <c:v>15</c:v>
                </c:pt>
                <c:pt idx="8">
                  <c:v>17</c:v>
                </c:pt>
                <c:pt idx="9">
                  <c:v>27</c:v>
                </c:pt>
              </c:numCache>
            </c:numRef>
          </c:val>
          <c:smooth val="0"/>
          <c:extLst>
            <c:ext xmlns:c16="http://schemas.microsoft.com/office/drawing/2014/chart" uri="{C3380CC4-5D6E-409C-BE32-E72D297353CC}">
              <c16:uniqueId val="{00000001-E491-4D05-B35A-145752931002}"/>
            </c:ext>
          </c:extLst>
        </c:ser>
        <c:ser>
          <c:idx val="2"/>
          <c:order val="2"/>
          <c:tx>
            <c:v>Inventario_inicial</c:v>
          </c:tx>
          <c:spPr>
            <a:ln w="28575" cmpd="sng">
              <a:solidFill>
                <a:schemeClr val="accent5"/>
              </a:solidFill>
            </a:ln>
          </c:spPr>
          <c:marker>
            <c:symbol val="none"/>
          </c:marker>
          <c:val>
            <c:numRef>
              <c:f>'Copia de 120seg'!$AV$69:$AV$78</c:f>
              <c:numCache>
                <c:formatCode>General</c:formatCode>
                <c:ptCount val="10"/>
                <c:pt idx="0">
                  <c:v>9</c:v>
                </c:pt>
                <c:pt idx="1">
                  <c:v>14</c:v>
                </c:pt>
                <c:pt idx="2">
                  <c:v>14</c:v>
                </c:pt>
                <c:pt idx="3">
                  <c:v>3</c:v>
                </c:pt>
                <c:pt idx="4">
                  <c:v>2</c:v>
                </c:pt>
                <c:pt idx="5">
                  <c:v>6</c:v>
                </c:pt>
                <c:pt idx="6">
                  <c:v>18</c:v>
                </c:pt>
                <c:pt idx="7">
                  <c:v>14</c:v>
                </c:pt>
                <c:pt idx="8">
                  <c:v>14</c:v>
                </c:pt>
                <c:pt idx="9">
                  <c:v>26</c:v>
                </c:pt>
              </c:numCache>
            </c:numRef>
          </c:val>
          <c:smooth val="0"/>
          <c:extLst>
            <c:ext xmlns:c16="http://schemas.microsoft.com/office/drawing/2014/chart" uri="{C3380CC4-5D6E-409C-BE32-E72D297353CC}">
              <c16:uniqueId val="{00000002-E491-4D05-B35A-145752931002}"/>
            </c:ext>
          </c:extLst>
        </c:ser>
        <c:dLbls>
          <c:showLegendKey val="0"/>
          <c:showVal val="0"/>
          <c:showCatName val="0"/>
          <c:showSerName val="0"/>
          <c:showPercent val="0"/>
          <c:showBubbleSize val="0"/>
        </c:dLbls>
        <c:smooth val="0"/>
        <c:axId val="1213603300"/>
        <c:axId val="1783336826"/>
      </c:lineChart>
      <c:catAx>
        <c:axId val="1213603300"/>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783336826"/>
        <c:crosses val="autoZero"/>
        <c:auto val="1"/>
        <c:lblAlgn val="ctr"/>
        <c:lblOffset val="100"/>
        <c:noMultiLvlLbl val="1"/>
      </c:catAx>
      <c:valAx>
        <c:axId val="178333682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213603300"/>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Miércoles 20-11 18:00 hrs vaciado C3</a:t>
            </a:r>
          </a:p>
        </c:rich>
      </c:tx>
      <c:overlay val="0"/>
    </c:title>
    <c:autoTitleDeleted val="0"/>
    <c:plotArea>
      <c:layout/>
      <c:lineChart>
        <c:grouping val="standard"/>
        <c:varyColors val="1"/>
        <c:ser>
          <c:idx val="0"/>
          <c:order val="0"/>
          <c:tx>
            <c:v>Inv_inicialprom_miercoles</c:v>
          </c:tx>
          <c:spPr>
            <a:ln w="28575" cmpd="sng">
              <a:solidFill>
                <a:schemeClr val="accent1"/>
              </a:solidFill>
            </a:ln>
          </c:spPr>
          <c:marker>
            <c:symbol val="none"/>
          </c:marker>
          <c:val>
            <c:numRef>
              <c:f>'Copia de 120seg'!$BG$59:$BG$68</c:f>
              <c:numCache>
                <c:formatCode>0</c:formatCode>
                <c:ptCount val="10"/>
                <c:pt idx="0">
                  <c:v>3.6666666666666665</c:v>
                </c:pt>
                <c:pt idx="1">
                  <c:v>4.666666666666667</c:v>
                </c:pt>
                <c:pt idx="2">
                  <c:v>3.7777777777777777</c:v>
                </c:pt>
                <c:pt idx="3">
                  <c:v>5.7777777777777777</c:v>
                </c:pt>
                <c:pt idx="4">
                  <c:v>1.4444444444444444</c:v>
                </c:pt>
                <c:pt idx="5">
                  <c:v>5.666666666666667</c:v>
                </c:pt>
                <c:pt idx="6">
                  <c:v>9</c:v>
                </c:pt>
                <c:pt idx="7">
                  <c:v>0.88888888888888884</c:v>
                </c:pt>
                <c:pt idx="8">
                  <c:v>4.5555555555555554</c:v>
                </c:pt>
                <c:pt idx="9">
                  <c:v>4.5555555555555554</c:v>
                </c:pt>
              </c:numCache>
            </c:numRef>
          </c:val>
          <c:smooth val="0"/>
          <c:extLst>
            <c:ext xmlns:c16="http://schemas.microsoft.com/office/drawing/2014/chart" uri="{C3380CC4-5D6E-409C-BE32-E72D297353CC}">
              <c16:uniqueId val="{00000000-5C38-43C8-AE92-2C6B845F429D}"/>
            </c:ext>
          </c:extLst>
        </c:ser>
        <c:ser>
          <c:idx val="1"/>
          <c:order val="1"/>
          <c:tx>
            <c:v>Inventario_Final</c:v>
          </c:tx>
          <c:spPr>
            <a:ln w="28575" cmpd="sng">
              <a:solidFill>
                <a:schemeClr val="accent2"/>
              </a:solidFill>
            </a:ln>
          </c:spPr>
          <c:marker>
            <c:symbol val="none"/>
          </c:marker>
          <c:val>
            <c:numRef>
              <c:f>'Copia de 120seg'!$BJ$59:$BJ$68</c:f>
              <c:numCache>
                <c:formatCode>General</c:formatCode>
                <c:ptCount val="10"/>
                <c:pt idx="0">
                  <c:v>8</c:v>
                </c:pt>
                <c:pt idx="1">
                  <c:v>7</c:v>
                </c:pt>
                <c:pt idx="2">
                  <c:v>5</c:v>
                </c:pt>
                <c:pt idx="3">
                  <c:v>5</c:v>
                </c:pt>
                <c:pt idx="4">
                  <c:v>5</c:v>
                </c:pt>
                <c:pt idx="5">
                  <c:v>11</c:v>
                </c:pt>
                <c:pt idx="6">
                  <c:v>7</c:v>
                </c:pt>
                <c:pt idx="7">
                  <c:v>5</c:v>
                </c:pt>
                <c:pt idx="8">
                  <c:v>7</c:v>
                </c:pt>
                <c:pt idx="9">
                  <c:v>5</c:v>
                </c:pt>
              </c:numCache>
            </c:numRef>
          </c:val>
          <c:smooth val="0"/>
          <c:extLst>
            <c:ext xmlns:c16="http://schemas.microsoft.com/office/drawing/2014/chart" uri="{C3380CC4-5D6E-409C-BE32-E72D297353CC}">
              <c16:uniqueId val="{00000001-5C38-43C8-AE92-2C6B845F429D}"/>
            </c:ext>
          </c:extLst>
        </c:ser>
        <c:ser>
          <c:idx val="2"/>
          <c:order val="2"/>
          <c:tx>
            <c:v>Capacidad</c:v>
          </c:tx>
          <c:spPr>
            <a:ln w="28575" cmpd="sng">
              <a:solidFill>
                <a:schemeClr val="accent3"/>
              </a:solidFill>
            </a:ln>
          </c:spPr>
          <c:marker>
            <c:symbol val="none"/>
          </c:marker>
          <c:val>
            <c:numRef>
              <c:f>'Copia de 120seg'!$BL$59:$BL$68</c:f>
              <c:numCache>
                <c:formatCode>General</c:formatCode>
                <c:ptCount val="10"/>
                <c:pt idx="0">
                  <c:v>17</c:v>
                </c:pt>
                <c:pt idx="1">
                  <c:v>15</c:v>
                </c:pt>
                <c:pt idx="2">
                  <c:v>11</c:v>
                </c:pt>
                <c:pt idx="3">
                  <c:v>11</c:v>
                </c:pt>
                <c:pt idx="4">
                  <c:v>11</c:v>
                </c:pt>
                <c:pt idx="5">
                  <c:v>29</c:v>
                </c:pt>
                <c:pt idx="6">
                  <c:v>15</c:v>
                </c:pt>
                <c:pt idx="7">
                  <c:v>11</c:v>
                </c:pt>
                <c:pt idx="8">
                  <c:v>15</c:v>
                </c:pt>
                <c:pt idx="9">
                  <c:v>11</c:v>
                </c:pt>
              </c:numCache>
            </c:numRef>
          </c:val>
          <c:smooth val="0"/>
          <c:extLst>
            <c:ext xmlns:c16="http://schemas.microsoft.com/office/drawing/2014/chart" uri="{C3380CC4-5D6E-409C-BE32-E72D297353CC}">
              <c16:uniqueId val="{00000002-5C38-43C8-AE92-2C6B845F429D}"/>
            </c:ext>
          </c:extLst>
        </c:ser>
        <c:dLbls>
          <c:showLegendKey val="0"/>
          <c:showVal val="0"/>
          <c:showCatName val="0"/>
          <c:showSerName val="0"/>
          <c:showPercent val="0"/>
          <c:showBubbleSize val="0"/>
        </c:dLbls>
        <c:smooth val="0"/>
        <c:axId val="947565007"/>
        <c:axId val="2135044248"/>
      </c:lineChart>
      <c:catAx>
        <c:axId val="947565007"/>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135044248"/>
        <c:crosses val="autoZero"/>
        <c:auto val="1"/>
        <c:lblAlgn val="ctr"/>
        <c:lblOffset val="100"/>
        <c:noMultiLvlLbl val="1"/>
      </c:catAx>
      <c:valAx>
        <c:axId val="213504424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947565007"/>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Miércoles 20-11 18:00 hrs Llenado C3</a:t>
            </a:r>
          </a:p>
        </c:rich>
      </c:tx>
      <c:overlay val="0"/>
    </c:title>
    <c:autoTitleDeleted val="0"/>
    <c:plotArea>
      <c:layout/>
      <c:lineChart>
        <c:grouping val="standard"/>
        <c:varyColors val="1"/>
        <c:ser>
          <c:idx val="0"/>
          <c:order val="0"/>
          <c:tx>
            <c:v>Inv_inicialprom_miercoles</c:v>
          </c:tx>
          <c:spPr>
            <a:ln w="28575" cmpd="sng">
              <a:solidFill>
                <a:schemeClr val="accent1"/>
              </a:solidFill>
            </a:ln>
          </c:spPr>
          <c:marker>
            <c:symbol val="none"/>
          </c:marker>
          <c:val>
            <c:numRef>
              <c:f>'Copia de 120seg'!$BG$69:$BG$78</c:f>
              <c:numCache>
                <c:formatCode>0</c:formatCode>
                <c:ptCount val="10"/>
                <c:pt idx="0">
                  <c:v>9.4444444444444446</c:v>
                </c:pt>
                <c:pt idx="1">
                  <c:v>13.111111111111111</c:v>
                </c:pt>
                <c:pt idx="2">
                  <c:v>7</c:v>
                </c:pt>
                <c:pt idx="3">
                  <c:v>6.4444444444444446</c:v>
                </c:pt>
                <c:pt idx="4">
                  <c:v>3</c:v>
                </c:pt>
                <c:pt idx="5">
                  <c:v>10.222222222222221</c:v>
                </c:pt>
                <c:pt idx="6">
                  <c:v>11.111111111111111</c:v>
                </c:pt>
                <c:pt idx="7">
                  <c:v>7.333333333333333</c:v>
                </c:pt>
                <c:pt idx="8">
                  <c:v>11.111111111111111</c:v>
                </c:pt>
                <c:pt idx="9">
                  <c:v>24.111111111111111</c:v>
                </c:pt>
              </c:numCache>
            </c:numRef>
          </c:val>
          <c:smooth val="0"/>
          <c:extLst>
            <c:ext xmlns:c16="http://schemas.microsoft.com/office/drawing/2014/chart" uri="{C3380CC4-5D6E-409C-BE32-E72D297353CC}">
              <c16:uniqueId val="{00000000-E305-457F-9F01-264D89DAC4EA}"/>
            </c:ext>
          </c:extLst>
        </c:ser>
        <c:ser>
          <c:idx val="1"/>
          <c:order val="1"/>
          <c:tx>
            <c:v>Inventario_Final</c:v>
          </c:tx>
          <c:spPr>
            <a:ln w="28575" cmpd="sng">
              <a:solidFill>
                <a:schemeClr val="accent2"/>
              </a:solidFill>
            </a:ln>
          </c:spPr>
          <c:marker>
            <c:symbol val="none"/>
          </c:marker>
          <c:val>
            <c:numRef>
              <c:f>'Copia de 120seg'!$BJ$69:$BJ$78</c:f>
              <c:numCache>
                <c:formatCode>General</c:formatCode>
                <c:ptCount val="10"/>
                <c:pt idx="0">
                  <c:v>2</c:v>
                </c:pt>
                <c:pt idx="1">
                  <c:v>7</c:v>
                </c:pt>
                <c:pt idx="2">
                  <c:v>13</c:v>
                </c:pt>
                <c:pt idx="3">
                  <c:v>4</c:v>
                </c:pt>
                <c:pt idx="4">
                  <c:v>2</c:v>
                </c:pt>
                <c:pt idx="5">
                  <c:v>8</c:v>
                </c:pt>
                <c:pt idx="6">
                  <c:v>15</c:v>
                </c:pt>
                <c:pt idx="7">
                  <c:v>13</c:v>
                </c:pt>
                <c:pt idx="8">
                  <c:v>6</c:v>
                </c:pt>
                <c:pt idx="9">
                  <c:v>17</c:v>
                </c:pt>
              </c:numCache>
            </c:numRef>
          </c:val>
          <c:smooth val="0"/>
          <c:extLst>
            <c:ext xmlns:c16="http://schemas.microsoft.com/office/drawing/2014/chart" uri="{C3380CC4-5D6E-409C-BE32-E72D297353CC}">
              <c16:uniqueId val="{00000001-E305-457F-9F01-264D89DAC4EA}"/>
            </c:ext>
          </c:extLst>
        </c:ser>
        <c:ser>
          <c:idx val="2"/>
          <c:order val="2"/>
          <c:tx>
            <c:v>Capacidad</c:v>
          </c:tx>
          <c:spPr>
            <a:ln w="28575" cmpd="sng">
              <a:solidFill>
                <a:schemeClr val="accent3"/>
              </a:solidFill>
            </a:ln>
          </c:spPr>
          <c:marker>
            <c:symbol val="none"/>
          </c:marker>
          <c:val>
            <c:numRef>
              <c:f>'Copia de 120seg'!$BL$69:$BL$78</c:f>
              <c:numCache>
                <c:formatCode>General</c:formatCode>
                <c:ptCount val="10"/>
                <c:pt idx="0">
                  <c:v>15</c:v>
                </c:pt>
                <c:pt idx="1">
                  <c:v>19</c:v>
                </c:pt>
                <c:pt idx="2">
                  <c:v>16</c:v>
                </c:pt>
                <c:pt idx="3">
                  <c:v>15</c:v>
                </c:pt>
                <c:pt idx="4">
                  <c:v>7</c:v>
                </c:pt>
                <c:pt idx="5">
                  <c:v>15</c:v>
                </c:pt>
                <c:pt idx="6">
                  <c:v>19</c:v>
                </c:pt>
                <c:pt idx="7">
                  <c:v>15</c:v>
                </c:pt>
                <c:pt idx="8">
                  <c:v>17</c:v>
                </c:pt>
                <c:pt idx="9">
                  <c:v>27</c:v>
                </c:pt>
              </c:numCache>
            </c:numRef>
          </c:val>
          <c:smooth val="0"/>
          <c:extLst>
            <c:ext xmlns:c16="http://schemas.microsoft.com/office/drawing/2014/chart" uri="{C3380CC4-5D6E-409C-BE32-E72D297353CC}">
              <c16:uniqueId val="{00000002-E305-457F-9F01-264D89DAC4EA}"/>
            </c:ext>
          </c:extLst>
        </c:ser>
        <c:dLbls>
          <c:showLegendKey val="0"/>
          <c:showVal val="0"/>
          <c:showCatName val="0"/>
          <c:showSerName val="0"/>
          <c:showPercent val="0"/>
          <c:showBubbleSize val="0"/>
        </c:dLbls>
        <c:smooth val="0"/>
        <c:axId val="1928535779"/>
        <c:axId val="1402170386"/>
      </c:lineChart>
      <c:catAx>
        <c:axId val="1928535779"/>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402170386"/>
        <c:crosses val="autoZero"/>
        <c:auto val="1"/>
        <c:lblAlgn val="ctr"/>
        <c:lblOffset val="100"/>
        <c:noMultiLvlLbl val="1"/>
      </c:catAx>
      <c:valAx>
        <c:axId val="140217038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928535779"/>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Jueves 21-11 18:00 hrs vaciado C3</a:t>
            </a:r>
          </a:p>
        </c:rich>
      </c:tx>
      <c:overlay val="0"/>
    </c:title>
    <c:autoTitleDeleted val="0"/>
    <c:plotArea>
      <c:layout/>
      <c:lineChart>
        <c:grouping val="standard"/>
        <c:varyColors val="1"/>
        <c:ser>
          <c:idx val="0"/>
          <c:order val="0"/>
          <c:tx>
            <c:v>Inv_inicialprom_jueves</c:v>
          </c:tx>
          <c:spPr>
            <a:ln w="28575" cmpd="sng">
              <a:solidFill>
                <a:schemeClr val="accent1"/>
              </a:solidFill>
            </a:ln>
          </c:spPr>
          <c:marker>
            <c:symbol val="none"/>
          </c:marker>
          <c:val>
            <c:numRef>
              <c:f>'Copia de 120seg'!$BQ$59:$BQ$68</c:f>
              <c:numCache>
                <c:formatCode>0</c:formatCode>
                <c:ptCount val="10"/>
                <c:pt idx="0">
                  <c:v>6.666666666666667</c:v>
                </c:pt>
                <c:pt idx="1">
                  <c:v>6.1111111111111107</c:v>
                </c:pt>
                <c:pt idx="2">
                  <c:v>6</c:v>
                </c:pt>
                <c:pt idx="3">
                  <c:v>3.3333333333333335</c:v>
                </c:pt>
                <c:pt idx="4">
                  <c:v>4</c:v>
                </c:pt>
                <c:pt idx="5">
                  <c:v>5.2222222222222223</c:v>
                </c:pt>
                <c:pt idx="6">
                  <c:v>7.8888888888888893</c:v>
                </c:pt>
                <c:pt idx="7">
                  <c:v>3.1111111111111112</c:v>
                </c:pt>
                <c:pt idx="8">
                  <c:v>4.333333333333333</c:v>
                </c:pt>
                <c:pt idx="9">
                  <c:v>4.7777777777777777</c:v>
                </c:pt>
              </c:numCache>
            </c:numRef>
          </c:val>
          <c:smooth val="0"/>
          <c:extLst>
            <c:ext xmlns:c16="http://schemas.microsoft.com/office/drawing/2014/chart" uri="{C3380CC4-5D6E-409C-BE32-E72D297353CC}">
              <c16:uniqueId val="{00000000-1513-47B9-B8A5-DB149D33C986}"/>
            </c:ext>
          </c:extLst>
        </c:ser>
        <c:ser>
          <c:idx val="1"/>
          <c:order val="1"/>
          <c:tx>
            <c:v>Inventario_Final</c:v>
          </c:tx>
          <c:spPr>
            <a:ln w="28575" cmpd="sng">
              <a:solidFill>
                <a:schemeClr val="accent2"/>
              </a:solidFill>
            </a:ln>
          </c:spPr>
          <c:marker>
            <c:symbol val="none"/>
          </c:marker>
          <c:val>
            <c:numRef>
              <c:f>'Copia de 120seg'!$BT$59:$BT$68</c:f>
              <c:numCache>
                <c:formatCode>General</c:formatCode>
                <c:ptCount val="10"/>
                <c:pt idx="0">
                  <c:v>8</c:v>
                </c:pt>
                <c:pt idx="1">
                  <c:v>7</c:v>
                </c:pt>
                <c:pt idx="2">
                  <c:v>5</c:v>
                </c:pt>
                <c:pt idx="3">
                  <c:v>5</c:v>
                </c:pt>
                <c:pt idx="4">
                  <c:v>5</c:v>
                </c:pt>
                <c:pt idx="5">
                  <c:v>14</c:v>
                </c:pt>
                <c:pt idx="6">
                  <c:v>8</c:v>
                </c:pt>
                <c:pt idx="7">
                  <c:v>5</c:v>
                </c:pt>
                <c:pt idx="8">
                  <c:v>7</c:v>
                </c:pt>
                <c:pt idx="9">
                  <c:v>6</c:v>
                </c:pt>
              </c:numCache>
            </c:numRef>
          </c:val>
          <c:smooth val="0"/>
          <c:extLst>
            <c:ext xmlns:c16="http://schemas.microsoft.com/office/drawing/2014/chart" uri="{C3380CC4-5D6E-409C-BE32-E72D297353CC}">
              <c16:uniqueId val="{00000001-1513-47B9-B8A5-DB149D33C986}"/>
            </c:ext>
          </c:extLst>
        </c:ser>
        <c:ser>
          <c:idx val="2"/>
          <c:order val="2"/>
          <c:tx>
            <c:v>Capacidad</c:v>
          </c:tx>
          <c:spPr>
            <a:ln w="28575" cmpd="sng">
              <a:solidFill>
                <a:schemeClr val="accent3"/>
              </a:solidFill>
            </a:ln>
          </c:spPr>
          <c:marker>
            <c:symbol val="none"/>
          </c:marker>
          <c:val>
            <c:numRef>
              <c:f>'Copia de 120seg'!$BV$59:$BV$68</c:f>
              <c:numCache>
                <c:formatCode>General</c:formatCode>
                <c:ptCount val="10"/>
                <c:pt idx="0">
                  <c:v>17</c:v>
                </c:pt>
                <c:pt idx="1">
                  <c:v>15</c:v>
                </c:pt>
                <c:pt idx="2">
                  <c:v>11</c:v>
                </c:pt>
                <c:pt idx="3">
                  <c:v>11</c:v>
                </c:pt>
                <c:pt idx="4">
                  <c:v>11</c:v>
                </c:pt>
                <c:pt idx="5">
                  <c:v>29</c:v>
                </c:pt>
                <c:pt idx="6">
                  <c:v>15</c:v>
                </c:pt>
                <c:pt idx="7">
                  <c:v>11</c:v>
                </c:pt>
                <c:pt idx="8">
                  <c:v>15</c:v>
                </c:pt>
                <c:pt idx="9">
                  <c:v>11</c:v>
                </c:pt>
              </c:numCache>
            </c:numRef>
          </c:val>
          <c:smooth val="0"/>
          <c:extLst>
            <c:ext xmlns:c16="http://schemas.microsoft.com/office/drawing/2014/chart" uri="{C3380CC4-5D6E-409C-BE32-E72D297353CC}">
              <c16:uniqueId val="{00000002-1513-47B9-B8A5-DB149D33C986}"/>
            </c:ext>
          </c:extLst>
        </c:ser>
        <c:dLbls>
          <c:showLegendKey val="0"/>
          <c:showVal val="0"/>
          <c:showCatName val="0"/>
          <c:showSerName val="0"/>
          <c:showPercent val="0"/>
          <c:showBubbleSize val="0"/>
        </c:dLbls>
        <c:smooth val="0"/>
        <c:axId val="1745087342"/>
        <c:axId val="1889714002"/>
      </c:lineChart>
      <c:catAx>
        <c:axId val="1745087342"/>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889714002"/>
        <c:crosses val="autoZero"/>
        <c:auto val="1"/>
        <c:lblAlgn val="ctr"/>
        <c:lblOffset val="100"/>
        <c:noMultiLvlLbl val="1"/>
      </c:catAx>
      <c:valAx>
        <c:axId val="188971400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745087342"/>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Jueves 21-11 18:00 hrs llenado C3</a:t>
            </a:r>
          </a:p>
        </c:rich>
      </c:tx>
      <c:overlay val="0"/>
    </c:title>
    <c:autoTitleDeleted val="0"/>
    <c:plotArea>
      <c:layout/>
      <c:lineChart>
        <c:grouping val="standard"/>
        <c:varyColors val="1"/>
        <c:ser>
          <c:idx val="0"/>
          <c:order val="0"/>
          <c:tx>
            <c:v>Inv_inicialprom_jueves</c:v>
          </c:tx>
          <c:spPr>
            <a:ln w="28575" cmpd="sng">
              <a:solidFill>
                <a:schemeClr val="accent1"/>
              </a:solidFill>
            </a:ln>
          </c:spPr>
          <c:marker>
            <c:symbol val="none"/>
          </c:marker>
          <c:val>
            <c:numRef>
              <c:f>'Copia de 120seg'!$BQ$69:$BQ$78</c:f>
              <c:numCache>
                <c:formatCode>0</c:formatCode>
                <c:ptCount val="10"/>
                <c:pt idx="0">
                  <c:v>8.3333333333333339</c:v>
                </c:pt>
                <c:pt idx="1">
                  <c:v>13.555555555555555</c:v>
                </c:pt>
                <c:pt idx="2">
                  <c:v>8.8888888888888893</c:v>
                </c:pt>
                <c:pt idx="3">
                  <c:v>10.555555555555555</c:v>
                </c:pt>
                <c:pt idx="4">
                  <c:v>3.1111111111111112</c:v>
                </c:pt>
                <c:pt idx="5">
                  <c:v>9.2222222222222214</c:v>
                </c:pt>
                <c:pt idx="6">
                  <c:v>12.666666666666666</c:v>
                </c:pt>
                <c:pt idx="7">
                  <c:v>10.888888888888889</c:v>
                </c:pt>
                <c:pt idx="8">
                  <c:v>13</c:v>
                </c:pt>
                <c:pt idx="9">
                  <c:v>24</c:v>
                </c:pt>
              </c:numCache>
            </c:numRef>
          </c:val>
          <c:smooth val="0"/>
          <c:extLst>
            <c:ext xmlns:c16="http://schemas.microsoft.com/office/drawing/2014/chart" uri="{C3380CC4-5D6E-409C-BE32-E72D297353CC}">
              <c16:uniqueId val="{00000000-DC47-4D01-BFB6-C3F35ED8DC4F}"/>
            </c:ext>
          </c:extLst>
        </c:ser>
        <c:ser>
          <c:idx val="1"/>
          <c:order val="1"/>
          <c:tx>
            <c:v>Inventario_Final</c:v>
          </c:tx>
          <c:spPr>
            <a:ln w="28575" cmpd="sng">
              <a:solidFill>
                <a:schemeClr val="accent2"/>
              </a:solidFill>
            </a:ln>
          </c:spPr>
          <c:marker>
            <c:symbol val="none"/>
          </c:marker>
          <c:val>
            <c:numRef>
              <c:f>'Copia de 120seg'!$BT$69:$BT$78</c:f>
              <c:numCache>
                <c:formatCode>General</c:formatCode>
                <c:ptCount val="10"/>
                <c:pt idx="0">
                  <c:v>12</c:v>
                </c:pt>
                <c:pt idx="1">
                  <c:v>12</c:v>
                </c:pt>
                <c:pt idx="2">
                  <c:v>3</c:v>
                </c:pt>
                <c:pt idx="3">
                  <c:v>3</c:v>
                </c:pt>
                <c:pt idx="4">
                  <c:v>4</c:v>
                </c:pt>
                <c:pt idx="5">
                  <c:v>6</c:v>
                </c:pt>
                <c:pt idx="6">
                  <c:v>15</c:v>
                </c:pt>
                <c:pt idx="7">
                  <c:v>11</c:v>
                </c:pt>
                <c:pt idx="8">
                  <c:v>14</c:v>
                </c:pt>
                <c:pt idx="9">
                  <c:v>23</c:v>
                </c:pt>
              </c:numCache>
            </c:numRef>
          </c:val>
          <c:smooth val="0"/>
          <c:extLst>
            <c:ext xmlns:c16="http://schemas.microsoft.com/office/drawing/2014/chart" uri="{C3380CC4-5D6E-409C-BE32-E72D297353CC}">
              <c16:uniqueId val="{00000001-DC47-4D01-BFB6-C3F35ED8DC4F}"/>
            </c:ext>
          </c:extLst>
        </c:ser>
        <c:ser>
          <c:idx val="2"/>
          <c:order val="2"/>
          <c:tx>
            <c:v>Capacidad</c:v>
          </c:tx>
          <c:spPr>
            <a:ln w="28575" cmpd="sng">
              <a:solidFill>
                <a:schemeClr val="accent3"/>
              </a:solidFill>
            </a:ln>
          </c:spPr>
          <c:marker>
            <c:symbol val="none"/>
          </c:marker>
          <c:val>
            <c:numRef>
              <c:f>'Copia de 120seg'!$BV$69:$BV$78</c:f>
              <c:numCache>
                <c:formatCode>General</c:formatCode>
                <c:ptCount val="10"/>
                <c:pt idx="0">
                  <c:v>15</c:v>
                </c:pt>
                <c:pt idx="1">
                  <c:v>19</c:v>
                </c:pt>
                <c:pt idx="2">
                  <c:v>16</c:v>
                </c:pt>
                <c:pt idx="3">
                  <c:v>15</c:v>
                </c:pt>
                <c:pt idx="4">
                  <c:v>7</c:v>
                </c:pt>
                <c:pt idx="5">
                  <c:v>15</c:v>
                </c:pt>
                <c:pt idx="6">
                  <c:v>19</c:v>
                </c:pt>
                <c:pt idx="7">
                  <c:v>15</c:v>
                </c:pt>
                <c:pt idx="8">
                  <c:v>17</c:v>
                </c:pt>
                <c:pt idx="9">
                  <c:v>27</c:v>
                </c:pt>
              </c:numCache>
            </c:numRef>
          </c:val>
          <c:smooth val="0"/>
          <c:extLst>
            <c:ext xmlns:c16="http://schemas.microsoft.com/office/drawing/2014/chart" uri="{C3380CC4-5D6E-409C-BE32-E72D297353CC}">
              <c16:uniqueId val="{00000002-DC47-4D01-BFB6-C3F35ED8DC4F}"/>
            </c:ext>
          </c:extLst>
        </c:ser>
        <c:dLbls>
          <c:showLegendKey val="0"/>
          <c:showVal val="0"/>
          <c:showCatName val="0"/>
          <c:showSerName val="0"/>
          <c:showPercent val="0"/>
          <c:showBubbleSize val="0"/>
        </c:dLbls>
        <c:smooth val="0"/>
        <c:axId val="1036349565"/>
        <c:axId val="1039411804"/>
      </c:lineChart>
      <c:catAx>
        <c:axId val="1036349565"/>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039411804"/>
        <c:crosses val="autoZero"/>
        <c:auto val="1"/>
        <c:lblAlgn val="ctr"/>
        <c:lblOffset val="100"/>
        <c:noMultiLvlLbl val="1"/>
      </c:catAx>
      <c:valAx>
        <c:axId val="103941180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036349565"/>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Viernes 22-11 18:00 hrs vaciado C3</a:t>
            </a:r>
          </a:p>
        </c:rich>
      </c:tx>
      <c:overlay val="0"/>
    </c:title>
    <c:autoTitleDeleted val="0"/>
    <c:plotArea>
      <c:layout/>
      <c:lineChart>
        <c:grouping val="standard"/>
        <c:varyColors val="1"/>
        <c:ser>
          <c:idx val="0"/>
          <c:order val="0"/>
          <c:tx>
            <c:v>Inv_inicialprom_viernes</c:v>
          </c:tx>
          <c:spPr>
            <a:ln w="28575" cmpd="sng">
              <a:solidFill>
                <a:schemeClr val="accent1"/>
              </a:solidFill>
            </a:ln>
          </c:spPr>
          <c:marker>
            <c:symbol val="none"/>
          </c:marker>
          <c:val>
            <c:numRef>
              <c:f>'Copia de 120seg'!$CA$59:$CA$68</c:f>
              <c:numCache>
                <c:formatCode>0</c:formatCode>
                <c:ptCount val="10"/>
                <c:pt idx="0">
                  <c:v>6</c:v>
                </c:pt>
                <c:pt idx="1">
                  <c:v>4.1111111111111107</c:v>
                </c:pt>
                <c:pt idx="2">
                  <c:v>2.7777777777777777</c:v>
                </c:pt>
                <c:pt idx="3">
                  <c:v>2.7777777777777777</c:v>
                </c:pt>
                <c:pt idx="4">
                  <c:v>1.7777777777777777</c:v>
                </c:pt>
                <c:pt idx="5">
                  <c:v>5.333333333333333</c:v>
                </c:pt>
                <c:pt idx="6">
                  <c:v>4.8888888888888893</c:v>
                </c:pt>
                <c:pt idx="7">
                  <c:v>2.3333333333333335</c:v>
                </c:pt>
                <c:pt idx="8">
                  <c:v>2.4444444444444446</c:v>
                </c:pt>
                <c:pt idx="9">
                  <c:v>4.4444444444444446</c:v>
                </c:pt>
              </c:numCache>
            </c:numRef>
          </c:val>
          <c:smooth val="0"/>
          <c:extLst>
            <c:ext xmlns:c16="http://schemas.microsoft.com/office/drawing/2014/chart" uri="{C3380CC4-5D6E-409C-BE32-E72D297353CC}">
              <c16:uniqueId val="{00000000-4A55-4843-9AE7-7E2FF8C29A8A}"/>
            </c:ext>
          </c:extLst>
        </c:ser>
        <c:ser>
          <c:idx val="1"/>
          <c:order val="1"/>
          <c:tx>
            <c:v>Inventario_Final</c:v>
          </c:tx>
          <c:spPr>
            <a:ln w="28575" cmpd="sng">
              <a:solidFill>
                <a:schemeClr val="accent2"/>
              </a:solidFill>
            </a:ln>
          </c:spPr>
          <c:marker>
            <c:symbol val="none"/>
          </c:marker>
          <c:val>
            <c:numRef>
              <c:f>'Copia de 120seg'!$CD$59:$CD$68</c:f>
              <c:numCache>
                <c:formatCode>General</c:formatCode>
                <c:ptCount val="10"/>
                <c:pt idx="0">
                  <c:v>8</c:v>
                </c:pt>
                <c:pt idx="1">
                  <c:v>8</c:v>
                </c:pt>
                <c:pt idx="2">
                  <c:v>5</c:v>
                </c:pt>
                <c:pt idx="3">
                  <c:v>5</c:v>
                </c:pt>
                <c:pt idx="4">
                  <c:v>5</c:v>
                </c:pt>
                <c:pt idx="5">
                  <c:v>12</c:v>
                </c:pt>
                <c:pt idx="6">
                  <c:v>7</c:v>
                </c:pt>
                <c:pt idx="7">
                  <c:v>5</c:v>
                </c:pt>
                <c:pt idx="8">
                  <c:v>7</c:v>
                </c:pt>
                <c:pt idx="9">
                  <c:v>5</c:v>
                </c:pt>
              </c:numCache>
            </c:numRef>
          </c:val>
          <c:smooth val="0"/>
          <c:extLst>
            <c:ext xmlns:c16="http://schemas.microsoft.com/office/drawing/2014/chart" uri="{C3380CC4-5D6E-409C-BE32-E72D297353CC}">
              <c16:uniqueId val="{00000001-4A55-4843-9AE7-7E2FF8C29A8A}"/>
            </c:ext>
          </c:extLst>
        </c:ser>
        <c:ser>
          <c:idx val="2"/>
          <c:order val="2"/>
          <c:tx>
            <c:v>Capacidad</c:v>
          </c:tx>
          <c:spPr>
            <a:ln w="28575" cmpd="sng">
              <a:solidFill>
                <a:schemeClr val="accent3"/>
              </a:solidFill>
            </a:ln>
          </c:spPr>
          <c:marker>
            <c:symbol val="none"/>
          </c:marker>
          <c:val>
            <c:numRef>
              <c:f>'Copia de 120seg'!$CF$59:$CF$68</c:f>
              <c:numCache>
                <c:formatCode>General</c:formatCode>
                <c:ptCount val="10"/>
                <c:pt idx="0">
                  <c:v>17</c:v>
                </c:pt>
                <c:pt idx="1">
                  <c:v>15</c:v>
                </c:pt>
                <c:pt idx="2">
                  <c:v>11</c:v>
                </c:pt>
                <c:pt idx="3">
                  <c:v>11</c:v>
                </c:pt>
                <c:pt idx="4">
                  <c:v>11</c:v>
                </c:pt>
                <c:pt idx="5">
                  <c:v>29</c:v>
                </c:pt>
                <c:pt idx="6">
                  <c:v>15</c:v>
                </c:pt>
                <c:pt idx="7">
                  <c:v>11</c:v>
                </c:pt>
                <c:pt idx="8">
                  <c:v>15</c:v>
                </c:pt>
                <c:pt idx="9">
                  <c:v>11</c:v>
                </c:pt>
              </c:numCache>
            </c:numRef>
          </c:val>
          <c:smooth val="0"/>
          <c:extLst>
            <c:ext xmlns:c16="http://schemas.microsoft.com/office/drawing/2014/chart" uri="{C3380CC4-5D6E-409C-BE32-E72D297353CC}">
              <c16:uniqueId val="{00000002-4A55-4843-9AE7-7E2FF8C29A8A}"/>
            </c:ext>
          </c:extLst>
        </c:ser>
        <c:dLbls>
          <c:showLegendKey val="0"/>
          <c:showVal val="0"/>
          <c:showCatName val="0"/>
          <c:showSerName val="0"/>
          <c:showPercent val="0"/>
          <c:showBubbleSize val="0"/>
        </c:dLbls>
        <c:smooth val="0"/>
        <c:axId val="718262007"/>
        <c:axId val="416341228"/>
      </c:lineChart>
      <c:catAx>
        <c:axId val="718262007"/>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416341228"/>
        <c:crosses val="autoZero"/>
        <c:auto val="1"/>
        <c:lblAlgn val="ctr"/>
        <c:lblOffset val="100"/>
        <c:noMultiLvlLbl val="1"/>
      </c:catAx>
      <c:valAx>
        <c:axId val="41634122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718262007"/>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Viernes 22-11 18:00 hrs llenado C3</a:t>
            </a:r>
          </a:p>
        </c:rich>
      </c:tx>
      <c:overlay val="0"/>
    </c:title>
    <c:autoTitleDeleted val="0"/>
    <c:plotArea>
      <c:layout/>
      <c:lineChart>
        <c:grouping val="standard"/>
        <c:varyColors val="1"/>
        <c:ser>
          <c:idx val="0"/>
          <c:order val="0"/>
          <c:tx>
            <c:v>Inv_inicialprom_viernes</c:v>
          </c:tx>
          <c:spPr>
            <a:ln w="28575" cmpd="sng">
              <a:solidFill>
                <a:schemeClr val="accent1"/>
              </a:solidFill>
            </a:ln>
          </c:spPr>
          <c:marker>
            <c:symbol val="none"/>
          </c:marker>
          <c:val>
            <c:numRef>
              <c:f>'Copia de 120seg'!$CA$69:$CA$78</c:f>
              <c:numCache>
                <c:formatCode>0</c:formatCode>
                <c:ptCount val="10"/>
                <c:pt idx="0">
                  <c:v>10.777777777777779</c:v>
                </c:pt>
                <c:pt idx="1">
                  <c:v>15.888888888888889</c:v>
                </c:pt>
                <c:pt idx="2">
                  <c:v>10.444444444444445</c:v>
                </c:pt>
                <c:pt idx="3">
                  <c:v>9.2222222222222214</c:v>
                </c:pt>
                <c:pt idx="4">
                  <c:v>3.1111111111111112</c:v>
                </c:pt>
                <c:pt idx="5">
                  <c:v>11.444444444444445</c:v>
                </c:pt>
                <c:pt idx="6">
                  <c:v>14</c:v>
                </c:pt>
                <c:pt idx="7">
                  <c:v>10.888888888888889</c:v>
                </c:pt>
                <c:pt idx="8">
                  <c:v>12.555555555555555</c:v>
                </c:pt>
                <c:pt idx="9">
                  <c:v>24</c:v>
                </c:pt>
              </c:numCache>
            </c:numRef>
          </c:val>
          <c:smooth val="0"/>
          <c:extLst>
            <c:ext xmlns:c16="http://schemas.microsoft.com/office/drawing/2014/chart" uri="{C3380CC4-5D6E-409C-BE32-E72D297353CC}">
              <c16:uniqueId val="{00000000-8984-471D-97C7-7D7C7E5C69E6}"/>
            </c:ext>
          </c:extLst>
        </c:ser>
        <c:ser>
          <c:idx val="1"/>
          <c:order val="1"/>
          <c:tx>
            <c:v>Inventario_Final</c:v>
          </c:tx>
          <c:spPr>
            <a:ln w="28575" cmpd="sng">
              <a:solidFill>
                <a:schemeClr val="accent2"/>
              </a:solidFill>
            </a:ln>
          </c:spPr>
          <c:marker>
            <c:symbol val="none"/>
          </c:marker>
          <c:val>
            <c:numRef>
              <c:f>'Copia de 120seg'!$CD$69:$CD$78</c:f>
              <c:numCache>
                <c:formatCode>General</c:formatCode>
                <c:ptCount val="10"/>
                <c:pt idx="0">
                  <c:v>8</c:v>
                </c:pt>
                <c:pt idx="1">
                  <c:v>12</c:v>
                </c:pt>
                <c:pt idx="2">
                  <c:v>4</c:v>
                </c:pt>
                <c:pt idx="3">
                  <c:v>12</c:v>
                </c:pt>
                <c:pt idx="4">
                  <c:v>4</c:v>
                </c:pt>
                <c:pt idx="5">
                  <c:v>8</c:v>
                </c:pt>
                <c:pt idx="6">
                  <c:v>16</c:v>
                </c:pt>
                <c:pt idx="7">
                  <c:v>8</c:v>
                </c:pt>
                <c:pt idx="8">
                  <c:v>3</c:v>
                </c:pt>
                <c:pt idx="9">
                  <c:v>20</c:v>
                </c:pt>
              </c:numCache>
            </c:numRef>
          </c:val>
          <c:smooth val="0"/>
          <c:extLst>
            <c:ext xmlns:c16="http://schemas.microsoft.com/office/drawing/2014/chart" uri="{C3380CC4-5D6E-409C-BE32-E72D297353CC}">
              <c16:uniqueId val="{00000001-8984-471D-97C7-7D7C7E5C69E6}"/>
            </c:ext>
          </c:extLst>
        </c:ser>
        <c:ser>
          <c:idx val="2"/>
          <c:order val="2"/>
          <c:tx>
            <c:v>Capacidad</c:v>
          </c:tx>
          <c:spPr>
            <a:ln w="28575" cmpd="sng">
              <a:solidFill>
                <a:schemeClr val="accent3"/>
              </a:solidFill>
            </a:ln>
          </c:spPr>
          <c:marker>
            <c:symbol val="none"/>
          </c:marker>
          <c:val>
            <c:numRef>
              <c:f>'Copia de 120seg'!$CF$69:$CF$78</c:f>
              <c:numCache>
                <c:formatCode>General</c:formatCode>
                <c:ptCount val="10"/>
                <c:pt idx="0">
                  <c:v>15</c:v>
                </c:pt>
                <c:pt idx="1">
                  <c:v>19</c:v>
                </c:pt>
                <c:pt idx="2">
                  <c:v>16</c:v>
                </c:pt>
                <c:pt idx="3">
                  <c:v>15</c:v>
                </c:pt>
                <c:pt idx="4">
                  <c:v>7</c:v>
                </c:pt>
                <c:pt idx="5">
                  <c:v>15</c:v>
                </c:pt>
                <c:pt idx="6">
                  <c:v>19</c:v>
                </c:pt>
                <c:pt idx="7">
                  <c:v>15</c:v>
                </c:pt>
                <c:pt idx="8">
                  <c:v>17</c:v>
                </c:pt>
                <c:pt idx="9">
                  <c:v>27</c:v>
                </c:pt>
              </c:numCache>
            </c:numRef>
          </c:val>
          <c:smooth val="0"/>
          <c:extLst>
            <c:ext xmlns:c16="http://schemas.microsoft.com/office/drawing/2014/chart" uri="{C3380CC4-5D6E-409C-BE32-E72D297353CC}">
              <c16:uniqueId val="{00000002-8984-471D-97C7-7D7C7E5C69E6}"/>
            </c:ext>
          </c:extLst>
        </c:ser>
        <c:dLbls>
          <c:showLegendKey val="0"/>
          <c:showVal val="0"/>
          <c:showCatName val="0"/>
          <c:showSerName val="0"/>
          <c:showPercent val="0"/>
          <c:showBubbleSize val="0"/>
        </c:dLbls>
        <c:smooth val="0"/>
        <c:axId val="65124886"/>
        <c:axId val="786142532"/>
      </c:lineChart>
      <c:catAx>
        <c:axId val="65124886"/>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786142532"/>
        <c:crosses val="autoZero"/>
        <c:auto val="1"/>
        <c:lblAlgn val="ctr"/>
        <c:lblOffset val="100"/>
        <c:noMultiLvlLbl val="1"/>
      </c:catAx>
      <c:valAx>
        <c:axId val="78614253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65124886"/>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Sábado 23-11 18:00 hrs vaciado C3</a:t>
            </a:r>
          </a:p>
        </c:rich>
      </c:tx>
      <c:overlay val="0"/>
    </c:title>
    <c:autoTitleDeleted val="0"/>
    <c:plotArea>
      <c:layout/>
      <c:lineChart>
        <c:grouping val="standard"/>
        <c:varyColors val="1"/>
        <c:ser>
          <c:idx val="0"/>
          <c:order val="0"/>
          <c:tx>
            <c:v>Inv_inicialprom_sabado</c:v>
          </c:tx>
          <c:spPr>
            <a:ln w="28575" cmpd="sng">
              <a:solidFill>
                <a:schemeClr val="accent1"/>
              </a:solidFill>
            </a:ln>
          </c:spPr>
          <c:marker>
            <c:symbol val="none"/>
          </c:marker>
          <c:val>
            <c:numRef>
              <c:f>'Copia de 120seg'!$CK$59:$CK$68</c:f>
              <c:numCache>
                <c:formatCode>0</c:formatCode>
                <c:ptCount val="10"/>
                <c:pt idx="0">
                  <c:v>3.3333333333333335</c:v>
                </c:pt>
                <c:pt idx="1">
                  <c:v>5.5555555555555554</c:v>
                </c:pt>
                <c:pt idx="2">
                  <c:v>3.2222222222222223</c:v>
                </c:pt>
                <c:pt idx="3">
                  <c:v>2.7777777777777777</c:v>
                </c:pt>
                <c:pt idx="4">
                  <c:v>3</c:v>
                </c:pt>
                <c:pt idx="5">
                  <c:v>8</c:v>
                </c:pt>
                <c:pt idx="6">
                  <c:v>4.4444444444444446</c:v>
                </c:pt>
                <c:pt idx="7">
                  <c:v>3.7777777777777777</c:v>
                </c:pt>
                <c:pt idx="8">
                  <c:v>5.8888888888888893</c:v>
                </c:pt>
                <c:pt idx="9">
                  <c:v>2.5555555555555554</c:v>
                </c:pt>
              </c:numCache>
            </c:numRef>
          </c:val>
          <c:smooth val="0"/>
          <c:extLst>
            <c:ext xmlns:c16="http://schemas.microsoft.com/office/drawing/2014/chart" uri="{C3380CC4-5D6E-409C-BE32-E72D297353CC}">
              <c16:uniqueId val="{00000000-A218-4990-B1BB-48575313226F}"/>
            </c:ext>
          </c:extLst>
        </c:ser>
        <c:ser>
          <c:idx val="1"/>
          <c:order val="1"/>
          <c:tx>
            <c:v>Inventario_Final</c:v>
          </c:tx>
          <c:spPr>
            <a:ln w="28575" cmpd="sng">
              <a:solidFill>
                <a:schemeClr val="accent2"/>
              </a:solidFill>
            </a:ln>
          </c:spPr>
          <c:marker>
            <c:symbol val="none"/>
          </c:marker>
          <c:val>
            <c:numRef>
              <c:f>'Copia de 120seg'!$CN$59:$CN$68</c:f>
              <c:numCache>
                <c:formatCode>General</c:formatCode>
                <c:ptCount val="10"/>
                <c:pt idx="0">
                  <c:v>8</c:v>
                </c:pt>
                <c:pt idx="1">
                  <c:v>7</c:v>
                </c:pt>
                <c:pt idx="2">
                  <c:v>5</c:v>
                </c:pt>
                <c:pt idx="3">
                  <c:v>6</c:v>
                </c:pt>
                <c:pt idx="4">
                  <c:v>5</c:v>
                </c:pt>
                <c:pt idx="5">
                  <c:v>11</c:v>
                </c:pt>
                <c:pt idx="6">
                  <c:v>7</c:v>
                </c:pt>
                <c:pt idx="7">
                  <c:v>5</c:v>
                </c:pt>
                <c:pt idx="8">
                  <c:v>7</c:v>
                </c:pt>
                <c:pt idx="9">
                  <c:v>5</c:v>
                </c:pt>
              </c:numCache>
            </c:numRef>
          </c:val>
          <c:smooth val="0"/>
          <c:extLst>
            <c:ext xmlns:c16="http://schemas.microsoft.com/office/drawing/2014/chart" uri="{C3380CC4-5D6E-409C-BE32-E72D297353CC}">
              <c16:uniqueId val="{00000001-A218-4990-B1BB-48575313226F}"/>
            </c:ext>
          </c:extLst>
        </c:ser>
        <c:ser>
          <c:idx val="2"/>
          <c:order val="2"/>
          <c:tx>
            <c:v>Capacidad</c:v>
          </c:tx>
          <c:spPr>
            <a:ln w="28575" cmpd="sng">
              <a:solidFill>
                <a:schemeClr val="accent3"/>
              </a:solidFill>
            </a:ln>
          </c:spPr>
          <c:marker>
            <c:symbol val="none"/>
          </c:marker>
          <c:val>
            <c:numRef>
              <c:f>'Copia de 120seg'!$CP$59:$CP$68</c:f>
              <c:numCache>
                <c:formatCode>General</c:formatCode>
                <c:ptCount val="10"/>
                <c:pt idx="0">
                  <c:v>17</c:v>
                </c:pt>
                <c:pt idx="1">
                  <c:v>15</c:v>
                </c:pt>
                <c:pt idx="2">
                  <c:v>11</c:v>
                </c:pt>
                <c:pt idx="3">
                  <c:v>11</c:v>
                </c:pt>
                <c:pt idx="4">
                  <c:v>11</c:v>
                </c:pt>
                <c:pt idx="5">
                  <c:v>29</c:v>
                </c:pt>
                <c:pt idx="6">
                  <c:v>15</c:v>
                </c:pt>
                <c:pt idx="7">
                  <c:v>11</c:v>
                </c:pt>
                <c:pt idx="8">
                  <c:v>15</c:v>
                </c:pt>
                <c:pt idx="9">
                  <c:v>11</c:v>
                </c:pt>
              </c:numCache>
            </c:numRef>
          </c:val>
          <c:smooth val="0"/>
          <c:extLst>
            <c:ext xmlns:c16="http://schemas.microsoft.com/office/drawing/2014/chart" uri="{C3380CC4-5D6E-409C-BE32-E72D297353CC}">
              <c16:uniqueId val="{00000002-A218-4990-B1BB-48575313226F}"/>
            </c:ext>
          </c:extLst>
        </c:ser>
        <c:dLbls>
          <c:showLegendKey val="0"/>
          <c:showVal val="0"/>
          <c:showCatName val="0"/>
          <c:showSerName val="0"/>
          <c:showPercent val="0"/>
          <c:showBubbleSize val="0"/>
        </c:dLbls>
        <c:smooth val="0"/>
        <c:axId val="994415725"/>
        <c:axId val="1386363846"/>
      </c:lineChart>
      <c:catAx>
        <c:axId val="994415725"/>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386363846"/>
        <c:crosses val="autoZero"/>
        <c:auto val="1"/>
        <c:lblAlgn val="ctr"/>
        <c:lblOffset val="100"/>
        <c:noMultiLvlLbl val="1"/>
      </c:catAx>
      <c:valAx>
        <c:axId val="138636384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994415725"/>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Sábado 23-11 18:00 hrs llenado C3</a:t>
            </a:r>
          </a:p>
        </c:rich>
      </c:tx>
      <c:overlay val="0"/>
    </c:title>
    <c:autoTitleDeleted val="0"/>
    <c:plotArea>
      <c:layout/>
      <c:lineChart>
        <c:grouping val="standard"/>
        <c:varyColors val="1"/>
        <c:ser>
          <c:idx val="0"/>
          <c:order val="0"/>
          <c:tx>
            <c:v>Inv_inicialprom_sabado</c:v>
          </c:tx>
          <c:spPr>
            <a:ln w="28575" cmpd="sng">
              <a:solidFill>
                <a:schemeClr val="accent1"/>
              </a:solidFill>
            </a:ln>
          </c:spPr>
          <c:marker>
            <c:symbol val="none"/>
          </c:marker>
          <c:val>
            <c:numRef>
              <c:f>'Copia de 120seg'!$CK$69:$CK$78</c:f>
              <c:numCache>
                <c:formatCode>0</c:formatCode>
                <c:ptCount val="10"/>
                <c:pt idx="0">
                  <c:v>10</c:v>
                </c:pt>
                <c:pt idx="1">
                  <c:v>14.777777777777779</c:v>
                </c:pt>
                <c:pt idx="2">
                  <c:v>12.777777777777779</c:v>
                </c:pt>
                <c:pt idx="3">
                  <c:v>12.111111111111111</c:v>
                </c:pt>
                <c:pt idx="4">
                  <c:v>2.7777777777777777</c:v>
                </c:pt>
                <c:pt idx="5">
                  <c:v>10.111111111111111</c:v>
                </c:pt>
                <c:pt idx="6">
                  <c:v>15.666666666666666</c:v>
                </c:pt>
                <c:pt idx="7">
                  <c:v>12.111111111111111</c:v>
                </c:pt>
                <c:pt idx="8">
                  <c:v>12</c:v>
                </c:pt>
                <c:pt idx="9">
                  <c:v>18.777777777777779</c:v>
                </c:pt>
              </c:numCache>
            </c:numRef>
          </c:val>
          <c:smooth val="0"/>
          <c:extLst>
            <c:ext xmlns:c16="http://schemas.microsoft.com/office/drawing/2014/chart" uri="{C3380CC4-5D6E-409C-BE32-E72D297353CC}">
              <c16:uniqueId val="{00000000-4055-4F35-8E80-169AC2C3FB15}"/>
            </c:ext>
          </c:extLst>
        </c:ser>
        <c:ser>
          <c:idx val="1"/>
          <c:order val="1"/>
          <c:tx>
            <c:v>Inventario_Final</c:v>
          </c:tx>
          <c:spPr>
            <a:ln w="28575" cmpd="sng">
              <a:solidFill>
                <a:schemeClr val="accent2"/>
              </a:solidFill>
            </a:ln>
          </c:spPr>
          <c:marker>
            <c:symbol val="none"/>
          </c:marker>
          <c:val>
            <c:numRef>
              <c:f>'Copia de 120seg'!$CN$69:$CN$78</c:f>
              <c:numCache>
                <c:formatCode>General</c:formatCode>
                <c:ptCount val="10"/>
                <c:pt idx="0">
                  <c:v>7</c:v>
                </c:pt>
                <c:pt idx="1">
                  <c:v>12</c:v>
                </c:pt>
                <c:pt idx="2">
                  <c:v>12</c:v>
                </c:pt>
                <c:pt idx="3">
                  <c:v>8</c:v>
                </c:pt>
                <c:pt idx="4">
                  <c:v>3</c:v>
                </c:pt>
                <c:pt idx="5">
                  <c:v>8</c:v>
                </c:pt>
                <c:pt idx="6">
                  <c:v>16</c:v>
                </c:pt>
                <c:pt idx="7">
                  <c:v>11</c:v>
                </c:pt>
                <c:pt idx="8">
                  <c:v>5</c:v>
                </c:pt>
                <c:pt idx="9">
                  <c:v>21</c:v>
                </c:pt>
              </c:numCache>
            </c:numRef>
          </c:val>
          <c:smooth val="0"/>
          <c:extLst>
            <c:ext xmlns:c16="http://schemas.microsoft.com/office/drawing/2014/chart" uri="{C3380CC4-5D6E-409C-BE32-E72D297353CC}">
              <c16:uniqueId val="{00000001-4055-4F35-8E80-169AC2C3FB15}"/>
            </c:ext>
          </c:extLst>
        </c:ser>
        <c:ser>
          <c:idx val="2"/>
          <c:order val="2"/>
          <c:tx>
            <c:v>Capacidad</c:v>
          </c:tx>
          <c:spPr>
            <a:ln w="28575" cmpd="sng">
              <a:solidFill>
                <a:schemeClr val="accent3"/>
              </a:solidFill>
            </a:ln>
          </c:spPr>
          <c:marker>
            <c:symbol val="none"/>
          </c:marker>
          <c:val>
            <c:numRef>
              <c:f>'Copia de 120seg'!$CP$69:$CP$78</c:f>
              <c:numCache>
                <c:formatCode>General</c:formatCode>
                <c:ptCount val="10"/>
                <c:pt idx="0">
                  <c:v>15</c:v>
                </c:pt>
                <c:pt idx="1">
                  <c:v>19</c:v>
                </c:pt>
                <c:pt idx="2">
                  <c:v>16</c:v>
                </c:pt>
                <c:pt idx="3">
                  <c:v>15</c:v>
                </c:pt>
                <c:pt idx="4">
                  <c:v>7</c:v>
                </c:pt>
                <c:pt idx="5">
                  <c:v>15</c:v>
                </c:pt>
                <c:pt idx="6">
                  <c:v>19</c:v>
                </c:pt>
                <c:pt idx="7">
                  <c:v>15</c:v>
                </c:pt>
                <c:pt idx="8">
                  <c:v>17</c:v>
                </c:pt>
                <c:pt idx="9">
                  <c:v>27</c:v>
                </c:pt>
              </c:numCache>
            </c:numRef>
          </c:val>
          <c:smooth val="0"/>
          <c:extLst>
            <c:ext xmlns:c16="http://schemas.microsoft.com/office/drawing/2014/chart" uri="{C3380CC4-5D6E-409C-BE32-E72D297353CC}">
              <c16:uniqueId val="{00000002-4055-4F35-8E80-169AC2C3FB15}"/>
            </c:ext>
          </c:extLst>
        </c:ser>
        <c:dLbls>
          <c:showLegendKey val="0"/>
          <c:showVal val="0"/>
          <c:showCatName val="0"/>
          <c:showSerName val="0"/>
          <c:showPercent val="0"/>
          <c:showBubbleSize val="0"/>
        </c:dLbls>
        <c:smooth val="0"/>
        <c:axId val="1672303726"/>
        <c:axId val="328894080"/>
      </c:lineChart>
      <c:catAx>
        <c:axId val="1672303726"/>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328894080"/>
        <c:crosses val="autoZero"/>
        <c:auto val="1"/>
        <c:lblAlgn val="ctr"/>
        <c:lblOffset val="100"/>
        <c:noMultiLvlLbl val="1"/>
      </c:catAx>
      <c:valAx>
        <c:axId val="32889408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672303726"/>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Domingo 24-11 18:00 hrs vaciado C3</a:t>
            </a:r>
          </a:p>
        </c:rich>
      </c:tx>
      <c:overlay val="0"/>
    </c:title>
    <c:autoTitleDeleted val="0"/>
    <c:plotArea>
      <c:layout/>
      <c:lineChart>
        <c:grouping val="standard"/>
        <c:varyColors val="1"/>
        <c:ser>
          <c:idx val="0"/>
          <c:order val="0"/>
          <c:tx>
            <c:v>Inv_inicialprom_domingo</c:v>
          </c:tx>
          <c:spPr>
            <a:ln w="28575" cmpd="sng">
              <a:solidFill>
                <a:schemeClr val="accent1"/>
              </a:solidFill>
            </a:ln>
          </c:spPr>
          <c:marker>
            <c:symbol val="none"/>
          </c:marker>
          <c:val>
            <c:numRef>
              <c:f>'Copia de 120seg'!$C$92:$C$101</c:f>
            </c:numRef>
          </c:val>
          <c:smooth val="0"/>
          <c:extLst>
            <c:ext xmlns:c16="http://schemas.microsoft.com/office/drawing/2014/chart" uri="{C3380CC4-5D6E-409C-BE32-E72D297353CC}">
              <c16:uniqueId val="{00000000-0915-4023-AE57-DDD9A17B710D}"/>
            </c:ext>
          </c:extLst>
        </c:ser>
        <c:ser>
          <c:idx val="1"/>
          <c:order val="1"/>
          <c:tx>
            <c:v>Inventario_Final</c:v>
          </c:tx>
          <c:spPr>
            <a:ln w="28575" cmpd="sng">
              <a:solidFill>
                <a:schemeClr val="accent2"/>
              </a:solidFill>
            </a:ln>
          </c:spPr>
          <c:marker>
            <c:symbol val="none"/>
          </c:marker>
          <c:val>
            <c:numRef>
              <c:f>'Copia de 120seg'!$F$92:$F$101</c:f>
              <c:numCache>
                <c:formatCode>General</c:formatCode>
                <c:ptCount val="10"/>
                <c:pt idx="0">
                  <c:v>8</c:v>
                </c:pt>
                <c:pt idx="1">
                  <c:v>7</c:v>
                </c:pt>
                <c:pt idx="2">
                  <c:v>5</c:v>
                </c:pt>
                <c:pt idx="3">
                  <c:v>5</c:v>
                </c:pt>
                <c:pt idx="4">
                  <c:v>6</c:v>
                </c:pt>
                <c:pt idx="5">
                  <c:v>11</c:v>
                </c:pt>
                <c:pt idx="6">
                  <c:v>8</c:v>
                </c:pt>
                <c:pt idx="7">
                  <c:v>5</c:v>
                </c:pt>
                <c:pt idx="8">
                  <c:v>7</c:v>
                </c:pt>
                <c:pt idx="9">
                  <c:v>5</c:v>
                </c:pt>
              </c:numCache>
            </c:numRef>
          </c:val>
          <c:smooth val="0"/>
          <c:extLst>
            <c:ext xmlns:c16="http://schemas.microsoft.com/office/drawing/2014/chart" uri="{C3380CC4-5D6E-409C-BE32-E72D297353CC}">
              <c16:uniqueId val="{00000001-0915-4023-AE57-DDD9A17B710D}"/>
            </c:ext>
          </c:extLst>
        </c:ser>
        <c:dLbls>
          <c:showLegendKey val="0"/>
          <c:showVal val="0"/>
          <c:showCatName val="0"/>
          <c:showSerName val="0"/>
          <c:showPercent val="0"/>
          <c:showBubbleSize val="0"/>
        </c:dLbls>
        <c:smooth val="0"/>
        <c:axId val="945699126"/>
        <c:axId val="35837556"/>
      </c:lineChart>
      <c:catAx>
        <c:axId val="94569912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35837556"/>
        <c:crosses val="autoZero"/>
        <c:auto val="1"/>
        <c:lblAlgn val="ctr"/>
        <c:lblOffset val="100"/>
        <c:noMultiLvlLbl val="1"/>
      </c:catAx>
      <c:valAx>
        <c:axId val="3583755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945699126"/>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Domingo 24-11 18:00 hrs llenado C3</a:t>
            </a:r>
          </a:p>
        </c:rich>
      </c:tx>
      <c:overlay val="0"/>
    </c:title>
    <c:autoTitleDeleted val="0"/>
    <c:plotArea>
      <c:layout/>
      <c:lineChart>
        <c:grouping val="standard"/>
        <c:varyColors val="1"/>
        <c:ser>
          <c:idx val="0"/>
          <c:order val="0"/>
          <c:tx>
            <c:v>Inv_inicialprom_domingo</c:v>
          </c:tx>
          <c:spPr>
            <a:ln w="28575" cmpd="sng">
              <a:solidFill>
                <a:schemeClr val="accent1"/>
              </a:solidFill>
            </a:ln>
          </c:spPr>
          <c:marker>
            <c:symbol val="none"/>
          </c:marker>
          <c:val>
            <c:numRef>
              <c:f>'Copia de 120seg'!$C$102:$C$111</c:f>
            </c:numRef>
          </c:val>
          <c:smooth val="0"/>
          <c:extLst>
            <c:ext xmlns:c16="http://schemas.microsoft.com/office/drawing/2014/chart" uri="{C3380CC4-5D6E-409C-BE32-E72D297353CC}">
              <c16:uniqueId val="{00000000-8FE0-467A-97A6-22A73A834760}"/>
            </c:ext>
          </c:extLst>
        </c:ser>
        <c:ser>
          <c:idx val="1"/>
          <c:order val="1"/>
          <c:tx>
            <c:v>Inventario_Final</c:v>
          </c:tx>
          <c:spPr>
            <a:ln w="28575" cmpd="sng">
              <a:solidFill>
                <a:schemeClr val="accent2"/>
              </a:solidFill>
            </a:ln>
          </c:spPr>
          <c:marker>
            <c:symbol val="none"/>
          </c:marker>
          <c:val>
            <c:numRef>
              <c:f>'Copia de 120seg'!$F$102:$F$111</c:f>
              <c:numCache>
                <c:formatCode>General</c:formatCode>
                <c:ptCount val="10"/>
                <c:pt idx="0">
                  <c:v>2</c:v>
                </c:pt>
                <c:pt idx="1">
                  <c:v>16</c:v>
                </c:pt>
                <c:pt idx="2">
                  <c:v>13</c:v>
                </c:pt>
                <c:pt idx="3">
                  <c:v>13</c:v>
                </c:pt>
                <c:pt idx="4">
                  <c:v>3</c:v>
                </c:pt>
                <c:pt idx="5">
                  <c:v>10</c:v>
                </c:pt>
                <c:pt idx="6">
                  <c:v>11</c:v>
                </c:pt>
                <c:pt idx="7">
                  <c:v>13</c:v>
                </c:pt>
                <c:pt idx="8">
                  <c:v>14</c:v>
                </c:pt>
                <c:pt idx="9">
                  <c:v>18</c:v>
                </c:pt>
              </c:numCache>
            </c:numRef>
          </c:val>
          <c:smooth val="0"/>
          <c:extLst>
            <c:ext xmlns:c16="http://schemas.microsoft.com/office/drawing/2014/chart" uri="{C3380CC4-5D6E-409C-BE32-E72D297353CC}">
              <c16:uniqueId val="{00000001-8FE0-467A-97A6-22A73A834760}"/>
            </c:ext>
          </c:extLst>
        </c:ser>
        <c:dLbls>
          <c:showLegendKey val="0"/>
          <c:showVal val="0"/>
          <c:showCatName val="0"/>
          <c:showSerName val="0"/>
          <c:showPercent val="0"/>
          <c:showBubbleSize val="0"/>
        </c:dLbls>
        <c:smooth val="0"/>
        <c:axId val="1955142914"/>
        <c:axId val="1592474459"/>
      </c:lineChart>
      <c:catAx>
        <c:axId val="1955142914"/>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592474459"/>
        <c:crosses val="autoZero"/>
        <c:auto val="1"/>
        <c:lblAlgn val="ctr"/>
        <c:lblOffset val="100"/>
        <c:noMultiLvlLbl val="1"/>
      </c:catAx>
      <c:valAx>
        <c:axId val="159247445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955142914"/>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Costo total diario en la semana 1 del caso 3</a:t>
            </a:r>
          </a:p>
        </c:rich>
      </c:tx>
      <c:layout>
        <c:manualLayout>
          <c:xMode val="edge"/>
          <c:yMode val="edge"/>
          <c:x val="0.22679637871353034"/>
          <c:y val="2.3952095808383235E-2"/>
        </c:manualLayout>
      </c:layout>
      <c:overlay val="0"/>
    </c:title>
    <c:autoTitleDeleted val="0"/>
    <c:plotArea>
      <c:layout>
        <c:manualLayout>
          <c:xMode val="edge"/>
          <c:yMode val="edge"/>
          <c:x val="9.0930300379119283E-2"/>
          <c:y val="0.14806387225548903"/>
          <c:w val="0.74023815410754812"/>
          <c:h val="0.65870935294764799"/>
        </c:manualLayout>
      </c:layout>
      <c:lineChart>
        <c:grouping val="standard"/>
        <c:varyColors val="1"/>
        <c:ser>
          <c:idx val="0"/>
          <c:order val="0"/>
          <c:tx>
            <c:v>Costo_total</c:v>
          </c:tx>
          <c:spPr>
            <a:ln w="28575" cmpd="sng">
              <a:solidFill>
                <a:schemeClr val="accent1"/>
              </a:solidFill>
            </a:ln>
          </c:spPr>
          <c:marker>
            <c:symbol val="none"/>
          </c:marker>
          <c:cat>
            <c:strRef>
              <c:f>'S1'!$E$2:$E$9</c:f>
              <c:strCache>
                <c:ptCount val="8"/>
                <c:pt idx="0">
                  <c:v>Viernes</c:v>
                </c:pt>
                <c:pt idx="1">
                  <c:v>Sabado</c:v>
                </c:pt>
                <c:pt idx="2">
                  <c:v>Domingo</c:v>
                </c:pt>
                <c:pt idx="3">
                  <c:v>Lunes</c:v>
                </c:pt>
                <c:pt idx="4">
                  <c:v>Martes</c:v>
                </c:pt>
                <c:pt idx="5">
                  <c:v>Miercoles</c:v>
                </c:pt>
                <c:pt idx="6">
                  <c:v>Jueves</c:v>
                </c:pt>
                <c:pt idx="7">
                  <c:v>Viernes</c:v>
                </c:pt>
              </c:strCache>
            </c:strRef>
          </c:cat>
          <c:val>
            <c:numRef>
              <c:f>'S1'!$B$2:$B$9</c:f>
              <c:numCache>
                <c:formatCode>General</c:formatCode>
                <c:ptCount val="8"/>
                <c:pt idx="0">
                  <c:v>35.583808440685459</c:v>
                </c:pt>
                <c:pt idx="1">
                  <c:v>18.919531259855241</c:v>
                </c:pt>
                <c:pt idx="2">
                  <c:v>19.648496572327211</c:v>
                </c:pt>
                <c:pt idx="3">
                  <c:v>10.57860014381631</c:v>
                </c:pt>
                <c:pt idx="4">
                  <c:v>18.90454501617625</c:v>
                </c:pt>
                <c:pt idx="5">
                  <c:v>22.865874544097949</c:v>
                </c:pt>
                <c:pt idx="6">
                  <c:v>6.622473411283436</c:v>
                </c:pt>
                <c:pt idx="7">
                  <c:v>19.683918982455921</c:v>
                </c:pt>
              </c:numCache>
            </c:numRef>
          </c:val>
          <c:smooth val="0"/>
          <c:extLst>
            <c:ext xmlns:c16="http://schemas.microsoft.com/office/drawing/2014/chart" uri="{C3380CC4-5D6E-409C-BE32-E72D297353CC}">
              <c16:uniqueId val="{00000000-9D35-4411-B53F-1A660F55472F}"/>
            </c:ext>
          </c:extLst>
        </c:ser>
        <c:ser>
          <c:idx val="1"/>
          <c:order val="1"/>
          <c:tx>
            <c:v>Cantidad Total de Flujos</c:v>
          </c:tx>
          <c:spPr>
            <a:ln w="28575" cmpd="sng">
              <a:solidFill>
                <a:schemeClr val="accent2"/>
              </a:solidFill>
            </a:ln>
          </c:spPr>
          <c:marker>
            <c:symbol val="none"/>
          </c:marker>
          <c:cat>
            <c:strRef>
              <c:f>'S1'!$E$2:$E$9</c:f>
              <c:strCache>
                <c:ptCount val="8"/>
                <c:pt idx="0">
                  <c:v>Viernes</c:v>
                </c:pt>
                <c:pt idx="1">
                  <c:v>Sabado</c:v>
                </c:pt>
                <c:pt idx="2">
                  <c:v>Domingo</c:v>
                </c:pt>
                <c:pt idx="3">
                  <c:v>Lunes</c:v>
                </c:pt>
                <c:pt idx="4">
                  <c:v>Martes</c:v>
                </c:pt>
                <c:pt idx="5">
                  <c:v>Miercoles</c:v>
                </c:pt>
                <c:pt idx="6">
                  <c:v>Jueves</c:v>
                </c:pt>
                <c:pt idx="7">
                  <c:v>Viernes</c:v>
                </c:pt>
              </c:strCache>
            </c:strRef>
          </c:cat>
          <c:val>
            <c:numRef>
              <c:f>'S1'!$D$2:$D$9</c:f>
              <c:numCache>
                <c:formatCode>General</c:formatCode>
                <c:ptCount val="8"/>
                <c:pt idx="0">
                  <c:v>9</c:v>
                </c:pt>
                <c:pt idx="1">
                  <c:v>11</c:v>
                </c:pt>
                <c:pt idx="2">
                  <c:v>11</c:v>
                </c:pt>
                <c:pt idx="3">
                  <c:v>10</c:v>
                </c:pt>
                <c:pt idx="4">
                  <c:v>10</c:v>
                </c:pt>
                <c:pt idx="5">
                  <c:v>9</c:v>
                </c:pt>
                <c:pt idx="6">
                  <c:v>8</c:v>
                </c:pt>
                <c:pt idx="7">
                  <c:v>10</c:v>
                </c:pt>
              </c:numCache>
            </c:numRef>
          </c:val>
          <c:smooth val="0"/>
          <c:extLst>
            <c:ext xmlns:c16="http://schemas.microsoft.com/office/drawing/2014/chart" uri="{C3380CC4-5D6E-409C-BE32-E72D297353CC}">
              <c16:uniqueId val="{00000001-9D35-4411-B53F-1A660F55472F}"/>
            </c:ext>
          </c:extLst>
        </c:ser>
        <c:dLbls>
          <c:showLegendKey val="0"/>
          <c:showVal val="0"/>
          <c:showCatName val="0"/>
          <c:showSerName val="0"/>
          <c:showPercent val="0"/>
          <c:showBubbleSize val="0"/>
        </c:dLbls>
        <c:smooth val="0"/>
        <c:axId val="79874702"/>
        <c:axId val="415945609"/>
      </c:lineChart>
      <c:catAx>
        <c:axId val="79874702"/>
        <c:scaling>
          <c:orientation val="minMax"/>
        </c:scaling>
        <c:delete val="0"/>
        <c:axPos val="b"/>
        <c:title>
          <c:tx>
            <c:rich>
              <a:bodyPr/>
              <a:lstStyle/>
              <a:p>
                <a:pPr lvl="0">
                  <a:defRPr sz="1000" b="0" i="0">
                    <a:solidFill>
                      <a:srgbClr val="000000"/>
                    </a:solidFill>
                    <a:latin typeface="+mn-lt"/>
                  </a:defRPr>
                </a:pPr>
                <a:r>
                  <a:rPr sz="1000" b="0" i="0">
                    <a:solidFill>
                      <a:srgbClr val="000000"/>
                    </a:solidFill>
                    <a:latin typeface="+mn-lt"/>
                  </a:rPr>
                  <a:t>Día de la semana</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415945609"/>
        <c:crosses val="autoZero"/>
        <c:auto val="1"/>
        <c:lblAlgn val="ctr"/>
        <c:lblOffset val="100"/>
        <c:noMultiLvlLbl val="1"/>
      </c:catAx>
      <c:valAx>
        <c:axId val="415945609"/>
        <c:scaling>
          <c:orientation val="minMax"/>
        </c:scaling>
        <c:delete val="0"/>
        <c:axPos val="l"/>
        <c:title>
          <c:tx>
            <c:rich>
              <a:bodyPr/>
              <a:lstStyle/>
              <a:p>
                <a:pPr lvl="0">
                  <a:defRPr sz="1000" b="0" i="0">
                    <a:solidFill>
                      <a:srgbClr val="000000"/>
                    </a:solidFill>
                    <a:latin typeface="+mn-lt"/>
                  </a:defRPr>
                </a:pPr>
                <a:r>
                  <a:rPr sz="1000" b="0" i="0">
                    <a:solidFill>
                      <a:srgbClr val="000000"/>
                    </a:solidFill>
                    <a:latin typeface="+mn-lt"/>
                  </a:rPr>
                  <a:t>Costo total en km</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79874702"/>
        <c:crosses val="autoZero"/>
        <c:crossBetween val="between"/>
      </c:valAx>
    </c:plotArea>
    <c:legend>
      <c:legendPos val="r"/>
      <c:layout>
        <c:manualLayout>
          <c:xMode val="edge"/>
          <c:yMode val="edge"/>
          <c:x val="0.76273045126605554"/>
          <c:y val="0.30506923161550914"/>
        </c:manualLayout>
      </c:layout>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Costo total diario en la semana 2 del caso 3</a:t>
            </a:r>
          </a:p>
        </c:rich>
      </c:tx>
      <c:layout>
        <c:manualLayout>
          <c:xMode val="edge"/>
          <c:yMode val="edge"/>
          <c:x val="0.22679637871353034"/>
          <c:y val="2.3952095808383235E-2"/>
        </c:manualLayout>
      </c:layout>
      <c:overlay val="0"/>
    </c:title>
    <c:autoTitleDeleted val="0"/>
    <c:plotArea>
      <c:layout>
        <c:manualLayout>
          <c:xMode val="edge"/>
          <c:yMode val="edge"/>
          <c:x val="9.0930300379119283E-2"/>
          <c:y val="0.14806387225548903"/>
          <c:w val="0.74023815410754812"/>
          <c:h val="0.65870935294764799"/>
        </c:manualLayout>
      </c:layout>
      <c:lineChart>
        <c:grouping val="standard"/>
        <c:varyColors val="1"/>
        <c:ser>
          <c:idx val="0"/>
          <c:order val="0"/>
          <c:tx>
            <c:v>Costo_total</c:v>
          </c:tx>
          <c:spPr>
            <a:ln w="28575" cmpd="sng">
              <a:solidFill>
                <a:schemeClr val="accent1"/>
              </a:solidFill>
            </a:ln>
          </c:spPr>
          <c:marker>
            <c:symbol val="none"/>
          </c:marker>
          <c:cat>
            <c:strRef>
              <c:f>'S2'!$E$9:$E$16</c:f>
              <c:strCache>
                <c:ptCount val="8"/>
                <c:pt idx="0">
                  <c:v>Viernes</c:v>
                </c:pt>
                <c:pt idx="1">
                  <c:v>Sabado</c:v>
                </c:pt>
                <c:pt idx="2">
                  <c:v>Domingo</c:v>
                </c:pt>
                <c:pt idx="3">
                  <c:v>Lunes</c:v>
                </c:pt>
                <c:pt idx="4">
                  <c:v>Martes</c:v>
                </c:pt>
                <c:pt idx="5">
                  <c:v>Miercoles</c:v>
                </c:pt>
                <c:pt idx="6">
                  <c:v>Jueves</c:v>
                </c:pt>
                <c:pt idx="7">
                  <c:v>Viernes</c:v>
                </c:pt>
              </c:strCache>
            </c:strRef>
          </c:cat>
          <c:val>
            <c:numRef>
              <c:f>'S2'!$B$9:$B$16</c:f>
              <c:numCache>
                <c:formatCode>General</c:formatCode>
                <c:ptCount val="8"/>
                <c:pt idx="0">
                  <c:v>19.683918982455921</c:v>
                </c:pt>
                <c:pt idx="1">
                  <c:v>19.63821444392968</c:v>
                </c:pt>
                <c:pt idx="2">
                  <c:v>24.031542112072081</c:v>
                </c:pt>
                <c:pt idx="3">
                  <c:v>15.259630887005921</c:v>
                </c:pt>
                <c:pt idx="4">
                  <c:v>21.97582988657296</c:v>
                </c:pt>
                <c:pt idx="5">
                  <c:v>20.49384450006303</c:v>
                </c:pt>
                <c:pt idx="6">
                  <c:v>3.4951411834086139</c:v>
                </c:pt>
                <c:pt idx="7">
                  <c:v>16.43553526733595</c:v>
                </c:pt>
              </c:numCache>
            </c:numRef>
          </c:val>
          <c:smooth val="0"/>
          <c:extLst>
            <c:ext xmlns:c16="http://schemas.microsoft.com/office/drawing/2014/chart" uri="{C3380CC4-5D6E-409C-BE32-E72D297353CC}">
              <c16:uniqueId val="{00000000-A262-4919-9C73-9C83537CC497}"/>
            </c:ext>
          </c:extLst>
        </c:ser>
        <c:ser>
          <c:idx val="1"/>
          <c:order val="1"/>
          <c:tx>
            <c:v>Cantidad Total de Flujos</c:v>
          </c:tx>
          <c:spPr>
            <a:ln w="28575" cmpd="sng">
              <a:solidFill>
                <a:schemeClr val="accent2"/>
              </a:solidFill>
            </a:ln>
          </c:spPr>
          <c:marker>
            <c:symbol val="none"/>
          </c:marker>
          <c:cat>
            <c:strRef>
              <c:f>'S2'!$E$9:$E$16</c:f>
              <c:strCache>
                <c:ptCount val="8"/>
                <c:pt idx="0">
                  <c:v>Viernes</c:v>
                </c:pt>
                <c:pt idx="1">
                  <c:v>Sabado</c:v>
                </c:pt>
                <c:pt idx="2">
                  <c:v>Domingo</c:v>
                </c:pt>
                <c:pt idx="3">
                  <c:v>Lunes</c:v>
                </c:pt>
                <c:pt idx="4">
                  <c:v>Martes</c:v>
                </c:pt>
                <c:pt idx="5">
                  <c:v>Miercoles</c:v>
                </c:pt>
                <c:pt idx="6">
                  <c:v>Jueves</c:v>
                </c:pt>
                <c:pt idx="7">
                  <c:v>Viernes</c:v>
                </c:pt>
              </c:strCache>
            </c:strRef>
          </c:cat>
          <c:val>
            <c:numRef>
              <c:f>'S2'!$D$9:$D$16</c:f>
              <c:numCache>
                <c:formatCode>General</c:formatCode>
                <c:ptCount val="8"/>
                <c:pt idx="0">
                  <c:v>10</c:v>
                </c:pt>
                <c:pt idx="1">
                  <c:v>6</c:v>
                </c:pt>
                <c:pt idx="2">
                  <c:v>10</c:v>
                </c:pt>
                <c:pt idx="3">
                  <c:v>12</c:v>
                </c:pt>
                <c:pt idx="4">
                  <c:v>12</c:v>
                </c:pt>
                <c:pt idx="5">
                  <c:v>10</c:v>
                </c:pt>
                <c:pt idx="6">
                  <c:v>6</c:v>
                </c:pt>
                <c:pt idx="7">
                  <c:v>7</c:v>
                </c:pt>
              </c:numCache>
            </c:numRef>
          </c:val>
          <c:smooth val="0"/>
          <c:extLst>
            <c:ext xmlns:c16="http://schemas.microsoft.com/office/drawing/2014/chart" uri="{C3380CC4-5D6E-409C-BE32-E72D297353CC}">
              <c16:uniqueId val="{00000001-A262-4919-9C73-9C83537CC497}"/>
            </c:ext>
          </c:extLst>
        </c:ser>
        <c:dLbls>
          <c:showLegendKey val="0"/>
          <c:showVal val="0"/>
          <c:showCatName val="0"/>
          <c:showSerName val="0"/>
          <c:showPercent val="0"/>
          <c:showBubbleSize val="0"/>
        </c:dLbls>
        <c:smooth val="0"/>
        <c:axId val="924927797"/>
        <c:axId val="884884998"/>
      </c:lineChart>
      <c:catAx>
        <c:axId val="924927797"/>
        <c:scaling>
          <c:orientation val="minMax"/>
        </c:scaling>
        <c:delete val="0"/>
        <c:axPos val="b"/>
        <c:title>
          <c:tx>
            <c:rich>
              <a:bodyPr/>
              <a:lstStyle/>
              <a:p>
                <a:pPr lvl="0">
                  <a:defRPr sz="1000" b="0" i="0">
                    <a:solidFill>
                      <a:srgbClr val="000000"/>
                    </a:solidFill>
                    <a:latin typeface="+mn-lt"/>
                  </a:defRPr>
                </a:pPr>
                <a:r>
                  <a:rPr sz="1000" b="0" i="0">
                    <a:solidFill>
                      <a:srgbClr val="000000"/>
                    </a:solidFill>
                    <a:latin typeface="+mn-lt"/>
                  </a:rPr>
                  <a:t>Día de la semana</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884884998"/>
        <c:crosses val="autoZero"/>
        <c:auto val="1"/>
        <c:lblAlgn val="ctr"/>
        <c:lblOffset val="100"/>
        <c:noMultiLvlLbl val="1"/>
      </c:catAx>
      <c:valAx>
        <c:axId val="884884998"/>
        <c:scaling>
          <c:orientation val="minMax"/>
        </c:scaling>
        <c:delete val="0"/>
        <c:axPos val="l"/>
        <c:title>
          <c:tx>
            <c:rich>
              <a:bodyPr/>
              <a:lstStyle/>
              <a:p>
                <a:pPr lvl="0">
                  <a:defRPr sz="1000" b="0" i="0">
                    <a:solidFill>
                      <a:srgbClr val="000000"/>
                    </a:solidFill>
                    <a:latin typeface="+mn-lt"/>
                  </a:defRPr>
                </a:pPr>
                <a:r>
                  <a:rPr sz="1000" b="0" i="0">
                    <a:solidFill>
                      <a:srgbClr val="000000"/>
                    </a:solidFill>
                    <a:latin typeface="+mn-lt"/>
                  </a:rPr>
                  <a:t>Costo total en km</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924927797"/>
        <c:crosses val="autoZero"/>
        <c:crossBetween val="between"/>
      </c:valAx>
    </c:plotArea>
    <c:legend>
      <c:legendPos val="r"/>
      <c:layout>
        <c:manualLayout>
          <c:xMode val="edge"/>
          <c:yMode val="edge"/>
          <c:x val="0.76273045126605554"/>
          <c:y val="0.30506923161550914"/>
        </c:manualLayout>
      </c:layout>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Costo total diario en la semana 3 del caso 3</a:t>
            </a:r>
          </a:p>
        </c:rich>
      </c:tx>
      <c:layout>
        <c:manualLayout>
          <c:xMode val="edge"/>
          <c:yMode val="edge"/>
          <c:x val="0.22679637871353034"/>
          <c:y val="2.3952095808383235E-2"/>
        </c:manualLayout>
      </c:layout>
      <c:overlay val="0"/>
    </c:title>
    <c:autoTitleDeleted val="0"/>
    <c:plotArea>
      <c:layout>
        <c:manualLayout>
          <c:xMode val="edge"/>
          <c:yMode val="edge"/>
          <c:x val="9.0930300379119283E-2"/>
          <c:y val="0.14806387225548903"/>
          <c:w val="0.74023815410754812"/>
          <c:h val="0.65870935294764799"/>
        </c:manualLayout>
      </c:layout>
      <c:lineChart>
        <c:grouping val="standard"/>
        <c:varyColors val="1"/>
        <c:ser>
          <c:idx val="0"/>
          <c:order val="0"/>
          <c:tx>
            <c:v>Costo_total</c:v>
          </c:tx>
          <c:spPr>
            <a:ln w="28575" cmpd="sng">
              <a:solidFill>
                <a:schemeClr val="accent1"/>
              </a:solidFill>
            </a:ln>
          </c:spPr>
          <c:marker>
            <c:symbol val="none"/>
          </c:marker>
          <c:cat>
            <c:strRef>
              <c:f>'S3'!$E$16:$E$23</c:f>
              <c:strCache>
                <c:ptCount val="8"/>
                <c:pt idx="0">
                  <c:v>Viernes</c:v>
                </c:pt>
                <c:pt idx="1">
                  <c:v>Sabado</c:v>
                </c:pt>
                <c:pt idx="2">
                  <c:v>Domingo</c:v>
                </c:pt>
                <c:pt idx="3">
                  <c:v>Lunes</c:v>
                </c:pt>
                <c:pt idx="4">
                  <c:v>Martes</c:v>
                </c:pt>
                <c:pt idx="5">
                  <c:v>Miercoles</c:v>
                </c:pt>
                <c:pt idx="6">
                  <c:v>Jueves</c:v>
                </c:pt>
                <c:pt idx="7">
                  <c:v>Viernes</c:v>
                </c:pt>
              </c:strCache>
            </c:strRef>
          </c:cat>
          <c:val>
            <c:numRef>
              <c:f>'S3'!$B$16:$B$23</c:f>
              <c:numCache>
                <c:formatCode>General</c:formatCode>
                <c:ptCount val="8"/>
                <c:pt idx="0">
                  <c:v>16.43553526733595</c:v>
                </c:pt>
                <c:pt idx="1">
                  <c:v>17.704588053684422</c:v>
                </c:pt>
                <c:pt idx="2">
                  <c:v>16.7935621859916</c:v>
                </c:pt>
                <c:pt idx="3">
                  <c:v>21.637838724725519</c:v>
                </c:pt>
                <c:pt idx="4">
                  <c:v>21.292561612569671</c:v>
                </c:pt>
                <c:pt idx="5">
                  <c:v>22.52749607214626</c:v>
                </c:pt>
                <c:pt idx="6">
                  <c:v>21.13484269119547</c:v>
                </c:pt>
                <c:pt idx="7">
                  <c:v>11.323532689150531</c:v>
                </c:pt>
              </c:numCache>
            </c:numRef>
          </c:val>
          <c:smooth val="0"/>
          <c:extLst>
            <c:ext xmlns:c16="http://schemas.microsoft.com/office/drawing/2014/chart" uri="{C3380CC4-5D6E-409C-BE32-E72D297353CC}">
              <c16:uniqueId val="{00000000-2249-47C1-B931-7B2EB335385E}"/>
            </c:ext>
          </c:extLst>
        </c:ser>
        <c:ser>
          <c:idx val="1"/>
          <c:order val="1"/>
          <c:tx>
            <c:v>Cantidad Total de Flujos</c:v>
          </c:tx>
          <c:spPr>
            <a:ln w="28575" cmpd="sng">
              <a:solidFill>
                <a:schemeClr val="accent2"/>
              </a:solidFill>
            </a:ln>
          </c:spPr>
          <c:marker>
            <c:symbol val="none"/>
          </c:marker>
          <c:cat>
            <c:strRef>
              <c:f>'S3'!$E$16:$E$23</c:f>
              <c:strCache>
                <c:ptCount val="8"/>
                <c:pt idx="0">
                  <c:v>Viernes</c:v>
                </c:pt>
                <c:pt idx="1">
                  <c:v>Sabado</c:v>
                </c:pt>
                <c:pt idx="2">
                  <c:v>Domingo</c:v>
                </c:pt>
                <c:pt idx="3">
                  <c:v>Lunes</c:v>
                </c:pt>
                <c:pt idx="4">
                  <c:v>Martes</c:v>
                </c:pt>
                <c:pt idx="5">
                  <c:v>Miercoles</c:v>
                </c:pt>
                <c:pt idx="6">
                  <c:v>Jueves</c:v>
                </c:pt>
                <c:pt idx="7">
                  <c:v>Viernes</c:v>
                </c:pt>
              </c:strCache>
            </c:strRef>
          </c:cat>
          <c:val>
            <c:numRef>
              <c:f>'S3'!$D$16:$D$23</c:f>
              <c:numCache>
                <c:formatCode>General</c:formatCode>
                <c:ptCount val="8"/>
                <c:pt idx="0">
                  <c:v>7</c:v>
                </c:pt>
                <c:pt idx="1">
                  <c:v>9</c:v>
                </c:pt>
                <c:pt idx="2">
                  <c:v>11</c:v>
                </c:pt>
                <c:pt idx="3">
                  <c:v>11</c:v>
                </c:pt>
                <c:pt idx="4">
                  <c:v>10</c:v>
                </c:pt>
                <c:pt idx="5">
                  <c:v>12</c:v>
                </c:pt>
                <c:pt idx="6">
                  <c:v>9</c:v>
                </c:pt>
                <c:pt idx="7">
                  <c:v>8</c:v>
                </c:pt>
              </c:numCache>
            </c:numRef>
          </c:val>
          <c:smooth val="0"/>
          <c:extLst>
            <c:ext xmlns:c16="http://schemas.microsoft.com/office/drawing/2014/chart" uri="{C3380CC4-5D6E-409C-BE32-E72D297353CC}">
              <c16:uniqueId val="{00000001-2249-47C1-B931-7B2EB335385E}"/>
            </c:ext>
          </c:extLst>
        </c:ser>
        <c:dLbls>
          <c:showLegendKey val="0"/>
          <c:showVal val="0"/>
          <c:showCatName val="0"/>
          <c:showSerName val="0"/>
          <c:showPercent val="0"/>
          <c:showBubbleSize val="0"/>
        </c:dLbls>
        <c:smooth val="0"/>
        <c:axId val="1473210953"/>
        <c:axId val="544823653"/>
      </c:lineChart>
      <c:catAx>
        <c:axId val="1473210953"/>
        <c:scaling>
          <c:orientation val="minMax"/>
        </c:scaling>
        <c:delete val="0"/>
        <c:axPos val="b"/>
        <c:title>
          <c:tx>
            <c:rich>
              <a:bodyPr/>
              <a:lstStyle/>
              <a:p>
                <a:pPr lvl="0">
                  <a:defRPr sz="1000" b="0" i="0">
                    <a:solidFill>
                      <a:srgbClr val="000000"/>
                    </a:solidFill>
                    <a:latin typeface="+mn-lt"/>
                  </a:defRPr>
                </a:pPr>
                <a:r>
                  <a:rPr lang="es-CL" sz="1000" b="0" i="0">
                    <a:solidFill>
                      <a:srgbClr val="000000"/>
                    </a:solidFill>
                    <a:latin typeface="+mn-lt"/>
                  </a:rPr>
                  <a:t>Día de la semana</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544823653"/>
        <c:crosses val="autoZero"/>
        <c:auto val="1"/>
        <c:lblAlgn val="ctr"/>
        <c:lblOffset val="100"/>
        <c:noMultiLvlLbl val="1"/>
      </c:catAx>
      <c:valAx>
        <c:axId val="544823653"/>
        <c:scaling>
          <c:orientation val="minMax"/>
        </c:scaling>
        <c:delete val="0"/>
        <c:axPos val="l"/>
        <c:title>
          <c:tx>
            <c:rich>
              <a:bodyPr/>
              <a:lstStyle/>
              <a:p>
                <a:pPr lvl="0">
                  <a:defRPr sz="1000" b="0" i="0">
                    <a:solidFill>
                      <a:srgbClr val="000000"/>
                    </a:solidFill>
                    <a:latin typeface="+mn-lt"/>
                  </a:defRPr>
                </a:pPr>
                <a:r>
                  <a:rPr lang="es-CL" sz="1000" b="0" i="0">
                    <a:solidFill>
                      <a:srgbClr val="000000"/>
                    </a:solidFill>
                    <a:latin typeface="+mn-lt"/>
                  </a:rPr>
                  <a:t>Costo total en km</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473210953"/>
        <c:crosses val="autoZero"/>
        <c:crossBetween val="between"/>
      </c:valAx>
    </c:plotArea>
    <c:legend>
      <c:legendPos val="r"/>
      <c:layout>
        <c:manualLayout>
          <c:xMode val="edge"/>
          <c:yMode val="edge"/>
          <c:x val="0.76273045126605554"/>
          <c:y val="0.30506923161550914"/>
        </c:manualLayout>
      </c:layout>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Costo total diario en la semana 4 del caso 3</a:t>
            </a:r>
          </a:p>
        </c:rich>
      </c:tx>
      <c:layout>
        <c:manualLayout>
          <c:xMode val="edge"/>
          <c:yMode val="edge"/>
          <c:x val="0.22679637871353034"/>
          <c:y val="2.3952095808383235E-2"/>
        </c:manualLayout>
      </c:layout>
      <c:overlay val="0"/>
    </c:title>
    <c:autoTitleDeleted val="0"/>
    <c:plotArea>
      <c:layout>
        <c:manualLayout>
          <c:xMode val="edge"/>
          <c:yMode val="edge"/>
          <c:x val="9.0930300379119283E-2"/>
          <c:y val="0.14806387225548903"/>
          <c:w val="0.74023815410754812"/>
          <c:h val="0.65870935294764799"/>
        </c:manualLayout>
      </c:layout>
      <c:lineChart>
        <c:grouping val="standard"/>
        <c:varyColors val="1"/>
        <c:ser>
          <c:idx val="0"/>
          <c:order val="0"/>
          <c:tx>
            <c:v>Costo_total</c:v>
          </c:tx>
          <c:spPr>
            <a:ln w="28575" cmpd="sng">
              <a:solidFill>
                <a:schemeClr val="accent1"/>
              </a:solidFill>
            </a:ln>
          </c:spPr>
          <c:marker>
            <c:symbol val="none"/>
          </c:marker>
          <c:cat>
            <c:strRef>
              <c:f>'S4'!$E$23:$E$32</c:f>
              <c:strCache>
                <c:ptCount val="10"/>
                <c:pt idx="0">
                  <c:v>Viernes</c:v>
                </c:pt>
                <c:pt idx="1">
                  <c:v>Sabado</c:v>
                </c:pt>
                <c:pt idx="2">
                  <c:v>Domingo</c:v>
                </c:pt>
                <c:pt idx="3">
                  <c:v>Lunes</c:v>
                </c:pt>
                <c:pt idx="4">
                  <c:v>Martes</c:v>
                </c:pt>
                <c:pt idx="5">
                  <c:v>Miercoles</c:v>
                </c:pt>
                <c:pt idx="6">
                  <c:v>Jueves</c:v>
                </c:pt>
                <c:pt idx="7">
                  <c:v>Viernes</c:v>
                </c:pt>
                <c:pt idx="8">
                  <c:v>Sabado</c:v>
                </c:pt>
                <c:pt idx="9">
                  <c:v>Domingo</c:v>
                </c:pt>
              </c:strCache>
            </c:strRef>
          </c:cat>
          <c:val>
            <c:numRef>
              <c:f>'S4'!$B$9:$B$16</c:f>
            </c:numRef>
          </c:val>
          <c:smooth val="0"/>
          <c:extLst>
            <c:ext xmlns:c16="http://schemas.microsoft.com/office/drawing/2014/chart" uri="{C3380CC4-5D6E-409C-BE32-E72D297353CC}">
              <c16:uniqueId val="{00000000-54CE-4800-807A-B2AE22CB5277}"/>
            </c:ext>
          </c:extLst>
        </c:ser>
        <c:ser>
          <c:idx val="1"/>
          <c:order val="1"/>
          <c:tx>
            <c:v>Cantidad Total de Flujos</c:v>
          </c:tx>
          <c:spPr>
            <a:ln w="28575" cmpd="sng">
              <a:solidFill>
                <a:schemeClr val="accent2"/>
              </a:solidFill>
            </a:ln>
          </c:spPr>
          <c:marker>
            <c:symbol val="none"/>
          </c:marker>
          <c:cat>
            <c:strRef>
              <c:f>'S4'!$E$23:$E$32</c:f>
              <c:strCache>
                <c:ptCount val="10"/>
                <c:pt idx="0">
                  <c:v>Viernes</c:v>
                </c:pt>
                <c:pt idx="1">
                  <c:v>Sabado</c:v>
                </c:pt>
                <c:pt idx="2">
                  <c:v>Domingo</c:v>
                </c:pt>
                <c:pt idx="3">
                  <c:v>Lunes</c:v>
                </c:pt>
                <c:pt idx="4">
                  <c:v>Martes</c:v>
                </c:pt>
                <c:pt idx="5">
                  <c:v>Miercoles</c:v>
                </c:pt>
                <c:pt idx="6">
                  <c:v>Jueves</c:v>
                </c:pt>
                <c:pt idx="7">
                  <c:v>Viernes</c:v>
                </c:pt>
                <c:pt idx="8">
                  <c:v>Sabado</c:v>
                </c:pt>
                <c:pt idx="9">
                  <c:v>Domingo</c:v>
                </c:pt>
              </c:strCache>
            </c:strRef>
          </c:cat>
          <c:val>
            <c:numRef>
              <c:f>'S4'!$D$9:$D$16</c:f>
            </c:numRef>
          </c:val>
          <c:smooth val="0"/>
          <c:extLst>
            <c:ext xmlns:c16="http://schemas.microsoft.com/office/drawing/2014/chart" uri="{C3380CC4-5D6E-409C-BE32-E72D297353CC}">
              <c16:uniqueId val="{00000001-54CE-4800-807A-B2AE22CB5277}"/>
            </c:ext>
          </c:extLst>
        </c:ser>
        <c:dLbls>
          <c:showLegendKey val="0"/>
          <c:showVal val="0"/>
          <c:showCatName val="0"/>
          <c:showSerName val="0"/>
          <c:showPercent val="0"/>
          <c:showBubbleSize val="0"/>
        </c:dLbls>
        <c:marker val="1"/>
        <c:smooth val="0"/>
        <c:axId val="219581015"/>
        <c:axId val="1925958817"/>
      </c:lineChart>
      <c:catAx>
        <c:axId val="219581015"/>
        <c:scaling>
          <c:orientation val="minMax"/>
        </c:scaling>
        <c:delete val="0"/>
        <c:axPos val="b"/>
        <c:title>
          <c:tx>
            <c:rich>
              <a:bodyPr/>
              <a:lstStyle/>
              <a:p>
                <a:pPr lvl="0">
                  <a:defRPr sz="1000" b="0" i="0">
                    <a:solidFill>
                      <a:srgbClr val="000000"/>
                    </a:solidFill>
                    <a:latin typeface="+mn-lt"/>
                  </a:defRPr>
                </a:pPr>
                <a:r>
                  <a:rPr sz="1000" b="0" i="0">
                    <a:solidFill>
                      <a:srgbClr val="000000"/>
                    </a:solidFill>
                    <a:latin typeface="+mn-lt"/>
                  </a:rPr>
                  <a:t>Día de la semana</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925958817"/>
        <c:crosses val="autoZero"/>
        <c:auto val="1"/>
        <c:lblAlgn val="ctr"/>
        <c:lblOffset val="100"/>
        <c:noMultiLvlLbl val="1"/>
      </c:catAx>
      <c:valAx>
        <c:axId val="1925958817"/>
        <c:scaling>
          <c:orientation val="minMax"/>
        </c:scaling>
        <c:delete val="0"/>
        <c:axPos val="l"/>
        <c:title>
          <c:tx>
            <c:rich>
              <a:bodyPr/>
              <a:lstStyle/>
              <a:p>
                <a:pPr lvl="0">
                  <a:defRPr sz="1000" b="0" i="0">
                    <a:solidFill>
                      <a:srgbClr val="000000"/>
                    </a:solidFill>
                    <a:latin typeface="+mn-lt"/>
                  </a:defRPr>
                </a:pPr>
                <a:r>
                  <a:rPr sz="1000" b="0" i="0">
                    <a:solidFill>
                      <a:srgbClr val="000000"/>
                    </a:solidFill>
                    <a:latin typeface="+mn-lt"/>
                  </a:rPr>
                  <a:t>Costo total en km</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219581015"/>
        <c:crosses val="autoZero"/>
        <c:crossBetween val="between"/>
      </c:valAx>
    </c:plotArea>
    <c:legend>
      <c:legendPos val="r"/>
      <c:layout>
        <c:manualLayout>
          <c:xMode val="edge"/>
          <c:yMode val="edge"/>
          <c:x val="0.76273045126605554"/>
          <c:y val="0.30506923161550914"/>
        </c:manualLayout>
      </c:layout>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22.xml"/><Relationship Id="rId3" Type="http://schemas.openxmlformats.org/officeDocument/2006/relationships/chart" Target="../charts/chart17.xml"/><Relationship Id="rId7" Type="http://schemas.openxmlformats.org/officeDocument/2006/relationships/chart" Target="../charts/chart21.xml"/><Relationship Id="rId12" Type="http://schemas.openxmlformats.org/officeDocument/2006/relationships/chart" Target="../charts/chart26.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5.xml"/><Relationship Id="rId5" Type="http://schemas.openxmlformats.org/officeDocument/2006/relationships/chart" Target="../charts/chart19.xml"/><Relationship Id="rId10" Type="http://schemas.openxmlformats.org/officeDocument/2006/relationships/chart" Target="../charts/chart24.xml"/><Relationship Id="rId4" Type="http://schemas.openxmlformats.org/officeDocument/2006/relationships/chart" Target="../charts/chart18.xml"/><Relationship Id="rId9" Type="http://schemas.openxmlformats.org/officeDocument/2006/relationships/chart" Target="../charts/chart23.xml"/></Relationships>
</file>

<file path=xl/drawings/_rels/drawing3.xml.rels><?xml version="1.0" encoding="UTF-8" standalone="yes"?>
<Relationships xmlns="http://schemas.openxmlformats.org/package/2006/relationships"><Relationship Id="rId8" Type="http://schemas.openxmlformats.org/officeDocument/2006/relationships/chart" Target="../charts/chart34.xml"/><Relationship Id="rId13" Type="http://schemas.openxmlformats.org/officeDocument/2006/relationships/chart" Target="../charts/chart39.xml"/><Relationship Id="rId3" Type="http://schemas.openxmlformats.org/officeDocument/2006/relationships/chart" Target="../charts/chart29.xml"/><Relationship Id="rId7" Type="http://schemas.openxmlformats.org/officeDocument/2006/relationships/chart" Target="../charts/chart33.xml"/><Relationship Id="rId12" Type="http://schemas.openxmlformats.org/officeDocument/2006/relationships/chart" Target="../charts/chart38.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11" Type="http://schemas.openxmlformats.org/officeDocument/2006/relationships/chart" Target="../charts/chart37.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 Id="rId14" Type="http://schemas.openxmlformats.org/officeDocument/2006/relationships/chart" Target="../charts/chart4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oneCellAnchor>
    <xdr:from>
      <xdr:col>5</xdr:col>
      <xdr:colOff>647700</xdr:colOff>
      <xdr:row>1</xdr:row>
      <xdr:rowOff>76200</xdr:rowOff>
    </xdr:from>
    <xdr:ext cx="4105275" cy="2676525"/>
    <xdr:graphicFrame macro="">
      <xdr:nvGraphicFramePr>
        <xdr:cNvPr id="1305486689" name="Chart 1">
          <a:extLst>
            <a:ext uri="{FF2B5EF4-FFF2-40B4-BE49-F238E27FC236}">
              <a16:creationId xmlns:a16="http://schemas.microsoft.com/office/drawing/2014/main" id="{00000000-0008-0000-0100-00006125D0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0</xdr:col>
      <xdr:colOff>0</xdr:colOff>
      <xdr:row>1</xdr:row>
      <xdr:rowOff>114300</xdr:rowOff>
    </xdr:from>
    <xdr:ext cx="4181475" cy="2676525"/>
    <xdr:graphicFrame macro="">
      <xdr:nvGraphicFramePr>
        <xdr:cNvPr id="936545237" name="Chart 2">
          <a:extLst>
            <a:ext uri="{FF2B5EF4-FFF2-40B4-BE49-F238E27FC236}">
              <a16:creationId xmlns:a16="http://schemas.microsoft.com/office/drawing/2014/main" id="{00000000-0008-0000-0100-0000D58BD2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0</xdr:col>
      <xdr:colOff>0</xdr:colOff>
      <xdr:row>18</xdr:row>
      <xdr:rowOff>0</xdr:rowOff>
    </xdr:from>
    <xdr:ext cx="4181475" cy="2686050"/>
    <xdr:graphicFrame macro="">
      <xdr:nvGraphicFramePr>
        <xdr:cNvPr id="391212995" name="Chart 3">
          <a:extLst>
            <a:ext uri="{FF2B5EF4-FFF2-40B4-BE49-F238E27FC236}">
              <a16:creationId xmlns:a16="http://schemas.microsoft.com/office/drawing/2014/main" id="{00000000-0008-0000-0100-0000C36F51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6</xdr:col>
      <xdr:colOff>0</xdr:colOff>
      <xdr:row>18</xdr:row>
      <xdr:rowOff>0</xdr:rowOff>
    </xdr:from>
    <xdr:ext cx="4181475" cy="2686050"/>
    <xdr:graphicFrame macro="">
      <xdr:nvGraphicFramePr>
        <xdr:cNvPr id="41234228" name="Chart 4">
          <a:extLst>
            <a:ext uri="{FF2B5EF4-FFF2-40B4-BE49-F238E27FC236}">
              <a16:creationId xmlns:a16="http://schemas.microsoft.com/office/drawing/2014/main" id="{00000000-0008-0000-0100-0000342F75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0</xdr:col>
      <xdr:colOff>0</xdr:colOff>
      <xdr:row>34</xdr:row>
      <xdr:rowOff>0</xdr:rowOff>
    </xdr:from>
    <xdr:ext cx="4181475" cy="2714625"/>
    <xdr:graphicFrame macro="">
      <xdr:nvGraphicFramePr>
        <xdr:cNvPr id="1944278501" name="Chart 5">
          <a:extLst>
            <a:ext uri="{FF2B5EF4-FFF2-40B4-BE49-F238E27FC236}">
              <a16:creationId xmlns:a16="http://schemas.microsoft.com/office/drawing/2014/main" id="{00000000-0008-0000-0100-0000E555E3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6</xdr:col>
      <xdr:colOff>0</xdr:colOff>
      <xdr:row>34</xdr:row>
      <xdr:rowOff>0</xdr:rowOff>
    </xdr:from>
    <xdr:ext cx="4181475" cy="2714625"/>
    <xdr:graphicFrame macro="">
      <xdr:nvGraphicFramePr>
        <xdr:cNvPr id="179419461" name="Chart 6">
          <a:extLst>
            <a:ext uri="{FF2B5EF4-FFF2-40B4-BE49-F238E27FC236}">
              <a16:creationId xmlns:a16="http://schemas.microsoft.com/office/drawing/2014/main" id="{00000000-0008-0000-0100-000045B9B1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0</xdr:col>
      <xdr:colOff>0</xdr:colOff>
      <xdr:row>51</xdr:row>
      <xdr:rowOff>0</xdr:rowOff>
    </xdr:from>
    <xdr:ext cx="4181475" cy="2714625"/>
    <xdr:graphicFrame macro="">
      <xdr:nvGraphicFramePr>
        <xdr:cNvPr id="1106909507" name="Chart 7">
          <a:extLst>
            <a:ext uri="{FF2B5EF4-FFF2-40B4-BE49-F238E27FC236}">
              <a16:creationId xmlns:a16="http://schemas.microsoft.com/office/drawing/2014/main" id="{00000000-0008-0000-0100-00004319FA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6</xdr:col>
      <xdr:colOff>0</xdr:colOff>
      <xdr:row>51</xdr:row>
      <xdr:rowOff>0</xdr:rowOff>
    </xdr:from>
    <xdr:ext cx="4181475" cy="2714625"/>
    <xdr:graphicFrame macro="">
      <xdr:nvGraphicFramePr>
        <xdr:cNvPr id="2038289740" name="Chart 8">
          <a:extLst>
            <a:ext uri="{FF2B5EF4-FFF2-40B4-BE49-F238E27FC236}">
              <a16:creationId xmlns:a16="http://schemas.microsoft.com/office/drawing/2014/main" id="{00000000-0008-0000-0100-00004CD57D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oneCellAnchor>
    <xdr:from>
      <xdr:col>0</xdr:col>
      <xdr:colOff>0</xdr:colOff>
      <xdr:row>68</xdr:row>
      <xdr:rowOff>0</xdr:rowOff>
    </xdr:from>
    <xdr:ext cx="4181475" cy="2714625"/>
    <xdr:graphicFrame macro="">
      <xdr:nvGraphicFramePr>
        <xdr:cNvPr id="722618959" name="Chart 9">
          <a:extLst>
            <a:ext uri="{FF2B5EF4-FFF2-40B4-BE49-F238E27FC236}">
              <a16:creationId xmlns:a16="http://schemas.microsoft.com/office/drawing/2014/main" id="{00000000-0008-0000-0100-00004F4A12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oneCellAnchor>
  <xdr:oneCellAnchor>
    <xdr:from>
      <xdr:col>6</xdr:col>
      <xdr:colOff>0</xdr:colOff>
      <xdr:row>68</xdr:row>
      <xdr:rowOff>0</xdr:rowOff>
    </xdr:from>
    <xdr:ext cx="4181475" cy="2714625"/>
    <xdr:graphicFrame macro="">
      <xdr:nvGraphicFramePr>
        <xdr:cNvPr id="249799017" name="Chart 10">
          <a:extLst>
            <a:ext uri="{FF2B5EF4-FFF2-40B4-BE49-F238E27FC236}">
              <a16:creationId xmlns:a16="http://schemas.microsoft.com/office/drawing/2014/main" id="{00000000-0008-0000-0100-000069A1E3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oneCellAnchor>
  <xdr:oneCellAnchor>
    <xdr:from>
      <xdr:col>0</xdr:col>
      <xdr:colOff>0</xdr:colOff>
      <xdr:row>85</xdr:row>
      <xdr:rowOff>0</xdr:rowOff>
    </xdr:from>
    <xdr:ext cx="4181475" cy="2714625"/>
    <xdr:graphicFrame macro="">
      <xdr:nvGraphicFramePr>
        <xdr:cNvPr id="965205133" name="Chart 11">
          <a:extLst>
            <a:ext uri="{FF2B5EF4-FFF2-40B4-BE49-F238E27FC236}">
              <a16:creationId xmlns:a16="http://schemas.microsoft.com/office/drawing/2014/main" id="{00000000-0008-0000-0100-00008DDC87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oneCellAnchor>
  <xdr:oneCellAnchor>
    <xdr:from>
      <xdr:col>6</xdr:col>
      <xdr:colOff>0</xdr:colOff>
      <xdr:row>85</xdr:row>
      <xdr:rowOff>0</xdr:rowOff>
    </xdr:from>
    <xdr:ext cx="4181475" cy="2714625"/>
    <xdr:graphicFrame macro="">
      <xdr:nvGraphicFramePr>
        <xdr:cNvPr id="1003333539" name="Chart 12">
          <a:extLst>
            <a:ext uri="{FF2B5EF4-FFF2-40B4-BE49-F238E27FC236}">
              <a16:creationId xmlns:a16="http://schemas.microsoft.com/office/drawing/2014/main" id="{00000000-0008-0000-0100-0000A3A7CD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fLocksWithSheet="0"/>
  </xdr:oneCellAnchor>
  <xdr:oneCellAnchor>
    <xdr:from>
      <xdr:col>0</xdr:col>
      <xdr:colOff>0</xdr:colOff>
      <xdr:row>102</xdr:row>
      <xdr:rowOff>0</xdr:rowOff>
    </xdr:from>
    <xdr:ext cx="4181475" cy="2714625"/>
    <xdr:graphicFrame macro="">
      <xdr:nvGraphicFramePr>
        <xdr:cNvPr id="951522888" name="Chart 13">
          <a:extLst>
            <a:ext uri="{FF2B5EF4-FFF2-40B4-BE49-F238E27FC236}">
              <a16:creationId xmlns:a16="http://schemas.microsoft.com/office/drawing/2014/main" id="{00000000-0008-0000-0100-00004816B7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fLocksWithSheet="0"/>
  </xdr:oneCellAnchor>
  <xdr:oneCellAnchor>
    <xdr:from>
      <xdr:col>6</xdr:col>
      <xdr:colOff>0</xdr:colOff>
      <xdr:row>102</xdr:row>
      <xdr:rowOff>0</xdr:rowOff>
    </xdr:from>
    <xdr:ext cx="4181475" cy="2714625"/>
    <xdr:graphicFrame macro="">
      <xdr:nvGraphicFramePr>
        <xdr:cNvPr id="849172907" name="Chart 14">
          <a:extLst>
            <a:ext uri="{FF2B5EF4-FFF2-40B4-BE49-F238E27FC236}">
              <a16:creationId xmlns:a16="http://schemas.microsoft.com/office/drawing/2014/main" id="{00000000-0008-0000-0100-0000AB599D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dr:oneCellAnchor>
    <xdr:from>
      <xdr:col>10</xdr:col>
      <xdr:colOff>1000125</xdr:colOff>
      <xdr:row>71</xdr:row>
      <xdr:rowOff>28575</xdr:rowOff>
    </xdr:from>
    <xdr:ext cx="7048500" cy="2695575"/>
    <xdr:graphicFrame macro="">
      <xdr:nvGraphicFramePr>
        <xdr:cNvPr id="927281904" name="Chart 15" title="Gráfico">
          <a:extLst>
            <a:ext uri="{FF2B5EF4-FFF2-40B4-BE49-F238E27FC236}">
              <a16:creationId xmlns:a16="http://schemas.microsoft.com/office/drawing/2014/main" id="{00000000-0008-0000-0200-0000F03245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10</xdr:col>
      <xdr:colOff>1000125</xdr:colOff>
      <xdr:row>69</xdr:row>
      <xdr:rowOff>133350</xdr:rowOff>
    </xdr:from>
    <xdr:ext cx="7096125" cy="2705100"/>
    <xdr:graphicFrame macro="">
      <xdr:nvGraphicFramePr>
        <xdr:cNvPr id="2066838405" name="Chart 16" title="Gráfico">
          <a:extLst>
            <a:ext uri="{FF2B5EF4-FFF2-40B4-BE49-F238E27FC236}">
              <a16:creationId xmlns:a16="http://schemas.microsoft.com/office/drawing/2014/main" id="{00000000-0008-0000-0200-0000857331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29</xdr:col>
      <xdr:colOff>38100</xdr:colOff>
      <xdr:row>99</xdr:row>
      <xdr:rowOff>104775</xdr:rowOff>
    </xdr:from>
    <xdr:ext cx="6800850" cy="3705225"/>
    <xdr:graphicFrame macro="">
      <xdr:nvGraphicFramePr>
        <xdr:cNvPr id="1848734505" name="Chart 17" title="Gráfico">
          <a:extLst>
            <a:ext uri="{FF2B5EF4-FFF2-40B4-BE49-F238E27FC236}">
              <a16:creationId xmlns:a16="http://schemas.microsoft.com/office/drawing/2014/main" id="{00000000-0008-0000-0200-0000297331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28</xdr:col>
      <xdr:colOff>247650</xdr:colOff>
      <xdr:row>73</xdr:row>
      <xdr:rowOff>161925</xdr:rowOff>
    </xdr:from>
    <xdr:ext cx="7077075" cy="2333625"/>
    <xdr:graphicFrame macro="">
      <xdr:nvGraphicFramePr>
        <xdr:cNvPr id="309847870" name="Chart 18" title="Gráfico">
          <a:extLst>
            <a:ext uri="{FF2B5EF4-FFF2-40B4-BE49-F238E27FC236}">
              <a16:creationId xmlns:a16="http://schemas.microsoft.com/office/drawing/2014/main" id="{00000000-0008-0000-0200-00003EE777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53</xdr:col>
      <xdr:colOff>762000</xdr:colOff>
      <xdr:row>73</xdr:row>
      <xdr:rowOff>95250</xdr:rowOff>
    </xdr:from>
    <xdr:ext cx="6962775" cy="2724150"/>
    <xdr:graphicFrame macro="">
      <xdr:nvGraphicFramePr>
        <xdr:cNvPr id="1659940142" name="Chart 21" title="Gráfico">
          <a:extLst>
            <a:ext uri="{FF2B5EF4-FFF2-40B4-BE49-F238E27FC236}">
              <a16:creationId xmlns:a16="http://schemas.microsoft.com/office/drawing/2014/main" id="{00000000-0008-0000-0200-00002EADF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53</xdr:col>
      <xdr:colOff>685800</xdr:colOff>
      <xdr:row>74</xdr:row>
      <xdr:rowOff>38100</xdr:rowOff>
    </xdr:from>
    <xdr:ext cx="6924675" cy="2724150"/>
    <xdr:graphicFrame macro="">
      <xdr:nvGraphicFramePr>
        <xdr:cNvPr id="1591057830" name="Chart 22" title="Gráfico">
          <a:extLst>
            <a:ext uri="{FF2B5EF4-FFF2-40B4-BE49-F238E27FC236}">
              <a16:creationId xmlns:a16="http://schemas.microsoft.com/office/drawing/2014/main" id="{00000000-0008-0000-0200-0000A69DD5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65</xdr:col>
      <xdr:colOff>0</xdr:colOff>
      <xdr:row>71</xdr:row>
      <xdr:rowOff>47625</xdr:rowOff>
    </xdr:from>
    <xdr:ext cx="6867525" cy="2724150"/>
    <xdr:graphicFrame macro="">
      <xdr:nvGraphicFramePr>
        <xdr:cNvPr id="1379719592" name="Chart 23" title="Gráfico">
          <a:extLst>
            <a:ext uri="{FF2B5EF4-FFF2-40B4-BE49-F238E27FC236}">
              <a16:creationId xmlns:a16="http://schemas.microsoft.com/office/drawing/2014/main" id="{00000000-0008-0000-0200-0000A8D93C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67</xdr:col>
      <xdr:colOff>1228725</xdr:colOff>
      <xdr:row>67</xdr:row>
      <xdr:rowOff>104775</xdr:rowOff>
    </xdr:from>
    <xdr:ext cx="6877050" cy="2724150"/>
    <xdr:graphicFrame macro="">
      <xdr:nvGraphicFramePr>
        <xdr:cNvPr id="1935992632" name="Chart 24" title="Gráfico">
          <a:extLst>
            <a:ext uri="{FF2B5EF4-FFF2-40B4-BE49-F238E27FC236}">
              <a16:creationId xmlns:a16="http://schemas.microsoft.com/office/drawing/2014/main" id="{00000000-0008-0000-0200-000038E764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oneCellAnchor>
    <xdr:from>
      <xdr:col>73</xdr:col>
      <xdr:colOff>504825</xdr:colOff>
      <xdr:row>69</xdr:row>
      <xdr:rowOff>85725</xdr:rowOff>
    </xdr:from>
    <xdr:ext cx="6972300" cy="2724150"/>
    <xdr:graphicFrame macro="">
      <xdr:nvGraphicFramePr>
        <xdr:cNvPr id="469004473" name="Chart 25" title="Gráfico">
          <a:extLst>
            <a:ext uri="{FF2B5EF4-FFF2-40B4-BE49-F238E27FC236}">
              <a16:creationId xmlns:a16="http://schemas.microsoft.com/office/drawing/2014/main" id="{00000000-0008-0000-0200-0000B970F4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oneCellAnchor>
  <xdr:oneCellAnchor>
    <xdr:from>
      <xdr:col>77</xdr:col>
      <xdr:colOff>476250</xdr:colOff>
      <xdr:row>65</xdr:row>
      <xdr:rowOff>142875</xdr:rowOff>
    </xdr:from>
    <xdr:ext cx="6972300" cy="2724150"/>
    <xdr:graphicFrame macro="">
      <xdr:nvGraphicFramePr>
        <xdr:cNvPr id="519354735" name="Chart 26" title="Gráfico">
          <a:extLst>
            <a:ext uri="{FF2B5EF4-FFF2-40B4-BE49-F238E27FC236}">
              <a16:creationId xmlns:a16="http://schemas.microsoft.com/office/drawing/2014/main" id="{00000000-0008-0000-0200-00006FB9F4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oneCellAnchor>
  <xdr:oneCellAnchor>
    <xdr:from>
      <xdr:col>0</xdr:col>
      <xdr:colOff>0</xdr:colOff>
      <xdr:row>93</xdr:row>
      <xdr:rowOff>85725</xdr:rowOff>
    </xdr:from>
    <xdr:ext cx="6381750" cy="2724150"/>
    <xdr:graphicFrame macro="">
      <xdr:nvGraphicFramePr>
        <xdr:cNvPr id="2113989187" name="Chart 27" title="Gráfico">
          <a:extLst>
            <a:ext uri="{FF2B5EF4-FFF2-40B4-BE49-F238E27FC236}">
              <a16:creationId xmlns:a16="http://schemas.microsoft.com/office/drawing/2014/main" id="{00000000-0008-0000-0200-000043EA00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oneCellAnchor>
  <xdr:oneCellAnchor>
    <xdr:from>
      <xdr:col>0</xdr:col>
      <xdr:colOff>0</xdr:colOff>
      <xdr:row>92</xdr:row>
      <xdr:rowOff>9525</xdr:rowOff>
    </xdr:from>
    <xdr:ext cx="6372225" cy="2724150"/>
    <xdr:graphicFrame macro="">
      <xdr:nvGraphicFramePr>
        <xdr:cNvPr id="2074147620" name="Chart 28" title="Gráfico">
          <a:extLst>
            <a:ext uri="{FF2B5EF4-FFF2-40B4-BE49-F238E27FC236}">
              <a16:creationId xmlns:a16="http://schemas.microsoft.com/office/drawing/2014/main" id="{00000000-0008-0000-0200-000024FBA0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fLocksWithSheet="0"/>
  </xdr:oneCellAnchor>
  <xdr:oneCellAnchor>
    <xdr:from>
      <xdr:col>19</xdr:col>
      <xdr:colOff>695325</xdr:colOff>
      <xdr:row>209</xdr:row>
      <xdr:rowOff>9525</xdr:rowOff>
    </xdr:from>
    <xdr:ext cx="9629775" cy="981075"/>
    <xdr:sp macro="" textlink="">
      <xdr:nvSpPr>
        <xdr:cNvPr id="3" name="Shape 3">
          <a:extLst>
            <a:ext uri="{FF2B5EF4-FFF2-40B4-BE49-F238E27FC236}">
              <a16:creationId xmlns:a16="http://schemas.microsoft.com/office/drawing/2014/main" id="{00000000-0008-0000-0200-000003000000}"/>
            </a:ext>
          </a:extLst>
        </xdr:cNvPr>
        <xdr:cNvSpPr txBox="1"/>
      </xdr:nvSpPr>
      <xdr:spPr>
        <a:xfrm>
          <a:off x="535875" y="3289463"/>
          <a:ext cx="9620250" cy="98107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El jueves esta menos desequilibrado ya que el costo promedio de reequilibrar la red es más bajo que los demás días, que tienen un costo promedio alto, lo que sugiere que el sistema se tienden a desbalancear más estos días.</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Debo hacer más movimientos para reequilibrar el sistema. más flujos.</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El martes y viernes tiene más flujos</a:t>
          </a:r>
          <a:endParaRPr sz="1100"/>
        </a:p>
      </xdr:txBody>
    </xdr:sp>
    <xdr:clientData fLocksWithSheet="0"/>
  </xdr:oneCellAnchor>
  <xdr:oneCellAnchor>
    <xdr:from>
      <xdr:col>0</xdr:col>
      <xdr:colOff>352425</xdr:colOff>
      <xdr:row>0</xdr:row>
      <xdr:rowOff>95250</xdr:rowOff>
    </xdr:from>
    <xdr:ext cx="13058775" cy="752475"/>
    <xdr:sp macro="" textlink="">
      <xdr:nvSpPr>
        <xdr:cNvPr id="4" name="Shape 4">
          <a:extLst>
            <a:ext uri="{FF2B5EF4-FFF2-40B4-BE49-F238E27FC236}">
              <a16:creationId xmlns:a16="http://schemas.microsoft.com/office/drawing/2014/main" id="{00000000-0008-0000-0200-000004000000}"/>
            </a:ext>
          </a:extLst>
        </xdr:cNvPr>
        <xdr:cNvSpPr txBox="1"/>
      </xdr:nvSpPr>
      <xdr:spPr>
        <a:xfrm>
          <a:off x="0" y="3408525"/>
          <a:ext cx="10692000" cy="742950"/>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b="1">
              <a:solidFill>
                <a:schemeClr val="dk1"/>
              </a:solidFill>
              <a:latin typeface="Calibri"/>
              <a:ea typeface="Calibri"/>
              <a:cs typeface="Calibri"/>
              <a:sym typeface="Calibri"/>
            </a:rPr>
            <a:t>Caso 3: </a:t>
          </a:r>
          <a:r>
            <a:rPr lang="en-US" sz="1100" b="1" i="0" u="none" strike="noStrike">
              <a:solidFill>
                <a:schemeClr val="dk1"/>
              </a:solidFill>
              <a:latin typeface="Calibri"/>
              <a:ea typeface="Calibri"/>
              <a:cs typeface="Calibri"/>
              <a:sym typeface="Calibri"/>
            </a:rPr>
            <a:t> </a:t>
          </a:r>
          <a:r>
            <a:rPr lang="en-US" sz="1100" b="0" i="0" u="none" strike="noStrike">
              <a:solidFill>
                <a:schemeClr val="dk1"/>
              </a:solidFill>
              <a:latin typeface="Calibri"/>
              <a:ea typeface="Calibri"/>
              <a:cs typeface="Calibri"/>
              <a:sym typeface="Calibri"/>
            </a:rPr>
            <a:t>Al ver que el caso 1 daba mayor distancia recorrida que el caso 2 que consideraba estaciones distribuidas de manera más homogéneas que el caso 1, se decidió realizar el caso 3, en este se seleccionaron las estaciones en base a la asímetria al igual que en el caso 1, pero ahora se eligieron 10 estaciones más de llenado y vaciado pero considerando todas las comunas, no solo las más problemáticas consideradas por la empresa. </a:t>
          </a:r>
          <a:endParaRPr sz="1100"/>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4</xdr:col>
      <xdr:colOff>419100</xdr:colOff>
      <xdr:row>56</xdr:row>
      <xdr:rowOff>114300</xdr:rowOff>
    </xdr:from>
    <xdr:ext cx="7048500" cy="2695575"/>
    <xdr:graphicFrame macro="">
      <xdr:nvGraphicFramePr>
        <xdr:cNvPr id="189391818" name="Chart 29">
          <a:extLst>
            <a:ext uri="{FF2B5EF4-FFF2-40B4-BE49-F238E27FC236}">
              <a16:creationId xmlns:a16="http://schemas.microsoft.com/office/drawing/2014/main" id="{00000000-0008-0000-0300-0000CAE349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4</xdr:col>
      <xdr:colOff>133350</xdr:colOff>
      <xdr:row>57</xdr:row>
      <xdr:rowOff>171450</xdr:rowOff>
    </xdr:from>
    <xdr:ext cx="7096125" cy="2705100"/>
    <xdr:graphicFrame macro="">
      <xdr:nvGraphicFramePr>
        <xdr:cNvPr id="937110288" name="Chart 30">
          <a:extLst>
            <a:ext uri="{FF2B5EF4-FFF2-40B4-BE49-F238E27FC236}">
              <a16:creationId xmlns:a16="http://schemas.microsoft.com/office/drawing/2014/main" id="{00000000-0008-0000-0300-0000102BDB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37</xdr:col>
      <xdr:colOff>904875</xdr:colOff>
      <xdr:row>55</xdr:row>
      <xdr:rowOff>19050</xdr:rowOff>
    </xdr:from>
    <xdr:ext cx="6800850" cy="3705225"/>
    <xdr:graphicFrame macro="">
      <xdr:nvGraphicFramePr>
        <xdr:cNvPr id="198810980" name="Chart 31">
          <a:extLst>
            <a:ext uri="{FF2B5EF4-FFF2-40B4-BE49-F238E27FC236}">
              <a16:creationId xmlns:a16="http://schemas.microsoft.com/office/drawing/2014/main" id="{00000000-0008-0000-0300-0000649DD9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36</xdr:col>
      <xdr:colOff>666750</xdr:colOff>
      <xdr:row>80</xdr:row>
      <xdr:rowOff>85725</xdr:rowOff>
    </xdr:from>
    <xdr:ext cx="7077075" cy="2333625"/>
    <xdr:graphicFrame macro="">
      <xdr:nvGraphicFramePr>
        <xdr:cNvPr id="1099427496" name="Chart 32">
          <a:extLst>
            <a:ext uri="{FF2B5EF4-FFF2-40B4-BE49-F238E27FC236}">
              <a16:creationId xmlns:a16="http://schemas.microsoft.com/office/drawing/2014/main" id="{00000000-0008-0000-0300-0000A8EE87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52</xdr:col>
      <xdr:colOff>381000</xdr:colOff>
      <xdr:row>72</xdr:row>
      <xdr:rowOff>57150</xdr:rowOff>
    </xdr:from>
    <xdr:ext cx="6896100" cy="2733675"/>
    <xdr:graphicFrame macro="">
      <xdr:nvGraphicFramePr>
        <xdr:cNvPr id="1275982938" name="Chart 33">
          <a:extLst>
            <a:ext uri="{FF2B5EF4-FFF2-40B4-BE49-F238E27FC236}">
              <a16:creationId xmlns:a16="http://schemas.microsoft.com/office/drawing/2014/main" id="{00000000-0008-0000-0300-00005AF40D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52</xdr:col>
      <xdr:colOff>485775</xdr:colOff>
      <xdr:row>71</xdr:row>
      <xdr:rowOff>152400</xdr:rowOff>
    </xdr:from>
    <xdr:ext cx="6896100" cy="2733675"/>
    <xdr:graphicFrame macro="">
      <xdr:nvGraphicFramePr>
        <xdr:cNvPr id="836030813" name="Chart 34">
          <a:extLst>
            <a:ext uri="{FF2B5EF4-FFF2-40B4-BE49-F238E27FC236}">
              <a16:creationId xmlns:a16="http://schemas.microsoft.com/office/drawing/2014/main" id="{00000000-0008-0000-0300-00005DD1D4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60</xdr:col>
      <xdr:colOff>333375</xdr:colOff>
      <xdr:row>60</xdr:row>
      <xdr:rowOff>123825</xdr:rowOff>
    </xdr:from>
    <xdr:ext cx="6962775" cy="2724150"/>
    <xdr:graphicFrame macro="">
      <xdr:nvGraphicFramePr>
        <xdr:cNvPr id="1367806555" name="Chart 35">
          <a:extLst>
            <a:ext uri="{FF2B5EF4-FFF2-40B4-BE49-F238E27FC236}">
              <a16:creationId xmlns:a16="http://schemas.microsoft.com/office/drawing/2014/main" id="{00000000-0008-0000-0300-00005B1287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60</xdr:col>
      <xdr:colOff>733425</xdr:colOff>
      <xdr:row>66</xdr:row>
      <xdr:rowOff>76200</xdr:rowOff>
    </xdr:from>
    <xdr:ext cx="6924675" cy="2724150"/>
    <xdr:graphicFrame macro="">
      <xdr:nvGraphicFramePr>
        <xdr:cNvPr id="852896616" name="Chart 36">
          <a:extLst>
            <a:ext uri="{FF2B5EF4-FFF2-40B4-BE49-F238E27FC236}">
              <a16:creationId xmlns:a16="http://schemas.microsoft.com/office/drawing/2014/main" id="{00000000-0008-0000-0300-0000682BD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oneCellAnchor>
    <xdr:from>
      <xdr:col>70</xdr:col>
      <xdr:colOff>504825</xdr:colOff>
      <xdr:row>60</xdr:row>
      <xdr:rowOff>38100</xdr:rowOff>
    </xdr:from>
    <xdr:ext cx="6867525" cy="2724150"/>
    <xdr:graphicFrame macro="">
      <xdr:nvGraphicFramePr>
        <xdr:cNvPr id="1398006443" name="Chart 37">
          <a:extLst>
            <a:ext uri="{FF2B5EF4-FFF2-40B4-BE49-F238E27FC236}">
              <a16:creationId xmlns:a16="http://schemas.microsoft.com/office/drawing/2014/main" id="{00000000-0008-0000-0300-0000ABE253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oneCellAnchor>
  <xdr:oneCellAnchor>
    <xdr:from>
      <xdr:col>69</xdr:col>
      <xdr:colOff>942975</xdr:colOff>
      <xdr:row>64</xdr:row>
      <xdr:rowOff>171450</xdr:rowOff>
    </xdr:from>
    <xdr:ext cx="6877050" cy="2724150"/>
    <xdr:graphicFrame macro="">
      <xdr:nvGraphicFramePr>
        <xdr:cNvPr id="860068244" name="Chart 38">
          <a:extLst>
            <a:ext uri="{FF2B5EF4-FFF2-40B4-BE49-F238E27FC236}">
              <a16:creationId xmlns:a16="http://schemas.microsoft.com/office/drawing/2014/main" id="{00000000-0008-0000-0300-0000949943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oneCellAnchor>
  <xdr:oneCellAnchor>
    <xdr:from>
      <xdr:col>78</xdr:col>
      <xdr:colOff>800100</xdr:colOff>
      <xdr:row>59</xdr:row>
      <xdr:rowOff>95250</xdr:rowOff>
    </xdr:from>
    <xdr:ext cx="6972300" cy="2724150"/>
    <xdr:graphicFrame macro="">
      <xdr:nvGraphicFramePr>
        <xdr:cNvPr id="468882115" name="Chart 39">
          <a:extLst>
            <a:ext uri="{FF2B5EF4-FFF2-40B4-BE49-F238E27FC236}">
              <a16:creationId xmlns:a16="http://schemas.microsoft.com/office/drawing/2014/main" id="{00000000-0008-0000-0300-0000C392F2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oneCellAnchor>
  <xdr:oneCellAnchor>
    <xdr:from>
      <xdr:col>78</xdr:col>
      <xdr:colOff>819150</xdr:colOff>
      <xdr:row>63</xdr:row>
      <xdr:rowOff>9525</xdr:rowOff>
    </xdr:from>
    <xdr:ext cx="6972300" cy="2724150"/>
    <xdr:graphicFrame macro="">
      <xdr:nvGraphicFramePr>
        <xdr:cNvPr id="1507751118" name="Chart 40">
          <a:extLst>
            <a:ext uri="{FF2B5EF4-FFF2-40B4-BE49-F238E27FC236}">
              <a16:creationId xmlns:a16="http://schemas.microsoft.com/office/drawing/2014/main" id="{00000000-0008-0000-0300-0000CE74DE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fLocksWithSheet="0"/>
  </xdr:oneCellAnchor>
  <xdr:oneCellAnchor>
    <xdr:from>
      <xdr:col>1</xdr:col>
      <xdr:colOff>457200</xdr:colOff>
      <xdr:row>94</xdr:row>
      <xdr:rowOff>104775</xdr:rowOff>
    </xdr:from>
    <xdr:ext cx="6381750" cy="2724150"/>
    <xdr:graphicFrame macro="">
      <xdr:nvGraphicFramePr>
        <xdr:cNvPr id="1601168504" name="Chart 41">
          <a:extLst>
            <a:ext uri="{FF2B5EF4-FFF2-40B4-BE49-F238E27FC236}">
              <a16:creationId xmlns:a16="http://schemas.microsoft.com/office/drawing/2014/main" id="{00000000-0008-0000-0300-000078E46F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fLocksWithSheet="0"/>
  </xdr:oneCellAnchor>
  <xdr:oneCellAnchor>
    <xdr:from>
      <xdr:col>1</xdr:col>
      <xdr:colOff>742950</xdr:colOff>
      <xdr:row>101</xdr:row>
      <xdr:rowOff>9525</xdr:rowOff>
    </xdr:from>
    <xdr:ext cx="6372225" cy="2724150"/>
    <xdr:graphicFrame macro="">
      <xdr:nvGraphicFramePr>
        <xdr:cNvPr id="1665251670" name="Chart 42">
          <a:extLst>
            <a:ext uri="{FF2B5EF4-FFF2-40B4-BE49-F238E27FC236}">
              <a16:creationId xmlns:a16="http://schemas.microsoft.com/office/drawing/2014/main" id="{00000000-0008-0000-0300-000056B941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fLocksWithSheet="0"/>
  </xdr:oneCellAnchor>
  <xdr:oneCellAnchor>
    <xdr:from>
      <xdr:col>22</xdr:col>
      <xdr:colOff>695325</xdr:colOff>
      <xdr:row>180</xdr:row>
      <xdr:rowOff>9525</xdr:rowOff>
    </xdr:from>
    <xdr:ext cx="9629775" cy="981075"/>
    <xdr:sp macro="" textlink="">
      <xdr:nvSpPr>
        <xdr:cNvPr id="3" name="Shape 3">
          <a:extLst>
            <a:ext uri="{FF2B5EF4-FFF2-40B4-BE49-F238E27FC236}">
              <a16:creationId xmlns:a16="http://schemas.microsoft.com/office/drawing/2014/main" id="{00000000-0008-0000-0300-000003000000}"/>
            </a:ext>
          </a:extLst>
        </xdr:cNvPr>
        <xdr:cNvSpPr txBox="1"/>
      </xdr:nvSpPr>
      <xdr:spPr>
        <a:xfrm>
          <a:off x="535875" y="3289463"/>
          <a:ext cx="9620250" cy="98107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El jueves esta menos desequilibrado ya que el costo promedio de reequilibrar la red es más bajo que los demás días, que tienen un costo promedio alto, lo que sugiere que el sistema se tienden a desbalancear más estos días.</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Debo hacer más movimientos para reequilibrar el sistema. más flujos.</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El martes y viernes tiene más flujos</a:t>
          </a:r>
          <a:endParaRPr sz="1100"/>
        </a:p>
      </xdr:txBody>
    </xdr:sp>
    <xdr:clientData fLocksWithSheet="0"/>
  </xdr:oneCellAnchor>
  <xdr:oneCellAnchor>
    <xdr:from>
      <xdr:col>0</xdr:col>
      <xdr:colOff>352425</xdr:colOff>
      <xdr:row>0</xdr:row>
      <xdr:rowOff>95250</xdr:rowOff>
    </xdr:from>
    <xdr:ext cx="13058775" cy="752475"/>
    <xdr:sp macro="" textlink="">
      <xdr:nvSpPr>
        <xdr:cNvPr id="4" name="Shape 4">
          <a:extLst>
            <a:ext uri="{FF2B5EF4-FFF2-40B4-BE49-F238E27FC236}">
              <a16:creationId xmlns:a16="http://schemas.microsoft.com/office/drawing/2014/main" id="{00000000-0008-0000-0300-000004000000}"/>
            </a:ext>
          </a:extLst>
        </xdr:cNvPr>
        <xdr:cNvSpPr txBox="1"/>
      </xdr:nvSpPr>
      <xdr:spPr>
        <a:xfrm>
          <a:off x="0" y="3408525"/>
          <a:ext cx="10692000" cy="742950"/>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b="1">
              <a:solidFill>
                <a:schemeClr val="dk1"/>
              </a:solidFill>
              <a:latin typeface="Calibri"/>
              <a:ea typeface="Calibri"/>
              <a:cs typeface="Calibri"/>
              <a:sym typeface="Calibri"/>
            </a:rPr>
            <a:t>Caso 3: </a:t>
          </a:r>
          <a:r>
            <a:rPr lang="en-US" sz="1100" b="1" i="0" u="none" strike="noStrike">
              <a:solidFill>
                <a:schemeClr val="dk1"/>
              </a:solidFill>
              <a:latin typeface="Calibri"/>
              <a:ea typeface="Calibri"/>
              <a:cs typeface="Calibri"/>
              <a:sym typeface="Calibri"/>
            </a:rPr>
            <a:t> </a:t>
          </a:r>
          <a:r>
            <a:rPr lang="en-US" sz="1100" b="0" i="0" u="none" strike="noStrike">
              <a:solidFill>
                <a:schemeClr val="dk1"/>
              </a:solidFill>
              <a:latin typeface="Calibri"/>
              <a:ea typeface="Calibri"/>
              <a:cs typeface="Calibri"/>
              <a:sym typeface="Calibri"/>
            </a:rPr>
            <a:t>Al ver que el caso 1 daba mayor distancia recorrida que el caso 2 que consideraba estaciones distribuidas de manera más homogéneas que el caso 1, se decidió realizar el caso 3, en este se seleccionaron las estaciones en base a la asímetria al igual que en el caso 1, pero ahora se eligieron 10 estaciones más de llenado y vaciado pero considerando todas las comunas, no solo las más problemáticas consideradas por la empresa. </a:t>
          </a:r>
          <a:endParaRPr sz="1100"/>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5</xdr:col>
      <xdr:colOff>514350</xdr:colOff>
      <xdr:row>3</xdr:row>
      <xdr:rowOff>85725</xdr:rowOff>
    </xdr:from>
    <xdr:ext cx="5791200" cy="7305675"/>
    <xdr:graphicFrame macro="">
      <xdr:nvGraphicFramePr>
        <xdr:cNvPr id="838343079" name="Chart 43">
          <a:extLst>
            <a:ext uri="{FF2B5EF4-FFF2-40B4-BE49-F238E27FC236}">
              <a16:creationId xmlns:a16="http://schemas.microsoft.com/office/drawing/2014/main" id="{00000000-0008-0000-0500-0000A719F8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5.xml><?xml version="1.0" encoding="utf-8"?>
<xdr:wsDr xmlns:xdr="http://schemas.openxmlformats.org/drawingml/2006/spreadsheetDrawing" xmlns:a="http://schemas.openxmlformats.org/drawingml/2006/main">
  <xdr:oneCellAnchor>
    <xdr:from>
      <xdr:col>5</xdr:col>
      <xdr:colOff>514350</xdr:colOff>
      <xdr:row>3</xdr:row>
      <xdr:rowOff>85725</xdr:rowOff>
    </xdr:from>
    <xdr:ext cx="5791200" cy="7305675"/>
    <xdr:graphicFrame macro="">
      <xdr:nvGraphicFramePr>
        <xdr:cNvPr id="27523465" name="Chart 44">
          <a:extLst>
            <a:ext uri="{FF2B5EF4-FFF2-40B4-BE49-F238E27FC236}">
              <a16:creationId xmlns:a16="http://schemas.microsoft.com/office/drawing/2014/main" id="{00000000-0008-0000-0600-000089F9A3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dr:oneCellAnchor>
    <xdr:from>
      <xdr:col>5</xdr:col>
      <xdr:colOff>514350</xdr:colOff>
      <xdr:row>3</xdr:row>
      <xdr:rowOff>85725</xdr:rowOff>
    </xdr:from>
    <xdr:ext cx="5791200" cy="7305675"/>
    <xdr:graphicFrame macro="">
      <xdr:nvGraphicFramePr>
        <xdr:cNvPr id="1445098173" name="Chart 45">
          <a:extLst>
            <a:ext uri="{FF2B5EF4-FFF2-40B4-BE49-F238E27FC236}">
              <a16:creationId xmlns:a16="http://schemas.microsoft.com/office/drawing/2014/main" id="{00000000-0008-0000-0700-0000BD7222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dr:oneCellAnchor>
    <xdr:from>
      <xdr:col>5</xdr:col>
      <xdr:colOff>514350</xdr:colOff>
      <xdr:row>1</xdr:row>
      <xdr:rowOff>0</xdr:rowOff>
    </xdr:from>
    <xdr:ext cx="5791200" cy="7762875"/>
    <xdr:graphicFrame macro="">
      <xdr:nvGraphicFramePr>
        <xdr:cNvPr id="190563258" name="Chart 46">
          <a:extLst>
            <a:ext uri="{FF2B5EF4-FFF2-40B4-BE49-F238E27FC236}">
              <a16:creationId xmlns:a16="http://schemas.microsoft.com/office/drawing/2014/main" id="{00000000-0008-0000-0800-0000BAC35B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O1000"/>
  <sheetViews>
    <sheetView topLeftCell="B1" workbookViewId="0">
      <selection activeCell="G2" sqref="G2"/>
    </sheetView>
  </sheetViews>
  <sheetFormatPr baseColWidth="10" defaultColWidth="14.44140625" defaultRowHeight="15" customHeight="1" x14ac:dyDescent="0.3"/>
  <cols>
    <col min="1" max="1" width="28" customWidth="1"/>
    <col min="2" max="2" width="18.6640625" customWidth="1"/>
    <col min="3" max="8" width="8.88671875" customWidth="1"/>
    <col min="9" max="9" width="19.44140625" customWidth="1"/>
    <col min="10" max="12" width="8.88671875" customWidth="1"/>
    <col min="13" max="13" width="14.5546875" customWidth="1"/>
    <col min="14" max="26" width="8.88671875" customWidth="1"/>
  </cols>
  <sheetData>
    <row r="1" spans="1:15" ht="14.25" customHeight="1" x14ac:dyDescent="0.3">
      <c r="A1" s="1" t="s">
        <v>0</v>
      </c>
      <c r="B1" s="1" t="s">
        <v>1</v>
      </c>
      <c r="C1" s="1" t="s">
        <v>2</v>
      </c>
      <c r="D1" s="1" t="s">
        <v>3</v>
      </c>
      <c r="E1" s="1" t="s">
        <v>4</v>
      </c>
      <c r="F1" s="1" t="s">
        <v>5</v>
      </c>
      <c r="G1" s="1" t="s">
        <v>6</v>
      </c>
      <c r="H1" s="1" t="s">
        <v>7</v>
      </c>
      <c r="I1" s="1" t="s">
        <v>8</v>
      </c>
      <c r="J1" s="1" t="s">
        <v>9</v>
      </c>
      <c r="K1" s="1" t="s">
        <v>10</v>
      </c>
      <c r="L1" s="1" t="s">
        <v>11</v>
      </c>
      <c r="M1" s="2" t="s">
        <v>12</v>
      </c>
      <c r="N1" s="2" t="s">
        <v>13</v>
      </c>
      <c r="O1" s="2" t="s">
        <v>14</v>
      </c>
    </row>
    <row r="2" spans="1:15" ht="14.25" customHeight="1" x14ac:dyDescent="0.3">
      <c r="A2" s="3" t="s">
        <v>15</v>
      </c>
      <c r="B2" s="3">
        <v>35.583808440685459</v>
      </c>
      <c r="C2" s="3">
        <v>120</v>
      </c>
      <c r="D2" s="3">
        <v>15.65526413917542</v>
      </c>
      <c r="E2" s="3" t="s">
        <v>16</v>
      </c>
      <c r="F2" s="3" t="s">
        <v>17</v>
      </c>
      <c r="G2" s="3" t="s">
        <v>18</v>
      </c>
      <c r="H2" s="3" t="s">
        <v>19</v>
      </c>
      <c r="I2" s="3">
        <v>9</v>
      </c>
      <c r="J2" s="3" t="s">
        <v>20</v>
      </c>
      <c r="K2" s="3" t="s">
        <v>21</v>
      </c>
      <c r="L2" s="3" t="s">
        <v>22</v>
      </c>
      <c r="M2" s="3" t="s">
        <v>23</v>
      </c>
      <c r="N2" s="3">
        <f t="shared" ref="N2:N32" si="0">WEEKDAY(A2,2)</f>
        <v>5</v>
      </c>
      <c r="O2" s="3" t="str">
        <f t="shared" ref="O2:O32" si="1">IF(N2=1,"Lunes",IF(N2=2,"Martes",IF(N2=3,"Miercoles",IF(N2=4,"Jueves",IF(N2=5,"Viernes",IF(N2=6,"Sabado",IF(N2=7,"Domingo")))))))</f>
        <v>Viernes</v>
      </c>
    </row>
    <row r="3" spans="1:15" ht="14.25" customHeight="1" x14ac:dyDescent="0.3">
      <c r="A3" s="3" t="s">
        <v>24</v>
      </c>
      <c r="B3" s="3">
        <v>18.919531259855241</v>
      </c>
      <c r="C3" s="3">
        <v>120</v>
      </c>
      <c r="D3" s="3">
        <v>11.02293276786804</v>
      </c>
      <c r="E3" s="3" t="s">
        <v>16</v>
      </c>
      <c r="F3" s="3" t="s">
        <v>25</v>
      </c>
      <c r="G3" s="3" t="s">
        <v>18</v>
      </c>
      <c r="H3" s="3" t="s">
        <v>26</v>
      </c>
      <c r="I3" s="3">
        <v>11</v>
      </c>
      <c r="J3" s="3" t="s">
        <v>27</v>
      </c>
      <c r="K3" s="3" t="s">
        <v>28</v>
      </c>
      <c r="L3" s="3" t="s">
        <v>22</v>
      </c>
      <c r="M3" s="3" t="s">
        <v>23</v>
      </c>
      <c r="N3" s="3">
        <f t="shared" si="0"/>
        <v>6</v>
      </c>
      <c r="O3" s="3" t="str">
        <f t="shared" si="1"/>
        <v>Sabado</v>
      </c>
    </row>
    <row r="4" spans="1:15" ht="14.25" customHeight="1" x14ac:dyDescent="0.3">
      <c r="A4" s="3" t="s">
        <v>29</v>
      </c>
      <c r="B4" s="3">
        <v>19.648496572327211</v>
      </c>
      <c r="C4" s="3">
        <v>120</v>
      </c>
      <c r="D4" s="3">
        <v>74.18402099609375</v>
      </c>
      <c r="E4" s="3" t="s">
        <v>16</v>
      </c>
      <c r="F4" s="3" t="s">
        <v>30</v>
      </c>
      <c r="G4" s="3" t="s">
        <v>18</v>
      </c>
      <c r="H4" s="3" t="s">
        <v>31</v>
      </c>
      <c r="I4" s="3">
        <v>11</v>
      </c>
      <c r="J4" s="3" t="s">
        <v>32</v>
      </c>
      <c r="K4" s="3" t="s">
        <v>33</v>
      </c>
      <c r="L4" s="3" t="s">
        <v>22</v>
      </c>
      <c r="M4" s="3" t="s">
        <v>23</v>
      </c>
      <c r="N4" s="3">
        <f t="shared" si="0"/>
        <v>7</v>
      </c>
      <c r="O4" s="3" t="str">
        <f t="shared" si="1"/>
        <v>Domingo</v>
      </c>
    </row>
    <row r="5" spans="1:15" ht="14.25" customHeight="1" x14ac:dyDescent="0.3">
      <c r="A5" s="3" t="s">
        <v>34</v>
      </c>
      <c r="B5" s="3">
        <v>10.57860014381631</v>
      </c>
      <c r="C5" s="3">
        <v>120</v>
      </c>
      <c r="D5" s="3">
        <v>8.914017915725708</v>
      </c>
      <c r="E5" s="3" t="s">
        <v>16</v>
      </c>
      <c r="F5" s="3" t="s">
        <v>35</v>
      </c>
      <c r="G5" s="3" t="s">
        <v>18</v>
      </c>
      <c r="H5" s="3" t="s">
        <v>36</v>
      </c>
      <c r="I5" s="3">
        <v>10</v>
      </c>
      <c r="J5" s="3" t="s">
        <v>37</v>
      </c>
      <c r="K5" s="3" t="s">
        <v>38</v>
      </c>
      <c r="L5" s="3" t="s">
        <v>22</v>
      </c>
      <c r="M5" s="3" t="s">
        <v>23</v>
      </c>
      <c r="N5" s="3">
        <f t="shared" si="0"/>
        <v>1</v>
      </c>
      <c r="O5" s="3" t="str">
        <f t="shared" si="1"/>
        <v>Lunes</v>
      </c>
    </row>
    <row r="6" spans="1:15" ht="14.25" customHeight="1" x14ac:dyDescent="0.3">
      <c r="A6" s="3" t="s">
        <v>39</v>
      </c>
      <c r="B6" s="3">
        <v>18.90454501617625</v>
      </c>
      <c r="C6" s="3">
        <v>120</v>
      </c>
      <c r="D6" s="3">
        <v>16.398285627365109</v>
      </c>
      <c r="E6" s="3" t="s">
        <v>16</v>
      </c>
      <c r="F6" s="3" t="s">
        <v>40</v>
      </c>
      <c r="G6" s="3" t="s">
        <v>18</v>
      </c>
      <c r="H6" s="3" t="s">
        <v>41</v>
      </c>
      <c r="I6" s="3">
        <v>10</v>
      </c>
      <c r="J6" s="3" t="s">
        <v>42</v>
      </c>
      <c r="K6" s="3" t="s">
        <v>43</v>
      </c>
      <c r="L6" s="3" t="s">
        <v>22</v>
      </c>
      <c r="M6" s="3" t="s">
        <v>23</v>
      </c>
      <c r="N6" s="3">
        <f t="shared" si="0"/>
        <v>2</v>
      </c>
      <c r="O6" s="3" t="str">
        <f t="shared" si="1"/>
        <v>Martes</v>
      </c>
    </row>
    <row r="7" spans="1:15" ht="14.25" customHeight="1" x14ac:dyDescent="0.3">
      <c r="A7" s="3" t="s">
        <v>44</v>
      </c>
      <c r="B7" s="3">
        <v>22.865874544097949</v>
      </c>
      <c r="C7" s="3">
        <v>120</v>
      </c>
      <c r="D7" s="3">
        <v>58.546437740325928</v>
      </c>
      <c r="E7" s="3" t="s">
        <v>16</v>
      </c>
      <c r="F7" s="3" t="s">
        <v>45</v>
      </c>
      <c r="G7" s="3" t="s">
        <v>18</v>
      </c>
      <c r="H7" s="3" t="s">
        <v>46</v>
      </c>
      <c r="I7" s="3">
        <v>9</v>
      </c>
      <c r="J7" s="3" t="s">
        <v>47</v>
      </c>
      <c r="K7" s="3" t="s">
        <v>48</v>
      </c>
      <c r="L7" s="3" t="s">
        <v>22</v>
      </c>
      <c r="M7" s="3" t="s">
        <v>23</v>
      </c>
      <c r="N7" s="3">
        <f t="shared" si="0"/>
        <v>3</v>
      </c>
      <c r="O7" s="3" t="str">
        <f t="shared" si="1"/>
        <v>Miercoles</v>
      </c>
    </row>
    <row r="8" spans="1:15" ht="14.25" customHeight="1" x14ac:dyDescent="0.3">
      <c r="A8" s="3" t="s">
        <v>49</v>
      </c>
      <c r="B8" s="3">
        <v>6.622473411283436</v>
      </c>
      <c r="C8" s="3">
        <v>120</v>
      </c>
      <c r="D8" s="3">
        <v>1.6901412010192871</v>
      </c>
      <c r="E8" s="3" t="s">
        <v>16</v>
      </c>
      <c r="F8" s="3" t="s">
        <v>50</v>
      </c>
      <c r="G8" s="3" t="s">
        <v>18</v>
      </c>
      <c r="H8" s="3" t="s">
        <v>51</v>
      </c>
      <c r="I8" s="3">
        <v>8</v>
      </c>
      <c r="J8" s="3" t="s">
        <v>52</v>
      </c>
      <c r="K8" s="3" t="s">
        <v>53</v>
      </c>
      <c r="L8" s="3" t="s">
        <v>22</v>
      </c>
      <c r="M8" s="3" t="s">
        <v>23</v>
      </c>
      <c r="N8" s="3">
        <f t="shared" si="0"/>
        <v>4</v>
      </c>
      <c r="O8" s="3" t="str">
        <f t="shared" si="1"/>
        <v>Jueves</v>
      </c>
    </row>
    <row r="9" spans="1:15" ht="14.25" customHeight="1" x14ac:dyDescent="0.3">
      <c r="A9" s="3" t="s">
        <v>54</v>
      </c>
      <c r="B9" s="3">
        <v>19.683918982455921</v>
      </c>
      <c r="C9" s="3">
        <v>120</v>
      </c>
      <c r="D9" s="3">
        <v>8.8266551494598389</v>
      </c>
      <c r="E9" s="3" t="s">
        <v>16</v>
      </c>
      <c r="F9" s="3" t="s">
        <v>55</v>
      </c>
      <c r="G9" s="3" t="s">
        <v>18</v>
      </c>
      <c r="H9" s="3" t="s">
        <v>56</v>
      </c>
      <c r="I9" s="3">
        <v>10</v>
      </c>
      <c r="J9" s="3" t="s">
        <v>57</v>
      </c>
      <c r="K9" s="3" t="s">
        <v>58</v>
      </c>
      <c r="L9" s="3" t="s">
        <v>22</v>
      </c>
      <c r="M9" s="3" t="s">
        <v>23</v>
      </c>
      <c r="N9" s="3">
        <f t="shared" si="0"/>
        <v>5</v>
      </c>
      <c r="O9" s="3" t="str">
        <f t="shared" si="1"/>
        <v>Viernes</v>
      </c>
    </row>
    <row r="10" spans="1:15" ht="14.25" customHeight="1" x14ac:dyDescent="0.3">
      <c r="A10" s="3" t="s">
        <v>59</v>
      </c>
      <c r="B10" s="3">
        <v>19.63821444392968</v>
      </c>
      <c r="C10" s="3">
        <v>120</v>
      </c>
      <c r="D10" s="3">
        <v>12.688846826553339</v>
      </c>
      <c r="E10" s="3" t="s">
        <v>16</v>
      </c>
      <c r="F10" s="3" t="s">
        <v>60</v>
      </c>
      <c r="G10" s="3" t="s">
        <v>18</v>
      </c>
      <c r="H10" s="3" t="s">
        <v>61</v>
      </c>
      <c r="I10" s="3">
        <v>6</v>
      </c>
      <c r="J10" s="3" t="s">
        <v>62</v>
      </c>
      <c r="K10" s="3" t="s">
        <v>63</v>
      </c>
      <c r="L10" s="3" t="s">
        <v>22</v>
      </c>
      <c r="M10" s="3" t="s">
        <v>23</v>
      </c>
      <c r="N10" s="3">
        <f t="shared" si="0"/>
        <v>6</v>
      </c>
      <c r="O10" s="3" t="str">
        <f t="shared" si="1"/>
        <v>Sabado</v>
      </c>
    </row>
    <row r="11" spans="1:15" ht="14.25" customHeight="1" x14ac:dyDescent="0.3">
      <c r="A11" s="3" t="s">
        <v>64</v>
      </c>
      <c r="B11" s="3">
        <v>24.031542112072081</v>
      </c>
      <c r="C11" s="3">
        <v>120</v>
      </c>
      <c r="D11" s="3">
        <v>120.45956516265871</v>
      </c>
      <c r="E11" s="3" t="s">
        <v>16</v>
      </c>
      <c r="F11" s="3" t="s">
        <v>65</v>
      </c>
      <c r="G11" s="3" t="s">
        <v>18</v>
      </c>
      <c r="H11" s="3" t="s">
        <v>66</v>
      </c>
      <c r="I11" s="3">
        <v>10</v>
      </c>
      <c r="J11" s="3" t="s">
        <v>67</v>
      </c>
      <c r="K11" s="3" t="s">
        <v>68</v>
      </c>
      <c r="L11" s="3" t="s">
        <v>22</v>
      </c>
      <c r="M11" s="3" t="s">
        <v>23</v>
      </c>
      <c r="N11" s="3">
        <f t="shared" si="0"/>
        <v>7</v>
      </c>
      <c r="O11" s="3" t="str">
        <f t="shared" si="1"/>
        <v>Domingo</v>
      </c>
    </row>
    <row r="12" spans="1:15" ht="14.25" customHeight="1" x14ac:dyDescent="0.3">
      <c r="A12" s="3" t="s">
        <v>69</v>
      </c>
      <c r="B12" s="3">
        <v>15.259630887005921</v>
      </c>
      <c r="C12" s="3">
        <v>120</v>
      </c>
      <c r="D12" s="3">
        <v>7.5652518272399902</v>
      </c>
      <c r="E12" s="3" t="s">
        <v>16</v>
      </c>
      <c r="F12" s="3" t="s">
        <v>70</v>
      </c>
      <c r="G12" s="3" t="s">
        <v>18</v>
      </c>
      <c r="H12" s="3" t="s">
        <v>71</v>
      </c>
      <c r="I12" s="3">
        <v>12</v>
      </c>
      <c r="J12" s="3" t="s">
        <v>72</v>
      </c>
      <c r="K12" s="3" t="s">
        <v>73</v>
      </c>
      <c r="L12" s="3" t="s">
        <v>22</v>
      </c>
      <c r="M12" s="3" t="s">
        <v>23</v>
      </c>
      <c r="N12" s="3">
        <f t="shared" si="0"/>
        <v>1</v>
      </c>
      <c r="O12" s="3" t="str">
        <f t="shared" si="1"/>
        <v>Lunes</v>
      </c>
    </row>
    <row r="13" spans="1:15" ht="14.25" customHeight="1" x14ac:dyDescent="0.3">
      <c r="A13" s="3" t="s">
        <v>74</v>
      </c>
      <c r="B13" s="3">
        <v>21.97582988657296</v>
      </c>
      <c r="C13" s="3">
        <v>120</v>
      </c>
      <c r="D13" s="3">
        <v>53.434319257736213</v>
      </c>
      <c r="E13" s="3" t="s">
        <v>16</v>
      </c>
      <c r="F13" s="3" t="s">
        <v>75</v>
      </c>
      <c r="G13" s="3" t="s">
        <v>18</v>
      </c>
      <c r="H13" s="3" t="s">
        <v>76</v>
      </c>
      <c r="I13" s="3">
        <v>12</v>
      </c>
      <c r="J13" s="3" t="s">
        <v>77</v>
      </c>
      <c r="K13" s="3" t="s">
        <v>78</v>
      </c>
      <c r="L13" s="3" t="s">
        <v>22</v>
      </c>
      <c r="M13" s="3" t="s">
        <v>23</v>
      </c>
      <c r="N13" s="3">
        <f t="shared" si="0"/>
        <v>2</v>
      </c>
      <c r="O13" s="3" t="str">
        <f t="shared" si="1"/>
        <v>Martes</v>
      </c>
    </row>
    <row r="14" spans="1:15" ht="14.25" customHeight="1" x14ac:dyDescent="0.3">
      <c r="A14" s="3" t="s">
        <v>79</v>
      </c>
      <c r="B14" s="3">
        <v>20.49384450006303</v>
      </c>
      <c r="C14" s="3">
        <v>120</v>
      </c>
      <c r="D14" s="3">
        <v>2.8842122554779048</v>
      </c>
      <c r="E14" s="3" t="s">
        <v>16</v>
      </c>
      <c r="F14" s="3" t="s">
        <v>80</v>
      </c>
      <c r="G14" s="3" t="s">
        <v>18</v>
      </c>
      <c r="H14" s="3" t="s">
        <v>81</v>
      </c>
      <c r="I14" s="3">
        <v>10</v>
      </c>
      <c r="J14" s="3" t="s">
        <v>82</v>
      </c>
      <c r="K14" s="3" t="s">
        <v>83</v>
      </c>
      <c r="L14" s="3" t="s">
        <v>22</v>
      </c>
      <c r="M14" s="3" t="s">
        <v>23</v>
      </c>
      <c r="N14" s="3">
        <f t="shared" si="0"/>
        <v>3</v>
      </c>
      <c r="O14" s="3" t="str">
        <f t="shared" si="1"/>
        <v>Miercoles</v>
      </c>
    </row>
    <row r="15" spans="1:15" ht="14.25" customHeight="1" x14ac:dyDescent="0.3">
      <c r="A15" s="3" t="s">
        <v>84</v>
      </c>
      <c r="B15" s="3">
        <v>3.4951411834086139</v>
      </c>
      <c r="C15" s="3">
        <v>120</v>
      </c>
      <c r="D15" s="3">
        <v>0.4770362377166748</v>
      </c>
      <c r="E15" s="3" t="s">
        <v>16</v>
      </c>
      <c r="F15" s="3" t="s">
        <v>85</v>
      </c>
      <c r="G15" s="3" t="s">
        <v>18</v>
      </c>
      <c r="H15" s="3" t="s">
        <v>86</v>
      </c>
      <c r="I15" s="3">
        <v>6</v>
      </c>
      <c r="J15" s="3" t="s">
        <v>87</v>
      </c>
      <c r="K15" s="3" t="s">
        <v>88</v>
      </c>
      <c r="L15" s="3" t="s">
        <v>22</v>
      </c>
      <c r="M15" s="3" t="s">
        <v>23</v>
      </c>
      <c r="N15" s="3">
        <f t="shared" si="0"/>
        <v>4</v>
      </c>
      <c r="O15" s="3" t="str">
        <f t="shared" si="1"/>
        <v>Jueves</v>
      </c>
    </row>
    <row r="16" spans="1:15" ht="14.25" customHeight="1" x14ac:dyDescent="0.3">
      <c r="A16" s="3" t="s">
        <v>89</v>
      </c>
      <c r="B16" s="3">
        <v>16.43553526733595</v>
      </c>
      <c r="C16" s="3">
        <v>120</v>
      </c>
      <c r="D16" s="3">
        <v>3.5862634181976318</v>
      </c>
      <c r="E16" s="3" t="s">
        <v>16</v>
      </c>
      <c r="F16" s="3" t="s">
        <v>90</v>
      </c>
      <c r="G16" s="3" t="s">
        <v>18</v>
      </c>
      <c r="H16" s="3" t="s">
        <v>91</v>
      </c>
      <c r="I16" s="3">
        <v>7</v>
      </c>
      <c r="J16" s="3" t="s">
        <v>92</v>
      </c>
      <c r="K16" s="3" t="s">
        <v>93</v>
      </c>
      <c r="L16" s="3" t="s">
        <v>22</v>
      </c>
      <c r="M16" s="3" t="s">
        <v>23</v>
      </c>
      <c r="N16" s="3">
        <f t="shared" si="0"/>
        <v>5</v>
      </c>
      <c r="O16" s="3" t="str">
        <f t="shared" si="1"/>
        <v>Viernes</v>
      </c>
    </row>
    <row r="17" spans="1:15" ht="14.25" customHeight="1" x14ac:dyDescent="0.3">
      <c r="A17" s="3" t="s">
        <v>94</v>
      </c>
      <c r="B17" s="3">
        <v>17.704588053684422</v>
      </c>
      <c r="C17" s="3">
        <v>120</v>
      </c>
      <c r="D17" s="3">
        <v>12.623932123184201</v>
      </c>
      <c r="E17" s="3" t="s">
        <v>16</v>
      </c>
      <c r="F17" s="3" t="s">
        <v>95</v>
      </c>
      <c r="G17" s="3" t="s">
        <v>18</v>
      </c>
      <c r="H17" s="3" t="s">
        <v>96</v>
      </c>
      <c r="I17" s="3">
        <v>9</v>
      </c>
      <c r="J17" s="3" t="s">
        <v>97</v>
      </c>
      <c r="K17" s="3" t="s">
        <v>98</v>
      </c>
      <c r="L17" s="3" t="s">
        <v>22</v>
      </c>
      <c r="M17" s="3" t="s">
        <v>23</v>
      </c>
      <c r="N17" s="3">
        <f t="shared" si="0"/>
        <v>6</v>
      </c>
      <c r="O17" s="3" t="str">
        <f t="shared" si="1"/>
        <v>Sabado</v>
      </c>
    </row>
    <row r="18" spans="1:15" ht="14.25" customHeight="1" x14ac:dyDescent="0.3">
      <c r="A18" s="3" t="s">
        <v>99</v>
      </c>
      <c r="B18" s="3">
        <v>16.7935621859916</v>
      </c>
      <c r="C18" s="3">
        <v>120</v>
      </c>
      <c r="D18" s="3">
        <v>122.15507340431211</v>
      </c>
      <c r="E18" s="3" t="s">
        <v>16</v>
      </c>
      <c r="F18" s="3" t="s">
        <v>100</v>
      </c>
      <c r="G18" s="3" t="s">
        <v>18</v>
      </c>
      <c r="H18" s="3" t="s">
        <v>101</v>
      </c>
      <c r="I18" s="3">
        <v>11</v>
      </c>
      <c r="J18" s="3" t="s">
        <v>102</v>
      </c>
      <c r="K18" s="3" t="s">
        <v>103</v>
      </c>
      <c r="L18" s="3" t="s">
        <v>22</v>
      </c>
      <c r="M18" s="3" t="s">
        <v>23</v>
      </c>
      <c r="N18" s="3">
        <f t="shared" si="0"/>
        <v>7</v>
      </c>
      <c r="O18" s="3" t="str">
        <f t="shared" si="1"/>
        <v>Domingo</v>
      </c>
    </row>
    <row r="19" spans="1:15" ht="14.25" customHeight="1" x14ac:dyDescent="0.3">
      <c r="A19" s="3" t="s">
        <v>104</v>
      </c>
      <c r="B19" s="3">
        <v>21.637838724725519</v>
      </c>
      <c r="C19" s="3">
        <v>120</v>
      </c>
      <c r="D19" s="3">
        <v>121.0351514816284</v>
      </c>
      <c r="E19" s="3" t="s">
        <v>16</v>
      </c>
      <c r="F19" s="3" t="s">
        <v>105</v>
      </c>
      <c r="G19" s="3" t="s">
        <v>18</v>
      </c>
      <c r="H19" s="3" t="s">
        <v>106</v>
      </c>
      <c r="I19" s="3">
        <v>11</v>
      </c>
      <c r="J19" s="3" t="s">
        <v>107</v>
      </c>
      <c r="K19" s="3" t="s">
        <v>108</v>
      </c>
      <c r="L19" s="3" t="s">
        <v>22</v>
      </c>
      <c r="M19" s="3" t="s">
        <v>23</v>
      </c>
      <c r="N19" s="3">
        <f t="shared" si="0"/>
        <v>1</v>
      </c>
      <c r="O19" s="3" t="str">
        <f t="shared" si="1"/>
        <v>Lunes</v>
      </c>
    </row>
    <row r="20" spans="1:15" ht="14.25" customHeight="1" x14ac:dyDescent="0.3">
      <c r="A20" s="3" t="s">
        <v>109</v>
      </c>
      <c r="B20" s="3">
        <v>21.292561612569671</v>
      </c>
      <c r="C20" s="3">
        <v>120</v>
      </c>
      <c r="D20" s="3">
        <v>53.118108510971069</v>
      </c>
      <c r="E20" s="3" t="s">
        <v>16</v>
      </c>
      <c r="F20" s="3" t="s">
        <v>110</v>
      </c>
      <c r="G20" s="3" t="s">
        <v>18</v>
      </c>
      <c r="H20" s="3" t="s">
        <v>111</v>
      </c>
      <c r="I20" s="3">
        <v>10</v>
      </c>
      <c r="J20" s="3" t="s">
        <v>112</v>
      </c>
      <c r="K20" s="3" t="s">
        <v>113</v>
      </c>
      <c r="L20" s="3" t="s">
        <v>22</v>
      </c>
      <c r="M20" s="3" t="s">
        <v>23</v>
      </c>
      <c r="N20" s="3">
        <f t="shared" si="0"/>
        <v>2</v>
      </c>
      <c r="O20" s="3" t="str">
        <f t="shared" si="1"/>
        <v>Martes</v>
      </c>
    </row>
    <row r="21" spans="1:15" ht="14.25" customHeight="1" x14ac:dyDescent="0.3">
      <c r="A21" s="3" t="s">
        <v>114</v>
      </c>
      <c r="B21" s="3">
        <v>22.52749607214626</v>
      </c>
      <c r="C21" s="3">
        <v>120</v>
      </c>
      <c r="D21" s="3">
        <v>67.195380926132202</v>
      </c>
      <c r="E21" s="3" t="s">
        <v>16</v>
      </c>
      <c r="F21" s="3" t="s">
        <v>115</v>
      </c>
      <c r="G21" s="3" t="s">
        <v>18</v>
      </c>
      <c r="H21" s="3" t="s">
        <v>116</v>
      </c>
      <c r="I21" s="3">
        <v>12</v>
      </c>
      <c r="J21" s="3" t="s">
        <v>117</v>
      </c>
      <c r="K21" s="3" t="s">
        <v>118</v>
      </c>
      <c r="L21" s="3" t="s">
        <v>22</v>
      </c>
      <c r="M21" s="3" t="s">
        <v>23</v>
      </c>
      <c r="N21" s="3">
        <f t="shared" si="0"/>
        <v>3</v>
      </c>
      <c r="O21" s="3" t="str">
        <f t="shared" si="1"/>
        <v>Miercoles</v>
      </c>
    </row>
    <row r="22" spans="1:15" ht="14.25" customHeight="1" x14ac:dyDescent="0.3">
      <c r="A22" s="3" t="s">
        <v>119</v>
      </c>
      <c r="B22" s="3">
        <v>21.13484269119547</v>
      </c>
      <c r="C22" s="3">
        <v>120</v>
      </c>
      <c r="D22" s="3">
        <v>56.813473224639893</v>
      </c>
      <c r="E22" s="3" t="s">
        <v>16</v>
      </c>
      <c r="F22" s="3" t="s">
        <v>120</v>
      </c>
      <c r="G22" s="3" t="s">
        <v>18</v>
      </c>
      <c r="H22" s="3" t="s">
        <v>121</v>
      </c>
      <c r="I22" s="3">
        <v>9</v>
      </c>
      <c r="J22" s="3" t="s">
        <v>122</v>
      </c>
      <c r="K22" s="3" t="s">
        <v>123</v>
      </c>
      <c r="L22" s="3" t="s">
        <v>22</v>
      </c>
      <c r="M22" s="3" t="s">
        <v>23</v>
      </c>
      <c r="N22" s="3">
        <f t="shared" si="0"/>
        <v>4</v>
      </c>
      <c r="O22" s="3" t="str">
        <f t="shared" si="1"/>
        <v>Jueves</v>
      </c>
    </row>
    <row r="23" spans="1:15" ht="14.25" customHeight="1" x14ac:dyDescent="0.3">
      <c r="A23" s="3" t="s">
        <v>124</v>
      </c>
      <c r="B23" s="3">
        <v>11.323532689150531</v>
      </c>
      <c r="C23" s="3">
        <v>120</v>
      </c>
      <c r="D23" s="3">
        <v>2.3791763782501221</v>
      </c>
      <c r="E23" s="3" t="s">
        <v>16</v>
      </c>
      <c r="F23" s="3" t="s">
        <v>125</v>
      </c>
      <c r="G23" s="3" t="s">
        <v>18</v>
      </c>
      <c r="H23" s="3" t="s">
        <v>126</v>
      </c>
      <c r="I23" s="3">
        <v>8</v>
      </c>
      <c r="J23" s="3" t="s">
        <v>127</v>
      </c>
      <c r="K23" s="3" t="s">
        <v>128</v>
      </c>
      <c r="L23" s="3" t="s">
        <v>22</v>
      </c>
      <c r="M23" s="3" t="s">
        <v>23</v>
      </c>
      <c r="N23" s="3">
        <f t="shared" si="0"/>
        <v>5</v>
      </c>
      <c r="O23" s="3" t="str">
        <f t="shared" si="1"/>
        <v>Viernes</v>
      </c>
    </row>
    <row r="24" spans="1:15" ht="14.25" customHeight="1" x14ac:dyDescent="0.3">
      <c r="A24" s="3" t="s">
        <v>129</v>
      </c>
      <c r="B24" s="3">
        <v>11.331777079522441</v>
      </c>
      <c r="C24" s="3">
        <v>120</v>
      </c>
      <c r="D24" s="3">
        <v>10.66979098320007</v>
      </c>
      <c r="E24" s="3" t="s">
        <v>16</v>
      </c>
      <c r="F24" s="3" t="s">
        <v>130</v>
      </c>
      <c r="G24" s="3" t="s">
        <v>18</v>
      </c>
      <c r="H24" s="3" t="s">
        <v>131</v>
      </c>
      <c r="I24" s="3">
        <v>7</v>
      </c>
      <c r="J24" s="3" t="s">
        <v>132</v>
      </c>
      <c r="K24" s="3" t="s">
        <v>133</v>
      </c>
      <c r="L24" s="3" t="s">
        <v>22</v>
      </c>
      <c r="M24" s="3" t="s">
        <v>23</v>
      </c>
      <c r="N24" s="3">
        <f t="shared" si="0"/>
        <v>6</v>
      </c>
      <c r="O24" s="3" t="str">
        <f t="shared" si="1"/>
        <v>Sabado</v>
      </c>
    </row>
    <row r="25" spans="1:15" ht="14.25" customHeight="1" x14ac:dyDescent="0.3">
      <c r="A25" s="3" t="s">
        <v>134</v>
      </c>
      <c r="B25" s="3">
        <v>17.23327092670311</v>
      </c>
      <c r="C25" s="3">
        <v>120</v>
      </c>
      <c r="D25" s="3">
        <v>11.75786876678467</v>
      </c>
      <c r="E25" s="3" t="s">
        <v>16</v>
      </c>
      <c r="F25" s="3" t="s">
        <v>135</v>
      </c>
      <c r="G25" s="3" t="s">
        <v>18</v>
      </c>
      <c r="H25" s="3" t="s">
        <v>136</v>
      </c>
      <c r="I25" s="3">
        <v>8</v>
      </c>
      <c r="J25" s="3" t="s">
        <v>137</v>
      </c>
      <c r="K25" s="3" t="s">
        <v>138</v>
      </c>
      <c r="L25" s="3" t="s">
        <v>22</v>
      </c>
      <c r="M25" s="3" t="s">
        <v>23</v>
      </c>
      <c r="N25" s="3">
        <f t="shared" si="0"/>
        <v>7</v>
      </c>
      <c r="O25" s="3" t="str">
        <f t="shared" si="1"/>
        <v>Domingo</v>
      </c>
    </row>
    <row r="26" spans="1:15" ht="14.25" customHeight="1" x14ac:dyDescent="0.3">
      <c r="A26" s="3" t="s">
        <v>139</v>
      </c>
      <c r="B26" s="3">
        <v>12.79318576213983</v>
      </c>
      <c r="C26" s="3">
        <v>120</v>
      </c>
      <c r="D26" s="3">
        <v>7.131821870803833</v>
      </c>
      <c r="E26" s="3" t="s">
        <v>16</v>
      </c>
      <c r="F26" s="3" t="s">
        <v>140</v>
      </c>
      <c r="G26" s="3" t="s">
        <v>18</v>
      </c>
      <c r="H26" s="3" t="s">
        <v>141</v>
      </c>
      <c r="I26" s="3">
        <v>8</v>
      </c>
      <c r="J26" s="3" t="s">
        <v>142</v>
      </c>
      <c r="K26" s="3" t="s">
        <v>143</v>
      </c>
      <c r="L26" s="3" t="s">
        <v>22</v>
      </c>
      <c r="M26" s="3" t="s">
        <v>23</v>
      </c>
      <c r="N26" s="3">
        <f t="shared" si="0"/>
        <v>1</v>
      </c>
      <c r="O26" s="3" t="str">
        <f t="shared" si="1"/>
        <v>Lunes</v>
      </c>
    </row>
    <row r="27" spans="1:15" ht="14.25" customHeight="1" x14ac:dyDescent="0.3">
      <c r="A27" s="3" t="s">
        <v>144</v>
      </c>
      <c r="B27" s="3">
        <v>19.648496572327211</v>
      </c>
      <c r="C27" s="3">
        <v>120</v>
      </c>
      <c r="D27" s="3">
        <v>70.028200149536133</v>
      </c>
      <c r="E27" s="3" t="s">
        <v>16</v>
      </c>
      <c r="F27" s="3" t="s">
        <v>30</v>
      </c>
      <c r="G27" s="3" t="s">
        <v>18</v>
      </c>
      <c r="H27" s="3" t="s">
        <v>31</v>
      </c>
      <c r="I27" s="3">
        <v>11</v>
      </c>
      <c r="J27" s="3" t="s">
        <v>32</v>
      </c>
      <c r="K27" s="3" t="s">
        <v>33</v>
      </c>
      <c r="L27" s="3" t="s">
        <v>22</v>
      </c>
      <c r="M27" s="3" t="s">
        <v>23</v>
      </c>
      <c r="N27" s="3">
        <f t="shared" si="0"/>
        <v>2</v>
      </c>
      <c r="O27" s="3" t="str">
        <f t="shared" si="1"/>
        <v>Martes</v>
      </c>
    </row>
    <row r="28" spans="1:15" ht="14.25" customHeight="1" x14ac:dyDescent="0.3">
      <c r="A28" s="3" t="s">
        <v>145</v>
      </c>
      <c r="B28" s="3">
        <v>18.054153001387739</v>
      </c>
      <c r="C28" s="3">
        <v>120</v>
      </c>
      <c r="D28" s="3">
        <v>8.0665957927703857</v>
      </c>
      <c r="E28" s="3" t="s">
        <v>16</v>
      </c>
      <c r="F28" s="3" t="s">
        <v>146</v>
      </c>
      <c r="G28" s="3" t="s">
        <v>18</v>
      </c>
      <c r="H28" s="3" t="s">
        <v>147</v>
      </c>
      <c r="I28" s="3">
        <v>9</v>
      </c>
      <c r="J28" s="3" t="s">
        <v>148</v>
      </c>
      <c r="K28" s="3" t="s">
        <v>149</v>
      </c>
      <c r="L28" s="3" t="s">
        <v>22</v>
      </c>
      <c r="M28" s="3" t="s">
        <v>23</v>
      </c>
      <c r="N28" s="3">
        <f t="shared" si="0"/>
        <v>3</v>
      </c>
      <c r="O28" s="3" t="str">
        <f t="shared" si="1"/>
        <v>Miercoles</v>
      </c>
    </row>
    <row r="29" spans="1:15" ht="14.25" customHeight="1" x14ac:dyDescent="0.3">
      <c r="A29" s="3" t="s">
        <v>150</v>
      </c>
      <c r="B29" s="3">
        <v>23.09805152665016</v>
      </c>
      <c r="C29" s="3">
        <v>120</v>
      </c>
      <c r="D29" s="3">
        <v>26.282815933227539</v>
      </c>
      <c r="E29" s="3" t="s">
        <v>16</v>
      </c>
      <c r="F29" s="3" t="s">
        <v>151</v>
      </c>
      <c r="G29" s="3" t="s">
        <v>18</v>
      </c>
      <c r="H29" s="3" t="s">
        <v>152</v>
      </c>
      <c r="I29" s="3">
        <v>9</v>
      </c>
      <c r="J29" s="3" t="s">
        <v>153</v>
      </c>
      <c r="K29" s="3" t="s">
        <v>154</v>
      </c>
      <c r="L29" s="3" t="s">
        <v>22</v>
      </c>
      <c r="M29" s="3" t="s">
        <v>23</v>
      </c>
      <c r="N29" s="3">
        <f t="shared" si="0"/>
        <v>4</v>
      </c>
      <c r="O29" s="3" t="str">
        <f t="shared" si="1"/>
        <v>Jueves</v>
      </c>
    </row>
    <row r="30" spans="1:15" ht="14.25" customHeight="1" x14ac:dyDescent="0.3">
      <c r="A30" s="3" t="s">
        <v>155</v>
      </c>
      <c r="B30" s="3">
        <v>28.44660427759413</v>
      </c>
      <c r="C30" s="3">
        <v>120</v>
      </c>
      <c r="D30" s="3">
        <v>120.4766407012939</v>
      </c>
      <c r="E30" s="3" t="s">
        <v>16</v>
      </c>
      <c r="F30" s="3" t="s">
        <v>156</v>
      </c>
      <c r="G30" s="3" t="s">
        <v>18</v>
      </c>
      <c r="H30" s="3" t="s">
        <v>157</v>
      </c>
      <c r="I30" s="3">
        <v>13</v>
      </c>
      <c r="J30" s="3" t="s">
        <v>158</v>
      </c>
      <c r="K30" s="3" t="s">
        <v>159</v>
      </c>
      <c r="L30" s="3" t="s">
        <v>22</v>
      </c>
      <c r="M30" s="3" t="s">
        <v>23</v>
      </c>
      <c r="N30" s="3">
        <f t="shared" si="0"/>
        <v>5</v>
      </c>
      <c r="O30" s="3" t="str">
        <f t="shared" si="1"/>
        <v>Viernes</v>
      </c>
    </row>
    <row r="31" spans="1:15" ht="14.25" customHeight="1" x14ac:dyDescent="0.3">
      <c r="A31" s="3" t="s">
        <v>160</v>
      </c>
      <c r="B31" s="3">
        <v>20.120591880110041</v>
      </c>
      <c r="C31" s="3">
        <v>120</v>
      </c>
      <c r="D31" s="3">
        <v>120.8425052165985</v>
      </c>
      <c r="E31" s="3" t="s">
        <v>16</v>
      </c>
      <c r="F31" s="3" t="s">
        <v>161</v>
      </c>
      <c r="G31" s="3" t="s">
        <v>18</v>
      </c>
      <c r="H31" s="3" t="s">
        <v>162</v>
      </c>
      <c r="I31" s="3">
        <v>12</v>
      </c>
      <c r="J31" s="3" t="s">
        <v>163</v>
      </c>
      <c r="K31" s="3" t="s">
        <v>164</v>
      </c>
      <c r="L31" s="3" t="s">
        <v>22</v>
      </c>
      <c r="M31" s="3" t="s">
        <v>23</v>
      </c>
      <c r="N31" s="3">
        <f t="shared" si="0"/>
        <v>6</v>
      </c>
      <c r="O31" s="3" t="str">
        <f t="shared" si="1"/>
        <v>Sabado</v>
      </c>
    </row>
    <row r="32" spans="1:15" ht="14.25" customHeight="1" x14ac:dyDescent="0.3">
      <c r="A32" s="3" t="s">
        <v>165</v>
      </c>
      <c r="B32" s="3">
        <v>30.18614631376985</v>
      </c>
      <c r="C32" s="3">
        <v>120</v>
      </c>
      <c r="D32" s="3">
        <v>75.745552778244019</v>
      </c>
      <c r="E32" s="3" t="s">
        <v>16</v>
      </c>
      <c r="F32" s="3" t="s">
        <v>166</v>
      </c>
      <c r="G32" s="3" t="s">
        <v>18</v>
      </c>
      <c r="H32" s="3" t="s">
        <v>167</v>
      </c>
      <c r="I32" s="3">
        <v>12</v>
      </c>
      <c r="J32" s="3" t="s">
        <v>168</v>
      </c>
      <c r="K32" s="3" t="s">
        <v>169</v>
      </c>
      <c r="L32" s="3" t="s">
        <v>22</v>
      </c>
      <c r="M32" s="3" t="s">
        <v>23</v>
      </c>
      <c r="N32" s="3">
        <f t="shared" si="0"/>
        <v>7</v>
      </c>
      <c r="O32" s="3" t="str">
        <f t="shared" si="1"/>
        <v>Domingo</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5" right="0.75" top="1" bottom="1"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M1000"/>
  <sheetViews>
    <sheetView workbookViewId="0"/>
  </sheetViews>
  <sheetFormatPr baseColWidth="10" defaultColWidth="14.44140625" defaultRowHeight="15" customHeight="1" x14ac:dyDescent="0.3"/>
  <cols>
    <col min="1" max="26" width="10.6640625" customWidth="1"/>
  </cols>
  <sheetData>
    <row r="1" spans="1:13" ht="14.25" customHeight="1" x14ac:dyDescent="0.3">
      <c r="A1" s="3" t="s">
        <v>170</v>
      </c>
      <c r="M1" s="4"/>
    </row>
    <row r="2" spans="1:13" ht="14.25" customHeight="1" x14ac:dyDescent="0.3">
      <c r="M2" s="4"/>
    </row>
    <row r="3" spans="1:13" ht="14.25" customHeight="1" x14ac:dyDescent="0.3"/>
    <row r="4" spans="1:13" ht="14.25" customHeight="1" x14ac:dyDescent="0.3"/>
    <row r="5" spans="1:13" ht="14.25" customHeight="1" x14ac:dyDescent="0.3"/>
    <row r="6" spans="1:13" ht="14.25" customHeight="1" x14ac:dyDescent="0.3"/>
    <row r="7" spans="1:13" ht="14.25" customHeight="1" x14ac:dyDescent="0.3"/>
    <row r="8" spans="1:13" ht="14.25" customHeight="1" x14ac:dyDescent="0.3"/>
    <row r="9" spans="1:13" ht="14.25" customHeight="1" x14ac:dyDescent="0.3"/>
    <row r="10" spans="1:13" ht="14.25" customHeight="1" x14ac:dyDescent="0.3"/>
    <row r="11" spans="1:13" ht="14.25" customHeight="1" x14ac:dyDescent="0.3"/>
    <row r="12" spans="1:13" ht="14.25" customHeight="1" x14ac:dyDescent="0.3"/>
    <row r="13" spans="1:13" ht="14.25" customHeight="1" x14ac:dyDescent="0.3"/>
    <row r="14" spans="1:13" ht="14.25" customHeight="1" x14ac:dyDescent="0.3"/>
    <row r="15" spans="1:13" ht="14.25" customHeight="1" x14ac:dyDescent="0.3"/>
    <row r="16" spans="1:13" ht="14.25" customHeight="1" x14ac:dyDescent="0.3"/>
    <row r="17" spans="1:1" ht="14.25" customHeight="1" x14ac:dyDescent="0.3"/>
    <row r="18" spans="1:1" ht="14.25" customHeight="1" x14ac:dyDescent="0.3">
      <c r="A18" s="3" t="s">
        <v>171</v>
      </c>
    </row>
    <row r="19" spans="1:1" ht="14.25" customHeight="1" x14ac:dyDescent="0.3"/>
    <row r="20" spans="1:1" ht="14.25" customHeight="1" x14ac:dyDescent="0.3"/>
    <row r="21" spans="1:1" ht="14.25" customHeight="1" x14ac:dyDescent="0.3"/>
    <row r="22" spans="1:1" ht="14.25" customHeight="1" x14ac:dyDescent="0.3"/>
    <row r="23" spans="1:1" ht="14.25" customHeight="1" x14ac:dyDescent="0.3"/>
    <row r="24" spans="1:1" ht="14.25" customHeight="1" x14ac:dyDescent="0.3"/>
    <row r="25" spans="1:1" ht="14.25" customHeight="1" x14ac:dyDescent="0.3"/>
    <row r="26" spans="1:1" ht="14.25" customHeight="1" x14ac:dyDescent="0.3"/>
    <row r="27" spans="1:1" ht="14.25" customHeight="1" x14ac:dyDescent="0.3"/>
    <row r="28" spans="1:1" ht="14.25" customHeight="1" x14ac:dyDescent="0.3"/>
    <row r="29" spans="1:1" ht="14.25" customHeight="1" x14ac:dyDescent="0.3"/>
    <row r="30" spans="1:1" ht="14.25" customHeight="1" x14ac:dyDescent="0.3"/>
    <row r="31" spans="1:1" ht="14.25" customHeight="1" x14ac:dyDescent="0.3"/>
    <row r="32" spans="1:1" ht="14.25" customHeight="1" x14ac:dyDescent="0.3"/>
    <row r="33" spans="1:1" ht="14.25" customHeight="1" x14ac:dyDescent="0.3"/>
    <row r="34" spans="1:1" ht="14.25" customHeight="1" x14ac:dyDescent="0.3">
      <c r="A34" s="3" t="s">
        <v>172</v>
      </c>
    </row>
    <row r="35" spans="1:1" ht="14.25" customHeight="1" x14ac:dyDescent="0.3"/>
    <row r="36" spans="1:1" ht="14.25" customHeight="1" x14ac:dyDescent="0.3"/>
    <row r="37" spans="1:1" ht="14.25" customHeight="1" x14ac:dyDescent="0.3"/>
    <row r="38" spans="1:1" ht="14.25" customHeight="1" x14ac:dyDescent="0.3"/>
    <row r="39" spans="1:1" ht="14.25" customHeight="1" x14ac:dyDescent="0.3"/>
    <row r="40" spans="1:1" ht="14.25" customHeight="1" x14ac:dyDescent="0.3"/>
    <row r="41" spans="1:1" ht="14.25" customHeight="1" x14ac:dyDescent="0.3"/>
    <row r="42" spans="1:1" ht="14.25" customHeight="1" x14ac:dyDescent="0.3"/>
    <row r="43" spans="1:1" ht="14.25" customHeight="1" x14ac:dyDescent="0.3"/>
    <row r="44" spans="1:1" ht="14.25" customHeight="1" x14ac:dyDescent="0.3"/>
    <row r="45" spans="1:1" ht="14.25" customHeight="1" x14ac:dyDescent="0.3"/>
    <row r="46" spans="1:1" ht="14.25" customHeight="1" x14ac:dyDescent="0.3"/>
    <row r="47" spans="1:1" ht="14.25" customHeight="1" x14ac:dyDescent="0.3"/>
    <row r="48" spans="1:1" ht="14.25" customHeight="1" x14ac:dyDescent="0.3"/>
    <row r="49" spans="1:1" ht="14.25" customHeight="1" x14ac:dyDescent="0.3"/>
    <row r="50" spans="1:1" ht="14.25" customHeight="1" x14ac:dyDescent="0.3"/>
    <row r="51" spans="1:1" ht="14.25" customHeight="1" x14ac:dyDescent="0.3">
      <c r="A51" s="3" t="s">
        <v>173</v>
      </c>
    </row>
    <row r="52" spans="1:1" ht="14.25" customHeight="1" x14ac:dyDescent="0.3"/>
    <row r="53" spans="1:1" ht="14.25" customHeight="1" x14ac:dyDescent="0.3"/>
    <row r="54" spans="1:1" ht="14.25" customHeight="1" x14ac:dyDescent="0.3"/>
    <row r="55" spans="1:1" ht="14.25" customHeight="1" x14ac:dyDescent="0.3"/>
    <row r="56" spans="1:1" ht="14.25" customHeight="1" x14ac:dyDescent="0.3"/>
    <row r="57" spans="1:1" ht="14.25" customHeight="1" x14ac:dyDescent="0.3"/>
    <row r="58" spans="1:1" ht="14.25" customHeight="1" x14ac:dyDescent="0.3"/>
    <row r="59" spans="1:1" ht="14.25" customHeight="1" x14ac:dyDescent="0.3"/>
    <row r="60" spans="1:1" ht="14.25" customHeight="1" x14ac:dyDescent="0.3"/>
    <row r="61" spans="1:1" ht="14.25" customHeight="1" x14ac:dyDescent="0.3"/>
    <row r="62" spans="1:1" ht="14.25" customHeight="1" x14ac:dyDescent="0.3"/>
    <row r="63" spans="1:1" ht="14.25" customHeight="1" x14ac:dyDescent="0.3"/>
    <row r="64" spans="1:1" ht="14.25" customHeight="1" x14ac:dyDescent="0.3"/>
    <row r="65" spans="1:1" ht="14.25" customHeight="1" x14ac:dyDescent="0.3"/>
    <row r="66" spans="1:1" ht="14.25" customHeight="1" x14ac:dyDescent="0.3"/>
    <row r="67" spans="1:1" ht="14.25" customHeight="1" x14ac:dyDescent="0.3"/>
    <row r="68" spans="1:1" ht="14.25" customHeight="1" x14ac:dyDescent="0.3">
      <c r="A68" s="3" t="s">
        <v>174</v>
      </c>
    </row>
    <row r="69" spans="1:1" ht="14.25" customHeight="1" x14ac:dyDescent="0.3"/>
    <row r="70" spans="1:1" ht="14.25" customHeight="1" x14ac:dyDescent="0.3"/>
    <row r="71" spans="1:1" ht="14.25" customHeight="1" x14ac:dyDescent="0.3"/>
    <row r="72" spans="1:1" ht="14.25" customHeight="1" x14ac:dyDescent="0.3"/>
    <row r="73" spans="1:1" ht="14.25" customHeight="1" x14ac:dyDescent="0.3"/>
    <row r="74" spans="1:1" ht="14.25" customHeight="1" x14ac:dyDescent="0.3"/>
    <row r="75" spans="1:1" ht="14.25" customHeight="1" x14ac:dyDescent="0.3"/>
    <row r="76" spans="1:1" ht="14.25" customHeight="1" x14ac:dyDescent="0.3"/>
    <row r="77" spans="1:1" ht="14.25" customHeight="1" x14ac:dyDescent="0.3"/>
    <row r="78" spans="1:1" ht="14.25" customHeight="1" x14ac:dyDescent="0.3"/>
    <row r="79" spans="1:1" ht="14.25" customHeight="1" x14ac:dyDescent="0.3"/>
    <row r="80" spans="1:1" ht="14.25" customHeight="1" x14ac:dyDescent="0.3"/>
    <row r="81" spans="1:1" ht="14.25" customHeight="1" x14ac:dyDescent="0.3"/>
    <row r="82" spans="1:1" ht="14.25" customHeight="1" x14ac:dyDescent="0.3"/>
    <row r="83" spans="1:1" ht="14.25" customHeight="1" x14ac:dyDescent="0.3"/>
    <row r="84" spans="1:1" ht="14.25" customHeight="1" x14ac:dyDescent="0.3"/>
    <row r="85" spans="1:1" ht="14.25" customHeight="1" x14ac:dyDescent="0.3">
      <c r="A85" s="3" t="s">
        <v>175</v>
      </c>
    </row>
    <row r="86" spans="1:1" ht="14.25" customHeight="1" x14ac:dyDescent="0.3"/>
    <row r="87" spans="1:1" ht="14.25" customHeight="1" x14ac:dyDescent="0.3"/>
    <row r="88" spans="1:1" ht="14.25" customHeight="1" x14ac:dyDescent="0.3"/>
    <row r="89" spans="1:1" ht="14.25" customHeight="1" x14ac:dyDescent="0.3"/>
    <row r="90" spans="1:1" ht="14.25" customHeight="1" x14ac:dyDescent="0.3"/>
    <row r="91" spans="1:1" ht="14.25" customHeight="1" x14ac:dyDescent="0.3"/>
    <row r="92" spans="1:1" ht="14.25" customHeight="1" x14ac:dyDescent="0.3"/>
    <row r="93" spans="1:1" ht="14.25" customHeight="1" x14ac:dyDescent="0.3"/>
    <row r="94" spans="1:1" ht="14.25" customHeight="1" x14ac:dyDescent="0.3"/>
    <row r="95" spans="1:1" ht="14.25" customHeight="1" x14ac:dyDescent="0.3"/>
    <row r="96" spans="1:1" ht="14.25" customHeight="1" x14ac:dyDescent="0.3"/>
    <row r="97" spans="1:1" ht="14.25" customHeight="1" x14ac:dyDescent="0.3"/>
    <row r="98" spans="1:1" ht="14.25" customHeight="1" x14ac:dyDescent="0.3"/>
    <row r="99" spans="1:1" ht="14.25" customHeight="1" x14ac:dyDescent="0.3"/>
    <row r="100" spans="1:1" ht="14.25" customHeight="1" x14ac:dyDescent="0.3"/>
    <row r="101" spans="1:1" ht="14.25" customHeight="1" x14ac:dyDescent="0.3"/>
    <row r="102" spans="1:1" ht="14.25" customHeight="1" x14ac:dyDescent="0.3">
      <c r="A102" s="3" t="s">
        <v>176</v>
      </c>
    </row>
    <row r="103" spans="1:1" ht="14.25" customHeight="1" x14ac:dyDescent="0.3"/>
    <row r="104" spans="1:1" ht="14.25" customHeight="1" x14ac:dyDescent="0.3"/>
    <row r="105" spans="1:1" ht="14.25" customHeight="1" x14ac:dyDescent="0.3"/>
    <row r="106" spans="1:1" ht="14.25" customHeight="1" x14ac:dyDescent="0.3"/>
    <row r="107" spans="1:1" ht="14.25" customHeight="1" x14ac:dyDescent="0.3"/>
    <row r="108" spans="1:1" ht="14.25" customHeight="1" x14ac:dyDescent="0.3"/>
    <row r="109" spans="1:1" ht="14.25" customHeight="1" x14ac:dyDescent="0.3"/>
    <row r="110" spans="1:1" ht="14.25" customHeight="1" x14ac:dyDescent="0.3"/>
    <row r="111" spans="1:1" ht="14.25" customHeight="1" x14ac:dyDescent="0.3"/>
    <row r="112" spans="1:1"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Z1029"/>
  <sheetViews>
    <sheetView showGridLines="0" tabSelected="1" topLeftCell="A147" workbookViewId="0">
      <selection activeCell="A152" sqref="A152"/>
    </sheetView>
  </sheetViews>
  <sheetFormatPr baseColWidth="10" defaultColWidth="14.44140625" defaultRowHeight="15" customHeight="1" x14ac:dyDescent="0.3"/>
  <cols>
    <col min="1" max="1" width="42.5546875" customWidth="1"/>
    <col min="2" max="2" width="15.44140625" customWidth="1"/>
    <col min="3" max="3" width="15.44140625" hidden="1" customWidth="1"/>
    <col min="4" max="4" width="24" customWidth="1"/>
    <col min="5" max="5" width="18.5546875" customWidth="1"/>
    <col min="6" max="6" width="14.109375" customWidth="1"/>
    <col min="7" max="7" width="10.6640625" customWidth="1"/>
    <col min="8" max="8" width="15.6640625" customWidth="1"/>
    <col min="9" max="9" width="13.5546875" customWidth="1"/>
    <col min="10" max="10" width="31.44140625" customWidth="1"/>
    <col min="11" max="11" width="13.5546875" customWidth="1"/>
    <col min="12" max="12" width="44.5546875" customWidth="1"/>
    <col min="13" max="13" width="35.5546875" style="93" customWidth="1"/>
    <col min="14" max="14" width="22.109375" customWidth="1"/>
    <col min="15" max="18" width="21.88671875" customWidth="1"/>
    <col min="19" max="19" width="14.109375" customWidth="1"/>
    <col min="20" max="21" width="10.6640625" customWidth="1"/>
    <col min="22" max="22" width="18.109375" customWidth="1"/>
    <col min="23" max="23" width="17" customWidth="1"/>
    <col min="24" max="24" width="17.44140625" customWidth="1"/>
    <col min="25" max="25" width="43.5546875" customWidth="1"/>
    <col min="26" max="26" width="38.88671875" customWidth="1"/>
    <col min="27" max="27" width="31" customWidth="1"/>
    <col min="28" max="28" width="10.6640625" customWidth="1"/>
    <col min="29" max="32" width="20.109375" customWidth="1"/>
    <col min="33" max="33" width="18.5546875" customWidth="1"/>
    <col min="34" max="35" width="10.6640625" customWidth="1"/>
    <col min="36" max="36" width="11.5546875" customWidth="1"/>
    <col min="37" max="37" width="42.109375" customWidth="1"/>
    <col min="38" max="38" width="41.44140625" customWidth="1"/>
    <col min="39" max="40" width="52.5546875" customWidth="1"/>
    <col min="41" max="41" width="43.6640625" customWidth="1"/>
    <col min="42" max="42" width="29.6640625" customWidth="1"/>
    <col min="43" max="44" width="20.109375" hidden="1" customWidth="1"/>
    <col min="45" max="45" width="20.109375" customWidth="1"/>
    <col min="46" max="46" width="14.109375" customWidth="1"/>
    <col min="47" max="48" width="10.6640625" customWidth="1"/>
    <col min="49" max="49" width="45.109375" customWidth="1"/>
    <col min="50" max="50" width="10.6640625" customWidth="1"/>
    <col min="51" max="51" width="42.6640625" customWidth="1"/>
    <col min="52" max="52" width="17.6640625" customWidth="1"/>
    <col min="53" max="53" width="55.5546875" customWidth="1"/>
    <col min="54" max="54" width="20.33203125" customWidth="1"/>
    <col min="55" max="55" width="20.109375" customWidth="1"/>
    <col min="56" max="56" width="22.109375" hidden="1" customWidth="1"/>
    <col min="57" max="58" width="20.109375" customWidth="1"/>
    <col min="59" max="59" width="19.109375" customWidth="1"/>
    <col min="60" max="60" width="36.5546875" customWidth="1"/>
    <col min="61" max="61" width="26.88671875" customWidth="1"/>
    <col min="62" max="62" width="16.109375" customWidth="1"/>
    <col min="63" max="63" width="10.6640625" customWidth="1"/>
    <col min="64" max="65" width="43.6640625" bestFit="1" customWidth="1"/>
    <col min="66" max="67" width="10.6640625" customWidth="1"/>
    <col min="68" max="68" width="20.109375" customWidth="1"/>
    <col min="69" max="69" width="20.109375" hidden="1" customWidth="1"/>
    <col min="70" max="71" width="20.109375" customWidth="1"/>
    <col min="72" max="72" width="14.109375" customWidth="1"/>
    <col min="73" max="76" width="10.6640625" customWidth="1"/>
    <col min="77" max="77" width="43.6640625" bestFit="1" customWidth="1"/>
    <col min="78" max="78" width="43.88671875" customWidth="1"/>
    <col min="79" max="80" width="10.6640625" customWidth="1"/>
    <col min="81" max="81" width="20.109375" customWidth="1"/>
    <col min="82" max="82" width="20.109375" hidden="1" customWidth="1"/>
    <col min="83" max="84" width="20.109375" customWidth="1"/>
    <col min="85" max="85" width="14.109375" customWidth="1"/>
    <col min="86" max="87" width="10.6640625" customWidth="1"/>
    <col min="88" max="88" width="18.6640625" customWidth="1"/>
    <col min="89" max="89" width="10.6640625" customWidth="1"/>
    <col min="90" max="90" width="42.6640625" customWidth="1"/>
    <col min="91" max="91" width="43.6640625" bestFit="1" customWidth="1"/>
    <col min="92" max="92" width="43.5546875" customWidth="1"/>
    <col min="93" max="93" width="10.6640625" customWidth="1"/>
    <col min="94" max="94" width="20.109375" customWidth="1"/>
    <col min="95" max="95" width="20.109375" hidden="1" customWidth="1"/>
    <col min="96" max="97" width="20.109375" customWidth="1"/>
    <col min="98" max="98" width="14.109375" customWidth="1"/>
    <col min="99" max="102" width="10.6640625" customWidth="1"/>
    <col min="103" max="103" width="13.5546875" customWidth="1"/>
  </cols>
  <sheetData>
    <row r="1" spans="1:104" ht="14.25" customHeight="1" x14ac:dyDescent="0.3">
      <c r="M1"/>
    </row>
    <row r="2" spans="1:104" ht="14.25" customHeight="1" x14ac:dyDescent="0.3">
      <c r="M2"/>
      <c r="AI2" s="3" t="s">
        <v>177</v>
      </c>
    </row>
    <row r="3" spans="1:104" ht="14.25" customHeight="1" x14ac:dyDescent="0.3">
      <c r="M3"/>
      <c r="AI3" s="3" t="s">
        <v>178</v>
      </c>
    </row>
    <row r="4" spans="1:104" ht="14.25" customHeight="1" x14ac:dyDescent="0.3">
      <c r="M4"/>
    </row>
    <row r="5" spans="1:104" ht="14.25" customHeight="1" x14ac:dyDescent="0.3">
      <c r="M5"/>
    </row>
    <row r="6" spans="1:104" ht="14.25" customHeight="1" x14ac:dyDescent="0.3">
      <c r="A6" s="59" t="s">
        <v>179</v>
      </c>
      <c r="B6" s="6"/>
      <c r="C6" s="7"/>
      <c r="D6" s="7"/>
      <c r="E6" s="7"/>
      <c r="F6" s="7"/>
      <c r="G6" s="6"/>
      <c r="H6" s="8"/>
      <c r="M6"/>
      <c r="O6" s="3" t="s">
        <v>180</v>
      </c>
      <c r="AC6" s="3" t="s">
        <v>181</v>
      </c>
      <c r="AL6" s="6"/>
      <c r="AM6" s="6"/>
      <c r="AN6" s="6"/>
      <c r="AO6" s="68" t="s">
        <v>182</v>
      </c>
      <c r="AP6" s="6"/>
      <c r="AQ6" s="6"/>
      <c r="AR6" s="6"/>
      <c r="AS6" s="6"/>
      <c r="AT6" s="6"/>
      <c r="AU6" s="6"/>
      <c r="AV6" s="6"/>
      <c r="BC6" s="3" t="s">
        <v>183</v>
      </c>
      <c r="BP6" s="3" t="s">
        <v>184</v>
      </c>
      <c r="CC6" s="3" t="s">
        <v>185</v>
      </c>
      <c r="CP6" s="3" t="s">
        <v>186</v>
      </c>
    </row>
    <row r="7" spans="1:104" ht="14.25" customHeight="1" x14ac:dyDescent="0.3">
      <c r="A7" s="62" t="s">
        <v>187</v>
      </c>
      <c r="B7" s="62" t="s">
        <v>5</v>
      </c>
      <c r="C7" s="62" t="s">
        <v>188</v>
      </c>
      <c r="D7" s="63" t="s">
        <v>189</v>
      </c>
      <c r="E7" s="62" t="s">
        <v>190</v>
      </c>
      <c r="F7" s="62" t="s">
        <v>191</v>
      </c>
      <c r="G7" s="62" t="s">
        <v>192</v>
      </c>
      <c r="H7" s="64" t="s">
        <v>396</v>
      </c>
      <c r="I7" s="62" t="s">
        <v>193</v>
      </c>
      <c r="J7" s="51" t="s">
        <v>197</v>
      </c>
      <c r="K7" s="99" t="s">
        <v>198</v>
      </c>
      <c r="L7" s="64" t="s">
        <v>373</v>
      </c>
      <c r="N7" s="87" t="s">
        <v>201</v>
      </c>
      <c r="O7" s="51" t="s">
        <v>5</v>
      </c>
      <c r="P7" s="51" t="s">
        <v>202</v>
      </c>
      <c r="Q7" s="52" t="s">
        <v>189</v>
      </c>
      <c r="R7" s="51" t="s">
        <v>190</v>
      </c>
      <c r="S7" s="51" t="s">
        <v>191</v>
      </c>
      <c r="T7" s="51" t="s">
        <v>192</v>
      </c>
      <c r="U7" s="64" t="s">
        <v>396</v>
      </c>
      <c r="V7" s="51" t="s">
        <v>193</v>
      </c>
      <c r="W7" s="51" t="s">
        <v>197</v>
      </c>
      <c r="X7" s="51" t="s">
        <v>198</v>
      </c>
      <c r="Y7" s="51" t="s">
        <v>373</v>
      </c>
      <c r="Z7" s="12"/>
      <c r="AA7" s="12"/>
      <c r="AB7" s="51" t="s">
        <v>201</v>
      </c>
      <c r="AC7" s="51" t="s">
        <v>5</v>
      </c>
      <c r="AD7" s="51" t="s">
        <v>206</v>
      </c>
      <c r="AE7" s="52" t="s">
        <v>189</v>
      </c>
      <c r="AF7" s="51" t="s">
        <v>190</v>
      </c>
      <c r="AG7" s="51" t="s">
        <v>191</v>
      </c>
      <c r="AH7" s="51" t="s">
        <v>192</v>
      </c>
      <c r="AI7" s="64" t="s">
        <v>396</v>
      </c>
      <c r="AJ7" s="51" t="s">
        <v>193</v>
      </c>
      <c r="AK7" s="51" t="s">
        <v>197</v>
      </c>
      <c r="AL7" s="51" t="s">
        <v>198</v>
      </c>
      <c r="AM7" s="64" t="s">
        <v>373</v>
      </c>
      <c r="AO7" s="79" t="s">
        <v>187</v>
      </c>
      <c r="AP7" s="62" t="s">
        <v>5</v>
      </c>
      <c r="AQ7" s="62" t="s">
        <v>208</v>
      </c>
      <c r="AR7" s="63" t="s">
        <v>189</v>
      </c>
      <c r="AS7" s="62" t="s">
        <v>190</v>
      </c>
      <c r="AT7" s="62" t="s">
        <v>191</v>
      </c>
      <c r="AU7" s="62" t="s">
        <v>192</v>
      </c>
      <c r="AV7" s="64" t="s">
        <v>396</v>
      </c>
      <c r="AW7" s="62" t="s">
        <v>193</v>
      </c>
      <c r="AX7" s="51" t="s">
        <v>197</v>
      </c>
      <c r="AY7" s="51" t="s">
        <v>198</v>
      </c>
      <c r="AZ7" s="64" t="s">
        <v>373</v>
      </c>
      <c r="BA7" s="12"/>
      <c r="BB7" s="51" t="s">
        <v>201</v>
      </c>
      <c r="BC7" s="51" t="s">
        <v>5</v>
      </c>
      <c r="BD7" s="51" t="s">
        <v>209</v>
      </c>
      <c r="BE7" s="52" t="s">
        <v>189</v>
      </c>
      <c r="BF7" s="51" t="s">
        <v>190</v>
      </c>
      <c r="BG7" s="51" t="s">
        <v>191</v>
      </c>
      <c r="BH7" s="53" t="s">
        <v>192</v>
      </c>
      <c r="BI7" s="64" t="s">
        <v>396</v>
      </c>
      <c r="BJ7" s="53" t="s">
        <v>193</v>
      </c>
      <c r="BK7" s="53" t="s">
        <v>197</v>
      </c>
      <c r="BL7" s="53" t="s">
        <v>210</v>
      </c>
      <c r="BM7" s="64" t="s">
        <v>373</v>
      </c>
      <c r="BO7" s="51" t="s">
        <v>201</v>
      </c>
      <c r="BP7" s="87" t="s">
        <v>5</v>
      </c>
      <c r="BQ7" s="51" t="s">
        <v>211</v>
      </c>
      <c r="BR7" s="52" t="s">
        <v>189</v>
      </c>
      <c r="BS7" s="51" t="s">
        <v>190</v>
      </c>
      <c r="BT7" s="51" t="s">
        <v>191</v>
      </c>
      <c r="BU7" s="51" t="s">
        <v>192</v>
      </c>
      <c r="BV7" s="64" t="s">
        <v>396</v>
      </c>
      <c r="BW7" s="51" t="s">
        <v>193</v>
      </c>
      <c r="BX7" s="53" t="s">
        <v>197</v>
      </c>
      <c r="BY7" s="53" t="s">
        <v>210</v>
      </c>
      <c r="BZ7" s="51" t="s">
        <v>373</v>
      </c>
      <c r="CB7" s="51" t="s">
        <v>201</v>
      </c>
      <c r="CC7" s="51" t="s">
        <v>5</v>
      </c>
      <c r="CD7" s="51" t="s">
        <v>212</v>
      </c>
      <c r="CE7" s="52" t="s">
        <v>189</v>
      </c>
      <c r="CF7" s="51" t="s">
        <v>190</v>
      </c>
      <c r="CG7" s="51" t="s">
        <v>191</v>
      </c>
      <c r="CH7" s="51" t="s">
        <v>192</v>
      </c>
      <c r="CI7" s="64" t="s">
        <v>396</v>
      </c>
      <c r="CJ7" s="51" t="s">
        <v>193</v>
      </c>
      <c r="CK7" s="53" t="s">
        <v>197</v>
      </c>
      <c r="CL7" s="53" t="s">
        <v>210</v>
      </c>
      <c r="CM7" s="51" t="s">
        <v>373</v>
      </c>
      <c r="CN7" s="93"/>
      <c r="CO7" s="13" t="s">
        <v>201</v>
      </c>
      <c r="CP7" s="13" t="s">
        <v>5</v>
      </c>
      <c r="CQ7" s="13" t="s">
        <v>188</v>
      </c>
      <c r="CR7" s="14" t="s">
        <v>189</v>
      </c>
      <c r="CS7" s="13" t="s">
        <v>190</v>
      </c>
      <c r="CT7" s="13" t="s">
        <v>191</v>
      </c>
      <c r="CU7" s="13" t="s">
        <v>192</v>
      </c>
      <c r="CV7" s="64" t="s">
        <v>396</v>
      </c>
      <c r="CW7" s="13" t="s">
        <v>193</v>
      </c>
      <c r="CX7" s="71" t="s">
        <v>197</v>
      </c>
      <c r="CY7" s="53" t="s">
        <v>210</v>
      </c>
      <c r="CZ7" s="64" t="s">
        <v>373</v>
      </c>
    </row>
    <row r="8" spans="1:104" ht="14.25" customHeight="1" x14ac:dyDescent="0.3">
      <c r="A8" s="62" t="s">
        <v>213</v>
      </c>
      <c r="B8" s="62">
        <v>11</v>
      </c>
      <c r="C8" s="65">
        <v>6</v>
      </c>
      <c r="D8" s="66">
        <v>10</v>
      </c>
      <c r="E8" s="66">
        <v>4</v>
      </c>
      <c r="F8" s="62">
        <v>10</v>
      </c>
      <c r="G8" s="67">
        <v>1.247177188019948</v>
      </c>
      <c r="H8" s="64" t="s">
        <v>397</v>
      </c>
      <c r="I8" s="62">
        <v>17</v>
      </c>
      <c r="J8" s="53">
        <f t="shared" ref="J8:J17" si="0">IF(D8&lt;=B8,1,0)</f>
        <v>1</v>
      </c>
      <c r="K8" s="100">
        <f t="shared" ref="K8:K27" si="1">D8-B8</f>
        <v>-1</v>
      </c>
      <c r="L8" s="64" t="str">
        <f>IF(G8&gt;0,
    IF(OR(B8&lt;=TRUNC(I8/2,0),B8=0),
        IF(F8=TRUNC(I8/2,0),
            "-1, Déficit y dejo la capacidad media",
            IF(AND(F8&gt;TRUNC(I8/2,0), F8&gt;B8),
                "1, Déficit y eliminé déficit",
                IF(AND(F8&lt;TRUNC(I8/2,0), F8&lt;B8),
                    "0, Déficit y no elimine déficit",
                    "-2, Déficit y resultado fue bueno")
            )
        ),
        IF(AND(F8&gt;TRUNC(I8/2,0), F8&gt;B8),
            "1, no había déficit, pero resultado fue mejor",
            IF(AND(F8&lt;TRUNC(I8/2,0),F8&lt;B8),
                "0, no había déficit y la dejo con déficit",
                IF(F8=TRUNC(I8/2,0),
                    "-1, no había déficit y dejo la capacidad media",
                    "-2,no había déficit y resultado fue bueno")
            )
        )
    ),
    IF(G8&lt;0,
        IF(B8&gt;TRUNC(I8/2,0),
            IF(F8=TRUNC(I8/2,0),
                "-1, Superávit y deje la capacidad media",
                IF(AND(F8&gt;TRUNC(I8/2,0), F8&gt;=B8),
                    "0, Superávit y no eliminé superávit",
                    IF(AND(F8&lt;TRUNC(I8/2,0),F8&lt;B8),
                        "1, Superávit y eliminé superávit",
                        "-2, Superávit y resultado fue bueno"
                    )
                )
            ),
            IF(AND(B8&lt;=TRUNC(I8/2,0),B8&gt;=0),
                IF(F8=TRUNC(I8/2,0),
                    "-1, no había superávit y deje la capacidad media",
                    IF(AND(F8&gt;TRUNC(I8/2,0), F8&gt;=B8),
                        "0, no había superávit, y la deje con superávit",
                        IF(AND(F8&lt;TRUNC(I8/2,0),F8&lt;B8),
                            "1, no había superávit, pero el resultado fue mejor",
                            "-2, no había superávit y resultado fue bueno"
                        )
                    )
                )
            )
        )
    )
)</f>
        <v>-2,no había déficit y resultado fue bueno</v>
      </c>
      <c r="N8" s="88" t="s">
        <v>213</v>
      </c>
      <c r="O8" s="53">
        <v>2</v>
      </c>
      <c r="P8" s="54">
        <v>3.3333333333333335</v>
      </c>
      <c r="Q8" s="54">
        <v>3</v>
      </c>
      <c r="R8" s="54">
        <v>3</v>
      </c>
      <c r="S8" s="53">
        <v>8</v>
      </c>
      <c r="T8" s="51">
        <v>1.247177188019948</v>
      </c>
      <c r="U8" s="64" t="s">
        <v>397</v>
      </c>
      <c r="V8" s="51">
        <v>17</v>
      </c>
      <c r="W8" s="53">
        <f t="shared" ref="W8:W17" si="2">IF(Q8&lt;=O8,1,0)</f>
        <v>0</v>
      </c>
      <c r="X8" s="55">
        <f t="shared" ref="X8:X27" si="3">Q8-O8</f>
        <v>1</v>
      </c>
      <c r="Y8" s="53" t="str">
        <f t="shared" ref="Y8:Y27" si="4">IF(T8&gt;0,
    IF(OR(O8&lt;=TRUNC(V8/2,0),O8=0),
        IF(S8=TRUNC(V8/2,0),
            "-1, Déficit y dejo la capacidad media",
            IF(AND(S8&gt;TRUNC(V8/2,0), S8&gt;O8),
                "1, Déficit y eliminé déficit",
                IF(AND(S8&lt;TRUNC(V8/2,0), S8&lt;O8),
                    "0, Déficit y no elimine déficit",
                    "-2, Déficit y resultado fue bueno")
            )
        ),
        IF(AND(S8&gt;TRUNC(V8/2,0), S8&gt;O8),
            "1, no había déficit, pero resultado fue mejor",
            IF(AND(S8&lt;TRUNC(V8/2,0),S8&lt;O8),
                "0, no había déficit y la dejo con déficit",
                IF(S8=TRUNC(V8/2,0),
                    "-1, no había déficit y dejo la capacidad media",
                    "-2,no había déficit y resultado fue bueno")
            )
        )
    ),
    IF(T8&lt;0,
        IF(O8&gt;TRUNC(V8/2,0),
            IF(S8=TRUNC(V8/2,0),
                "-1, Superávit y deje la capacidad media",
                IF(AND(S8&gt;TRUNC(V8/2,0), S8&gt;=O8),
                    "0, Superávit y no eliminé superávit",
                    IF(AND(S8&lt;TRUNC(V8/2,0),S8&lt;O8),
                        "1, Superávit y eliminé superávit",
                        "-2, Superávit y resultado fue bueno"
                    )
                )
            ),
            IF(AND(O8&lt;=TRUNC(V8/2,0),O8&gt;=0),
                IF(S8=TRUNC(V8/2,0),
                    "-1, no había superávit y deje la capacidad media",
                    IF(AND(S8&gt;TRUNC(V8/2,0), S8&gt;=O8),
                        "0, no había superávit, y la deje con superávit",
                        IF(AND(S8&lt;TRUNC(V8/2,0),S8&lt;O8),
                            "1, no había superávit, pero el resultado fue mejor",
                            "-2, no había superávit y resultado fue bueno"
                        )
                    )
                )
            )
        )
    )
)</f>
        <v>-1, Déficit y dejo la capacidad media</v>
      </c>
      <c r="Z8" s="3"/>
      <c r="AA8" s="3"/>
      <c r="AB8" s="53" t="s">
        <v>213</v>
      </c>
      <c r="AC8" s="53">
        <v>4</v>
      </c>
      <c r="AD8" s="54">
        <v>3.1111111111111112</v>
      </c>
      <c r="AE8" s="53">
        <v>4</v>
      </c>
      <c r="AF8" s="53">
        <v>4</v>
      </c>
      <c r="AG8" s="53">
        <v>8</v>
      </c>
      <c r="AH8" s="51">
        <v>1.247177188019948</v>
      </c>
      <c r="AI8" s="64" t="s">
        <v>397</v>
      </c>
      <c r="AJ8" s="51">
        <v>17</v>
      </c>
      <c r="AK8" s="66">
        <f t="shared" ref="AK8:AK17" si="5">IF(AE8&lt;=AC8,1,0)</f>
        <v>1</v>
      </c>
      <c r="AL8" s="66">
        <f t="shared" ref="AL8:AL27" si="6">AE8-AC8</f>
        <v>0</v>
      </c>
      <c r="AM8" s="64" t="str">
        <f t="shared" ref="AM8:AM27" si="7">IF(AH8&gt;0,
    IF(OR(AC8&lt;=TRUNC(AJ8/2,0),AC8=0),
        IF(AG8=TRUNC(AJ8/2,0),
            "-1, Déficit y dejo la capacidad media",
            IF(AND(AG8&gt;TRUNC(AJ8/2,0), AG8&gt;AC8),
                "1, Déficit y eliminé déficit",
                IF(AND(AG8&lt;TRUNC(AJ8/2,0), AG8&lt;AC8),
                    "0, Déficit y no elimine déficit",
                    "-2, Déficit y resultado fue bueno")
            )
        ),
        IF(AND(AG8&gt;TRUNC(AJ8/2,0), AG8&gt;AC8),
            "1, no había déficit, pero resultado fue mejor",
            IF(AND(AG8&lt;TRUNC(AJ8/2,0),AG8&lt;AC8),
                "0, no había déficit y la dejo con déficit",
                IF(AG8=TRUNC(AJ8/2,0),
                    "-1, no había déficit y dejo la capacidad media",
                    "-2,no había déficit y resultado fue bueno")
            )
        )
    ),
    IF(AH8&lt;0,
        IF(AC8&gt;TRUNC(AJ8/2,0),
            IF(AG8=TRUNC(AJ8/2,0),
                "-1, Superávit y deje la capacidad media",
                IF(AND(AG8&gt;TRUNC(AJ8/2,0), AG8&gt;=AC8),
                    "0, Superávit y no eliminé superávit",
                    IF(AND(AG8&lt;TRUNC(AJ8/2,0),AG8&lt;AC8),
                        "1, Superávit y eliminé superávit",
                        "-2, Superávit y resultado fue bueno"
                    )
                )
            ),
            IF(AND(AC8&lt;=TRUNC(AJ8/2,0),AC8&gt;=0),
                IF(AG8=TRUNC(AJ8/2,0),
                    "-1, no había superávit y deje la capacidad media",
                    IF(AND(AG8&gt;TRUNC(AJ8/2,0), AG8&gt;=AC8),
                        "0, no había superávit, y la deje con superávit",
                        IF(AND(AG8&lt;TRUNC(AJ8/2,0),AG8&lt;AC8),
                            "1, no había superávit, pero el resultado fue mejor",
                            "-2, no había superávit y resultado fue bueno"
                        )
                    )
                )
            )
        )
    )
)</f>
        <v>-1, Déficit y dejo la capacidad media</v>
      </c>
      <c r="AO8" s="80" t="s">
        <v>213</v>
      </c>
      <c r="AP8" s="66">
        <v>8</v>
      </c>
      <c r="AQ8" s="65">
        <v>7</v>
      </c>
      <c r="AR8" s="66">
        <v>5</v>
      </c>
      <c r="AS8" s="65">
        <v>5</v>
      </c>
      <c r="AT8" s="66">
        <v>8</v>
      </c>
      <c r="AU8" s="69">
        <v>1.247177188019948</v>
      </c>
      <c r="AV8" s="64" t="s">
        <v>397</v>
      </c>
      <c r="AW8" s="62">
        <v>17</v>
      </c>
      <c r="AX8" s="53">
        <f t="shared" ref="AX8:AX17" si="8">IF(AR8&lt;=AP8,1,0)</f>
        <v>1</v>
      </c>
      <c r="AY8" s="53">
        <f t="shared" ref="AY8:AY27" si="9">AR8-AP8</f>
        <v>-3</v>
      </c>
      <c r="AZ8" s="64" t="str">
        <f t="shared" ref="AZ8:AZ27" si="10">IF(AU8&gt;0,
    IF(OR(AP8&lt;=TRUNC(AW8/2,0),AP8=0),
        IF(AT8=TRUNC(AW8/2,0),
            "-1, Déficit y dejo la capacidad media",
            IF(AND(AT8&gt;TRUNC(AW8/2,0), AT8&gt;AP8),
                "1, Déficit y eliminé déficit",
                IF(AND(AT8&lt;TRUNC(AW8/2,0), AT8&lt;AP8),
                    "0, Déficit y no elimine déficit",
                    "-2, Déficit y resultado fue bueno")
            )
        ),
        IF(AND(AT8&gt;TRUNC(AW8/2,0), AT8&gt;AP8),
            "1, no había déficit, pero resultado fue mejor",
            IF(AND(AT8&lt;TRUNC(AW8/2,0),AT8&lt;AP8),
                "0, no había déficit y la dejo con déficit",
                IF(AT8=TRUNC(AW8/2,0),
                    "-1, no había déficit y dejo la capacidad media",
                    "-2,no había déficit y resultado fue bueno")
            )
        )
    ),
    IF(AU8&lt;0,
        IF(AP8&gt;TRUNC(AW8/2,0),
            IF(AT8=TRUNC(AW8/2,0),
                "-1, Superávit y deje la capacidad media",
                IF(AND(AT8&gt;TRUNC(AW8/2,0), AT8&gt;=AP8),
                    "0, Superávit y no eliminé superávit",
                    IF(AND(AT8&lt;TRUNC(AW8/2,0),AT8&lt;AP8),
                        "1, Superávit y eliminé superávit",
                        "-2, Superávit y resultado fue bueno"
                    )
                )
            ),
            IF(AND(AP8&lt;=TRUNC(AW8/2,0),AP8&gt;=0),
                IF(AT8=TRUNC(AW8/2,0),
                    "-1, no había superávit y deje la capacidad media",
                    IF(AND(AT8&gt;TRUNC(AW8/2,0), AT8&gt;=AP8),
                        "0, no había superávit, y la deje con superávit",
                        IF(AND(AT8&lt;TRUNC(AW8/2,0),AT8&lt;AP8),
                            "1, no había superávit, pero el resultado fue mejor",
                            "-2, no había superávit y resultado fue bueno"
                        )
                    )
                )
            )
        )
    )
)</f>
        <v>-1, Déficit y dejo la capacidad media</v>
      </c>
      <c r="BB8" s="53" t="s">
        <v>213</v>
      </c>
      <c r="BC8" s="53">
        <v>4</v>
      </c>
      <c r="BD8" s="54">
        <v>5.666666666666667</v>
      </c>
      <c r="BE8" s="53">
        <v>1</v>
      </c>
      <c r="BF8" s="53">
        <v>1</v>
      </c>
      <c r="BG8" s="53">
        <v>8</v>
      </c>
      <c r="BH8" s="51">
        <v>1.247177188019948</v>
      </c>
      <c r="BI8" s="64" t="s">
        <v>397</v>
      </c>
      <c r="BJ8" s="51">
        <v>17</v>
      </c>
      <c r="BK8" s="53">
        <f t="shared" ref="BK8:BK17" si="11">IF(BE8&lt;=BC8,1,0)</f>
        <v>1</v>
      </c>
      <c r="BL8" s="53">
        <f t="shared" ref="BL8:BL27" si="12">BE8-BC8</f>
        <v>-3</v>
      </c>
      <c r="BM8" s="64" t="str">
        <f t="shared" ref="BM8:BM27" si="13">IF(BH8&gt;0,
    IF(OR(BC8&lt;=TRUNC(BJ8/2,0),BC8=0),
        IF(BG8=TRUNC(BJ8/2,0),
            "-1, Déficit y dejo la capacidad media",
            IF(AND(BG8&gt;TRUNC(BJ8/2,0), BG8&gt;BC8),
                "1, Déficit y eliminé déficit",
                IF(AND(BG8&lt;TRUNC(BJ8/2,0), BG8&lt;BC8),
                    "0, Déficit y no elimine déficit",
                    "-2, Déficit y resultado fue bueno")
            )
        ),
        IF(AND(BG8&gt;TRUNC(BJ8/2,0), BG8&gt;BC8),
            "1, no había déficit, pero resultado fue mejor",
            IF(AND(BG8&lt;TRUNC(BJ8/2,0),BG8&lt;BC8),
                "0, no había déficit y la dejo con déficit",
                IF(BG8=TRUNC(BJ8/2,0),
                    "-1, no había déficit y dejo la capacidad media",
                    "-2,no había déficit y resultado fue bueno")
            )
        )
    ),
    IF(BH8&lt;0,
        IF(BC8&gt;TRUNC(BJ8/2,0),
            IF(BG8=TRUNC(BJ8/2,0),
                "-1, Superávit y deje la capacidad media",
                IF(AND(BG8&gt;TRUNC(BJ8/2,0), BG8&gt;=BC8),
                    "0, Superávit y no eliminé superávit",
                    IF(AND(BG8&lt;TRUNC(BJ8/2,0),BG8&lt;BC8),
                        "1, Superávit y eliminé superávit",
                        "-2, Superávit y resultado fue bueno"
                    )
                )
            ),
            IF(AND(BC8&lt;=TRUNC(BJ8/2,0),BC8&gt;=0),
                IF(BG8=TRUNC(BJ8/2,0),
                    "-1, no había superávit y deje la capacidad media",
                    IF(AND(BG8&gt;TRUNC(BJ8/2,0), BG8&gt;=BC8),
                        "0, no había superávit, y la deje con superávit",
                        IF(AND(BG8&lt;TRUNC(BJ8/2,0),BG8&lt;BC8),
                            "1, no había superávit, pero el resultado fue mejor",
                            "-2, no había superávit y resultado fue bueno"
                        )
                    )
                )
            )
        )
    )
)</f>
        <v>-1, Déficit y dejo la capacidad media</v>
      </c>
      <c r="BO8" s="53" t="s">
        <v>213</v>
      </c>
      <c r="BP8" s="88">
        <v>4</v>
      </c>
      <c r="BQ8" s="54">
        <v>3.6666666666666665</v>
      </c>
      <c r="BR8" s="53">
        <v>1</v>
      </c>
      <c r="BS8" s="53">
        <v>1</v>
      </c>
      <c r="BT8" s="53">
        <v>8</v>
      </c>
      <c r="BU8" s="51">
        <v>1.247177188019948</v>
      </c>
      <c r="BV8" s="64" t="s">
        <v>397</v>
      </c>
      <c r="BW8" s="51">
        <v>17</v>
      </c>
      <c r="BX8" s="53">
        <f t="shared" ref="BX8:BX17" si="14">IF(BR8&lt;=BP8,1,0)</f>
        <v>1</v>
      </c>
      <c r="BY8" s="53">
        <f t="shared" ref="BY8:BY27" si="15">BR8-BP8</f>
        <v>-3</v>
      </c>
      <c r="BZ8" s="64" t="str">
        <f t="shared" ref="BZ8:BZ27" si="16">IF(BU8&gt;0,
    IF(OR(BP8&lt;=TRUNC(BW8/2,0),BP8=0),
        IF(BT8=TRUNC(BW8/2,0),
            "-1, Déficit y dejo la capacidad media",
            IF(AND(BT8&gt;TRUNC(BW8/2,0), BT8&gt;BP8),
                "1, Déficit y eliminé déficit",
                IF(AND(BT8&lt;TRUNC(BW8/2,0), BT8&lt;BP8),
                    "0, Déficit y no elimine déficit",
                    "-2, Déficit y resultado fue bueno")
            )
        ),
        IF(AND(BT8&gt;TRUNC(BW8/2,0), BT8&gt;BP8),
            "1, no había déficit, pero resultado fue mejor",
            IF(AND(BT8&lt;TRUNC(BW8/2,0),BT8&lt;BP8),
                "0, no había déficit y la dejo con déficit",
                IF(BT8=TRUNC(BW8/2,0),
                    "-1, no había déficit y dejo la capacidad media",
                    "-2,no había déficit y resultado fue bueno")
            )
        )
    ),
    IF(BU8&lt;0,
        IF(BP8&gt;TRUNC(BW8/2,0),
            IF(BT8=TRUNC(BW8/2,0),
                "-1, Superávit y deje la capacidad media",
                IF(AND(BT8&gt;TRUNC(BW8/2,0), BT8&gt;=BP8),
                    "0, Superávit y no eliminé superávit",
                    IF(AND(BT8&lt;TRUNC(BW8/2,0),BT8&lt;BP8),
                        "1, Superávit y eliminé superávit",
                        "-2, Superávit y resultado fue bueno"
                    )
                )
            ),
            IF(AND(BP8&lt;=TRUNC(BW8/2,0),BP8&gt;=0),
                IF(BT8=TRUNC(BW8/2,0),
                    "-1, no había superávit y deje la capacidad media",
                    IF(AND(BT8&gt;TRUNC(BW8/2,0), BT8&gt;=BP8),
                        "0, no había superávit, y la deje con superávit",
                        IF(AND(BT8&lt;TRUNC(BW8/2,0),BT8&lt;BP8),
                            "1, no había superávit, pero el resultado fue mejor",
                            "-2, no había superávit y resultado fue bueno"
                        )
                    )
                )
            )
        )
    )
)</f>
        <v>-1, Déficit y dejo la capacidad media</v>
      </c>
      <c r="CB8" s="53" t="s">
        <v>213</v>
      </c>
      <c r="CC8" s="53">
        <v>4</v>
      </c>
      <c r="CD8" s="54">
        <v>6.666666666666667</v>
      </c>
      <c r="CE8" s="53">
        <v>0</v>
      </c>
      <c r="CF8" s="53">
        <v>1</v>
      </c>
      <c r="CG8" s="53">
        <v>8</v>
      </c>
      <c r="CH8" s="51">
        <v>1.247177188019948</v>
      </c>
      <c r="CI8" s="64" t="s">
        <v>397</v>
      </c>
      <c r="CJ8" s="51">
        <v>17</v>
      </c>
      <c r="CK8" s="53">
        <f t="shared" ref="CK8:CK17" si="17">IF(CE8&lt;=CC8,1,0)</f>
        <v>1</v>
      </c>
      <c r="CL8" s="53">
        <f t="shared" ref="CL8:CL27" si="18">CE8-CC8</f>
        <v>-4</v>
      </c>
      <c r="CM8" s="64" t="str">
        <f t="shared" ref="CM8:CM27" si="19">IF(CH8&gt;0,
    IF(OR(CC8&lt;=TRUNC(CJ8/2,0),CC8=0),
        IF(CG8=TRUNC(CJ8/2,0),
            "-1, Déficit y dejo la capacidad media",
            IF(AND(CG8&gt;TRUNC(CJ8/2,0), CG8&gt;CC8),
                "1, Déficit y eliminé déficit",
                IF(AND(CG8&lt;TRUNC(CJ8/2,0), CG8&lt;CC8),
                    "0, Déficit y no elimine déficit",
                    "-2, Déficit y resultado fue bueno")
            )
        ),
        IF(AND(CG8&gt;TRUNC(CJ8/2,0), CG8&gt;CC8),
            "1, no había déficit, pero resultado fue mejor",
            IF(AND(CG8&lt;TRUNC(CJ8/2,0),CG8&lt;CC8),
                "0, no había déficit y la dejo con déficit",
                IF(CG8=TRUNC(CJ8/2,0),
                    "-1, no había déficit y dejo la capacidad media",
                    "-2,no había déficit y resultado fue bueno")
            )
        )
    ),
    IF(CH8&lt;0,
        IF(CC8&gt;TRUNC(CJ8/2,0),
            IF(CG8=TRUNC(CJ8/2,0),
                "-1, Superávit y deje la capacidad media",
                IF(AND(CG8&gt;TRUNC(CJ8/2,0), CG8&gt;=CC8),
                    "0, Superávit y no eliminé superávit",
                    IF(AND(CG8&lt;TRUNC(CJ8/2,0),CG8&lt;CC8),
                        "1, Superávit y eliminé superávit",
                        "-2, Superávit y resultado fue bueno"
                    )
                )
            ),
            IF(AND(CC8&lt;=TRUNC(CJ8/2,0),CC8&gt;=0),
                IF(CG8=TRUNC(CJ8/2,0),
                    "-1, no había superávit y deje la capacidad media",
                    IF(AND(CG8&gt;TRUNC(CJ8/2,0), CG8&gt;=CC8),
                        "0, no había superávit, y la deje con superávit",
                        IF(AND(CG8&lt;TRUNC(CJ8/2,0),CG8&lt;CC8),
                            "1, no había superávit, pero el resultado fue mejor",
                            "-2, no había superávit y resultado fue bueno"
                        )
                    )
                )
            )
        )
    )
)</f>
        <v>-1, Déficit y dejo la capacidad media</v>
      </c>
      <c r="CN8" s="93"/>
      <c r="CO8" s="3" t="s">
        <v>213</v>
      </c>
      <c r="CP8" s="3">
        <v>6</v>
      </c>
      <c r="CQ8" s="18">
        <v>6</v>
      </c>
      <c r="CR8" s="3">
        <v>6</v>
      </c>
      <c r="CS8" s="3">
        <v>6</v>
      </c>
      <c r="CT8" s="3">
        <v>8</v>
      </c>
      <c r="CU8" s="13">
        <v>1.247177188019948</v>
      </c>
      <c r="CV8" s="64" t="s">
        <v>397</v>
      </c>
      <c r="CW8" s="13">
        <v>17</v>
      </c>
      <c r="CX8" s="72">
        <f t="shared" ref="CX8:CX17" si="20">IF(CR8&lt;=CP8,1,0)</f>
        <v>1</v>
      </c>
      <c r="CY8" s="51">
        <f t="shared" ref="CY8:CY27" si="21">CR8-CP8</f>
        <v>0</v>
      </c>
      <c r="CZ8" s="64" t="str">
        <f t="shared" ref="CZ8:CZ27" si="22">IF(CU8&gt;0,
    IF(OR(CP8&lt;=TRUNC(CW8/2,0),CP8=0),
        IF(CT8=TRUNC(CW8/2,0),
            "-1, Déficit y dejo la capacidad media",
            IF(AND(CT8&gt;TRUNC(CW8/2,0), CT8&gt;CP8),
                "1, Déficit y eliminé déficit",
                IF(AND(CT8&lt;TRUNC(CW8/2,0), CT8&lt;CP8),
                    "0, Déficit y no elimine déficit",
                    "-2, Déficit y resultado fue bueno")
            )
        ),
        IF(AND(CT8&gt;TRUNC(CW8/2,0), CT8&gt;CP8),
            "1, no había déficit, pero resultado fue mejor",
            IF(AND(CT8&lt;TRUNC(CW8/2,0),CT8&lt;CP8),
                "0, no había déficit y la dejo con déficit",
                IF(CT8=TRUNC(CW8/2,0),
                    "-1, no había déficit y dejo la capacidad media",
                    "-2,no había déficit y resultado fue bueno")
            )
        )
    ),
    IF(CU8&lt;0,
        IF(CP8&gt;TRUNC(CW8/2,0),
            IF(CT8=TRUNC(CW8/2,0),
                "-1, Superávit y deje la capacidad media",
                IF(AND(CT8&gt;TRUNC(CW8/2,0), CT8&gt;=CP8),
                    "0, Superávit y no eliminé superávit",
                    IF(AND(CT8&lt;TRUNC(CW8/2,0),CT8&lt;CP8),
                        "1, Superávit y eliminé superávit",
                        "-2, Superávit y resultado fue bueno"
                    )
                )
            ),
            IF(AND(CP8&lt;=TRUNC(CW8/2,0),CP8&gt;=0),
                IF(CT8=TRUNC(CW8/2,0),
                    "-1, no había superávit y deje la capacidad media",
                    IF(AND(CT8&gt;TRUNC(CW8/2,0), CT8&gt;=CP8),
                        "0, no había superávit, y la deje con superávit",
                        IF(AND(CT8&lt;TRUNC(CW8/2,0),CT8&lt;CP8),
                            "1, no había superávit, pero el resultado fue mejor",
                            "-2, no había superávit y resultado fue bueno"
                        )
                    )
                )
            )
        )
    )
)</f>
        <v>-1, Déficit y dejo la capacidad media</v>
      </c>
    </row>
    <row r="9" spans="1:104" ht="14.25" customHeight="1" x14ac:dyDescent="0.3">
      <c r="A9" s="62" t="s">
        <v>215</v>
      </c>
      <c r="B9" s="62">
        <v>4</v>
      </c>
      <c r="C9" s="65">
        <v>4.1111111111111107</v>
      </c>
      <c r="D9" s="66">
        <v>4</v>
      </c>
      <c r="E9" s="66">
        <v>5</v>
      </c>
      <c r="F9" s="62">
        <v>7</v>
      </c>
      <c r="G9" s="67">
        <v>1.1425292918330761</v>
      </c>
      <c r="H9" s="64" t="s">
        <v>399</v>
      </c>
      <c r="I9" s="62">
        <v>15</v>
      </c>
      <c r="J9" s="53">
        <f t="shared" si="0"/>
        <v>1</v>
      </c>
      <c r="K9" s="100">
        <f t="shared" si="1"/>
        <v>0</v>
      </c>
      <c r="L9" s="64" t="str">
        <f t="shared" ref="L9:L27" si="23">IF(G9&gt;0,
    IF(OR(B9&lt;=TRUNC(I9/2,0),B9=0),
        IF(F9=TRUNC(I9/2,0),
            "-1, Déficit y dejo la capacidad media",
            IF(AND(F9&gt;TRUNC(I9/2,0), F9&gt;B9),
                "1, Déficit y eliminé déficit",
                IF(AND(F9&lt;TRUNC(I9/2,0), F9&lt;B9),
                    "0, Déficit y no elimine déficit",
                    "-2, Déficit y resultado fue bueno")
            )
        ),
        IF(AND(F9&gt;TRUNC(I9/2,0), F9&gt;B9),
            "1, no había déficit, pero resultado fue mejor",
            IF(AND(F9&lt;TRUNC(I9/2,0),F9&lt;B9),
                "0, no había déficit y la dejo con déficit",
                IF(F9=TRUNC(I9/2,0),
                    "-1, no había déficit y dejo la capacidad media",
                    "-2,no había déficit y resultado fue bueno")
            )
        )
    ),
    IF(G9&lt;0,
        IF(B9&gt;TRUNC(I9/2,0),
            IF(F9=TRUNC(I9/2,0),
                "-1, Superávit y deje la capacidad media",
                IF(AND(F9&gt;TRUNC(I9/2,0), F9&gt;=B9),
                    "0, Superávit y no eliminé superávit",
                    IF(AND(F9&lt;TRUNC(I9/2,0),F9&lt;B9),
                        "1, Superávit y eliminé superávit",
                        "-2, Superávit y resultado fue bueno"
                    )
                )
            ),
            IF(AND(B9&lt;=TRUNC(I9/2,0),B9&gt;=0),
                IF(F9=TRUNC(I9/2,0),
                    "-1, no había superávit y deje la capacidad media",
                    IF(AND(F9&gt;TRUNC(I9/2,0), F9&gt;=B9),
                        "0, no había superávit, y la deje con superávit",
                        IF(AND(F9&lt;TRUNC(I9/2,0),F9&lt;B9),
                            "1, no había superávit, pero el resultado fue mejor",
                            "-2, no había superávit y resultado fue bueno"
                        )
                    )
                )
            )
        )
    )
)</f>
        <v>-1, Déficit y dejo la capacidad media</v>
      </c>
      <c r="N9" s="88" t="s">
        <v>215</v>
      </c>
      <c r="O9" s="53">
        <v>5</v>
      </c>
      <c r="P9" s="54">
        <v>5.5555555555555554</v>
      </c>
      <c r="Q9" s="54">
        <v>5</v>
      </c>
      <c r="R9" s="54">
        <v>5</v>
      </c>
      <c r="S9" s="53">
        <v>7</v>
      </c>
      <c r="T9" s="51">
        <v>1.1425292918330761</v>
      </c>
      <c r="U9" s="64" t="s">
        <v>399</v>
      </c>
      <c r="V9" s="51">
        <v>15</v>
      </c>
      <c r="W9" s="53">
        <f t="shared" si="2"/>
        <v>1</v>
      </c>
      <c r="X9" s="55">
        <f t="shared" si="3"/>
        <v>0</v>
      </c>
      <c r="Y9" s="53" t="str">
        <f t="shared" si="4"/>
        <v>-1, Déficit y dejo la capacidad media</v>
      </c>
      <c r="Z9" s="3"/>
      <c r="AA9" s="3"/>
      <c r="AB9" s="53" t="s">
        <v>215</v>
      </c>
      <c r="AC9" s="53">
        <v>5</v>
      </c>
      <c r="AD9" s="54">
        <v>4.666666666666667</v>
      </c>
      <c r="AE9" s="53">
        <v>5</v>
      </c>
      <c r="AF9" s="53">
        <v>5</v>
      </c>
      <c r="AG9" s="53">
        <v>10</v>
      </c>
      <c r="AH9" s="51">
        <v>1.1425292918330761</v>
      </c>
      <c r="AI9" s="64" t="s">
        <v>399</v>
      </c>
      <c r="AJ9" s="51">
        <v>15</v>
      </c>
      <c r="AK9" s="66">
        <f t="shared" si="5"/>
        <v>1</v>
      </c>
      <c r="AL9" s="66">
        <f t="shared" si="6"/>
        <v>0</v>
      </c>
      <c r="AM9" s="64" t="str">
        <f t="shared" si="7"/>
        <v>1, Déficit y eliminé déficit</v>
      </c>
      <c r="AO9" s="80" t="s">
        <v>215</v>
      </c>
      <c r="AP9" s="66">
        <v>6</v>
      </c>
      <c r="AQ9" s="65">
        <v>6.1111111111111107</v>
      </c>
      <c r="AR9" s="66">
        <v>3</v>
      </c>
      <c r="AS9" s="65">
        <v>3</v>
      </c>
      <c r="AT9" s="66">
        <v>7</v>
      </c>
      <c r="AU9" s="69">
        <v>1.1425292918330761</v>
      </c>
      <c r="AV9" s="64" t="s">
        <v>399</v>
      </c>
      <c r="AW9" s="62">
        <v>15</v>
      </c>
      <c r="AX9" s="53">
        <f t="shared" si="8"/>
        <v>1</v>
      </c>
      <c r="AY9" s="53">
        <f t="shared" si="9"/>
        <v>-3</v>
      </c>
      <c r="AZ9" s="64" t="str">
        <f t="shared" si="10"/>
        <v>-1, Déficit y dejo la capacidad media</v>
      </c>
      <c r="BB9" s="53" t="s">
        <v>215</v>
      </c>
      <c r="BC9" s="53">
        <v>2</v>
      </c>
      <c r="BD9" s="54">
        <v>3.6666666666666665</v>
      </c>
      <c r="BE9" s="53">
        <v>1</v>
      </c>
      <c r="BF9" s="53">
        <v>1</v>
      </c>
      <c r="BG9" s="53">
        <v>10</v>
      </c>
      <c r="BH9" s="51">
        <v>1.1425292918330761</v>
      </c>
      <c r="BI9" s="64" t="s">
        <v>399</v>
      </c>
      <c r="BJ9" s="51">
        <v>15</v>
      </c>
      <c r="BK9" s="53">
        <f t="shared" si="11"/>
        <v>1</v>
      </c>
      <c r="BL9" s="53">
        <f t="shared" si="12"/>
        <v>-1</v>
      </c>
      <c r="BM9" s="64" t="str">
        <f t="shared" si="13"/>
        <v>1, Déficit y eliminé déficit</v>
      </c>
      <c r="BO9" s="53" t="s">
        <v>215</v>
      </c>
      <c r="BP9" s="88">
        <v>10</v>
      </c>
      <c r="BQ9" s="54">
        <v>4.666666666666667</v>
      </c>
      <c r="BR9" s="53">
        <v>10</v>
      </c>
      <c r="BS9" s="53">
        <v>10</v>
      </c>
      <c r="BT9" s="53">
        <v>7</v>
      </c>
      <c r="BU9" s="51">
        <v>1.1425292918330761</v>
      </c>
      <c r="BV9" s="64" t="s">
        <v>399</v>
      </c>
      <c r="BW9" s="51">
        <v>15</v>
      </c>
      <c r="BX9" s="53">
        <f t="shared" si="14"/>
        <v>1</v>
      </c>
      <c r="BY9" s="53">
        <f t="shared" si="15"/>
        <v>0</v>
      </c>
      <c r="BZ9" s="64" t="str">
        <f t="shared" si="16"/>
        <v>-1, no había déficit y dejo la capacidad media</v>
      </c>
      <c r="CB9" s="53" t="s">
        <v>215</v>
      </c>
      <c r="CC9" s="53">
        <v>8</v>
      </c>
      <c r="CD9" s="54">
        <v>6.1111111111111107</v>
      </c>
      <c r="CE9" s="53">
        <v>6</v>
      </c>
      <c r="CF9" s="53">
        <v>5</v>
      </c>
      <c r="CG9" s="53">
        <v>8</v>
      </c>
      <c r="CH9" s="51">
        <v>1.1425292918330761</v>
      </c>
      <c r="CI9" s="64" t="s">
        <v>399</v>
      </c>
      <c r="CJ9" s="51">
        <v>15</v>
      </c>
      <c r="CK9" s="53">
        <f t="shared" si="17"/>
        <v>1</v>
      </c>
      <c r="CL9" s="53">
        <f t="shared" si="18"/>
        <v>-2</v>
      </c>
      <c r="CM9" s="64" t="str">
        <f t="shared" si="19"/>
        <v>-2,no había déficit y resultado fue bueno</v>
      </c>
      <c r="CN9" s="93"/>
      <c r="CO9" s="3" t="s">
        <v>215</v>
      </c>
      <c r="CP9" s="3">
        <v>7</v>
      </c>
      <c r="CQ9" s="18">
        <v>4.1111111111111107</v>
      </c>
      <c r="CR9" s="3">
        <v>5</v>
      </c>
      <c r="CS9" s="3">
        <v>5</v>
      </c>
      <c r="CT9" s="3">
        <v>7</v>
      </c>
      <c r="CU9" s="13">
        <v>1.1425292918330761</v>
      </c>
      <c r="CV9" s="64" t="s">
        <v>399</v>
      </c>
      <c r="CW9" s="13">
        <v>15</v>
      </c>
      <c r="CX9" s="72">
        <f t="shared" si="20"/>
        <v>1</v>
      </c>
      <c r="CY9" s="51">
        <f t="shared" si="21"/>
        <v>-2</v>
      </c>
      <c r="CZ9" s="64" t="str">
        <f t="shared" si="22"/>
        <v>-1, Déficit y dejo la capacidad media</v>
      </c>
    </row>
    <row r="10" spans="1:104" ht="14.25" customHeight="1" x14ac:dyDescent="0.3">
      <c r="A10" s="62" t="s">
        <v>216</v>
      </c>
      <c r="B10" s="62">
        <v>0</v>
      </c>
      <c r="C10" s="65">
        <v>2.7777777777777777</v>
      </c>
      <c r="D10" s="66">
        <v>0</v>
      </c>
      <c r="E10" s="66">
        <v>3</v>
      </c>
      <c r="F10" s="62">
        <v>5</v>
      </c>
      <c r="G10" s="67">
        <v>1.123713972805261</v>
      </c>
      <c r="H10" s="64" t="s">
        <v>398</v>
      </c>
      <c r="I10" s="62">
        <v>11</v>
      </c>
      <c r="J10" s="53">
        <f t="shared" si="0"/>
        <v>1</v>
      </c>
      <c r="K10" s="100">
        <f t="shared" si="1"/>
        <v>0</v>
      </c>
      <c r="L10" s="64" t="str">
        <f t="shared" si="23"/>
        <v>-1, Déficit y dejo la capacidad media</v>
      </c>
      <c r="N10" s="88" t="s">
        <v>216</v>
      </c>
      <c r="O10" s="53">
        <v>5</v>
      </c>
      <c r="P10" s="54">
        <v>3.2222222222222223</v>
      </c>
      <c r="Q10" s="54">
        <v>5</v>
      </c>
      <c r="R10" s="54">
        <v>5</v>
      </c>
      <c r="S10" s="53">
        <v>5</v>
      </c>
      <c r="T10" s="51">
        <v>1.123713972805261</v>
      </c>
      <c r="U10" s="64" t="s">
        <v>398</v>
      </c>
      <c r="V10" s="51">
        <v>11</v>
      </c>
      <c r="W10" s="53">
        <f t="shared" si="2"/>
        <v>1</v>
      </c>
      <c r="X10" s="55">
        <f t="shared" si="3"/>
        <v>0</v>
      </c>
      <c r="Y10" s="53" t="str">
        <f t="shared" si="4"/>
        <v>-1, Déficit y dejo la capacidad media</v>
      </c>
      <c r="Z10" s="3"/>
      <c r="AA10" s="3"/>
      <c r="AB10" s="53" t="s">
        <v>216</v>
      </c>
      <c r="AC10" s="53">
        <v>3</v>
      </c>
      <c r="AD10" s="54">
        <v>3.2222222222222223</v>
      </c>
      <c r="AE10" s="53">
        <v>3</v>
      </c>
      <c r="AF10" s="53">
        <v>3</v>
      </c>
      <c r="AG10" s="53">
        <v>6</v>
      </c>
      <c r="AH10" s="51">
        <v>1.123713972805261</v>
      </c>
      <c r="AI10" s="64" t="s">
        <v>398</v>
      </c>
      <c r="AJ10" s="51">
        <v>11</v>
      </c>
      <c r="AK10" s="66">
        <f t="shared" si="5"/>
        <v>1</v>
      </c>
      <c r="AL10" s="66">
        <f t="shared" si="6"/>
        <v>0</v>
      </c>
      <c r="AM10" s="64" t="str">
        <f t="shared" si="7"/>
        <v>1, Déficit y eliminé déficit</v>
      </c>
      <c r="AO10" s="80" t="s">
        <v>216</v>
      </c>
      <c r="AP10" s="66">
        <v>3</v>
      </c>
      <c r="AQ10" s="65">
        <v>5</v>
      </c>
      <c r="AR10" s="66">
        <v>2</v>
      </c>
      <c r="AS10" s="65">
        <v>1</v>
      </c>
      <c r="AT10" s="66">
        <v>5</v>
      </c>
      <c r="AU10" s="69">
        <v>1.123713972805261</v>
      </c>
      <c r="AV10" s="64" t="s">
        <v>398</v>
      </c>
      <c r="AW10" s="62">
        <v>11</v>
      </c>
      <c r="AX10" s="53">
        <f t="shared" si="8"/>
        <v>1</v>
      </c>
      <c r="AY10" s="53">
        <f t="shared" si="9"/>
        <v>-1</v>
      </c>
      <c r="AZ10" s="64" t="str">
        <f t="shared" si="10"/>
        <v>-1, Déficit y dejo la capacidad media</v>
      </c>
      <c r="BB10" s="53" t="s">
        <v>216</v>
      </c>
      <c r="BC10" s="53">
        <v>8</v>
      </c>
      <c r="BD10" s="54">
        <v>4.1111111111111107</v>
      </c>
      <c r="BE10" s="53">
        <v>5</v>
      </c>
      <c r="BF10" s="53">
        <v>2</v>
      </c>
      <c r="BG10" s="53">
        <v>5</v>
      </c>
      <c r="BH10" s="51">
        <v>1.123713972805261</v>
      </c>
      <c r="BI10" s="64" t="s">
        <v>398</v>
      </c>
      <c r="BJ10" s="51">
        <v>11</v>
      </c>
      <c r="BK10" s="53">
        <f t="shared" si="11"/>
        <v>1</v>
      </c>
      <c r="BL10" s="53">
        <f t="shared" si="12"/>
        <v>-3</v>
      </c>
      <c r="BM10" s="64" t="str">
        <f t="shared" si="13"/>
        <v>-1, no había déficit y dejo la capacidad media</v>
      </c>
      <c r="BO10" s="53" t="s">
        <v>216</v>
      </c>
      <c r="BP10" s="88">
        <v>6</v>
      </c>
      <c r="BQ10" s="54">
        <v>3.7777777777777777</v>
      </c>
      <c r="BR10" s="53">
        <v>6</v>
      </c>
      <c r="BS10" s="53">
        <v>3</v>
      </c>
      <c r="BT10" s="53">
        <v>5</v>
      </c>
      <c r="BU10" s="51">
        <v>1.123713972805261</v>
      </c>
      <c r="BV10" s="64" t="s">
        <v>398</v>
      </c>
      <c r="BW10" s="51">
        <v>11</v>
      </c>
      <c r="BX10" s="53">
        <f t="shared" si="14"/>
        <v>1</v>
      </c>
      <c r="BY10" s="53">
        <f t="shared" si="15"/>
        <v>0</v>
      </c>
      <c r="BZ10" s="64" t="str">
        <f t="shared" si="16"/>
        <v>-1, no había déficit y dejo la capacidad media</v>
      </c>
      <c r="CB10" s="53" t="s">
        <v>216</v>
      </c>
      <c r="CC10" s="53">
        <v>9</v>
      </c>
      <c r="CD10" s="54">
        <v>6</v>
      </c>
      <c r="CE10" s="53">
        <v>6</v>
      </c>
      <c r="CF10" s="53">
        <v>5</v>
      </c>
      <c r="CG10" s="53">
        <v>5</v>
      </c>
      <c r="CH10" s="51">
        <v>1.123713972805261</v>
      </c>
      <c r="CI10" s="64" t="s">
        <v>398</v>
      </c>
      <c r="CJ10" s="51">
        <v>11</v>
      </c>
      <c r="CK10" s="53">
        <f t="shared" si="17"/>
        <v>1</v>
      </c>
      <c r="CL10" s="53">
        <f t="shared" si="18"/>
        <v>-3</v>
      </c>
      <c r="CM10" s="64" t="str">
        <f t="shared" si="19"/>
        <v>-1, no había déficit y dejo la capacidad media</v>
      </c>
      <c r="CN10" s="93"/>
      <c r="CO10" s="3" t="s">
        <v>216</v>
      </c>
      <c r="CP10" s="3">
        <v>4</v>
      </c>
      <c r="CQ10" s="18">
        <v>2.7777777777777777</v>
      </c>
      <c r="CR10" s="3">
        <v>4</v>
      </c>
      <c r="CS10" s="3">
        <v>4</v>
      </c>
      <c r="CT10" s="3">
        <v>5</v>
      </c>
      <c r="CU10" s="13">
        <v>1.123713972805261</v>
      </c>
      <c r="CV10" s="64" t="s">
        <v>398</v>
      </c>
      <c r="CW10" s="13">
        <v>11</v>
      </c>
      <c r="CX10" s="72">
        <f t="shared" si="20"/>
        <v>1</v>
      </c>
      <c r="CY10" s="51">
        <f t="shared" si="21"/>
        <v>0</v>
      </c>
      <c r="CZ10" s="64" t="str">
        <f t="shared" si="22"/>
        <v>-1, Déficit y dejo la capacidad media</v>
      </c>
    </row>
    <row r="11" spans="1:104" ht="14.25" customHeight="1" x14ac:dyDescent="0.3">
      <c r="A11" s="62" t="s">
        <v>217</v>
      </c>
      <c r="B11" s="62">
        <v>1</v>
      </c>
      <c r="C11" s="65">
        <v>2.7777777777777777</v>
      </c>
      <c r="D11" s="66">
        <v>1</v>
      </c>
      <c r="E11" s="66">
        <v>3</v>
      </c>
      <c r="F11" s="62">
        <v>5</v>
      </c>
      <c r="G11" s="67">
        <v>1.1139196755889551</v>
      </c>
      <c r="H11" s="64" t="s">
        <v>398</v>
      </c>
      <c r="I11" s="62">
        <v>11</v>
      </c>
      <c r="J11" s="53">
        <f t="shared" si="0"/>
        <v>1</v>
      </c>
      <c r="K11" s="100">
        <f t="shared" si="1"/>
        <v>0</v>
      </c>
      <c r="L11" s="64" t="str">
        <f t="shared" si="23"/>
        <v>-1, Déficit y dejo la capacidad media</v>
      </c>
      <c r="N11" s="88" t="s">
        <v>217</v>
      </c>
      <c r="O11" s="53">
        <v>1</v>
      </c>
      <c r="P11" s="54">
        <v>2.7777777777777777</v>
      </c>
      <c r="Q11" s="54">
        <v>1</v>
      </c>
      <c r="R11" s="54">
        <v>1</v>
      </c>
      <c r="S11" s="53">
        <v>5</v>
      </c>
      <c r="T11" s="51">
        <v>1.1139196755889551</v>
      </c>
      <c r="U11" s="64" t="s">
        <v>398</v>
      </c>
      <c r="V11" s="51">
        <v>11</v>
      </c>
      <c r="W11" s="53">
        <f t="shared" si="2"/>
        <v>1</v>
      </c>
      <c r="X11" s="55">
        <f t="shared" si="3"/>
        <v>0</v>
      </c>
      <c r="Y11" s="53" t="str">
        <f t="shared" si="4"/>
        <v>-1, Déficit y dejo la capacidad media</v>
      </c>
      <c r="Z11" s="3"/>
      <c r="AA11" s="3"/>
      <c r="AB11" s="53" t="s">
        <v>217</v>
      </c>
      <c r="AC11" s="53">
        <v>3</v>
      </c>
      <c r="AD11" s="54">
        <v>2.8888888888888888</v>
      </c>
      <c r="AE11" s="53">
        <v>3</v>
      </c>
      <c r="AF11" s="53">
        <v>3</v>
      </c>
      <c r="AG11" s="53">
        <v>5</v>
      </c>
      <c r="AH11" s="51">
        <v>1.1139196755889551</v>
      </c>
      <c r="AI11" s="64" t="s">
        <v>398</v>
      </c>
      <c r="AJ11" s="51">
        <v>11</v>
      </c>
      <c r="AK11" s="66">
        <f t="shared" si="5"/>
        <v>1</v>
      </c>
      <c r="AL11" s="66">
        <f t="shared" si="6"/>
        <v>0</v>
      </c>
      <c r="AM11" s="64" t="str">
        <f t="shared" si="7"/>
        <v>-1, Déficit y dejo la capacidad media</v>
      </c>
      <c r="AO11" s="80" t="s">
        <v>217</v>
      </c>
      <c r="AP11" s="66">
        <v>3</v>
      </c>
      <c r="AQ11" s="65">
        <v>4.4444444444444446</v>
      </c>
      <c r="AR11" s="66">
        <v>0</v>
      </c>
      <c r="AS11" s="65">
        <v>0</v>
      </c>
      <c r="AT11" s="66">
        <v>5</v>
      </c>
      <c r="AU11" s="69">
        <v>1.1139196755889551</v>
      </c>
      <c r="AV11" s="64" t="s">
        <v>398</v>
      </c>
      <c r="AW11" s="62">
        <v>11</v>
      </c>
      <c r="AX11" s="53">
        <f t="shared" si="8"/>
        <v>1</v>
      </c>
      <c r="AY11" s="53">
        <f t="shared" si="9"/>
        <v>-3</v>
      </c>
      <c r="AZ11" s="64" t="str">
        <f t="shared" si="10"/>
        <v>-1, Déficit y dejo la capacidad media</v>
      </c>
      <c r="BB11" s="53" t="s">
        <v>217</v>
      </c>
      <c r="BC11" s="53">
        <v>3</v>
      </c>
      <c r="BD11" s="54">
        <v>4.666666666666667</v>
      </c>
      <c r="BE11" s="53">
        <v>1</v>
      </c>
      <c r="BF11" s="53">
        <v>3</v>
      </c>
      <c r="BG11" s="53">
        <v>5</v>
      </c>
      <c r="BH11" s="51">
        <v>1.1139196755889551</v>
      </c>
      <c r="BI11" s="64" t="s">
        <v>398</v>
      </c>
      <c r="BJ11" s="51">
        <v>11</v>
      </c>
      <c r="BK11" s="53">
        <f t="shared" si="11"/>
        <v>1</v>
      </c>
      <c r="BL11" s="53">
        <f t="shared" si="12"/>
        <v>-2</v>
      </c>
      <c r="BM11" s="64" t="str">
        <f t="shared" si="13"/>
        <v>-1, Déficit y dejo la capacidad media</v>
      </c>
      <c r="BO11" s="53" t="s">
        <v>217</v>
      </c>
      <c r="BP11" s="88">
        <v>7</v>
      </c>
      <c r="BQ11" s="54">
        <v>5.7777777777777777</v>
      </c>
      <c r="BR11" s="53">
        <v>5</v>
      </c>
      <c r="BS11" s="53">
        <v>3</v>
      </c>
      <c r="BT11" s="53">
        <v>7</v>
      </c>
      <c r="BU11" s="51">
        <v>1.1139196755889551</v>
      </c>
      <c r="BV11" s="64" t="s">
        <v>398</v>
      </c>
      <c r="BW11" s="51">
        <v>11</v>
      </c>
      <c r="BX11" s="53">
        <f t="shared" si="14"/>
        <v>1</v>
      </c>
      <c r="BY11" s="53">
        <f t="shared" si="15"/>
        <v>-2</v>
      </c>
      <c r="BZ11" s="64" t="str">
        <f t="shared" si="16"/>
        <v>-2,no había déficit y resultado fue bueno</v>
      </c>
      <c r="CB11" s="53" t="s">
        <v>217</v>
      </c>
      <c r="CC11" s="53">
        <v>2</v>
      </c>
      <c r="CD11" s="54">
        <v>3.3333333333333335</v>
      </c>
      <c r="CE11" s="53">
        <v>0</v>
      </c>
      <c r="CF11" s="53">
        <v>0</v>
      </c>
      <c r="CG11" s="53">
        <v>5</v>
      </c>
      <c r="CH11" s="51">
        <v>1.1139196755889551</v>
      </c>
      <c r="CI11" s="64" t="s">
        <v>398</v>
      </c>
      <c r="CJ11" s="51">
        <v>11</v>
      </c>
      <c r="CK11" s="53">
        <f t="shared" si="17"/>
        <v>1</v>
      </c>
      <c r="CL11" s="53">
        <f t="shared" si="18"/>
        <v>-2</v>
      </c>
      <c r="CM11" s="64" t="str">
        <f t="shared" si="19"/>
        <v>-1, Déficit y dejo la capacidad media</v>
      </c>
      <c r="CN11" s="93"/>
      <c r="CO11" s="3" t="s">
        <v>217</v>
      </c>
      <c r="CP11" s="3">
        <v>4</v>
      </c>
      <c r="CQ11" s="18">
        <v>2.7777777777777777</v>
      </c>
      <c r="CR11" s="3">
        <v>3</v>
      </c>
      <c r="CS11" s="3">
        <v>3</v>
      </c>
      <c r="CT11" s="3">
        <v>5</v>
      </c>
      <c r="CU11" s="13">
        <v>1.1139196755889551</v>
      </c>
      <c r="CV11" s="64" t="s">
        <v>398</v>
      </c>
      <c r="CW11" s="13">
        <v>11</v>
      </c>
      <c r="CX11" s="72">
        <f t="shared" si="20"/>
        <v>1</v>
      </c>
      <c r="CY11" s="51">
        <f t="shared" si="21"/>
        <v>-1</v>
      </c>
      <c r="CZ11" s="64" t="str">
        <f t="shared" si="22"/>
        <v>-1, Déficit y dejo la capacidad media</v>
      </c>
    </row>
    <row r="12" spans="1:104" ht="14.25" customHeight="1" x14ac:dyDescent="0.3">
      <c r="A12" s="62" t="s">
        <v>218</v>
      </c>
      <c r="B12" s="62">
        <v>0</v>
      </c>
      <c r="C12" s="65">
        <v>1.7777777777777777</v>
      </c>
      <c r="D12" s="66">
        <v>0</v>
      </c>
      <c r="E12" s="66">
        <v>3</v>
      </c>
      <c r="F12" s="62">
        <v>5</v>
      </c>
      <c r="G12" s="67">
        <v>1.0416402811862899</v>
      </c>
      <c r="H12" s="64" t="s">
        <v>398</v>
      </c>
      <c r="I12" s="62">
        <v>11</v>
      </c>
      <c r="J12" s="53">
        <f t="shared" si="0"/>
        <v>1</v>
      </c>
      <c r="K12" s="100">
        <f t="shared" si="1"/>
        <v>0</v>
      </c>
      <c r="L12" s="64" t="str">
        <f t="shared" si="23"/>
        <v>-1, Déficit y dejo la capacidad media</v>
      </c>
      <c r="N12" s="88" t="s">
        <v>218</v>
      </c>
      <c r="O12" s="53">
        <v>9</v>
      </c>
      <c r="P12" s="54">
        <v>3</v>
      </c>
      <c r="Q12" s="54">
        <v>9</v>
      </c>
      <c r="R12" s="54">
        <v>9</v>
      </c>
      <c r="S12" s="53">
        <v>5</v>
      </c>
      <c r="T12" s="51">
        <v>1.0416402811862899</v>
      </c>
      <c r="U12" s="64" t="s">
        <v>398</v>
      </c>
      <c r="V12" s="51">
        <v>11</v>
      </c>
      <c r="W12" s="53">
        <f t="shared" si="2"/>
        <v>1</v>
      </c>
      <c r="X12" s="55">
        <f t="shared" si="3"/>
        <v>0</v>
      </c>
      <c r="Y12" s="53" t="str">
        <f t="shared" si="4"/>
        <v>-1, no había déficit y dejo la capacidad media</v>
      </c>
      <c r="Z12" s="3"/>
      <c r="AA12" s="3"/>
      <c r="AB12" s="53" t="s">
        <v>218</v>
      </c>
      <c r="AC12" s="53">
        <v>3</v>
      </c>
      <c r="AD12" s="54">
        <v>2.8888888888888888</v>
      </c>
      <c r="AE12" s="53">
        <v>3</v>
      </c>
      <c r="AF12" s="53">
        <v>3</v>
      </c>
      <c r="AG12" s="53">
        <v>5</v>
      </c>
      <c r="AH12" s="51">
        <v>1.0416402811862899</v>
      </c>
      <c r="AI12" s="64" t="s">
        <v>398</v>
      </c>
      <c r="AJ12" s="51">
        <v>11</v>
      </c>
      <c r="AK12" s="66">
        <f t="shared" si="5"/>
        <v>1</v>
      </c>
      <c r="AL12" s="66">
        <f t="shared" si="6"/>
        <v>0</v>
      </c>
      <c r="AM12" s="64" t="str">
        <f t="shared" si="7"/>
        <v>-1, Déficit y dejo la capacidad media</v>
      </c>
      <c r="AO12" s="80" t="s">
        <v>218</v>
      </c>
      <c r="AP12" s="66">
        <v>6</v>
      </c>
      <c r="AQ12" s="65">
        <v>3.5555555555555554</v>
      </c>
      <c r="AR12" s="66">
        <v>4</v>
      </c>
      <c r="AS12" s="65">
        <v>3</v>
      </c>
      <c r="AT12" s="66">
        <v>5</v>
      </c>
      <c r="AU12" s="69">
        <v>1.0416402811862899</v>
      </c>
      <c r="AV12" s="64" t="s">
        <v>398</v>
      </c>
      <c r="AW12" s="62">
        <v>11</v>
      </c>
      <c r="AX12" s="53">
        <f t="shared" si="8"/>
        <v>1</v>
      </c>
      <c r="AY12" s="53">
        <f t="shared" si="9"/>
        <v>-2</v>
      </c>
      <c r="AZ12" s="64" t="str">
        <f t="shared" si="10"/>
        <v>-1, no había déficit y dejo la capacidad media</v>
      </c>
      <c r="BB12" s="53" t="s">
        <v>218</v>
      </c>
      <c r="BC12" s="53">
        <v>8</v>
      </c>
      <c r="BD12" s="54">
        <v>2.6666666666666665</v>
      </c>
      <c r="BE12" s="53">
        <v>7</v>
      </c>
      <c r="BF12" s="53">
        <v>7</v>
      </c>
      <c r="BG12" s="53">
        <v>5</v>
      </c>
      <c r="BH12" s="51">
        <v>1.0416402811862899</v>
      </c>
      <c r="BI12" s="64" t="s">
        <v>398</v>
      </c>
      <c r="BJ12" s="51">
        <v>11</v>
      </c>
      <c r="BK12" s="53">
        <f t="shared" si="11"/>
        <v>1</v>
      </c>
      <c r="BL12" s="53">
        <f t="shared" si="12"/>
        <v>-1</v>
      </c>
      <c r="BM12" s="64" t="str">
        <f t="shared" si="13"/>
        <v>-1, no había déficit y dejo la capacidad media</v>
      </c>
      <c r="BO12" s="53" t="s">
        <v>218</v>
      </c>
      <c r="BP12" s="88">
        <v>1</v>
      </c>
      <c r="BQ12" s="54">
        <v>1.4444444444444444</v>
      </c>
      <c r="BR12" s="53">
        <v>1</v>
      </c>
      <c r="BS12" s="53">
        <v>2</v>
      </c>
      <c r="BT12" s="53">
        <v>5</v>
      </c>
      <c r="BU12" s="51">
        <v>1.0416402811862899</v>
      </c>
      <c r="BV12" s="64" t="s">
        <v>398</v>
      </c>
      <c r="BW12" s="51">
        <v>11</v>
      </c>
      <c r="BX12" s="53">
        <f t="shared" si="14"/>
        <v>1</v>
      </c>
      <c r="BY12" s="53">
        <f t="shared" si="15"/>
        <v>0</v>
      </c>
      <c r="BZ12" s="64" t="str">
        <f t="shared" si="16"/>
        <v>-1, Déficit y dejo la capacidad media</v>
      </c>
      <c r="CB12" s="53" t="s">
        <v>218</v>
      </c>
      <c r="CC12" s="53">
        <v>2</v>
      </c>
      <c r="CD12" s="54">
        <v>4</v>
      </c>
      <c r="CE12" s="53">
        <v>1</v>
      </c>
      <c r="CF12" s="53">
        <v>1</v>
      </c>
      <c r="CG12" s="53">
        <v>5</v>
      </c>
      <c r="CH12" s="51">
        <v>1.0416402811862899</v>
      </c>
      <c r="CI12" s="64" t="s">
        <v>398</v>
      </c>
      <c r="CJ12" s="51">
        <v>11</v>
      </c>
      <c r="CK12" s="53">
        <f t="shared" si="17"/>
        <v>1</v>
      </c>
      <c r="CL12" s="53">
        <f t="shared" si="18"/>
        <v>-1</v>
      </c>
      <c r="CM12" s="64" t="str">
        <f t="shared" si="19"/>
        <v>-1, Déficit y dejo la capacidad media</v>
      </c>
      <c r="CN12" s="93"/>
      <c r="CO12" s="3" t="s">
        <v>218</v>
      </c>
      <c r="CP12" s="3">
        <v>3</v>
      </c>
      <c r="CQ12" s="18">
        <v>1.7777777777777777</v>
      </c>
      <c r="CR12" s="3">
        <v>2</v>
      </c>
      <c r="CS12" s="3">
        <v>2</v>
      </c>
      <c r="CT12" s="3">
        <v>5</v>
      </c>
      <c r="CU12" s="13">
        <v>1.0416402811862899</v>
      </c>
      <c r="CV12" s="64" t="s">
        <v>398</v>
      </c>
      <c r="CW12" s="13">
        <v>11</v>
      </c>
      <c r="CX12" s="72">
        <f t="shared" si="20"/>
        <v>1</v>
      </c>
      <c r="CY12" s="51">
        <f t="shared" si="21"/>
        <v>-1</v>
      </c>
      <c r="CZ12" s="64" t="str">
        <f t="shared" si="22"/>
        <v>-1, Déficit y dejo la capacidad media</v>
      </c>
    </row>
    <row r="13" spans="1:104" ht="14.25" customHeight="1" x14ac:dyDescent="0.3">
      <c r="A13" s="62" t="s">
        <v>220</v>
      </c>
      <c r="B13" s="62">
        <v>1</v>
      </c>
      <c r="C13" s="65">
        <v>5.333333333333333</v>
      </c>
      <c r="D13" s="66">
        <v>0</v>
      </c>
      <c r="E13" s="66">
        <v>9</v>
      </c>
      <c r="F13" s="62">
        <v>13</v>
      </c>
      <c r="G13" s="67">
        <v>0.99583449612816577</v>
      </c>
      <c r="H13" s="64" t="s">
        <v>404</v>
      </c>
      <c r="I13" s="62">
        <v>29</v>
      </c>
      <c r="J13" s="53">
        <f t="shared" si="0"/>
        <v>1</v>
      </c>
      <c r="K13" s="100">
        <f t="shared" si="1"/>
        <v>-1</v>
      </c>
      <c r="L13" s="64" t="str">
        <f t="shared" si="23"/>
        <v>-2, Déficit y resultado fue bueno</v>
      </c>
      <c r="N13" s="88" t="s">
        <v>220</v>
      </c>
      <c r="O13" s="53">
        <v>21</v>
      </c>
      <c r="P13" s="54">
        <v>8</v>
      </c>
      <c r="Q13" s="54">
        <v>21</v>
      </c>
      <c r="R13" s="54">
        <v>20</v>
      </c>
      <c r="S13" s="53">
        <v>13</v>
      </c>
      <c r="T13" s="51">
        <v>0.99583449612816577</v>
      </c>
      <c r="U13" s="64" t="s">
        <v>404</v>
      </c>
      <c r="V13" s="51">
        <v>29</v>
      </c>
      <c r="W13" s="53">
        <f t="shared" si="2"/>
        <v>1</v>
      </c>
      <c r="X13" s="55">
        <f t="shared" si="3"/>
        <v>0</v>
      </c>
      <c r="Y13" s="53" t="str">
        <f t="shared" si="4"/>
        <v>0, no había déficit y la dejo con déficit</v>
      </c>
      <c r="Z13" s="3"/>
      <c r="AA13" s="3"/>
      <c r="AB13" s="53" t="s">
        <v>220</v>
      </c>
      <c r="AC13" s="53">
        <v>9</v>
      </c>
      <c r="AD13" s="54">
        <v>5.4444444444444446</v>
      </c>
      <c r="AE13" s="53">
        <v>9</v>
      </c>
      <c r="AF13" s="53">
        <v>9</v>
      </c>
      <c r="AG13" s="53">
        <v>11</v>
      </c>
      <c r="AH13" s="51">
        <v>0.99583449612816577</v>
      </c>
      <c r="AI13" s="64" t="s">
        <v>404</v>
      </c>
      <c r="AJ13" s="51">
        <v>29</v>
      </c>
      <c r="AK13" s="66">
        <f t="shared" si="5"/>
        <v>1</v>
      </c>
      <c r="AL13" s="66">
        <f t="shared" si="6"/>
        <v>0</v>
      </c>
      <c r="AM13" s="64" t="str">
        <f t="shared" si="7"/>
        <v>-2, Déficit y resultado fue bueno</v>
      </c>
      <c r="AO13" s="80" t="s">
        <v>220</v>
      </c>
      <c r="AP13" s="66">
        <v>17</v>
      </c>
      <c r="AQ13" s="65">
        <v>10.222222222222221</v>
      </c>
      <c r="AR13" s="66">
        <v>12</v>
      </c>
      <c r="AS13" s="65">
        <v>11</v>
      </c>
      <c r="AT13" s="66">
        <v>11</v>
      </c>
      <c r="AU13" s="69">
        <v>0.99583449612816577</v>
      </c>
      <c r="AV13" s="64" t="s">
        <v>404</v>
      </c>
      <c r="AW13" s="62">
        <v>29</v>
      </c>
      <c r="AX13" s="53">
        <f t="shared" si="8"/>
        <v>1</v>
      </c>
      <c r="AY13" s="53">
        <f t="shared" si="9"/>
        <v>-5</v>
      </c>
      <c r="AZ13" s="64" t="str">
        <f t="shared" si="10"/>
        <v>0, no había déficit y la dejo con déficit</v>
      </c>
      <c r="BB13" s="53" t="s">
        <v>220</v>
      </c>
      <c r="BC13" s="53">
        <v>7</v>
      </c>
      <c r="BD13" s="54">
        <v>10.333333333333334</v>
      </c>
      <c r="BE13" s="53">
        <v>5</v>
      </c>
      <c r="BF13" s="53">
        <v>4</v>
      </c>
      <c r="BG13" s="53">
        <v>11</v>
      </c>
      <c r="BH13" s="51">
        <v>0.99583449612816577</v>
      </c>
      <c r="BI13" s="64" t="s">
        <v>404</v>
      </c>
      <c r="BJ13" s="51">
        <v>29</v>
      </c>
      <c r="BK13" s="53">
        <f t="shared" si="11"/>
        <v>1</v>
      </c>
      <c r="BL13" s="53">
        <f t="shared" si="12"/>
        <v>-2</v>
      </c>
      <c r="BM13" s="64" t="str">
        <f t="shared" si="13"/>
        <v>-2, Déficit y resultado fue bueno</v>
      </c>
      <c r="BO13" s="53" t="s">
        <v>220</v>
      </c>
      <c r="BP13" s="88">
        <v>2</v>
      </c>
      <c r="BQ13" s="54">
        <v>5.666666666666667</v>
      </c>
      <c r="BR13" s="53">
        <v>2</v>
      </c>
      <c r="BS13" s="53">
        <v>4</v>
      </c>
      <c r="BT13" s="53">
        <v>11</v>
      </c>
      <c r="BU13" s="51">
        <v>0.99583449612816577</v>
      </c>
      <c r="BV13" s="64" t="s">
        <v>404</v>
      </c>
      <c r="BW13" s="51">
        <v>29</v>
      </c>
      <c r="BX13" s="53">
        <f t="shared" si="14"/>
        <v>1</v>
      </c>
      <c r="BY13" s="53">
        <f t="shared" si="15"/>
        <v>0</v>
      </c>
      <c r="BZ13" s="64" t="str">
        <f t="shared" si="16"/>
        <v>-2, Déficit y resultado fue bueno</v>
      </c>
      <c r="CB13" s="53" t="s">
        <v>220</v>
      </c>
      <c r="CC13" s="53">
        <v>5</v>
      </c>
      <c r="CD13" s="54">
        <v>5.2222222222222223</v>
      </c>
      <c r="CE13" s="53">
        <v>5</v>
      </c>
      <c r="CF13" s="53">
        <v>6</v>
      </c>
      <c r="CG13" s="53">
        <v>11</v>
      </c>
      <c r="CH13" s="51">
        <v>0.99583449612816577</v>
      </c>
      <c r="CI13" s="64" t="s">
        <v>404</v>
      </c>
      <c r="CJ13" s="51">
        <v>29</v>
      </c>
      <c r="CK13" s="53">
        <f t="shared" si="17"/>
        <v>1</v>
      </c>
      <c r="CL13" s="53">
        <f t="shared" si="18"/>
        <v>0</v>
      </c>
      <c r="CM13" s="64" t="str">
        <f t="shared" si="19"/>
        <v>-2, Déficit y resultado fue bueno</v>
      </c>
      <c r="CN13" s="93"/>
      <c r="CO13" s="3" t="s">
        <v>220</v>
      </c>
      <c r="CP13" s="3">
        <v>2</v>
      </c>
      <c r="CQ13" s="18">
        <v>5.333333333333333</v>
      </c>
      <c r="CR13" s="3">
        <v>14</v>
      </c>
      <c r="CS13" s="3">
        <v>14</v>
      </c>
      <c r="CT13" s="3">
        <v>11</v>
      </c>
      <c r="CU13" s="13">
        <v>0.99583449612816577</v>
      </c>
      <c r="CV13" s="64" t="s">
        <v>404</v>
      </c>
      <c r="CW13" s="13">
        <v>29</v>
      </c>
      <c r="CX13" s="72">
        <f t="shared" si="20"/>
        <v>0</v>
      </c>
      <c r="CY13" s="51">
        <f t="shared" si="21"/>
        <v>12</v>
      </c>
      <c r="CZ13" s="64" t="str">
        <f t="shared" si="22"/>
        <v>-2, Déficit y resultado fue bueno</v>
      </c>
    </row>
    <row r="14" spans="1:104" ht="14.25" customHeight="1" x14ac:dyDescent="0.3">
      <c r="A14" s="62" t="s">
        <v>223</v>
      </c>
      <c r="B14" s="62">
        <v>0</v>
      </c>
      <c r="C14" s="65">
        <v>4.8888888888888893</v>
      </c>
      <c r="D14" s="66">
        <v>0</v>
      </c>
      <c r="E14" s="66">
        <v>4</v>
      </c>
      <c r="F14" s="62">
        <v>9</v>
      </c>
      <c r="G14" s="67">
        <v>0.9957863323050703</v>
      </c>
      <c r="H14" s="64" t="s">
        <v>402</v>
      </c>
      <c r="I14" s="62">
        <v>15</v>
      </c>
      <c r="J14" s="53">
        <f t="shared" si="0"/>
        <v>1</v>
      </c>
      <c r="K14" s="100">
        <f t="shared" si="1"/>
        <v>0</v>
      </c>
      <c r="L14" s="64" t="str">
        <f t="shared" si="23"/>
        <v>1, Déficit y eliminé déficit</v>
      </c>
      <c r="N14" s="88" t="s">
        <v>223</v>
      </c>
      <c r="O14" s="53">
        <v>1</v>
      </c>
      <c r="P14" s="54">
        <v>4.4444444444444446</v>
      </c>
      <c r="Q14" s="54">
        <v>1</v>
      </c>
      <c r="R14" s="54">
        <v>1</v>
      </c>
      <c r="S14" s="53">
        <v>7</v>
      </c>
      <c r="T14" s="51">
        <v>0.9957863323050703</v>
      </c>
      <c r="U14" s="64" t="s">
        <v>402</v>
      </c>
      <c r="V14" s="51">
        <v>15</v>
      </c>
      <c r="W14" s="53">
        <f t="shared" si="2"/>
        <v>1</v>
      </c>
      <c r="X14" s="55">
        <f t="shared" si="3"/>
        <v>0</v>
      </c>
      <c r="Y14" s="53" t="str">
        <f t="shared" si="4"/>
        <v>-1, Déficit y dejo la capacidad media</v>
      </c>
      <c r="Z14" s="3"/>
      <c r="AA14" s="3"/>
      <c r="AB14" s="53" t="s">
        <v>223</v>
      </c>
      <c r="AC14" s="53">
        <v>4</v>
      </c>
      <c r="AD14" s="54">
        <v>3</v>
      </c>
      <c r="AE14" s="53">
        <v>4</v>
      </c>
      <c r="AF14" s="53">
        <v>4</v>
      </c>
      <c r="AG14" s="53">
        <v>7</v>
      </c>
      <c r="AH14" s="51">
        <v>0.9957863323050703</v>
      </c>
      <c r="AI14" s="64" t="s">
        <v>402</v>
      </c>
      <c r="AJ14" s="51">
        <v>15</v>
      </c>
      <c r="AK14" s="66">
        <f t="shared" si="5"/>
        <v>1</v>
      </c>
      <c r="AL14" s="66">
        <f t="shared" si="6"/>
        <v>0</v>
      </c>
      <c r="AM14" s="64" t="str">
        <f t="shared" si="7"/>
        <v>-1, Déficit y dejo la capacidad media</v>
      </c>
      <c r="AO14" s="80" t="s">
        <v>223</v>
      </c>
      <c r="AP14" s="66">
        <v>4</v>
      </c>
      <c r="AQ14" s="65">
        <v>6.7777777777777777</v>
      </c>
      <c r="AR14" s="66">
        <v>2</v>
      </c>
      <c r="AS14" s="65">
        <v>0</v>
      </c>
      <c r="AT14" s="66">
        <v>7</v>
      </c>
      <c r="AU14" s="69">
        <v>0.9957863323050703</v>
      </c>
      <c r="AV14" s="64" t="s">
        <v>402</v>
      </c>
      <c r="AW14" s="62">
        <v>15</v>
      </c>
      <c r="AX14" s="53">
        <f t="shared" si="8"/>
        <v>1</v>
      </c>
      <c r="AY14" s="53">
        <f t="shared" si="9"/>
        <v>-2</v>
      </c>
      <c r="AZ14" s="64" t="str">
        <f t="shared" si="10"/>
        <v>-1, Déficit y dejo la capacidad media</v>
      </c>
      <c r="BB14" s="53" t="s">
        <v>223</v>
      </c>
      <c r="BC14" s="53">
        <v>4</v>
      </c>
      <c r="BD14" s="54">
        <v>6</v>
      </c>
      <c r="BE14" s="53">
        <v>5</v>
      </c>
      <c r="BF14" s="53">
        <v>3</v>
      </c>
      <c r="BG14" s="53">
        <v>7</v>
      </c>
      <c r="BH14" s="51">
        <v>0.9957863323050703</v>
      </c>
      <c r="BI14" s="64" t="s">
        <v>402</v>
      </c>
      <c r="BJ14" s="51">
        <v>15</v>
      </c>
      <c r="BK14" s="53">
        <f t="shared" si="11"/>
        <v>0</v>
      </c>
      <c r="BL14" s="53">
        <f t="shared" si="12"/>
        <v>1</v>
      </c>
      <c r="BM14" s="64" t="str">
        <f t="shared" si="13"/>
        <v>-1, Déficit y dejo la capacidad media</v>
      </c>
      <c r="BO14" s="53" t="s">
        <v>223</v>
      </c>
      <c r="BP14" s="88">
        <v>3</v>
      </c>
      <c r="BQ14" s="54">
        <v>9</v>
      </c>
      <c r="BR14" s="53">
        <v>1</v>
      </c>
      <c r="BS14" s="53">
        <v>1</v>
      </c>
      <c r="BT14" s="53">
        <v>7</v>
      </c>
      <c r="BU14" s="51">
        <v>0.9957863323050703</v>
      </c>
      <c r="BV14" s="64" t="s">
        <v>402</v>
      </c>
      <c r="BW14" s="51">
        <v>15</v>
      </c>
      <c r="BX14" s="53">
        <f t="shared" si="14"/>
        <v>1</v>
      </c>
      <c r="BY14" s="53">
        <f t="shared" si="15"/>
        <v>-2</v>
      </c>
      <c r="BZ14" s="64" t="str">
        <f t="shared" si="16"/>
        <v>-1, Déficit y dejo la capacidad media</v>
      </c>
      <c r="CB14" s="53" t="s">
        <v>223</v>
      </c>
      <c r="CC14" s="53">
        <v>14</v>
      </c>
      <c r="CD14" s="54">
        <v>7.8888888888888893</v>
      </c>
      <c r="CE14" s="53">
        <v>13</v>
      </c>
      <c r="CF14" s="53">
        <v>13</v>
      </c>
      <c r="CG14" s="53">
        <v>7</v>
      </c>
      <c r="CH14" s="51">
        <v>0.9957863323050703</v>
      </c>
      <c r="CI14" s="64" t="s">
        <v>402</v>
      </c>
      <c r="CJ14" s="51">
        <v>15</v>
      </c>
      <c r="CK14" s="53">
        <f t="shared" si="17"/>
        <v>1</v>
      </c>
      <c r="CL14" s="53">
        <f t="shared" si="18"/>
        <v>-1</v>
      </c>
      <c r="CM14" s="64" t="str">
        <f t="shared" si="19"/>
        <v>-1, no había déficit y dejo la capacidad media</v>
      </c>
      <c r="CN14" s="93"/>
      <c r="CO14" s="3" t="s">
        <v>223</v>
      </c>
      <c r="CP14" s="3">
        <v>6</v>
      </c>
      <c r="CQ14" s="18">
        <v>4.8888888888888893</v>
      </c>
      <c r="CR14" s="3">
        <v>8</v>
      </c>
      <c r="CS14" s="3">
        <v>7</v>
      </c>
      <c r="CT14" s="3">
        <v>7</v>
      </c>
      <c r="CU14" s="13">
        <v>0.9957863323050703</v>
      </c>
      <c r="CV14" s="64" t="s">
        <v>402</v>
      </c>
      <c r="CW14" s="13">
        <v>15</v>
      </c>
      <c r="CX14" s="72">
        <f t="shared" si="20"/>
        <v>0</v>
      </c>
      <c r="CY14" s="51">
        <f t="shared" si="21"/>
        <v>2</v>
      </c>
      <c r="CZ14" s="64" t="str">
        <f t="shared" si="22"/>
        <v>-1, Déficit y dejo la capacidad media</v>
      </c>
    </row>
    <row r="15" spans="1:104" ht="14.25" customHeight="1" x14ac:dyDescent="0.3">
      <c r="A15" s="62" t="s">
        <v>224</v>
      </c>
      <c r="B15" s="62">
        <v>0</v>
      </c>
      <c r="C15" s="65">
        <v>2.3333333333333335</v>
      </c>
      <c r="D15" s="66">
        <v>0</v>
      </c>
      <c r="E15" s="66">
        <v>3</v>
      </c>
      <c r="F15" s="62">
        <v>5</v>
      </c>
      <c r="G15" s="67">
        <v>0.98995442105744402</v>
      </c>
      <c r="H15" s="64" t="s">
        <v>398</v>
      </c>
      <c r="I15" s="62">
        <v>11</v>
      </c>
      <c r="J15" s="53">
        <f t="shared" si="0"/>
        <v>1</v>
      </c>
      <c r="K15" s="100">
        <f t="shared" si="1"/>
        <v>0</v>
      </c>
      <c r="L15" s="64" t="str">
        <f t="shared" si="23"/>
        <v>-1, Déficit y dejo la capacidad media</v>
      </c>
      <c r="N15" s="88" t="s">
        <v>224</v>
      </c>
      <c r="O15" s="53">
        <v>2</v>
      </c>
      <c r="P15" s="54">
        <v>3.7777777777777777</v>
      </c>
      <c r="Q15" s="54">
        <v>2</v>
      </c>
      <c r="R15" s="54">
        <v>2</v>
      </c>
      <c r="S15" s="53">
        <v>5</v>
      </c>
      <c r="T15" s="51">
        <v>0.98995442105744402</v>
      </c>
      <c r="U15" s="64" t="s">
        <v>398</v>
      </c>
      <c r="V15" s="51">
        <v>11</v>
      </c>
      <c r="W15" s="53">
        <f t="shared" si="2"/>
        <v>1</v>
      </c>
      <c r="X15" s="55">
        <f t="shared" si="3"/>
        <v>0</v>
      </c>
      <c r="Y15" s="53" t="str">
        <f t="shared" si="4"/>
        <v>-1, Déficit y dejo la capacidad media</v>
      </c>
      <c r="Z15" s="3"/>
      <c r="AA15" s="3"/>
      <c r="AB15" s="53" t="s">
        <v>224</v>
      </c>
      <c r="AC15" s="53">
        <v>3</v>
      </c>
      <c r="AD15" s="54">
        <v>1.8888888888888888</v>
      </c>
      <c r="AE15" s="53">
        <v>3</v>
      </c>
      <c r="AF15" s="53">
        <v>3</v>
      </c>
      <c r="AG15" s="53">
        <v>5</v>
      </c>
      <c r="AH15" s="51">
        <v>0.98995442105744402</v>
      </c>
      <c r="AI15" s="64" t="s">
        <v>398</v>
      </c>
      <c r="AJ15" s="51">
        <v>11</v>
      </c>
      <c r="AK15" s="66">
        <f t="shared" si="5"/>
        <v>1</v>
      </c>
      <c r="AL15" s="66">
        <f t="shared" si="6"/>
        <v>0</v>
      </c>
      <c r="AM15" s="64" t="str">
        <f t="shared" si="7"/>
        <v>-1, Déficit y dejo la capacidad media</v>
      </c>
      <c r="AO15" s="80" t="s">
        <v>224</v>
      </c>
      <c r="AP15" s="66">
        <v>8</v>
      </c>
      <c r="AQ15" s="65">
        <v>1.8888888888888888</v>
      </c>
      <c r="AR15" s="66">
        <v>6</v>
      </c>
      <c r="AS15" s="65">
        <v>3</v>
      </c>
      <c r="AT15" s="66">
        <v>5</v>
      </c>
      <c r="AU15" s="69">
        <v>0.98995442105744402</v>
      </c>
      <c r="AV15" s="64" t="s">
        <v>398</v>
      </c>
      <c r="AW15" s="62">
        <v>11</v>
      </c>
      <c r="AX15" s="53">
        <f t="shared" si="8"/>
        <v>1</v>
      </c>
      <c r="AY15" s="53">
        <f t="shared" si="9"/>
        <v>-2</v>
      </c>
      <c r="AZ15" s="64" t="str">
        <f t="shared" si="10"/>
        <v>-1, no había déficit y dejo la capacidad media</v>
      </c>
      <c r="BB15" s="53" t="s">
        <v>224</v>
      </c>
      <c r="BC15" s="53">
        <v>1</v>
      </c>
      <c r="BD15" s="54">
        <v>1.5555555555555556</v>
      </c>
      <c r="BE15" s="53">
        <v>0</v>
      </c>
      <c r="BF15" s="53">
        <v>0</v>
      </c>
      <c r="BG15" s="53">
        <v>5</v>
      </c>
      <c r="BH15" s="51">
        <v>0.98995442105744402</v>
      </c>
      <c r="BI15" s="64" t="s">
        <v>398</v>
      </c>
      <c r="BJ15" s="51">
        <v>11</v>
      </c>
      <c r="BK15" s="53">
        <f t="shared" si="11"/>
        <v>1</v>
      </c>
      <c r="BL15" s="53">
        <f t="shared" si="12"/>
        <v>-1</v>
      </c>
      <c r="BM15" s="64" t="str">
        <f t="shared" si="13"/>
        <v>-1, Déficit y dejo la capacidad media</v>
      </c>
      <c r="BO15" s="53" t="s">
        <v>224</v>
      </c>
      <c r="BP15" s="88">
        <v>0</v>
      </c>
      <c r="BQ15" s="54">
        <v>0.88888888888888884</v>
      </c>
      <c r="BR15" s="53">
        <v>1</v>
      </c>
      <c r="BS15" s="53">
        <v>0</v>
      </c>
      <c r="BT15" s="53">
        <v>6</v>
      </c>
      <c r="BU15" s="51">
        <v>0.98995442105744402</v>
      </c>
      <c r="BV15" s="64" t="s">
        <v>398</v>
      </c>
      <c r="BW15" s="51">
        <v>11</v>
      </c>
      <c r="BX15" s="53">
        <f t="shared" si="14"/>
        <v>0</v>
      </c>
      <c r="BY15" s="53">
        <f t="shared" si="15"/>
        <v>1</v>
      </c>
      <c r="BZ15" s="64" t="str">
        <f t="shared" si="16"/>
        <v>1, Déficit y eliminé déficit</v>
      </c>
      <c r="CB15" s="53" t="s">
        <v>224</v>
      </c>
      <c r="CC15" s="53">
        <v>4</v>
      </c>
      <c r="CD15" s="54">
        <v>3.1111111111111112</v>
      </c>
      <c r="CE15" s="53">
        <v>1</v>
      </c>
      <c r="CF15" s="53">
        <v>1</v>
      </c>
      <c r="CG15" s="53">
        <v>5</v>
      </c>
      <c r="CH15" s="51">
        <v>0.98995442105744402</v>
      </c>
      <c r="CI15" s="64" t="s">
        <v>398</v>
      </c>
      <c r="CJ15" s="51">
        <v>11</v>
      </c>
      <c r="CK15" s="53">
        <f t="shared" si="17"/>
        <v>1</v>
      </c>
      <c r="CL15" s="53">
        <f t="shared" si="18"/>
        <v>-3</v>
      </c>
      <c r="CM15" s="64" t="str">
        <f t="shared" si="19"/>
        <v>-1, Déficit y dejo la capacidad media</v>
      </c>
      <c r="CN15" s="93"/>
      <c r="CO15" s="3" t="s">
        <v>224</v>
      </c>
      <c r="CP15" s="3">
        <v>4</v>
      </c>
      <c r="CQ15" s="18">
        <v>2.3333333333333335</v>
      </c>
      <c r="CR15" s="3">
        <v>2</v>
      </c>
      <c r="CS15" s="3">
        <v>1</v>
      </c>
      <c r="CT15" s="3">
        <v>5</v>
      </c>
      <c r="CU15" s="13">
        <v>0.98995442105744402</v>
      </c>
      <c r="CV15" s="64" t="s">
        <v>398</v>
      </c>
      <c r="CW15" s="13">
        <v>11</v>
      </c>
      <c r="CX15" s="72">
        <f t="shared" si="20"/>
        <v>1</v>
      </c>
      <c r="CY15" s="51">
        <f t="shared" si="21"/>
        <v>-2</v>
      </c>
      <c r="CZ15" s="64" t="str">
        <f t="shared" si="22"/>
        <v>-1, Déficit y dejo la capacidad media</v>
      </c>
    </row>
    <row r="16" spans="1:104" ht="14.25" customHeight="1" x14ac:dyDescent="0.3">
      <c r="A16" s="62" t="s">
        <v>225</v>
      </c>
      <c r="B16" s="62">
        <v>0</v>
      </c>
      <c r="C16" s="65">
        <v>2.4444444444444446</v>
      </c>
      <c r="D16" s="66">
        <v>0</v>
      </c>
      <c r="E16" s="66">
        <v>4</v>
      </c>
      <c r="F16" s="62">
        <v>7</v>
      </c>
      <c r="G16" s="67">
        <v>0.8928339600558084</v>
      </c>
      <c r="H16" s="64" t="s">
        <v>402</v>
      </c>
      <c r="I16" s="62">
        <v>15</v>
      </c>
      <c r="J16" s="53">
        <f t="shared" si="0"/>
        <v>1</v>
      </c>
      <c r="K16" s="100">
        <f t="shared" si="1"/>
        <v>0</v>
      </c>
      <c r="L16" s="64" t="str">
        <f t="shared" si="23"/>
        <v>-1, Déficit y dejo la capacidad media</v>
      </c>
      <c r="N16" s="88" t="s">
        <v>225</v>
      </c>
      <c r="O16" s="53">
        <v>4</v>
      </c>
      <c r="P16" s="54">
        <v>5.8888888888888893</v>
      </c>
      <c r="Q16" s="54">
        <v>4</v>
      </c>
      <c r="R16" s="54">
        <v>2</v>
      </c>
      <c r="S16" s="53">
        <v>7</v>
      </c>
      <c r="T16" s="51">
        <v>0.8928339600558084</v>
      </c>
      <c r="U16" s="64" t="s">
        <v>402</v>
      </c>
      <c r="V16" s="51">
        <v>15</v>
      </c>
      <c r="W16" s="53">
        <f t="shared" si="2"/>
        <v>1</v>
      </c>
      <c r="X16" s="55">
        <f t="shared" si="3"/>
        <v>0</v>
      </c>
      <c r="Y16" s="53" t="str">
        <f t="shared" si="4"/>
        <v>-1, Déficit y dejo la capacidad media</v>
      </c>
      <c r="Z16" s="3"/>
      <c r="AA16" s="3"/>
      <c r="AB16" s="53" t="s">
        <v>225</v>
      </c>
      <c r="AC16" s="53">
        <v>4</v>
      </c>
      <c r="AD16" s="54">
        <v>3.3333333333333335</v>
      </c>
      <c r="AE16" s="53">
        <v>4</v>
      </c>
      <c r="AF16" s="53">
        <v>4</v>
      </c>
      <c r="AG16" s="53">
        <v>9</v>
      </c>
      <c r="AH16" s="51">
        <v>0.8928339600558084</v>
      </c>
      <c r="AI16" s="64" t="s">
        <v>402</v>
      </c>
      <c r="AJ16" s="51">
        <v>15</v>
      </c>
      <c r="AK16" s="66">
        <f t="shared" si="5"/>
        <v>1</v>
      </c>
      <c r="AL16" s="66">
        <f t="shared" si="6"/>
        <v>0</v>
      </c>
      <c r="AM16" s="64" t="str">
        <f t="shared" si="7"/>
        <v>1, Déficit y eliminé déficit</v>
      </c>
      <c r="AO16" s="80" t="s">
        <v>225</v>
      </c>
      <c r="AP16" s="66">
        <v>2</v>
      </c>
      <c r="AQ16" s="65">
        <v>2.6666666666666665</v>
      </c>
      <c r="AR16" s="66">
        <v>1</v>
      </c>
      <c r="AS16" s="65">
        <v>1</v>
      </c>
      <c r="AT16" s="66">
        <v>7</v>
      </c>
      <c r="AU16" s="69">
        <v>0.8928339600558084</v>
      </c>
      <c r="AV16" s="64" t="s">
        <v>402</v>
      </c>
      <c r="AW16" s="62">
        <v>15</v>
      </c>
      <c r="AX16" s="53">
        <f t="shared" si="8"/>
        <v>1</v>
      </c>
      <c r="AY16" s="53">
        <f t="shared" si="9"/>
        <v>-1</v>
      </c>
      <c r="AZ16" s="64" t="str">
        <f t="shared" si="10"/>
        <v>-1, Déficit y dejo la capacidad media</v>
      </c>
      <c r="BB16" s="53" t="s">
        <v>225</v>
      </c>
      <c r="BC16" s="53">
        <v>5</v>
      </c>
      <c r="BD16" s="54">
        <v>5</v>
      </c>
      <c r="BE16" s="53">
        <v>2</v>
      </c>
      <c r="BF16" s="53">
        <v>2</v>
      </c>
      <c r="BG16" s="53">
        <v>7</v>
      </c>
      <c r="BH16" s="51">
        <v>0.8928339600558084</v>
      </c>
      <c r="BI16" s="64" t="s">
        <v>402</v>
      </c>
      <c r="BJ16" s="51">
        <v>15</v>
      </c>
      <c r="BK16" s="53">
        <f t="shared" si="11"/>
        <v>1</v>
      </c>
      <c r="BL16" s="53">
        <f t="shared" si="12"/>
        <v>-3</v>
      </c>
      <c r="BM16" s="64" t="str">
        <f t="shared" si="13"/>
        <v>-1, Déficit y dejo la capacidad media</v>
      </c>
      <c r="BO16" s="53" t="s">
        <v>225</v>
      </c>
      <c r="BP16" s="88">
        <v>0</v>
      </c>
      <c r="BQ16" s="54">
        <v>4.5555555555555554</v>
      </c>
      <c r="BR16" s="53">
        <v>0</v>
      </c>
      <c r="BS16" s="53">
        <v>3</v>
      </c>
      <c r="BT16" s="53">
        <v>7</v>
      </c>
      <c r="BU16" s="51">
        <v>0.8928339600558084</v>
      </c>
      <c r="BV16" s="64" t="s">
        <v>402</v>
      </c>
      <c r="BW16" s="51">
        <v>15</v>
      </c>
      <c r="BX16" s="53">
        <f t="shared" si="14"/>
        <v>1</v>
      </c>
      <c r="BY16" s="53">
        <f t="shared" si="15"/>
        <v>0</v>
      </c>
      <c r="BZ16" s="64" t="str">
        <f t="shared" si="16"/>
        <v>-1, Déficit y dejo la capacidad media</v>
      </c>
      <c r="CB16" s="53" t="s">
        <v>225</v>
      </c>
      <c r="CC16" s="53">
        <v>11</v>
      </c>
      <c r="CD16" s="54">
        <v>4.333333333333333</v>
      </c>
      <c r="CE16" s="53">
        <v>9</v>
      </c>
      <c r="CF16" s="53">
        <v>7</v>
      </c>
      <c r="CG16" s="53">
        <v>7</v>
      </c>
      <c r="CH16" s="51">
        <v>0.8928339600558084</v>
      </c>
      <c r="CI16" s="64" t="s">
        <v>402</v>
      </c>
      <c r="CJ16" s="51">
        <v>15</v>
      </c>
      <c r="CK16" s="53">
        <f t="shared" si="17"/>
        <v>1</v>
      </c>
      <c r="CL16" s="53">
        <f t="shared" si="18"/>
        <v>-2</v>
      </c>
      <c r="CM16" s="64" t="str">
        <f t="shared" si="19"/>
        <v>-1, no había déficit y dejo la capacidad media</v>
      </c>
      <c r="CN16" s="93"/>
      <c r="CO16" s="3" t="s">
        <v>225</v>
      </c>
      <c r="CP16" s="3">
        <v>3</v>
      </c>
      <c r="CQ16" s="18">
        <v>2.4444444444444446</v>
      </c>
      <c r="CR16" s="3">
        <v>13</v>
      </c>
      <c r="CS16" s="3">
        <v>11</v>
      </c>
      <c r="CT16" s="3">
        <v>7</v>
      </c>
      <c r="CU16" s="13">
        <v>0.8928339600558084</v>
      </c>
      <c r="CV16" s="64" t="s">
        <v>402</v>
      </c>
      <c r="CW16" s="13">
        <v>15</v>
      </c>
      <c r="CX16" s="72">
        <f t="shared" si="20"/>
        <v>0</v>
      </c>
      <c r="CY16" s="51">
        <f t="shared" si="21"/>
        <v>10</v>
      </c>
      <c r="CZ16" s="64" t="str">
        <f t="shared" si="22"/>
        <v>-1, Déficit y dejo la capacidad media</v>
      </c>
    </row>
    <row r="17" spans="1:104" ht="14.25" customHeight="1" x14ac:dyDescent="0.3">
      <c r="A17" s="62" t="s">
        <v>227</v>
      </c>
      <c r="B17" s="62">
        <v>6</v>
      </c>
      <c r="C17" s="65">
        <v>4.4444444444444446</v>
      </c>
      <c r="D17" s="66">
        <v>4</v>
      </c>
      <c r="E17" s="66">
        <v>3</v>
      </c>
      <c r="F17" s="62">
        <v>6</v>
      </c>
      <c r="G17" s="67">
        <v>0.88597893866063815</v>
      </c>
      <c r="H17" s="64" t="s">
        <v>398</v>
      </c>
      <c r="I17" s="62">
        <v>11</v>
      </c>
      <c r="J17" s="53">
        <f t="shared" si="0"/>
        <v>1</v>
      </c>
      <c r="K17" s="100">
        <f t="shared" si="1"/>
        <v>-2</v>
      </c>
      <c r="L17" s="64" t="str">
        <f t="shared" si="23"/>
        <v>-2,no había déficit y resultado fue bueno</v>
      </c>
      <c r="N17" s="88" t="s">
        <v>227</v>
      </c>
      <c r="O17" s="53">
        <v>1</v>
      </c>
      <c r="P17" s="54">
        <v>2.5555555555555554</v>
      </c>
      <c r="Q17" s="54">
        <v>2</v>
      </c>
      <c r="R17" s="54">
        <v>1</v>
      </c>
      <c r="S17" s="53">
        <v>7</v>
      </c>
      <c r="T17" s="51">
        <v>0.88597893866063815</v>
      </c>
      <c r="U17" s="64" t="s">
        <v>398</v>
      </c>
      <c r="V17" s="51">
        <v>11</v>
      </c>
      <c r="W17" s="53">
        <f t="shared" si="2"/>
        <v>0</v>
      </c>
      <c r="X17" s="55">
        <f t="shared" si="3"/>
        <v>1</v>
      </c>
      <c r="Y17" s="53" t="str">
        <f t="shared" si="4"/>
        <v>1, Déficit y eliminé déficit</v>
      </c>
      <c r="Z17" s="3"/>
      <c r="AA17" s="3"/>
      <c r="AB17" s="53" t="s">
        <v>227</v>
      </c>
      <c r="AC17" s="53">
        <v>3</v>
      </c>
      <c r="AD17" s="54">
        <v>3.7777777777777777</v>
      </c>
      <c r="AE17" s="53">
        <v>3</v>
      </c>
      <c r="AF17" s="53">
        <v>3</v>
      </c>
      <c r="AG17" s="53">
        <v>5</v>
      </c>
      <c r="AH17" s="51">
        <v>0.88597893866063815</v>
      </c>
      <c r="AI17" s="64" t="s">
        <v>398</v>
      </c>
      <c r="AJ17" s="51">
        <v>11</v>
      </c>
      <c r="AK17" s="66">
        <f t="shared" si="5"/>
        <v>1</v>
      </c>
      <c r="AL17" s="66">
        <f t="shared" si="6"/>
        <v>0</v>
      </c>
      <c r="AM17" s="64" t="str">
        <f t="shared" si="7"/>
        <v>-1, Déficit y dejo la capacidad media</v>
      </c>
      <c r="AO17" s="80" t="s">
        <v>227</v>
      </c>
      <c r="AP17" s="66">
        <v>1</v>
      </c>
      <c r="AQ17" s="65">
        <v>2.4444444444444446</v>
      </c>
      <c r="AR17" s="66">
        <v>1</v>
      </c>
      <c r="AS17" s="65">
        <v>1</v>
      </c>
      <c r="AT17" s="66">
        <v>5</v>
      </c>
      <c r="AU17" s="69">
        <v>0.88597893866063815</v>
      </c>
      <c r="AV17" s="64" t="s">
        <v>398</v>
      </c>
      <c r="AW17" s="62">
        <v>11</v>
      </c>
      <c r="AX17" s="53">
        <f t="shared" si="8"/>
        <v>1</v>
      </c>
      <c r="AY17" s="53">
        <f t="shared" si="9"/>
        <v>0</v>
      </c>
      <c r="AZ17" s="64" t="str">
        <f t="shared" si="10"/>
        <v>-1, Déficit y dejo la capacidad media</v>
      </c>
      <c r="BB17" s="53" t="s">
        <v>227</v>
      </c>
      <c r="BC17" s="53">
        <v>2</v>
      </c>
      <c r="BD17" s="54">
        <v>3.4444444444444446</v>
      </c>
      <c r="BE17" s="53">
        <v>3</v>
      </c>
      <c r="BF17" s="53">
        <v>3</v>
      </c>
      <c r="BG17" s="53">
        <v>5</v>
      </c>
      <c r="BH17" s="51">
        <v>0.88597893866063815</v>
      </c>
      <c r="BI17" s="64" t="s">
        <v>398</v>
      </c>
      <c r="BJ17" s="51">
        <v>11</v>
      </c>
      <c r="BK17" s="53">
        <f t="shared" si="11"/>
        <v>0</v>
      </c>
      <c r="BL17" s="53">
        <f t="shared" si="12"/>
        <v>1</v>
      </c>
      <c r="BM17" s="64" t="str">
        <f t="shared" si="13"/>
        <v>-1, Déficit y dejo la capacidad media</v>
      </c>
      <c r="BO17" s="53" t="s">
        <v>227</v>
      </c>
      <c r="BP17" s="88">
        <v>11</v>
      </c>
      <c r="BQ17" s="54">
        <v>4.5555555555555554</v>
      </c>
      <c r="BR17" s="53">
        <v>11</v>
      </c>
      <c r="BS17" s="53">
        <v>11</v>
      </c>
      <c r="BT17" s="53">
        <v>5</v>
      </c>
      <c r="BU17" s="51">
        <v>0.88597893866063815</v>
      </c>
      <c r="BV17" s="64" t="s">
        <v>398</v>
      </c>
      <c r="BW17" s="51">
        <v>11</v>
      </c>
      <c r="BX17" s="53">
        <f t="shared" si="14"/>
        <v>1</v>
      </c>
      <c r="BY17" s="53">
        <f t="shared" si="15"/>
        <v>0</v>
      </c>
      <c r="BZ17" s="64" t="str">
        <f t="shared" si="16"/>
        <v>-1, no había déficit y dejo la capacidad media</v>
      </c>
      <c r="CB17" s="53" t="s">
        <v>227</v>
      </c>
      <c r="CC17" s="53">
        <v>7</v>
      </c>
      <c r="CD17" s="54">
        <v>4.7777777777777777</v>
      </c>
      <c r="CE17" s="53">
        <v>7</v>
      </c>
      <c r="CF17" s="53">
        <v>6</v>
      </c>
      <c r="CG17" s="53">
        <v>5</v>
      </c>
      <c r="CH17" s="51">
        <v>0.88597893866063815</v>
      </c>
      <c r="CI17" s="64" t="s">
        <v>398</v>
      </c>
      <c r="CJ17" s="51">
        <v>11</v>
      </c>
      <c r="CK17" s="53">
        <f t="shared" si="17"/>
        <v>1</v>
      </c>
      <c r="CL17" s="53">
        <f t="shared" si="18"/>
        <v>0</v>
      </c>
      <c r="CM17" s="64" t="str">
        <f t="shared" si="19"/>
        <v>-1, no había déficit y dejo la capacidad media</v>
      </c>
      <c r="CN17" s="93"/>
      <c r="CO17" s="3" t="s">
        <v>227</v>
      </c>
      <c r="CP17" s="3">
        <v>3</v>
      </c>
      <c r="CQ17" s="18">
        <v>4.4444444444444446</v>
      </c>
      <c r="CR17" s="3">
        <v>1</v>
      </c>
      <c r="CS17" s="3">
        <v>1</v>
      </c>
      <c r="CT17" s="3">
        <v>5</v>
      </c>
      <c r="CU17" s="13">
        <v>0.88597893866063815</v>
      </c>
      <c r="CV17" s="64" t="s">
        <v>398</v>
      </c>
      <c r="CW17" s="13">
        <v>11</v>
      </c>
      <c r="CX17" s="72">
        <f t="shared" si="20"/>
        <v>1</v>
      </c>
      <c r="CY17" s="51">
        <f t="shared" si="21"/>
        <v>-2</v>
      </c>
      <c r="CZ17" s="64" t="str">
        <f t="shared" si="22"/>
        <v>-1, Déficit y dejo la capacidad media</v>
      </c>
    </row>
    <row r="18" spans="1:104" ht="14.25" customHeight="1" x14ac:dyDescent="0.3">
      <c r="A18" s="62" t="s">
        <v>229</v>
      </c>
      <c r="B18" s="62">
        <v>6</v>
      </c>
      <c r="C18" s="65">
        <v>10.777777777777779</v>
      </c>
      <c r="D18" s="66">
        <v>5</v>
      </c>
      <c r="E18" s="66">
        <v>12</v>
      </c>
      <c r="F18" s="62">
        <v>6</v>
      </c>
      <c r="G18" s="67">
        <v>-1.0923718971587979</v>
      </c>
      <c r="H18" s="64" t="s">
        <v>401</v>
      </c>
      <c r="I18" s="62">
        <v>15</v>
      </c>
      <c r="J18" s="53">
        <f t="shared" ref="J18:J27" si="24">IF(D18&gt;=B18,1,0)</f>
        <v>0</v>
      </c>
      <c r="K18" s="100">
        <f t="shared" si="1"/>
        <v>-1</v>
      </c>
      <c r="L18" s="64" t="str">
        <f t="shared" si="23"/>
        <v>-2, no había superávit y resultado fue bueno</v>
      </c>
      <c r="N18" s="88" t="s">
        <v>229</v>
      </c>
      <c r="O18" s="56">
        <v>5</v>
      </c>
      <c r="P18" s="57">
        <v>10</v>
      </c>
      <c r="Q18" s="57">
        <v>5</v>
      </c>
      <c r="R18" s="57">
        <v>5</v>
      </c>
      <c r="S18" s="56">
        <v>5</v>
      </c>
      <c r="T18" s="51">
        <v>-1.0923718971587979</v>
      </c>
      <c r="U18" s="64" t="s">
        <v>401</v>
      </c>
      <c r="V18" s="51">
        <v>15</v>
      </c>
      <c r="W18" s="53">
        <f t="shared" ref="W18:W27" si="25">IF(Q18&gt;=O18,1,0)</f>
        <v>1</v>
      </c>
      <c r="X18" s="55">
        <f t="shared" si="3"/>
        <v>0</v>
      </c>
      <c r="Y18" s="53" t="str">
        <f t="shared" si="4"/>
        <v>-2, no había superávit y resultado fue bueno</v>
      </c>
      <c r="Z18" s="3"/>
      <c r="AA18" s="3"/>
      <c r="AB18" s="53" t="s">
        <v>229</v>
      </c>
      <c r="AC18" s="53">
        <v>12</v>
      </c>
      <c r="AD18" s="54">
        <v>9.8888888888888893</v>
      </c>
      <c r="AE18" s="53">
        <v>12</v>
      </c>
      <c r="AF18" s="53">
        <v>12</v>
      </c>
      <c r="AG18" s="53">
        <v>2</v>
      </c>
      <c r="AH18" s="51">
        <v>-1.0923718971587979</v>
      </c>
      <c r="AI18" s="64" t="s">
        <v>401</v>
      </c>
      <c r="AJ18" s="51">
        <v>15</v>
      </c>
      <c r="AK18" s="66">
        <f t="shared" ref="AK18:AK27" si="26">IF(AE18&gt;=AC18,1,0)</f>
        <v>1</v>
      </c>
      <c r="AL18" s="66">
        <f t="shared" si="6"/>
        <v>0</v>
      </c>
      <c r="AM18" s="64" t="str">
        <f t="shared" si="7"/>
        <v>1, Superávit y eliminé superávit</v>
      </c>
      <c r="AO18" s="80" t="s">
        <v>229</v>
      </c>
      <c r="AP18" s="66">
        <v>10</v>
      </c>
      <c r="AQ18" s="65">
        <v>6.666666666666667</v>
      </c>
      <c r="AR18" s="66">
        <v>13</v>
      </c>
      <c r="AS18" s="65">
        <v>13</v>
      </c>
      <c r="AT18" s="66">
        <v>3</v>
      </c>
      <c r="AU18" s="69">
        <v>-1.0923718971587979</v>
      </c>
      <c r="AV18" s="64" t="s">
        <v>401</v>
      </c>
      <c r="AW18" s="62">
        <v>15</v>
      </c>
      <c r="AX18" s="53">
        <f t="shared" ref="AX18:AX27" si="27">IF(AR18&gt;=AP18,1,0)</f>
        <v>1</v>
      </c>
      <c r="AY18" s="53">
        <f t="shared" si="9"/>
        <v>3</v>
      </c>
      <c r="AZ18" s="64" t="str">
        <f t="shared" si="10"/>
        <v>1, Superávit y eliminé superávit</v>
      </c>
      <c r="BB18" s="53" t="s">
        <v>229</v>
      </c>
      <c r="BC18" s="53">
        <v>7</v>
      </c>
      <c r="BD18" s="54">
        <v>9</v>
      </c>
      <c r="BE18" s="53">
        <v>9</v>
      </c>
      <c r="BF18" s="53">
        <v>12</v>
      </c>
      <c r="BG18" s="53">
        <v>7</v>
      </c>
      <c r="BH18" s="51">
        <v>-1.0923718971587979</v>
      </c>
      <c r="BI18" s="64" t="s">
        <v>401</v>
      </c>
      <c r="BJ18" s="51">
        <v>15</v>
      </c>
      <c r="BK18" s="53">
        <f t="shared" ref="BK18:BK27" si="28">IF(BE18&gt;=BC18,1,0)</f>
        <v>1</v>
      </c>
      <c r="BL18" s="53">
        <f t="shared" si="12"/>
        <v>2</v>
      </c>
      <c r="BM18" s="64" t="str">
        <f t="shared" si="13"/>
        <v>-1, no había superávit y deje la capacidad media</v>
      </c>
      <c r="BO18" s="53" t="s">
        <v>229</v>
      </c>
      <c r="BP18" s="88">
        <v>7</v>
      </c>
      <c r="BQ18" s="54">
        <v>9.4444444444444446</v>
      </c>
      <c r="BR18" s="53">
        <v>9</v>
      </c>
      <c r="BS18" s="53">
        <v>12</v>
      </c>
      <c r="BT18" s="53">
        <v>7</v>
      </c>
      <c r="BU18" s="51">
        <v>-1.0923718971587979</v>
      </c>
      <c r="BV18" s="64" t="s">
        <v>401</v>
      </c>
      <c r="BW18" s="51">
        <v>15</v>
      </c>
      <c r="BX18" s="53">
        <f t="shared" ref="BX18:BX27" si="29">IF(BR18&gt;=BP18,1,0)</f>
        <v>1</v>
      </c>
      <c r="BY18" s="53">
        <f t="shared" si="15"/>
        <v>2</v>
      </c>
      <c r="BZ18" s="64" t="str">
        <f t="shared" si="16"/>
        <v>-1, no había superávit y deje la capacidad media</v>
      </c>
      <c r="CB18" s="53" t="s">
        <v>229</v>
      </c>
      <c r="CC18" s="53">
        <v>8</v>
      </c>
      <c r="CD18" s="54">
        <v>8.3333333333333339</v>
      </c>
      <c r="CE18" s="53">
        <v>8</v>
      </c>
      <c r="CF18" s="53">
        <v>10</v>
      </c>
      <c r="CG18" s="53">
        <v>8</v>
      </c>
      <c r="CH18" s="51">
        <v>-1.0923718971587979</v>
      </c>
      <c r="CI18" s="64" t="s">
        <v>401</v>
      </c>
      <c r="CJ18" s="51">
        <v>15</v>
      </c>
      <c r="CK18" s="53">
        <f t="shared" ref="CK18:CK27" si="30">IF(CE18&gt;=CC18,1,0)</f>
        <v>1</v>
      </c>
      <c r="CL18" s="53">
        <f t="shared" si="18"/>
        <v>0</v>
      </c>
      <c r="CM18" s="64" t="str">
        <f t="shared" si="19"/>
        <v>0, Superávit y no eliminé superávit</v>
      </c>
      <c r="CN18" s="93"/>
      <c r="CO18" s="3" t="s">
        <v>229</v>
      </c>
      <c r="CP18" s="3">
        <v>9</v>
      </c>
      <c r="CQ18" s="18">
        <v>10.777777777777779</v>
      </c>
      <c r="CR18" s="3">
        <v>9</v>
      </c>
      <c r="CS18" s="3">
        <v>9</v>
      </c>
      <c r="CT18" s="3">
        <v>2</v>
      </c>
      <c r="CU18" s="13">
        <v>-1.0923718971587979</v>
      </c>
      <c r="CV18" s="64" t="s">
        <v>401</v>
      </c>
      <c r="CW18" s="13">
        <v>15</v>
      </c>
      <c r="CX18" s="72">
        <f t="shared" ref="CX18:CX27" si="31">IF(CR18&gt;=CP18,1,0)</f>
        <v>1</v>
      </c>
      <c r="CY18" s="51">
        <f t="shared" si="21"/>
        <v>0</v>
      </c>
      <c r="CZ18" s="64" t="str">
        <f t="shared" si="22"/>
        <v>1, Superávit y eliminé superávit</v>
      </c>
    </row>
    <row r="19" spans="1:104" ht="14.25" customHeight="1" x14ac:dyDescent="0.3">
      <c r="A19" s="62" t="s">
        <v>232</v>
      </c>
      <c r="B19" s="62">
        <v>17</v>
      </c>
      <c r="C19" s="65">
        <v>15.888888888888889</v>
      </c>
      <c r="D19" s="66">
        <v>16</v>
      </c>
      <c r="E19" s="66">
        <v>15</v>
      </c>
      <c r="F19" s="62">
        <v>12</v>
      </c>
      <c r="G19" s="67">
        <v>-1.1154133211974251</v>
      </c>
      <c r="H19" s="64" t="s">
        <v>406</v>
      </c>
      <c r="I19" s="62">
        <v>19</v>
      </c>
      <c r="J19" s="53">
        <f t="shared" si="24"/>
        <v>0</v>
      </c>
      <c r="K19" s="100">
        <f t="shared" si="1"/>
        <v>-1</v>
      </c>
      <c r="L19" s="64" t="str">
        <f t="shared" si="23"/>
        <v>-2, Superávit y resultado fue bueno</v>
      </c>
      <c r="N19" s="88" t="s">
        <v>232</v>
      </c>
      <c r="O19" s="53">
        <v>16</v>
      </c>
      <c r="P19" s="54">
        <v>14.777777777777779</v>
      </c>
      <c r="Q19" s="54">
        <v>16</v>
      </c>
      <c r="R19" s="54">
        <v>14</v>
      </c>
      <c r="S19" s="53">
        <v>16</v>
      </c>
      <c r="T19" s="51">
        <v>-1.1154133211974251</v>
      </c>
      <c r="U19" s="64" t="s">
        <v>406</v>
      </c>
      <c r="V19" s="51">
        <v>19</v>
      </c>
      <c r="W19" s="53">
        <f t="shared" si="25"/>
        <v>1</v>
      </c>
      <c r="X19" s="55">
        <f t="shared" si="3"/>
        <v>0</v>
      </c>
      <c r="Y19" s="53" t="str">
        <f t="shared" si="4"/>
        <v>0, Superávit y no eliminé superávit</v>
      </c>
      <c r="Z19" s="3"/>
      <c r="AA19" s="3"/>
      <c r="AB19" s="53" t="s">
        <v>232</v>
      </c>
      <c r="AC19" s="53">
        <v>15</v>
      </c>
      <c r="AD19" s="54">
        <v>14.444444444444445</v>
      </c>
      <c r="AE19" s="53">
        <v>15</v>
      </c>
      <c r="AF19" s="53">
        <v>15</v>
      </c>
      <c r="AG19" s="53">
        <v>6</v>
      </c>
      <c r="AH19" s="51">
        <v>-1.1154133211974251</v>
      </c>
      <c r="AI19" s="64" t="s">
        <v>406</v>
      </c>
      <c r="AJ19" s="51">
        <v>19</v>
      </c>
      <c r="AK19" s="66">
        <f t="shared" si="26"/>
        <v>1</v>
      </c>
      <c r="AL19" s="66">
        <f t="shared" si="6"/>
        <v>0</v>
      </c>
      <c r="AM19" s="64" t="str">
        <f t="shared" si="7"/>
        <v>1, Superávit y eliminé superávit</v>
      </c>
      <c r="AO19" s="80" t="s">
        <v>232</v>
      </c>
      <c r="AP19" s="66">
        <v>6</v>
      </c>
      <c r="AQ19" s="65">
        <v>10.333333333333334</v>
      </c>
      <c r="AR19" s="66">
        <v>11</v>
      </c>
      <c r="AS19" s="65">
        <v>14</v>
      </c>
      <c r="AT19" s="66">
        <v>6</v>
      </c>
      <c r="AU19" s="69">
        <v>-1.1154133211974251</v>
      </c>
      <c r="AV19" s="64" t="s">
        <v>406</v>
      </c>
      <c r="AW19" s="62">
        <v>19</v>
      </c>
      <c r="AX19" s="53">
        <f t="shared" si="27"/>
        <v>1</v>
      </c>
      <c r="AY19" s="53">
        <f t="shared" si="9"/>
        <v>5</v>
      </c>
      <c r="AZ19" s="64" t="str">
        <f t="shared" si="10"/>
        <v>-2, no había superávit y resultado fue bueno</v>
      </c>
      <c r="BB19" s="53" t="s">
        <v>232</v>
      </c>
      <c r="BC19" s="53">
        <v>1</v>
      </c>
      <c r="BD19" s="54">
        <v>13.111111111111111</v>
      </c>
      <c r="BE19" s="53">
        <v>4</v>
      </c>
      <c r="BF19" s="53">
        <v>4</v>
      </c>
      <c r="BG19" s="53">
        <v>3</v>
      </c>
      <c r="BH19" s="51">
        <v>-1.1154133211974251</v>
      </c>
      <c r="BI19" s="64" t="s">
        <v>406</v>
      </c>
      <c r="BJ19" s="51">
        <v>19</v>
      </c>
      <c r="BK19" s="53">
        <f t="shared" si="28"/>
        <v>1</v>
      </c>
      <c r="BL19" s="53">
        <f t="shared" si="12"/>
        <v>3</v>
      </c>
      <c r="BM19" s="64" t="str">
        <f t="shared" si="13"/>
        <v>-2, no había superávit y resultado fue bueno</v>
      </c>
      <c r="BO19" s="53" t="s">
        <v>232</v>
      </c>
      <c r="BP19" s="88">
        <v>12</v>
      </c>
      <c r="BQ19" s="54">
        <v>13.111111111111111</v>
      </c>
      <c r="BR19" s="53">
        <v>6</v>
      </c>
      <c r="BS19" s="53">
        <v>9</v>
      </c>
      <c r="BT19" s="53">
        <v>5</v>
      </c>
      <c r="BU19" s="51">
        <v>-1.1154133211974251</v>
      </c>
      <c r="BV19" s="64" t="s">
        <v>406</v>
      </c>
      <c r="BW19" s="51">
        <v>19</v>
      </c>
      <c r="BX19" s="53">
        <f t="shared" si="29"/>
        <v>0</v>
      </c>
      <c r="BY19" s="53">
        <f t="shared" si="15"/>
        <v>-6</v>
      </c>
      <c r="BZ19" s="64" t="str">
        <f t="shared" si="16"/>
        <v>1, Superávit y eliminé superávit</v>
      </c>
      <c r="CB19" s="53" t="s">
        <v>232</v>
      </c>
      <c r="CC19" s="53">
        <v>6</v>
      </c>
      <c r="CD19" s="54">
        <v>13.555555555555555</v>
      </c>
      <c r="CE19" s="53">
        <v>4</v>
      </c>
      <c r="CF19" s="53">
        <v>3</v>
      </c>
      <c r="CG19" s="53">
        <v>6</v>
      </c>
      <c r="CH19" s="51">
        <v>-1.1154133211974251</v>
      </c>
      <c r="CI19" s="64" t="s">
        <v>406</v>
      </c>
      <c r="CJ19" s="51">
        <v>19</v>
      </c>
      <c r="CK19" s="53">
        <f t="shared" si="30"/>
        <v>0</v>
      </c>
      <c r="CL19" s="53">
        <f t="shared" si="18"/>
        <v>-2</v>
      </c>
      <c r="CM19" s="64" t="str">
        <f t="shared" si="19"/>
        <v>-2, no había superávit y resultado fue bueno</v>
      </c>
      <c r="CN19" s="93"/>
      <c r="CO19" s="3" t="s">
        <v>232</v>
      </c>
      <c r="CP19" s="3">
        <v>11</v>
      </c>
      <c r="CQ19" s="18">
        <v>15.888888888888889</v>
      </c>
      <c r="CR19" s="3">
        <v>11</v>
      </c>
      <c r="CS19" s="3">
        <v>11</v>
      </c>
      <c r="CT19" s="3">
        <v>11</v>
      </c>
      <c r="CU19" s="13">
        <v>-1.1154133211974251</v>
      </c>
      <c r="CV19" s="64" t="s">
        <v>406</v>
      </c>
      <c r="CW19" s="13">
        <v>19</v>
      </c>
      <c r="CX19" s="72">
        <f t="shared" si="31"/>
        <v>1</v>
      </c>
      <c r="CY19" s="51">
        <f t="shared" si="21"/>
        <v>0</v>
      </c>
      <c r="CZ19" s="64" t="str">
        <f t="shared" si="22"/>
        <v>0, Superávit y no eliminé superávit</v>
      </c>
    </row>
    <row r="20" spans="1:104" ht="14.25" customHeight="1" x14ac:dyDescent="0.3">
      <c r="A20" s="62" t="s">
        <v>234</v>
      </c>
      <c r="B20" s="62">
        <v>15</v>
      </c>
      <c r="C20" s="65">
        <v>10.444444444444445</v>
      </c>
      <c r="D20" s="66">
        <v>14</v>
      </c>
      <c r="E20" s="66">
        <v>12</v>
      </c>
      <c r="F20" s="62">
        <v>8</v>
      </c>
      <c r="G20" s="67">
        <v>-1.12017317951397</v>
      </c>
      <c r="H20" s="64" t="s">
        <v>405</v>
      </c>
      <c r="I20" s="62">
        <v>16</v>
      </c>
      <c r="J20" s="53">
        <f t="shared" si="24"/>
        <v>0</v>
      </c>
      <c r="K20" s="100">
        <f t="shared" si="1"/>
        <v>-1</v>
      </c>
      <c r="L20" s="64" t="str">
        <f t="shared" si="23"/>
        <v>-1, Superávit y deje la capacidad media</v>
      </c>
      <c r="N20" s="88" t="s">
        <v>234</v>
      </c>
      <c r="O20" s="53">
        <v>14</v>
      </c>
      <c r="P20" s="54">
        <v>12.777777777777779</v>
      </c>
      <c r="Q20" s="54">
        <v>15</v>
      </c>
      <c r="R20" s="54">
        <v>15</v>
      </c>
      <c r="S20" s="53">
        <v>11</v>
      </c>
      <c r="T20" s="51">
        <v>-1.12017317951397</v>
      </c>
      <c r="U20" s="64" t="s">
        <v>405</v>
      </c>
      <c r="V20" s="51">
        <v>16</v>
      </c>
      <c r="W20" s="53">
        <f t="shared" si="25"/>
        <v>1</v>
      </c>
      <c r="X20" s="55">
        <f t="shared" si="3"/>
        <v>1</v>
      </c>
      <c r="Y20" s="53" t="str">
        <f t="shared" si="4"/>
        <v>-2, Superávit y resultado fue bueno</v>
      </c>
      <c r="Z20" s="3"/>
      <c r="AA20" s="3"/>
      <c r="AB20" s="53" t="s">
        <v>234</v>
      </c>
      <c r="AC20" s="53">
        <v>12</v>
      </c>
      <c r="AD20" s="54">
        <v>11.666666666666666</v>
      </c>
      <c r="AE20" s="53">
        <v>12</v>
      </c>
      <c r="AF20" s="53">
        <v>12</v>
      </c>
      <c r="AG20" s="53">
        <v>12</v>
      </c>
      <c r="AH20" s="51">
        <v>-1.12017317951397</v>
      </c>
      <c r="AI20" s="64" t="s">
        <v>405</v>
      </c>
      <c r="AJ20" s="51">
        <v>16</v>
      </c>
      <c r="AK20" s="66">
        <f t="shared" si="26"/>
        <v>1</v>
      </c>
      <c r="AL20" s="66">
        <f t="shared" si="6"/>
        <v>0</v>
      </c>
      <c r="AM20" s="64" t="str">
        <f t="shared" si="7"/>
        <v>0, Superávit y no eliminé superávit</v>
      </c>
      <c r="AO20" s="80" t="s">
        <v>234</v>
      </c>
      <c r="AP20" s="66">
        <v>14</v>
      </c>
      <c r="AQ20" s="65">
        <v>10.777777777777779</v>
      </c>
      <c r="AR20" s="66">
        <v>5</v>
      </c>
      <c r="AS20" s="65">
        <v>2</v>
      </c>
      <c r="AT20" s="66">
        <v>11</v>
      </c>
      <c r="AU20" s="69">
        <v>-1.12017317951397</v>
      </c>
      <c r="AV20" s="64" t="s">
        <v>405</v>
      </c>
      <c r="AW20" s="62">
        <v>16</v>
      </c>
      <c r="AX20" s="53">
        <f t="shared" si="27"/>
        <v>0</v>
      </c>
      <c r="AY20" s="53">
        <f t="shared" si="9"/>
        <v>-9</v>
      </c>
      <c r="AZ20" s="64" t="str">
        <f t="shared" si="10"/>
        <v>-2, Superávit y resultado fue bueno</v>
      </c>
      <c r="BB20" s="53" t="s">
        <v>234</v>
      </c>
      <c r="BC20" s="53">
        <v>5</v>
      </c>
      <c r="BD20" s="54">
        <v>9.1111111111111107</v>
      </c>
      <c r="BE20" s="53">
        <v>1</v>
      </c>
      <c r="BF20" s="53">
        <v>3</v>
      </c>
      <c r="BG20" s="53">
        <v>5</v>
      </c>
      <c r="BH20" s="51">
        <v>-1.12017317951397</v>
      </c>
      <c r="BI20" s="64" t="s">
        <v>405</v>
      </c>
      <c r="BJ20" s="51">
        <v>16</v>
      </c>
      <c r="BK20" s="53">
        <f t="shared" si="28"/>
        <v>0</v>
      </c>
      <c r="BL20" s="53">
        <f t="shared" si="12"/>
        <v>-4</v>
      </c>
      <c r="BM20" s="64" t="str">
        <f t="shared" si="13"/>
        <v>-2, no había superávit y resultado fue bueno</v>
      </c>
      <c r="BO20" s="53" t="s">
        <v>234</v>
      </c>
      <c r="BP20" s="88">
        <v>5</v>
      </c>
      <c r="BQ20" s="54">
        <v>7</v>
      </c>
      <c r="BR20" s="53">
        <v>2</v>
      </c>
      <c r="BS20" s="53">
        <v>1</v>
      </c>
      <c r="BT20" s="53">
        <v>5</v>
      </c>
      <c r="BU20" s="51">
        <v>-1.12017317951397</v>
      </c>
      <c r="BV20" s="64" t="s">
        <v>405</v>
      </c>
      <c r="BW20" s="51">
        <v>16</v>
      </c>
      <c r="BX20" s="53">
        <f t="shared" si="29"/>
        <v>0</v>
      </c>
      <c r="BY20" s="53">
        <f t="shared" si="15"/>
        <v>-3</v>
      </c>
      <c r="BZ20" s="64" t="str">
        <f t="shared" si="16"/>
        <v>-2, no había superávit y resultado fue bueno</v>
      </c>
      <c r="CB20" s="53" t="s">
        <v>234</v>
      </c>
      <c r="CC20" s="53">
        <v>8</v>
      </c>
      <c r="CD20" s="54">
        <v>8.8888888888888893</v>
      </c>
      <c r="CE20" s="53">
        <v>6</v>
      </c>
      <c r="CF20" s="53">
        <v>4</v>
      </c>
      <c r="CG20" s="53">
        <v>8</v>
      </c>
      <c r="CH20" s="51">
        <v>-1.12017317951397</v>
      </c>
      <c r="CI20" s="64" t="s">
        <v>405</v>
      </c>
      <c r="CJ20" s="51">
        <v>16</v>
      </c>
      <c r="CK20" s="53">
        <f t="shared" si="30"/>
        <v>0</v>
      </c>
      <c r="CL20" s="53">
        <f t="shared" si="18"/>
        <v>-2</v>
      </c>
      <c r="CM20" s="64" t="str">
        <f t="shared" si="19"/>
        <v>-1, no había superávit y deje la capacidad media</v>
      </c>
      <c r="CN20" s="93"/>
      <c r="CO20" s="3" t="s">
        <v>234</v>
      </c>
      <c r="CP20" s="3">
        <v>10</v>
      </c>
      <c r="CQ20" s="18">
        <v>10.444444444444445</v>
      </c>
      <c r="CR20" s="3">
        <v>8</v>
      </c>
      <c r="CS20" s="3">
        <v>9</v>
      </c>
      <c r="CT20" s="3">
        <v>10</v>
      </c>
      <c r="CU20" s="13">
        <v>-1.12017317951397</v>
      </c>
      <c r="CV20" s="64" t="s">
        <v>405</v>
      </c>
      <c r="CW20" s="13">
        <v>16</v>
      </c>
      <c r="CX20" s="72">
        <f t="shared" si="31"/>
        <v>0</v>
      </c>
      <c r="CY20" s="51">
        <f t="shared" si="21"/>
        <v>-2</v>
      </c>
      <c r="CZ20" s="64" t="str">
        <f t="shared" si="22"/>
        <v>0, Superávit y no eliminé superávit</v>
      </c>
    </row>
    <row r="21" spans="1:104" ht="14.25" customHeight="1" x14ac:dyDescent="0.3">
      <c r="A21" s="62" t="s">
        <v>236</v>
      </c>
      <c r="B21" s="62">
        <v>13</v>
      </c>
      <c r="C21" s="65">
        <v>9.2222222222222214</v>
      </c>
      <c r="D21" s="66">
        <v>15</v>
      </c>
      <c r="E21" s="66">
        <v>12</v>
      </c>
      <c r="F21" s="62">
        <v>4</v>
      </c>
      <c r="G21" s="67">
        <v>-1.1339562965442611</v>
      </c>
      <c r="H21" s="64" t="s">
        <v>401</v>
      </c>
      <c r="I21" s="62">
        <v>15</v>
      </c>
      <c r="J21" s="53">
        <f t="shared" si="24"/>
        <v>1</v>
      </c>
      <c r="K21" s="100">
        <f t="shared" si="1"/>
        <v>2</v>
      </c>
      <c r="L21" s="64" t="str">
        <f t="shared" si="23"/>
        <v>1, Superávit y eliminé superávit</v>
      </c>
      <c r="N21" s="88" t="s">
        <v>236</v>
      </c>
      <c r="O21" s="53">
        <v>15</v>
      </c>
      <c r="P21" s="54">
        <v>12.111111111111111</v>
      </c>
      <c r="Q21" s="54">
        <v>11</v>
      </c>
      <c r="R21" s="54">
        <v>11</v>
      </c>
      <c r="S21" s="53">
        <v>2</v>
      </c>
      <c r="T21" s="51">
        <v>-1.1339562965442611</v>
      </c>
      <c r="U21" s="64" t="s">
        <v>401</v>
      </c>
      <c r="V21" s="51">
        <v>15</v>
      </c>
      <c r="W21" s="53">
        <f t="shared" si="25"/>
        <v>0</v>
      </c>
      <c r="X21" s="55">
        <f t="shared" si="3"/>
        <v>-4</v>
      </c>
      <c r="Y21" s="53" t="str">
        <f t="shared" si="4"/>
        <v>1, Superávit y eliminé superávit</v>
      </c>
      <c r="Z21" s="3"/>
      <c r="AA21" s="3"/>
      <c r="AB21" s="53" t="s">
        <v>236</v>
      </c>
      <c r="AC21" s="53">
        <v>12</v>
      </c>
      <c r="AD21" s="54">
        <v>13</v>
      </c>
      <c r="AE21" s="53">
        <v>12</v>
      </c>
      <c r="AF21" s="53">
        <v>12</v>
      </c>
      <c r="AG21" s="53">
        <v>11</v>
      </c>
      <c r="AH21" s="51">
        <v>-1.1339562965442611</v>
      </c>
      <c r="AI21" s="64" t="s">
        <v>401</v>
      </c>
      <c r="AJ21" s="51">
        <v>15</v>
      </c>
      <c r="AK21" s="66">
        <f t="shared" si="26"/>
        <v>1</v>
      </c>
      <c r="AL21" s="66">
        <f t="shared" si="6"/>
        <v>0</v>
      </c>
      <c r="AM21" s="64" t="str">
        <f t="shared" si="7"/>
        <v>-2, Superávit y resultado fue bueno</v>
      </c>
      <c r="AO21" s="80" t="s">
        <v>236</v>
      </c>
      <c r="AP21" s="66">
        <v>7</v>
      </c>
      <c r="AQ21" s="65">
        <v>11.777777777777779</v>
      </c>
      <c r="AR21" s="66">
        <v>13</v>
      </c>
      <c r="AS21" s="65">
        <v>15</v>
      </c>
      <c r="AT21" s="66">
        <v>7</v>
      </c>
      <c r="AU21" s="69">
        <v>-1.1339562965442611</v>
      </c>
      <c r="AV21" s="64" t="s">
        <v>401</v>
      </c>
      <c r="AW21" s="62">
        <v>15</v>
      </c>
      <c r="AX21" s="53">
        <f t="shared" si="27"/>
        <v>1</v>
      </c>
      <c r="AY21" s="53">
        <f t="shared" si="9"/>
        <v>6</v>
      </c>
      <c r="AZ21" s="64" t="str">
        <f t="shared" si="10"/>
        <v>-1, no había superávit y deje la capacidad media</v>
      </c>
      <c r="BB21" s="53" t="s">
        <v>236</v>
      </c>
      <c r="BC21" s="53">
        <v>14</v>
      </c>
      <c r="BD21" s="54">
        <v>9.4444444444444446</v>
      </c>
      <c r="BE21" s="53">
        <v>15</v>
      </c>
      <c r="BF21" s="53">
        <v>15</v>
      </c>
      <c r="BG21" s="53">
        <v>3</v>
      </c>
      <c r="BH21" s="51">
        <v>-1.1339562965442611</v>
      </c>
      <c r="BI21" s="64" t="s">
        <v>401</v>
      </c>
      <c r="BJ21" s="51">
        <v>15</v>
      </c>
      <c r="BK21" s="53">
        <f t="shared" si="28"/>
        <v>1</v>
      </c>
      <c r="BL21" s="53">
        <f t="shared" si="12"/>
        <v>1</v>
      </c>
      <c r="BM21" s="64" t="str">
        <f t="shared" si="13"/>
        <v>1, Superávit y eliminé superávit</v>
      </c>
      <c r="BO21" s="53" t="s">
        <v>236</v>
      </c>
      <c r="BP21" s="88">
        <v>1</v>
      </c>
      <c r="BQ21" s="54">
        <v>6.4444444444444446</v>
      </c>
      <c r="BR21" s="53">
        <v>4</v>
      </c>
      <c r="BS21" s="53">
        <v>9</v>
      </c>
      <c r="BT21" s="53">
        <v>4</v>
      </c>
      <c r="BU21" s="51">
        <v>-1.1339562965442611</v>
      </c>
      <c r="BV21" s="64" t="s">
        <v>401</v>
      </c>
      <c r="BW21" s="51">
        <v>15</v>
      </c>
      <c r="BX21" s="53">
        <f t="shared" si="29"/>
        <v>1</v>
      </c>
      <c r="BY21" s="53">
        <f t="shared" si="15"/>
        <v>3</v>
      </c>
      <c r="BZ21" s="64" t="str">
        <f t="shared" si="16"/>
        <v>-2, no había superávit y resultado fue bueno</v>
      </c>
      <c r="CB21" s="53" t="s">
        <v>236</v>
      </c>
      <c r="CC21" s="53">
        <v>10</v>
      </c>
      <c r="CD21" s="54">
        <v>10.555555555555555</v>
      </c>
      <c r="CE21" s="53">
        <v>11</v>
      </c>
      <c r="CF21" s="53">
        <v>13</v>
      </c>
      <c r="CG21" s="53">
        <v>12</v>
      </c>
      <c r="CH21" s="51">
        <v>-1.1339562965442611</v>
      </c>
      <c r="CI21" s="64" t="s">
        <v>401</v>
      </c>
      <c r="CJ21" s="51">
        <v>15</v>
      </c>
      <c r="CK21" s="53">
        <f t="shared" si="30"/>
        <v>1</v>
      </c>
      <c r="CL21" s="53">
        <f t="shared" si="18"/>
        <v>1</v>
      </c>
      <c r="CM21" s="64" t="str">
        <f t="shared" si="19"/>
        <v>0, Superávit y no eliminé superávit</v>
      </c>
      <c r="CN21" s="93"/>
      <c r="CO21" s="3" t="s">
        <v>236</v>
      </c>
      <c r="CP21" s="3">
        <v>3</v>
      </c>
      <c r="CQ21" s="18">
        <v>9.2222222222222214</v>
      </c>
      <c r="CR21" s="3">
        <v>6</v>
      </c>
      <c r="CS21" s="3">
        <v>6</v>
      </c>
      <c r="CT21" s="3">
        <v>3</v>
      </c>
      <c r="CU21" s="13">
        <v>-1.1339562965442611</v>
      </c>
      <c r="CV21" s="64" t="s">
        <v>401</v>
      </c>
      <c r="CW21" s="13">
        <v>15</v>
      </c>
      <c r="CX21" s="72">
        <f t="shared" si="31"/>
        <v>1</v>
      </c>
      <c r="CY21" s="51">
        <f t="shared" si="21"/>
        <v>3</v>
      </c>
      <c r="CZ21" s="64" t="str">
        <f t="shared" si="22"/>
        <v>-2, no había superávit y resultado fue bueno</v>
      </c>
    </row>
    <row r="22" spans="1:104" ht="14.25" customHeight="1" x14ac:dyDescent="0.3">
      <c r="A22" s="62" t="s">
        <v>238</v>
      </c>
      <c r="B22" s="62">
        <v>3</v>
      </c>
      <c r="C22" s="65">
        <v>3.1111111111111112</v>
      </c>
      <c r="D22" s="66">
        <v>2</v>
      </c>
      <c r="E22" s="66">
        <v>4</v>
      </c>
      <c r="F22" s="62">
        <v>3</v>
      </c>
      <c r="G22" s="67">
        <v>-1.1428327832816429</v>
      </c>
      <c r="H22" s="64" t="s">
        <v>400</v>
      </c>
      <c r="I22" s="62">
        <v>7</v>
      </c>
      <c r="J22" s="53">
        <f t="shared" si="24"/>
        <v>0</v>
      </c>
      <c r="K22" s="100">
        <f t="shared" si="1"/>
        <v>-1</v>
      </c>
      <c r="L22" s="64" t="str">
        <f t="shared" si="23"/>
        <v>-1, no había superávit y deje la capacidad media</v>
      </c>
      <c r="N22" s="88" t="s">
        <v>238</v>
      </c>
      <c r="O22" s="56">
        <v>1</v>
      </c>
      <c r="P22" s="57">
        <v>2.7777777777777777</v>
      </c>
      <c r="Q22" s="57">
        <v>1</v>
      </c>
      <c r="R22" s="57">
        <v>1</v>
      </c>
      <c r="S22" s="56">
        <v>2</v>
      </c>
      <c r="T22" s="58">
        <v>-1.1428327832816429</v>
      </c>
      <c r="U22" s="64" t="s">
        <v>400</v>
      </c>
      <c r="V22" s="58">
        <v>7</v>
      </c>
      <c r="W22" s="53">
        <f t="shared" si="25"/>
        <v>1</v>
      </c>
      <c r="X22" s="55">
        <f t="shared" si="3"/>
        <v>0</v>
      </c>
      <c r="Y22" s="53" t="str">
        <f t="shared" si="4"/>
        <v>-2, no había superávit y resultado fue bueno</v>
      </c>
      <c r="Z22" s="3"/>
      <c r="AA22" s="3"/>
      <c r="AB22" s="53" t="s">
        <v>238</v>
      </c>
      <c r="AC22" s="53">
        <v>4</v>
      </c>
      <c r="AD22" s="54">
        <v>2.4444444444444446</v>
      </c>
      <c r="AE22" s="53">
        <v>4</v>
      </c>
      <c r="AF22" s="53">
        <v>4</v>
      </c>
      <c r="AG22" s="53">
        <v>4</v>
      </c>
      <c r="AH22" s="51">
        <v>-1.1428327832816429</v>
      </c>
      <c r="AI22" s="64" t="s">
        <v>400</v>
      </c>
      <c r="AJ22" s="51">
        <v>7</v>
      </c>
      <c r="AK22" s="66">
        <f t="shared" si="26"/>
        <v>1</v>
      </c>
      <c r="AL22" s="66">
        <f t="shared" si="6"/>
        <v>0</v>
      </c>
      <c r="AM22" s="64" t="str">
        <f t="shared" si="7"/>
        <v>0, Superávit y no eliminé superávit</v>
      </c>
      <c r="AO22" s="80" t="s">
        <v>238</v>
      </c>
      <c r="AP22" s="66">
        <v>4</v>
      </c>
      <c r="AQ22" s="65">
        <v>3.2222222222222223</v>
      </c>
      <c r="AR22" s="66">
        <v>4</v>
      </c>
      <c r="AS22" s="65">
        <v>4</v>
      </c>
      <c r="AT22" s="66">
        <v>4</v>
      </c>
      <c r="AU22" s="69">
        <v>-1.1428327832816429</v>
      </c>
      <c r="AV22" s="64" t="s">
        <v>400</v>
      </c>
      <c r="AW22" s="62">
        <v>7</v>
      </c>
      <c r="AX22" s="53">
        <f t="shared" si="27"/>
        <v>1</v>
      </c>
      <c r="AY22" s="53">
        <f t="shared" si="9"/>
        <v>0</v>
      </c>
      <c r="AZ22" s="64" t="str">
        <f t="shared" si="10"/>
        <v>0, Superávit y no eliminé superávit</v>
      </c>
      <c r="BB22" s="53" t="s">
        <v>238</v>
      </c>
      <c r="BC22" s="53">
        <v>4</v>
      </c>
      <c r="BD22" s="54">
        <v>3.1111111111111112</v>
      </c>
      <c r="BE22" s="53">
        <v>4</v>
      </c>
      <c r="BF22" s="53">
        <v>4</v>
      </c>
      <c r="BG22" s="53">
        <v>4</v>
      </c>
      <c r="BH22" s="51">
        <v>-1.1428327832816429</v>
      </c>
      <c r="BI22" s="64" t="s">
        <v>400</v>
      </c>
      <c r="BJ22" s="51">
        <v>7</v>
      </c>
      <c r="BK22" s="53">
        <f t="shared" si="28"/>
        <v>1</v>
      </c>
      <c r="BL22" s="53">
        <f t="shared" si="12"/>
        <v>0</v>
      </c>
      <c r="BM22" s="64" t="str">
        <f t="shared" si="13"/>
        <v>0, Superávit y no eliminé superávit</v>
      </c>
      <c r="BO22" s="53" t="s">
        <v>238</v>
      </c>
      <c r="BP22" s="88">
        <v>2</v>
      </c>
      <c r="BQ22" s="54">
        <v>3</v>
      </c>
      <c r="BR22" s="53">
        <v>2</v>
      </c>
      <c r="BS22" s="53">
        <v>2</v>
      </c>
      <c r="BT22" s="53">
        <v>2</v>
      </c>
      <c r="BU22" s="51">
        <v>-1.1428327832816429</v>
      </c>
      <c r="BV22" s="64" t="s">
        <v>400</v>
      </c>
      <c r="BW22" s="51">
        <v>7</v>
      </c>
      <c r="BX22" s="53">
        <f t="shared" si="29"/>
        <v>1</v>
      </c>
      <c r="BY22" s="53">
        <f t="shared" si="15"/>
        <v>0</v>
      </c>
      <c r="BZ22" s="64" t="str">
        <f t="shared" si="16"/>
        <v>-2, no había superávit y resultado fue bueno</v>
      </c>
      <c r="CB22" s="53" t="s">
        <v>238</v>
      </c>
      <c r="CC22" s="53">
        <v>2</v>
      </c>
      <c r="CD22" s="54">
        <v>3.1111111111111112</v>
      </c>
      <c r="CE22" s="53">
        <v>2</v>
      </c>
      <c r="CF22" s="53">
        <v>2</v>
      </c>
      <c r="CG22" s="53">
        <v>2</v>
      </c>
      <c r="CH22" s="51">
        <v>-1.1428327832816429</v>
      </c>
      <c r="CI22" s="64" t="s">
        <v>400</v>
      </c>
      <c r="CJ22" s="51">
        <v>7</v>
      </c>
      <c r="CK22" s="53">
        <f t="shared" si="30"/>
        <v>1</v>
      </c>
      <c r="CL22" s="53">
        <f t="shared" si="18"/>
        <v>0</v>
      </c>
      <c r="CM22" s="64" t="str">
        <f t="shared" si="19"/>
        <v>-2, no había superávit y resultado fue bueno</v>
      </c>
      <c r="CN22" s="93"/>
      <c r="CO22" s="3" t="s">
        <v>238</v>
      </c>
      <c r="CP22" s="3">
        <v>2</v>
      </c>
      <c r="CQ22" s="18">
        <v>3.1111111111111112</v>
      </c>
      <c r="CR22" s="3">
        <v>2</v>
      </c>
      <c r="CS22" s="3">
        <v>2</v>
      </c>
      <c r="CT22" s="3">
        <v>2</v>
      </c>
      <c r="CU22" s="13">
        <v>-1.1428327832816429</v>
      </c>
      <c r="CV22" s="64" t="s">
        <v>400</v>
      </c>
      <c r="CW22" s="13">
        <v>7</v>
      </c>
      <c r="CX22" s="72">
        <f t="shared" si="31"/>
        <v>1</v>
      </c>
      <c r="CY22" s="51">
        <f t="shared" si="21"/>
        <v>0</v>
      </c>
      <c r="CZ22" s="64" t="str">
        <f t="shared" si="22"/>
        <v>-2, no había superávit y resultado fue bueno</v>
      </c>
    </row>
    <row r="23" spans="1:104" ht="14.25" customHeight="1" x14ac:dyDescent="0.3">
      <c r="A23" s="62" t="s">
        <v>239</v>
      </c>
      <c r="B23" s="62">
        <v>15</v>
      </c>
      <c r="C23" s="65">
        <v>11.444444444444445</v>
      </c>
      <c r="D23" s="66">
        <v>15</v>
      </c>
      <c r="E23" s="66">
        <v>12</v>
      </c>
      <c r="F23" s="62">
        <v>8</v>
      </c>
      <c r="G23" s="67">
        <v>-1.1920893573654381</v>
      </c>
      <c r="H23" s="64" t="s">
        <v>401</v>
      </c>
      <c r="I23" s="62">
        <v>15</v>
      </c>
      <c r="J23" s="53">
        <f t="shared" si="24"/>
        <v>1</v>
      </c>
      <c r="K23" s="100">
        <f t="shared" si="1"/>
        <v>0</v>
      </c>
      <c r="L23" s="64" t="str">
        <f t="shared" si="23"/>
        <v>-2, Superávit y resultado fue bueno</v>
      </c>
      <c r="N23" s="88" t="s">
        <v>239</v>
      </c>
      <c r="O23" s="53">
        <v>11</v>
      </c>
      <c r="P23" s="54">
        <v>10.111111111111111</v>
      </c>
      <c r="Q23" s="54">
        <v>11</v>
      </c>
      <c r="R23" s="54">
        <v>11</v>
      </c>
      <c r="S23" s="53">
        <v>11</v>
      </c>
      <c r="T23" s="51">
        <v>-1.1920893573654381</v>
      </c>
      <c r="U23" s="64" t="s">
        <v>401</v>
      </c>
      <c r="V23" s="51">
        <v>15</v>
      </c>
      <c r="W23" s="53">
        <f t="shared" si="25"/>
        <v>1</v>
      </c>
      <c r="X23" s="55">
        <f t="shared" si="3"/>
        <v>0</v>
      </c>
      <c r="Y23" s="53" t="str">
        <f t="shared" si="4"/>
        <v>0, Superávit y no eliminé superávit</v>
      </c>
      <c r="Z23" s="3"/>
      <c r="AA23" s="3"/>
      <c r="AB23" s="53" t="s">
        <v>239</v>
      </c>
      <c r="AC23" s="53">
        <v>12</v>
      </c>
      <c r="AD23" s="54">
        <v>11.444444444444445</v>
      </c>
      <c r="AE23" s="53">
        <v>12</v>
      </c>
      <c r="AF23" s="53">
        <v>12</v>
      </c>
      <c r="AG23" s="53">
        <v>12</v>
      </c>
      <c r="AH23" s="51">
        <v>-1.1920893573654381</v>
      </c>
      <c r="AI23" s="64" t="s">
        <v>401</v>
      </c>
      <c r="AJ23" s="51">
        <v>15</v>
      </c>
      <c r="AK23" s="66">
        <f t="shared" si="26"/>
        <v>1</v>
      </c>
      <c r="AL23" s="66">
        <f t="shared" si="6"/>
        <v>0</v>
      </c>
      <c r="AM23" s="64" t="str">
        <f t="shared" si="7"/>
        <v>0, Superávit y no eliminé superávit</v>
      </c>
      <c r="AO23" s="80" t="s">
        <v>239</v>
      </c>
      <c r="AP23" s="66">
        <v>12</v>
      </c>
      <c r="AQ23" s="65">
        <v>11.777777777777779</v>
      </c>
      <c r="AR23" s="66">
        <v>14</v>
      </c>
      <c r="AS23" s="65">
        <v>14</v>
      </c>
      <c r="AT23" s="66">
        <v>12</v>
      </c>
      <c r="AU23" s="69">
        <v>-1.1920893573654381</v>
      </c>
      <c r="AV23" s="64" t="s">
        <v>401</v>
      </c>
      <c r="AW23" s="62">
        <v>15</v>
      </c>
      <c r="AX23" s="53">
        <f t="shared" si="27"/>
        <v>1</v>
      </c>
      <c r="AY23" s="53">
        <f t="shared" si="9"/>
        <v>2</v>
      </c>
      <c r="AZ23" s="64" t="str">
        <f t="shared" si="10"/>
        <v>0, Superávit y no eliminé superávit</v>
      </c>
      <c r="BB23" s="53" t="s">
        <v>239</v>
      </c>
      <c r="BC23" s="53">
        <v>6</v>
      </c>
      <c r="BD23" s="54">
        <v>10</v>
      </c>
      <c r="BE23" s="53">
        <v>7</v>
      </c>
      <c r="BF23" s="53">
        <v>9</v>
      </c>
      <c r="BG23" s="53">
        <v>6</v>
      </c>
      <c r="BH23" s="51">
        <v>-1.1920893573654381</v>
      </c>
      <c r="BI23" s="64" t="s">
        <v>401</v>
      </c>
      <c r="BJ23" s="51">
        <v>15</v>
      </c>
      <c r="BK23" s="53">
        <f t="shared" si="28"/>
        <v>1</v>
      </c>
      <c r="BL23" s="53">
        <f t="shared" si="12"/>
        <v>1</v>
      </c>
      <c r="BM23" s="64" t="str">
        <f t="shared" si="13"/>
        <v>-2, no había superávit y resultado fue bueno</v>
      </c>
      <c r="BO23" s="53" t="s">
        <v>239</v>
      </c>
      <c r="BP23" s="88">
        <v>14</v>
      </c>
      <c r="BQ23" s="54">
        <v>10.222222222222221</v>
      </c>
      <c r="BR23" s="53">
        <v>14</v>
      </c>
      <c r="BS23" s="53">
        <v>13</v>
      </c>
      <c r="BT23" s="53">
        <v>3</v>
      </c>
      <c r="BU23" s="51">
        <v>-1.1920893573654381</v>
      </c>
      <c r="BV23" s="64" t="s">
        <v>401</v>
      </c>
      <c r="BW23" s="51">
        <v>15</v>
      </c>
      <c r="BX23" s="53">
        <f t="shared" si="29"/>
        <v>1</v>
      </c>
      <c r="BY23" s="53">
        <f t="shared" si="15"/>
        <v>0</v>
      </c>
      <c r="BZ23" s="64" t="str">
        <f t="shared" si="16"/>
        <v>1, Superávit y eliminé superávit</v>
      </c>
      <c r="CB23" s="53" t="s">
        <v>239</v>
      </c>
      <c r="CC23" s="53">
        <v>6</v>
      </c>
      <c r="CD23" s="54">
        <v>9.2222222222222214</v>
      </c>
      <c r="CE23" s="53">
        <v>9</v>
      </c>
      <c r="CF23" s="53">
        <v>9</v>
      </c>
      <c r="CG23" s="53">
        <v>6</v>
      </c>
      <c r="CH23" s="51">
        <v>-1.1920893573654381</v>
      </c>
      <c r="CI23" s="64" t="s">
        <v>401</v>
      </c>
      <c r="CJ23" s="51">
        <v>15</v>
      </c>
      <c r="CK23" s="53">
        <f t="shared" si="30"/>
        <v>1</v>
      </c>
      <c r="CL23" s="53">
        <f t="shared" si="18"/>
        <v>3</v>
      </c>
      <c r="CM23" s="64" t="str">
        <f t="shared" si="19"/>
        <v>-2, no había superávit y resultado fue bueno</v>
      </c>
      <c r="CN23" s="93"/>
      <c r="CO23" s="3" t="s">
        <v>239</v>
      </c>
      <c r="CP23" s="3">
        <v>13</v>
      </c>
      <c r="CQ23" s="18">
        <v>11.444444444444445</v>
      </c>
      <c r="CR23" s="3">
        <v>13</v>
      </c>
      <c r="CS23" s="3">
        <v>13</v>
      </c>
      <c r="CT23" s="3">
        <v>13</v>
      </c>
      <c r="CU23" s="13">
        <v>-1.1920893573654381</v>
      </c>
      <c r="CV23" s="64" t="s">
        <v>401</v>
      </c>
      <c r="CW23" s="13">
        <v>15</v>
      </c>
      <c r="CX23" s="72">
        <f t="shared" si="31"/>
        <v>1</v>
      </c>
      <c r="CY23" s="51">
        <f t="shared" si="21"/>
        <v>0</v>
      </c>
      <c r="CZ23" s="64" t="str">
        <f t="shared" si="22"/>
        <v>0, Superávit y no eliminé superávit</v>
      </c>
    </row>
    <row r="24" spans="1:104" ht="14.25" customHeight="1" x14ac:dyDescent="0.3">
      <c r="A24" s="62" t="s">
        <v>240</v>
      </c>
      <c r="B24" s="62">
        <v>11</v>
      </c>
      <c r="C24" s="65">
        <v>14</v>
      </c>
      <c r="D24" s="66">
        <v>12</v>
      </c>
      <c r="E24" s="66">
        <v>15</v>
      </c>
      <c r="F24" s="62">
        <v>11</v>
      </c>
      <c r="G24" s="67">
        <v>-1.196962071035268</v>
      </c>
      <c r="H24" s="64" t="s">
        <v>406</v>
      </c>
      <c r="I24" s="62">
        <v>19</v>
      </c>
      <c r="J24" s="53">
        <f t="shared" si="24"/>
        <v>1</v>
      </c>
      <c r="K24" s="100">
        <f t="shared" si="1"/>
        <v>1</v>
      </c>
      <c r="L24" s="64" t="str">
        <f t="shared" si="23"/>
        <v>0, Superávit y no eliminé superávit</v>
      </c>
      <c r="N24" s="88" t="s">
        <v>240</v>
      </c>
      <c r="O24" s="53">
        <v>19</v>
      </c>
      <c r="P24" s="54">
        <v>15.666666666666666</v>
      </c>
      <c r="Q24" s="54">
        <v>19</v>
      </c>
      <c r="R24" s="54">
        <v>19</v>
      </c>
      <c r="S24" s="53">
        <v>16</v>
      </c>
      <c r="T24" s="51">
        <v>-1.196962071035268</v>
      </c>
      <c r="U24" s="64" t="s">
        <v>406</v>
      </c>
      <c r="V24" s="51">
        <v>19</v>
      </c>
      <c r="W24" s="53">
        <f t="shared" si="25"/>
        <v>1</v>
      </c>
      <c r="X24" s="55">
        <f t="shared" si="3"/>
        <v>0</v>
      </c>
      <c r="Y24" s="53" t="str">
        <f t="shared" si="4"/>
        <v>-2, Superávit y resultado fue bueno</v>
      </c>
      <c r="Z24" s="3"/>
      <c r="AA24" s="3"/>
      <c r="AB24" s="53" t="s">
        <v>240</v>
      </c>
      <c r="AC24" s="53">
        <v>15</v>
      </c>
      <c r="AD24" s="54">
        <v>14.777777777777779</v>
      </c>
      <c r="AE24" s="53">
        <v>15</v>
      </c>
      <c r="AF24" s="53">
        <v>15</v>
      </c>
      <c r="AG24" s="53">
        <v>15</v>
      </c>
      <c r="AH24" s="51">
        <v>-1.196962071035268</v>
      </c>
      <c r="AI24" s="64" t="s">
        <v>406</v>
      </c>
      <c r="AJ24" s="51">
        <v>19</v>
      </c>
      <c r="AK24" s="66">
        <f t="shared" si="26"/>
        <v>1</v>
      </c>
      <c r="AL24" s="66">
        <f t="shared" si="6"/>
        <v>0</v>
      </c>
      <c r="AM24" s="64" t="str">
        <f t="shared" si="7"/>
        <v>0, Superávit y no eliminé superávit</v>
      </c>
      <c r="AO24" s="80" t="s">
        <v>240</v>
      </c>
      <c r="AP24" s="66">
        <v>16</v>
      </c>
      <c r="AQ24" s="65">
        <v>13.111111111111111</v>
      </c>
      <c r="AR24" s="66">
        <v>18</v>
      </c>
      <c r="AS24" s="65">
        <v>19</v>
      </c>
      <c r="AT24" s="66">
        <v>16</v>
      </c>
      <c r="AU24" s="69">
        <v>-1.196962071035268</v>
      </c>
      <c r="AV24" s="64" t="s">
        <v>406</v>
      </c>
      <c r="AW24" s="62">
        <v>19</v>
      </c>
      <c r="AX24" s="53">
        <f t="shared" si="27"/>
        <v>1</v>
      </c>
      <c r="AY24" s="53">
        <f t="shared" si="9"/>
        <v>2</v>
      </c>
      <c r="AZ24" s="64" t="str">
        <f t="shared" si="10"/>
        <v>0, Superávit y no eliminé superávit</v>
      </c>
      <c r="BB24" s="53" t="s">
        <v>240</v>
      </c>
      <c r="BC24" s="53">
        <v>16</v>
      </c>
      <c r="BD24" s="54">
        <v>10.555555555555555</v>
      </c>
      <c r="BE24" s="53">
        <v>19</v>
      </c>
      <c r="BF24" s="53">
        <v>19</v>
      </c>
      <c r="BG24" s="53">
        <v>16</v>
      </c>
      <c r="BH24" s="51">
        <v>-1.196962071035268</v>
      </c>
      <c r="BI24" s="64" t="s">
        <v>406</v>
      </c>
      <c r="BJ24" s="51">
        <v>19</v>
      </c>
      <c r="BK24" s="53">
        <f t="shared" si="28"/>
        <v>1</v>
      </c>
      <c r="BL24" s="53">
        <f t="shared" si="12"/>
        <v>3</v>
      </c>
      <c r="BM24" s="64" t="str">
        <f t="shared" si="13"/>
        <v>0, Superávit y no eliminé superávit</v>
      </c>
      <c r="BO24" s="53" t="s">
        <v>240</v>
      </c>
      <c r="BP24" s="88">
        <v>15</v>
      </c>
      <c r="BQ24" s="54">
        <v>11.111111111111111</v>
      </c>
      <c r="BR24" s="53">
        <v>17</v>
      </c>
      <c r="BS24" s="53">
        <v>17</v>
      </c>
      <c r="BT24" s="53">
        <v>15</v>
      </c>
      <c r="BU24" s="51">
        <v>-1.196962071035268</v>
      </c>
      <c r="BV24" s="64" t="s">
        <v>406</v>
      </c>
      <c r="BW24" s="51">
        <v>19</v>
      </c>
      <c r="BX24" s="53">
        <f t="shared" si="29"/>
        <v>1</v>
      </c>
      <c r="BY24" s="53">
        <f t="shared" si="15"/>
        <v>2</v>
      </c>
      <c r="BZ24" s="64" t="str">
        <f t="shared" si="16"/>
        <v>0, Superávit y no eliminé superávit</v>
      </c>
      <c r="CB24" s="53" t="s">
        <v>240</v>
      </c>
      <c r="CC24" s="53">
        <v>14</v>
      </c>
      <c r="CD24" s="54">
        <v>12.666666666666666</v>
      </c>
      <c r="CE24" s="53">
        <v>17</v>
      </c>
      <c r="CF24" s="53">
        <v>16</v>
      </c>
      <c r="CG24" s="53">
        <v>14</v>
      </c>
      <c r="CH24" s="51">
        <v>-1.196962071035268</v>
      </c>
      <c r="CI24" s="64" t="s">
        <v>406</v>
      </c>
      <c r="CJ24" s="51">
        <v>19</v>
      </c>
      <c r="CK24" s="53">
        <f t="shared" si="30"/>
        <v>1</v>
      </c>
      <c r="CL24" s="53">
        <f t="shared" si="18"/>
        <v>3</v>
      </c>
      <c r="CM24" s="64" t="str">
        <f t="shared" si="19"/>
        <v>0, Superávit y no eliminé superávit</v>
      </c>
      <c r="CN24" s="93"/>
      <c r="CO24" s="3" t="s">
        <v>240</v>
      </c>
      <c r="CP24" s="3">
        <v>13</v>
      </c>
      <c r="CQ24" s="18">
        <v>14</v>
      </c>
      <c r="CR24" s="3">
        <v>14</v>
      </c>
      <c r="CS24" s="3">
        <v>17</v>
      </c>
      <c r="CT24" s="3">
        <v>13</v>
      </c>
      <c r="CU24" s="13">
        <v>-1.196962071035268</v>
      </c>
      <c r="CV24" s="64" t="s">
        <v>406</v>
      </c>
      <c r="CW24" s="13">
        <v>19</v>
      </c>
      <c r="CX24" s="72">
        <f t="shared" si="31"/>
        <v>1</v>
      </c>
      <c r="CY24" s="51">
        <f t="shared" si="21"/>
        <v>1</v>
      </c>
      <c r="CZ24" s="64" t="str">
        <f t="shared" si="22"/>
        <v>0, Superávit y no eliminé superávit</v>
      </c>
    </row>
    <row r="25" spans="1:104" ht="14.25" customHeight="1" x14ac:dyDescent="0.3">
      <c r="A25" s="62" t="s">
        <v>241</v>
      </c>
      <c r="B25" s="62">
        <v>13</v>
      </c>
      <c r="C25" s="65">
        <v>10.888888888888889</v>
      </c>
      <c r="D25" s="66">
        <v>8</v>
      </c>
      <c r="E25" s="66">
        <v>12</v>
      </c>
      <c r="F25" s="62">
        <v>13</v>
      </c>
      <c r="G25" s="67">
        <v>-1.2097705883740471</v>
      </c>
      <c r="H25" s="64" t="s">
        <v>401</v>
      </c>
      <c r="I25" s="62">
        <v>15</v>
      </c>
      <c r="J25" s="53">
        <f t="shared" si="24"/>
        <v>0</v>
      </c>
      <c r="K25" s="100">
        <f t="shared" si="1"/>
        <v>-5</v>
      </c>
      <c r="L25" s="64" t="str">
        <f t="shared" si="23"/>
        <v>0, Superávit y no eliminé superávit</v>
      </c>
      <c r="N25" s="88" t="s">
        <v>241</v>
      </c>
      <c r="O25" s="53">
        <v>12</v>
      </c>
      <c r="P25" s="54">
        <v>12.111111111111111</v>
      </c>
      <c r="Q25" s="54">
        <v>11</v>
      </c>
      <c r="R25" s="54">
        <v>12</v>
      </c>
      <c r="S25" s="53">
        <v>12</v>
      </c>
      <c r="T25" s="51">
        <v>-1.2097705883740471</v>
      </c>
      <c r="U25" s="64" t="s">
        <v>401</v>
      </c>
      <c r="V25" s="51">
        <v>15</v>
      </c>
      <c r="W25" s="53">
        <f t="shared" si="25"/>
        <v>0</v>
      </c>
      <c r="X25" s="55">
        <f t="shared" si="3"/>
        <v>-1</v>
      </c>
      <c r="Y25" s="53" t="str">
        <f t="shared" si="4"/>
        <v>0, Superávit y no eliminé superávit</v>
      </c>
      <c r="Z25" s="3"/>
      <c r="AA25" s="3"/>
      <c r="AB25" s="53" t="s">
        <v>241</v>
      </c>
      <c r="AC25" s="53">
        <v>12</v>
      </c>
      <c r="AD25" s="54">
        <v>11.777777777777779</v>
      </c>
      <c r="AE25" s="53">
        <v>12</v>
      </c>
      <c r="AF25" s="53">
        <v>12</v>
      </c>
      <c r="AG25" s="53">
        <v>12</v>
      </c>
      <c r="AH25" s="51">
        <v>-1.2097705883740471</v>
      </c>
      <c r="AI25" s="64" t="s">
        <v>401</v>
      </c>
      <c r="AJ25" s="51">
        <v>15</v>
      </c>
      <c r="AK25" s="66">
        <f t="shared" si="26"/>
        <v>1</v>
      </c>
      <c r="AL25" s="66">
        <f t="shared" si="6"/>
        <v>0</v>
      </c>
      <c r="AM25" s="64" t="str">
        <f t="shared" si="7"/>
        <v>0, Superávit y no eliminé superávit</v>
      </c>
      <c r="AO25" s="80" t="s">
        <v>241</v>
      </c>
      <c r="AP25" s="66">
        <v>10</v>
      </c>
      <c r="AQ25" s="65">
        <v>11.222222222222221</v>
      </c>
      <c r="AR25" s="66">
        <v>10</v>
      </c>
      <c r="AS25" s="65">
        <v>9</v>
      </c>
      <c r="AT25" s="66">
        <v>13</v>
      </c>
      <c r="AU25" s="69">
        <v>-1.2097705883740471</v>
      </c>
      <c r="AV25" s="64" t="s">
        <v>401</v>
      </c>
      <c r="AW25" s="62">
        <v>15</v>
      </c>
      <c r="AX25" s="53">
        <f t="shared" si="27"/>
        <v>1</v>
      </c>
      <c r="AY25" s="53">
        <f t="shared" si="9"/>
        <v>0</v>
      </c>
      <c r="AZ25" s="64" t="str">
        <f t="shared" si="10"/>
        <v>0, Superávit y no eliminé superávit</v>
      </c>
      <c r="BB25" s="53" t="s">
        <v>241</v>
      </c>
      <c r="BC25" s="53">
        <v>8</v>
      </c>
      <c r="BD25" s="54">
        <v>8.6666666666666661</v>
      </c>
      <c r="BE25" s="53">
        <v>8</v>
      </c>
      <c r="BF25" s="53">
        <v>7</v>
      </c>
      <c r="BG25" s="53">
        <v>8</v>
      </c>
      <c r="BH25" s="51">
        <v>-1.2097705883740471</v>
      </c>
      <c r="BI25" s="64" t="s">
        <v>401</v>
      </c>
      <c r="BJ25" s="51">
        <v>15</v>
      </c>
      <c r="BK25" s="53">
        <f t="shared" si="28"/>
        <v>1</v>
      </c>
      <c r="BL25" s="53">
        <f t="shared" si="12"/>
        <v>0</v>
      </c>
      <c r="BM25" s="64" t="str">
        <f t="shared" si="13"/>
        <v>0, Superávit y no eliminé superávit</v>
      </c>
      <c r="BO25" s="53" t="s">
        <v>241</v>
      </c>
      <c r="BP25" s="88">
        <v>4</v>
      </c>
      <c r="BQ25" s="54">
        <v>7.333333333333333</v>
      </c>
      <c r="BR25" s="53">
        <v>6</v>
      </c>
      <c r="BS25" s="53">
        <v>9</v>
      </c>
      <c r="BT25" s="53">
        <v>4</v>
      </c>
      <c r="BU25" s="51">
        <v>-1.2097705883740471</v>
      </c>
      <c r="BV25" s="64" t="s">
        <v>401</v>
      </c>
      <c r="BW25" s="51">
        <v>15</v>
      </c>
      <c r="BX25" s="53">
        <f t="shared" si="29"/>
        <v>1</v>
      </c>
      <c r="BY25" s="53">
        <f t="shared" si="15"/>
        <v>2</v>
      </c>
      <c r="BZ25" s="64" t="str">
        <f t="shared" si="16"/>
        <v>-2, no había superávit y resultado fue bueno</v>
      </c>
      <c r="CB25" s="53" t="s">
        <v>241</v>
      </c>
      <c r="CC25" s="53">
        <v>8</v>
      </c>
      <c r="CD25" s="54">
        <v>10.888888888888889</v>
      </c>
      <c r="CE25" s="53">
        <v>6</v>
      </c>
      <c r="CF25" s="53">
        <v>8</v>
      </c>
      <c r="CG25" s="53">
        <v>8</v>
      </c>
      <c r="CH25" s="51">
        <v>-1.2097705883740471</v>
      </c>
      <c r="CI25" s="64" t="s">
        <v>401</v>
      </c>
      <c r="CJ25" s="51">
        <v>15</v>
      </c>
      <c r="CK25" s="53">
        <f t="shared" si="30"/>
        <v>0</v>
      </c>
      <c r="CL25" s="53">
        <f t="shared" si="18"/>
        <v>-2</v>
      </c>
      <c r="CM25" s="64" t="str">
        <f t="shared" si="19"/>
        <v>0, Superávit y no eliminé superávit</v>
      </c>
      <c r="CN25" s="93"/>
      <c r="CO25" s="3" t="s">
        <v>241</v>
      </c>
      <c r="CP25" s="3">
        <v>13</v>
      </c>
      <c r="CQ25" s="18">
        <v>10.888888888888889</v>
      </c>
      <c r="CR25" s="3">
        <v>14</v>
      </c>
      <c r="CS25" s="3">
        <v>13</v>
      </c>
      <c r="CT25" s="3">
        <v>13</v>
      </c>
      <c r="CU25" s="13">
        <v>-1.2097705883740471</v>
      </c>
      <c r="CV25" s="64" t="s">
        <v>401</v>
      </c>
      <c r="CW25" s="13">
        <v>15</v>
      </c>
      <c r="CX25" s="72">
        <f t="shared" si="31"/>
        <v>1</v>
      </c>
      <c r="CY25" s="51">
        <f t="shared" si="21"/>
        <v>1</v>
      </c>
      <c r="CZ25" s="64" t="str">
        <f t="shared" si="22"/>
        <v>0, Superávit y no eliminé superávit</v>
      </c>
    </row>
    <row r="26" spans="1:104" ht="14.25" customHeight="1" x14ac:dyDescent="0.3">
      <c r="A26" s="62" t="s">
        <v>242</v>
      </c>
      <c r="B26" s="62">
        <v>15</v>
      </c>
      <c r="C26" s="65">
        <v>12.555555555555555</v>
      </c>
      <c r="D26" s="66">
        <v>15</v>
      </c>
      <c r="E26" s="66">
        <v>13</v>
      </c>
      <c r="F26" s="62">
        <v>3</v>
      </c>
      <c r="G26" s="67">
        <v>-1.3367165560614409</v>
      </c>
      <c r="H26" s="64" t="s">
        <v>403</v>
      </c>
      <c r="I26" s="62">
        <v>17</v>
      </c>
      <c r="J26" s="53">
        <f t="shared" si="24"/>
        <v>1</v>
      </c>
      <c r="K26" s="100">
        <f t="shared" si="1"/>
        <v>0</v>
      </c>
      <c r="L26" s="64" t="str">
        <f t="shared" si="23"/>
        <v>1, Superávit y eliminé superávit</v>
      </c>
      <c r="N26" s="88" t="s">
        <v>242</v>
      </c>
      <c r="O26" s="53">
        <v>9</v>
      </c>
      <c r="P26" s="54">
        <v>12</v>
      </c>
      <c r="Q26" s="54">
        <v>12</v>
      </c>
      <c r="R26" s="54">
        <v>12</v>
      </c>
      <c r="S26" s="53">
        <v>9</v>
      </c>
      <c r="T26" s="51">
        <v>-1.3367165560614409</v>
      </c>
      <c r="U26" s="64" t="s">
        <v>403</v>
      </c>
      <c r="V26" s="51">
        <v>17</v>
      </c>
      <c r="W26" s="53">
        <f t="shared" si="25"/>
        <v>1</v>
      </c>
      <c r="X26" s="55">
        <f t="shared" si="3"/>
        <v>3</v>
      </c>
      <c r="Y26" s="53" t="str">
        <f t="shared" si="4"/>
        <v>0, Superávit y no eliminé superávit</v>
      </c>
      <c r="Z26" s="3"/>
      <c r="AA26" s="3"/>
      <c r="AB26" s="53" t="s">
        <v>242</v>
      </c>
      <c r="AC26" s="53">
        <v>13</v>
      </c>
      <c r="AD26" s="54">
        <v>11.666666666666666</v>
      </c>
      <c r="AE26" s="53">
        <v>13</v>
      </c>
      <c r="AF26" s="53">
        <v>13</v>
      </c>
      <c r="AG26" s="53">
        <v>3</v>
      </c>
      <c r="AH26" s="51">
        <v>-1.3367165560614409</v>
      </c>
      <c r="AI26" s="64" t="s">
        <v>403</v>
      </c>
      <c r="AJ26" s="51">
        <v>17</v>
      </c>
      <c r="AK26" s="66">
        <f t="shared" si="26"/>
        <v>1</v>
      </c>
      <c r="AL26" s="66">
        <f t="shared" si="6"/>
        <v>0</v>
      </c>
      <c r="AM26" s="64" t="str">
        <f t="shared" si="7"/>
        <v>1, Superávit y eliminé superávit</v>
      </c>
      <c r="AO26" s="80" t="s">
        <v>242</v>
      </c>
      <c r="AP26" s="66">
        <v>12</v>
      </c>
      <c r="AQ26" s="65">
        <v>13.444444444444445</v>
      </c>
      <c r="AR26" s="66">
        <v>16</v>
      </c>
      <c r="AS26" s="65">
        <v>16</v>
      </c>
      <c r="AT26" s="66">
        <v>12</v>
      </c>
      <c r="AU26" s="69">
        <v>-1.3367165560614409</v>
      </c>
      <c r="AV26" s="64" t="s">
        <v>403</v>
      </c>
      <c r="AW26" s="62">
        <v>17</v>
      </c>
      <c r="AX26" s="53">
        <f t="shared" si="27"/>
        <v>1</v>
      </c>
      <c r="AY26" s="53">
        <f t="shared" si="9"/>
        <v>4</v>
      </c>
      <c r="AZ26" s="64" t="str">
        <f t="shared" si="10"/>
        <v>0, Superávit y no eliminé superávit</v>
      </c>
      <c r="BB26" s="53" t="s">
        <v>242</v>
      </c>
      <c r="BC26" s="53">
        <v>16</v>
      </c>
      <c r="BD26" s="54">
        <v>13.555555555555555</v>
      </c>
      <c r="BE26" s="53">
        <v>14</v>
      </c>
      <c r="BF26" s="53">
        <v>8</v>
      </c>
      <c r="BG26" s="53">
        <v>3</v>
      </c>
      <c r="BH26" s="51">
        <v>-1.3367165560614409</v>
      </c>
      <c r="BI26" s="64" t="s">
        <v>403</v>
      </c>
      <c r="BJ26" s="51">
        <v>17</v>
      </c>
      <c r="BK26" s="53">
        <f t="shared" si="28"/>
        <v>0</v>
      </c>
      <c r="BL26" s="53">
        <f t="shared" si="12"/>
        <v>-2</v>
      </c>
      <c r="BM26" s="64" t="str">
        <f t="shared" si="13"/>
        <v>1, Superávit y eliminé superávit</v>
      </c>
      <c r="BO26" s="53" t="s">
        <v>242</v>
      </c>
      <c r="BP26" s="88">
        <v>9</v>
      </c>
      <c r="BQ26" s="54">
        <v>11.111111111111111</v>
      </c>
      <c r="BR26" s="53">
        <v>12</v>
      </c>
      <c r="BS26" s="53">
        <v>15</v>
      </c>
      <c r="BT26" s="53">
        <v>3</v>
      </c>
      <c r="BU26" s="51">
        <v>-1.3367165560614409</v>
      </c>
      <c r="BV26" s="64" t="s">
        <v>403</v>
      </c>
      <c r="BW26" s="51">
        <v>17</v>
      </c>
      <c r="BX26" s="53">
        <f t="shared" si="29"/>
        <v>1</v>
      </c>
      <c r="BY26" s="53">
        <f t="shared" si="15"/>
        <v>3</v>
      </c>
      <c r="BZ26" s="64" t="str">
        <f t="shared" si="16"/>
        <v>1, Superávit y eliminé superávit</v>
      </c>
      <c r="CB26" s="53" t="s">
        <v>242</v>
      </c>
      <c r="CC26" s="53">
        <v>12</v>
      </c>
      <c r="CD26" s="54">
        <v>13</v>
      </c>
      <c r="CE26" s="53">
        <v>13</v>
      </c>
      <c r="CF26" s="53">
        <v>12</v>
      </c>
      <c r="CG26" s="53">
        <v>12</v>
      </c>
      <c r="CH26" s="51">
        <v>-1.3367165560614409</v>
      </c>
      <c r="CI26" s="64" t="s">
        <v>403</v>
      </c>
      <c r="CJ26" s="51">
        <v>17</v>
      </c>
      <c r="CK26" s="53">
        <f t="shared" si="30"/>
        <v>1</v>
      </c>
      <c r="CL26" s="53">
        <f t="shared" si="18"/>
        <v>1</v>
      </c>
      <c r="CM26" s="64" t="str">
        <f t="shared" si="19"/>
        <v>0, Superávit y no eliminé superávit</v>
      </c>
      <c r="CN26" s="93"/>
      <c r="CO26" s="3" t="s">
        <v>242</v>
      </c>
      <c r="CP26" s="3">
        <v>8</v>
      </c>
      <c r="CQ26" s="18">
        <v>12.555555555555555</v>
      </c>
      <c r="CR26" s="3">
        <v>9</v>
      </c>
      <c r="CS26" s="3">
        <v>9</v>
      </c>
      <c r="CT26" s="3">
        <v>3</v>
      </c>
      <c r="CU26" s="13">
        <v>-1.3367165560614409</v>
      </c>
      <c r="CV26" s="64" t="s">
        <v>403</v>
      </c>
      <c r="CW26" s="13">
        <v>17</v>
      </c>
      <c r="CX26" s="72">
        <f t="shared" si="31"/>
        <v>1</v>
      </c>
      <c r="CY26" s="51">
        <f t="shared" si="21"/>
        <v>1</v>
      </c>
      <c r="CZ26" s="64" t="str">
        <f t="shared" si="22"/>
        <v>1, no había superávit, pero el resultado fue mejor</v>
      </c>
    </row>
    <row r="27" spans="1:104" ht="14.25" customHeight="1" x14ac:dyDescent="0.3">
      <c r="A27" s="62" t="s">
        <v>243</v>
      </c>
      <c r="B27" s="62">
        <v>25</v>
      </c>
      <c r="C27" s="65">
        <v>24</v>
      </c>
      <c r="D27" s="66">
        <v>25</v>
      </c>
      <c r="E27" s="66">
        <v>22</v>
      </c>
      <c r="F27" s="62">
        <v>16</v>
      </c>
      <c r="G27" s="67">
        <v>-1.679865001322572</v>
      </c>
      <c r="H27" s="64" t="s">
        <v>407</v>
      </c>
      <c r="I27" s="62">
        <v>27</v>
      </c>
      <c r="J27" s="53">
        <f t="shared" si="24"/>
        <v>1</v>
      </c>
      <c r="K27" s="100">
        <f t="shared" si="1"/>
        <v>0</v>
      </c>
      <c r="L27" s="64" t="str">
        <f t="shared" si="23"/>
        <v>-2, Superávit y resultado fue bueno</v>
      </c>
      <c r="N27" s="88" t="s">
        <v>243</v>
      </c>
      <c r="O27" s="53">
        <v>18</v>
      </c>
      <c r="P27" s="54">
        <v>18.777777777777779</v>
      </c>
      <c r="Q27" s="54">
        <v>17</v>
      </c>
      <c r="R27" s="54">
        <v>17</v>
      </c>
      <c r="S27" s="53">
        <v>18</v>
      </c>
      <c r="T27" s="51">
        <v>-1.679865001322572</v>
      </c>
      <c r="U27" s="64" t="s">
        <v>407</v>
      </c>
      <c r="V27" s="51">
        <v>27</v>
      </c>
      <c r="W27" s="53">
        <f t="shared" si="25"/>
        <v>0</v>
      </c>
      <c r="X27" s="55">
        <f t="shared" si="3"/>
        <v>-1</v>
      </c>
      <c r="Y27" s="53" t="str">
        <f t="shared" si="4"/>
        <v>0, Superávit y no eliminé superávit</v>
      </c>
      <c r="Z27" s="3"/>
      <c r="AA27" s="3"/>
      <c r="AB27" s="53" t="s">
        <v>243</v>
      </c>
      <c r="AC27" s="53">
        <v>22</v>
      </c>
      <c r="AD27" s="54">
        <v>21.333333333333332</v>
      </c>
      <c r="AE27" s="53">
        <v>22</v>
      </c>
      <c r="AF27" s="53">
        <v>22</v>
      </c>
      <c r="AG27" s="53">
        <v>22</v>
      </c>
      <c r="AH27" s="51">
        <v>-1.679865001322572</v>
      </c>
      <c r="AI27" s="64" t="s">
        <v>407</v>
      </c>
      <c r="AJ27" s="51">
        <v>27</v>
      </c>
      <c r="AK27" s="66">
        <f t="shared" si="26"/>
        <v>1</v>
      </c>
      <c r="AL27" s="66">
        <f t="shared" si="6"/>
        <v>0</v>
      </c>
      <c r="AM27" s="64" t="str">
        <f t="shared" si="7"/>
        <v>0, Superávit y no eliminé superávit</v>
      </c>
      <c r="AO27" s="80" t="s">
        <v>243</v>
      </c>
      <c r="AP27" s="66">
        <v>23</v>
      </c>
      <c r="AQ27" s="65">
        <v>23.111111111111111</v>
      </c>
      <c r="AR27" s="66">
        <v>25</v>
      </c>
      <c r="AS27" s="65">
        <v>25</v>
      </c>
      <c r="AT27" s="66">
        <v>23</v>
      </c>
      <c r="AU27" s="69">
        <v>-1.679865001322572</v>
      </c>
      <c r="AV27" s="64" t="s">
        <v>407</v>
      </c>
      <c r="AW27" s="62">
        <v>27</v>
      </c>
      <c r="AX27" s="53">
        <f t="shared" si="27"/>
        <v>1</v>
      </c>
      <c r="AY27" s="53">
        <f t="shared" si="9"/>
        <v>2</v>
      </c>
      <c r="AZ27" s="64" t="str">
        <f t="shared" si="10"/>
        <v>0, Superávit y no eliminé superávit</v>
      </c>
      <c r="BB27" s="53" t="s">
        <v>243</v>
      </c>
      <c r="BC27" s="53">
        <v>26</v>
      </c>
      <c r="BD27" s="54">
        <v>23.888888888888889</v>
      </c>
      <c r="BE27" s="53">
        <v>26</v>
      </c>
      <c r="BF27" s="53">
        <v>26</v>
      </c>
      <c r="BG27" s="53">
        <v>24</v>
      </c>
      <c r="BH27" s="51">
        <v>-1.679865001322572</v>
      </c>
      <c r="BI27" s="64" t="s">
        <v>407</v>
      </c>
      <c r="BJ27" s="51">
        <v>27</v>
      </c>
      <c r="BK27" s="53">
        <f t="shared" si="28"/>
        <v>1</v>
      </c>
      <c r="BL27" s="53">
        <f t="shared" si="12"/>
        <v>0</v>
      </c>
      <c r="BM27" s="64" t="str">
        <f t="shared" si="13"/>
        <v>-2, Superávit y resultado fue bueno</v>
      </c>
      <c r="BO27" s="53" t="s">
        <v>243</v>
      </c>
      <c r="BP27" s="88">
        <v>27</v>
      </c>
      <c r="BQ27" s="54">
        <v>24.111111111111111</v>
      </c>
      <c r="BR27" s="53">
        <v>27</v>
      </c>
      <c r="BS27" s="53">
        <v>26</v>
      </c>
      <c r="BT27" s="53">
        <v>24</v>
      </c>
      <c r="BU27" s="51">
        <v>-1.679865001322572</v>
      </c>
      <c r="BV27" s="64" t="s">
        <v>407</v>
      </c>
      <c r="BW27" s="51">
        <v>27</v>
      </c>
      <c r="BX27" s="53">
        <f t="shared" si="29"/>
        <v>1</v>
      </c>
      <c r="BY27" s="53">
        <f t="shared" si="15"/>
        <v>0</v>
      </c>
      <c r="BZ27" s="64" t="str">
        <f t="shared" si="16"/>
        <v>-2, Superávit y resultado fue bueno</v>
      </c>
      <c r="CB27" s="53" t="s">
        <v>243</v>
      </c>
      <c r="CC27" s="53">
        <v>26</v>
      </c>
      <c r="CD27" s="54">
        <v>24</v>
      </c>
      <c r="CE27" s="53">
        <v>24</v>
      </c>
      <c r="CF27" s="53">
        <v>25</v>
      </c>
      <c r="CG27" s="53">
        <v>24</v>
      </c>
      <c r="CH27" s="51">
        <v>-1.679865001322572</v>
      </c>
      <c r="CI27" s="64" t="s">
        <v>407</v>
      </c>
      <c r="CJ27" s="51">
        <v>27</v>
      </c>
      <c r="CK27" s="53">
        <f t="shared" si="30"/>
        <v>0</v>
      </c>
      <c r="CL27" s="53">
        <f t="shared" si="18"/>
        <v>-2</v>
      </c>
      <c r="CM27" s="64" t="str">
        <f t="shared" si="19"/>
        <v>-2, Superávit y resultado fue bueno</v>
      </c>
      <c r="CN27" s="93"/>
      <c r="CO27" s="3" t="s">
        <v>243</v>
      </c>
      <c r="CP27" s="3">
        <v>27</v>
      </c>
      <c r="CQ27" s="18">
        <v>24</v>
      </c>
      <c r="CR27" s="3">
        <v>26</v>
      </c>
      <c r="CS27" s="3">
        <v>26</v>
      </c>
      <c r="CT27" s="3">
        <v>16</v>
      </c>
      <c r="CU27" s="13">
        <v>-1.679865001322572</v>
      </c>
      <c r="CV27" s="64" t="s">
        <v>407</v>
      </c>
      <c r="CW27" s="13">
        <v>27</v>
      </c>
      <c r="CX27" s="72">
        <f t="shared" si="31"/>
        <v>0</v>
      </c>
      <c r="CY27" s="51">
        <f t="shared" si="21"/>
        <v>-1</v>
      </c>
      <c r="CZ27" s="64" t="str">
        <f t="shared" si="22"/>
        <v>-2, Superávit y resultado fue bueno</v>
      </c>
    </row>
    <row r="28" spans="1:104" ht="14.25" customHeight="1" x14ac:dyDescent="0.3">
      <c r="A28" s="60" t="s">
        <v>244</v>
      </c>
      <c r="B28" s="60">
        <f t="shared" ref="B28:F28" si="32">AVERAGE(B8:B17)</f>
        <v>2.2999999999999998</v>
      </c>
      <c r="C28" s="61">
        <f t="shared" si="32"/>
        <v>3.6888888888888887</v>
      </c>
      <c r="D28" s="60">
        <f t="shared" si="32"/>
        <v>1.9</v>
      </c>
      <c r="E28" s="60">
        <f t="shared" si="32"/>
        <v>4.0999999999999996</v>
      </c>
      <c r="F28" s="60">
        <f t="shared" si="32"/>
        <v>7.2</v>
      </c>
      <c r="G28" s="6"/>
      <c r="H28" s="8"/>
      <c r="K28" s="12"/>
      <c r="L28" s="12"/>
      <c r="M28" s="96"/>
      <c r="N28" s="89" t="s">
        <v>245</v>
      </c>
      <c r="O28" s="49">
        <f>AVERAGE(O8:O17)</f>
        <v>5.0999999999999996</v>
      </c>
      <c r="P28" s="50">
        <f>AVERAGE(P8:P17)</f>
        <v>4.2555555555555555</v>
      </c>
      <c r="Q28" s="50">
        <f>AVERAGE(Q8:Q17)</f>
        <v>5.3</v>
      </c>
      <c r="R28" s="50">
        <f>AVERAGE(R8:R17)</f>
        <v>4.9000000000000004</v>
      </c>
      <c r="S28" s="49">
        <f>AVERAGE(S8:S17)</f>
        <v>6.9</v>
      </c>
      <c r="W28" s="12"/>
      <c r="X28" s="12"/>
      <c r="Y28" s="12"/>
      <c r="Z28" s="12"/>
      <c r="AA28" s="12"/>
      <c r="AB28" s="49" t="s">
        <v>245</v>
      </c>
      <c r="AC28" s="49">
        <f>AVERAGE(AC8:AC17)</f>
        <v>4.0999999999999996</v>
      </c>
      <c r="AD28" s="50">
        <f>AVERAGE(AD8:AD17)</f>
        <v>3.4222222222222221</v>
      </c>
      <c r="AE28" s="49">
        <f>AVERAGE(AE8:AE17)</f>
        <v>4.0999999999999996</v>
      </c>
      <c r="AF28" s="49">
        <f>AVERAGE(AF8:AF17)</f>
        <v>4.0999999999999996</v>
      </c>
      <c r="AG28" s="49">
        <f>AVERAGE(AG8:AG17)</f>
        <v>7.1</v>
      </c>
      <c r="AL28" s="7"/>
      <c r="AM28" s="7"/>
      <c r="AN28" s="7"/>
      <c r="AO28" s="81" t="s">
        <v>245</v>
      </c>
      <c r="AP28" s="60">
        <f>AVERAGE(AP8:AP17)</f>
        <v>5.8</v>
      </c>
      <c r="AQ28" s="61">
        <f>AVERAGE(AQ8:AQ17)</f>
        <v>5.0111111111111111</v>
      </c>
      <c r="AR28" s="60">
        <f>AVERAGE(AR8:AR17)</f>
        <v>3.6</v>
      </c>
      <c r="AS28" s="61">
        <f>AVERAGE(AS8:AS17)</f>
        <v>2.8</v>
      </c>
      <c r="AT28" s="60">
        <f>AVERAGE(AT8:AT17)</f>
        <v>6.5</v>
      </c>
      <c r="AU28" s="6"/>
      <c r="AV28" s="6"/>
      <c r="AZ28" s="12"/>
      <c r="BA28" s="12"/>
      <c r="BB28" s="49" t="s">
        <v>246</v>
      </c>
      <c r="BC28" s="49">
        <f>AVERAGE(BC8:BC17)</f>
        <v>4.4000000000000004</v>
      </c>
      <c r="BD28" s="50">
        <f>AVERAGE(BD8:BD17)</f>
        <v>4.7111111111111112</v>
      </c>
      <c r="BE28" s="49">
        <f>AVERAGE(BE8:BE17)</f>
        <v>3</v>
      </c>
      <c r="BF28" s="49">
        <f>AVERAGE(BF8:BF17)</f>
        <v>2.6</v>
      </c>
      <c r="BG28" s="49">
        <f>AVERAGE(BG8:BG17)</f>
        <v>6.8</v>
      </c>
      <c r="BI28" s="70" t="s">
        <v>247</v>
      </c>
      <c r="BJ28" s="70">
        <f>COUNTIF(BK8:BK17,"ok")</f>
        <v>0</v>
      </c>
      <c r="BO28" s="51" t="s">
        <v>245</v>
      </c>
      <c r="BP28" s="89">
        <f>AVERAGE(BP8:BP17)</f>
        <v>4.4000000000000004</v>
      </c>
      <c r="BQ28" s="50">
        <f>AVERAGE(BQ8:BQ17)</f>
        <v>4.4000000000000004</v>
      </c>
      <c r="BR28" s="50"/>
      <c r="BS28" s="50"/>
      <c r="BT28" s="49">
        <f>AVERAGE(BT8:BT17)</f>
        <v>6.8</v>
      </c>
      <c r="BY28" s="12"/>
      <c r="BZ28" s="12"/>
      <c r="CA28" s="12"/>
      <c r="CB28" s="92" t="s">
        <v>245</v>
      </c>
      <c r="CC28" s="89">
        <f>AVERAGE(CC8:CC17)</f>
        <v>6.6</v>
      </c>
      <c r="CD28" s="50">
        <f>AVERAGE(CD8:CD17)</f>
        <v>5.1444444444444448</v>
      </c>
      <c r="CE28" s="49">
        <f>AVERAGE(CE8:CE17)</f>
        <v>4.8</v>
      </c>
      <c r="CF28" s="49">
        <f>AVERAGE(CF8:CF17)</f>
        <v>4.5</v>
      </c>
      <c r="CG28" s="49">
        <f>AVERAGE(CG8:CG17)</f>
        <v>6.6</v>
      </c>
      <c r="CL28" s="12"/>
      <c r="CM28" s="12"/>
      <c r="CN28" s="12"/>
      <c r="CO28" s="13" t="s">
        <v>245</v>
      </c>
      <c r="CP28" s="13">
        <f>AVERAGE(CP8:CP17)</f>
        <v>4.2</v>
      </c>
      <c r="CQ28" s="25">
        <f>AVERAGE(CQ8:CQ17)</f>
        <v>3.6888888888888887</v>
      </c>
      <c r="CR28" s="13">
        <f>AVERAGE(CR8:CR17)</f>
        <v>5.8</v>
      </c>
      <c r="CS28" s="13">
        <f>AVERAGE(CS8:CS17)</f>
        <v>5.4</v>
      </c>
      <c r="CT28" s="13">
        <f>AVERAGE(CT8:CT17)</f>
        <v>6.5</v>
      </c>
    </row>
    <row r="29" spans="1:104" ht="14.25" customHeight="1" x14ac:dyDescent="0.3">
      <c r="A29" s="5" t="s">
        <v>248</v>
      </c>
      <c r="B29" s="5">
        <f t="shared" ref="B29:F29" si="33">AVERAGE(B18:B27)</f>
        <v>13.3</v>
      </c>
      <c r="C29" s="16">
        <f t="shared" si="33"/>
        <v>12.233333333333333</v>
      </c>
      <c r="D29" s="5">
        <f t="shared" si="33"/>
        <v>12.7</v>
      </c>
      <c r="E29" s="5">
        <f t="shared" si="33"/>
        <v>12.9</v>
      </c>
      <c r="F29" s="5">
        <f t="shared" si="33"/>
        <v>8.4</v>
      </c>
      <c r="G29" s="6"/>
      <c r="H29" s="8"/>
      <c r="K29" s="12"/>
      <c r="L29" s="12"/>
      <c r="M29" s="96"/>
      <c r="N29" s="29" t="s">
        <v>249</v>
      </c>
      <c r="O29" s="13">
        <f>AVERAGE(O18:O27)</f>
        <v>12</v>
      </c>
      <c r="P29" s="25">
        <f>AVERAGE(P18:P27)</f>
        <v>12.111111111111111</v>
      </c>
      <c r="Q29" s="25">
        <f>AVERAGE(Q18:Q27)</f>
        <v>11.8</v>
      </c>
      <c r="R29" s="25">
        <f>AVERAGE(R18:R27)</f>
        <v>11.7</v>
      </c>
      <c r="S29" s="13">
        <f>AVERAGE(S18:S27)</f>
        <v>10.199999999999999</v>
      </c>
      <c r="W29" s="12"/>
      <c r="X29" s="12"/>
      <c r="Y29" s="12"/>
      <c r="Z29" s="12"/>
      <c r="AA29" s="12"/>
      <c r="AB29" s="13" t="s">
        <v>249</v>
      </c>
      <c r="AC29" s="13">
        <f>AVERAGE(AC18:AC27)</f>
        <v>12.9</v>
      </c>
      <c r="AD29" s="25">
        <f>AVERAGE(AD18:AD27)</f>
        <v>12.244444444444444</v>
      </c>
      <c r="AE29" s="13">
        <f>AVERAGE(AE18:AE27)</f>
        <v>12.9</v>
      </c>
      <c r="AF29" s="13">
        <f>AVERAGE(AF18:AF27)</f>
        <v>12.9</v>
      </c>
      <c r="AG29" s="13">
        <f>AVERAGE(AG18:AG27)</f>
        <v>9.9</v>
      </c>
      <c r="AL29" s="7"/>
      <c r="AM29" s="7"/>
      <c r="AN29" s="7"/>
      <c r="AO29" s="82" t="s">
        <v>249</v>
      </c>
      <c r="AP29" s="5">
        <f>AVERAGE(AP18:AP27)</f>
        <v>11.4</v>
      </c>
      <c r="AQ29" s="16">
        <f>AVERAGE(AQ18:AQ27)</f>
        <v>11.544444444444444</v>
      </c>
      <c r="AR29" s="5">
        <f>AVERAGE(AR18:AR27)</f>
        <v>12.9</v>
      </c>
      <c r="AS29" s="16">
        <f>AVERAGE(AS18:AS27)</f>
        <v>13.1</v>
      </c>
      <c r="AT29" s="5">
        <f>AVERAGE(AT18:AT27)</f>
        <v>10.7</v>
      </c>
      <c r="AU29" s="6"/>
      <c r="AV29" s="6"/>
      <c r="AZ29" s="12"/>
      <c r="BA29" s="12"/>
      <c r="BB29" s="13" t="s">
        <v>250</v>
      </c>
      <c r="BC29" s="13">
        <f>AVERAGE(BC18:BC27)</f>
        <v>10.3</v>
      </c>
      <c r="BD29" s="25">
        <f>AVERAGE(BD18:BD27)</f>
        <v>11.044444444444444</v>
      </c>
      <c r="BE29" s="13">
        <f>AVERAGE(BE18:BE27)</f>
        <v>10.7</v>
      </c>
      <c r="BF29" s="13">
        <f>AVERAGE(BF18:BF27)</f>
        <v>10.7</v>
      </c>
      <c r="BG29" s="13">
        <f>AVERAGE(BG18:BG27)</f>
        <v>7.9</v>
      </c>
      <c r="BI29" s="11" t="s">
        <v>251</v>
      </c>
      <c r="BJ29" s="11">
        <f>COUNTIF(BK18:BK27,"ok")</f>
        <v>0</v>
      </c>
      <c r="BO29" s="51" t="s">
        <v>249</v>
      </c>
      <c r="BP29" s="29">
        <f>AVERAGE(BP18:BP27)</f>
        <v>9.6</v>
      </c>
      <c r="BQ29" s="25">
        <f>AVERAGE(BQ18:BQ27)</f>
        <v>10.288888888888888</v>
      </c>
      <c r="BR29" s="25"/>
      <c r="BS29" s="25"/>
      <c r="BT29" s="13">
        <f>AVERAGE(BT18:BT27)</f>
        <v>7.2</v>
      </c>
      <c r="BY29" s="12"/>
      <c r="BZ29" s="12"/>
      <c r="CA29" s="12"/>
      <c r="CB29" s="51" t="s">
        <v>249</v>
      </c>
      <c r="CC29" s="29">
        <f>AVERAGE(CC18:CC27)</f>
        <v>10</v>
      </c>
      <c r="CD29" s="25">
        <f>AVERAGE(CD18:CD27)</f>
        <v>11.422222222222222</v>
      </c>
      <c r="CE29" s="13">
        <f>AVERAGE(CE18:CE27)</f>
        <v>10</v>
      </c>
      <c r="CF29" s="13">
        <f>AVERAGE(CF18:CF27)</f>
        <v>10.199999999999999</v>
      </c>
      <c r="CG29" s="13">
        <f>AVERAGE(CG18:CG27)</f>
        <v>10</v>
      </c>
      <c r="CL29" s="12"/>
      <c r="CM29" s="12"/>
      <c r="CN29" s="12"/>
      <c r="CO29" s="13" t="s">
        <v>249</v>
      </c>
      <c r="CP29" s="13">
        <f>AVERAGE(CP18:CP27)</f>
        <v>10.9</v>
      </c>
      <c r="CQ29" s="25">
        <f>AVERAGE(CQ18:CQ27)</f>
        <v>12.233333333333333</v>
      </c>
      <c r="CR29" s="13">
        <f>AVERAGE(CR18:CR27)</f>
        <v>11.2</v>
      </c>
      <c r="CS29" s="13">
        <f>AVERAGE(CS18:CS27)</f>
        <v>11.5</v>
      </c>
      <c r="CT29" s="13">
        <f>AVERAGE(CT18:CT27)</f>
        <v>8.6</v>
      </c>
    </row>
    <row r="30" spans="1:104" ht="14.25" customHeight="1" x14ac:dyDescent="0.3">
      <c r="A30" s="5" t="s">
        <v>252</v>
      </c>
      <c r="B30" s="5">
        <f>SKEW(B8:B17)</f>
        <v>1.8034137949907771</v>
      </c>
      <c r="C30" s="5"/>
      <c r="D30" s="5"/>
      <c r="E30" s="5"/>
      <c r="F30" s="5">
        <f>SKEW(F8:F17)</f>
        <v>1.2602586469446737</v>
      </c>
      <c r="G30" s="6"/>
      <c r="K30" s="12"/>
      <c r="L30" s="12"/>
      <c r="M30" s="96"/>
      <c r="N30" s="29" t="s">
        <v>252</v>
      </c>
      <c r="O30" s="13">
        <f>SKEW(O8:O11,O15,O17,O19,O25:O27)</f>
        <v>0.75847229863620391</v>
      </c>
      <c r="P30" s="13"/>
      <c r="Q30" s="13"/>
      <c r="R30" s="13"/>
      <c r="S30" s="13">
        <f>SKEW(S8:S11,S15,S17,S19,S25:S27)</f>
        <v>1.0590347491353571</v>
      </c>
      <c r="W30" s="12"/>
      <c r="X30" s="12"/>
      <c r="Y30" s="12"/>
      <c r="Z30" s="12"/>
      <c r="AA30" s="12"/>
      <c r="AB30" s="13" t="s">
        <v>252</v>
      </c>
      <c r="AC30" s="13">
        <f>SKEW(AC8:AC11,AC15,AC17,AC19,AC25:AC27)</f>
        <v>1.0456050128836727</v>
      </c>
      <c r="AD30" s="13"/>
      <c r="AE30" s="13"/>
      <c r="AF30" s="13"/>
      <c r="AG30" s="13">
        <f>SKEW(AG8:AG11,AG15,AG17,AG19,AG25:AG27)</f>
        <v>1.9904958914220354</v>
      </c>
      <c r="AL30" s="12"/>
      <c r="AM30" s="12"/>
      <c r="AN30" s="12"/>
      <c r="AO30" s="29" t="s">
        <v>252</v>
      </c>
      <c r="AP30" s="13">
        <f>SKEW(AP8:AP11,AP15,AP17,AP19,AP25:AP27)</f>
        <v>1.6114976021410399</v>
      </c>
      <c r="AQ30" s="13">
        <f>SKEW(AQ8:AQ11,AQ15,AQ17,AQ19,AQ25:AQ27)</f>
        <v>1.409454576305748</v>
      </c>
      <c r="AR30" s="13">
        <f>SKEW(AR8:AR11,AR15,AR17,AR19,AR25:AR27)</f>
        <v>1.2676763969086182</v>
      </c>
      <c r="AS30" s="13">
        <f>SKEW(AS8:AS11,AS15,AS17,AS19,AS25:AS27)</f>
        <v>1.1736447966043777</v>
      </c>
      <c r="AT30" s="13">
        <f>SKEW(AT8:AT11,AT15,AT17,AT19,AT25:AT27)</f>
        <v>1.910471086485652</v>
      </c>
      <c r="AZ30" s="12"/>
      <c r="BA30" s="12"/>
      <c r="BB30" s="13" t="s">
        <v>252</v>
      </c>
      <c r="BC30" s="13">
        <f>SKEW(BC8:BC11,BC15,BC17,BC19,BC25:BC27)</f>
        <v>1.7334449262253036</v>
      </c>
      <c r="BD30" s="13"/>
      <c r="BE30" s="13"/>
      <c r="BF30" s="13"/>
      <c r="BG30" s="13">
        <f>SKEW(BG8:BG11,BG15,BG17,BG19,BG25:BG27)</f>
        <v>2.4407400767348424</v>
      </c>
      <c r="BI30" s="11" t="s">
        <v>253</v>
      </c>
      <c r="BJ30" s="11">
        <f>AVERAGE(BL8,BL9,BL10,BL11,BL12,BL13,BL15,BL16)</f>
        <v>-2</v>
      </c>
      <c r="BO30" s="51" t="s">
        <v>252</v>
      </c>
      <c r="BP30" s="29">
        <f>SKEW(BP8:BP11,BP15,BP17,BP19,BP25:BP27)</f>
        <v>1.720126879391811</v>
      </c>
      <c r="BQ30" s="13"/>
      <c r="BR30" s="13"/>
      <c r="BS30" s="13"/>
      <c r="BT30" s="13">
        <f>SKEW(BT8:BT11,BT15,BT17,BT19,BT25:BT27)</f>
        <v>2.8016829826274465</v>
      </c>
      <c r="BY30" s="12"/>
      <c r="BZ30" s="12"/>
      <c r="CA30" s="12"/>
      <c r="CB30" s="51" t="s">
        <v>252</v>
      </c>
      <c r="CC30" s="29">
        <f>SKEW(CC8:CC11,CC15,CC17,CC19,CC25:CC27)</f>
        <v>2.1664250896551018</v>
      </c>
      <c r="CD30" s="13">
        <f>SKEW(CD8:CD11,CD15,CD17,CD19,CD25:CD27)</f>
        <v>1.4883122836582936</v>
      </c>
      <c r="CE30" s="13">
        <f>SKEW(CE8:CE11,CE15,CE17,CE19,CE25:CE27)</f>
        <v>1.6998934728258315</v>
      </c>
      <c r="CF30" s="13">
        <f>SKEW(CF8:CF11,CF15,CF17,CF19,CF25:CF27)</f>
        <v>1.9430208260039148</v>
      </c>
      <c r="CG30" s="13">
        <f>SKEW(CG8:CG11,CG15,CG17,CG19,CG25:CG27)</f>
        <v>2.4142196839330552</v>
      </c>
      <c r="CL30" s="12"/>
      <c r="CM30" s="12"/>
      <c r="CN30" s="12"/>
      <c r="CO30" s="13" t="s">
        <v>252</v>
      </c>
      <c r="CP30" s="13">
        <f>SKEW(CP8:CP11,CP15,CP17,CP19,CP25:CP27)</f>
        <v>2.1100290345641484</v>
      </c>
      <c r="CQ30" s="13"/>
      <c r="CR30" s="13"/>
      <c r="CS30" s="13"/>
      <c r="CT30" s="13">
        <f>SKEW(CT8:CT11,CT15,CT17,CT19,CT25:CT27)</f>
        <v>0.9779925724716515</v>
      </c>
    </row>
    <row r="31" spans="1:104" ht="14.25" customHeight="1" x14ac:dyDescent="0.3">
      <c r="A31" s="5" t="s">
        <v>254</v>
      </c>
      <c r="B31" s="5">
        <f>SKEW(B18:B27)</f>
        <v>0.11121394019086135</v>
      </c>
      <c r="C31" s="5"/>
      <c r="D31" s="5"/>
      <c r="E31" s="5"/>
      <c r="F31" s="5">
        <f>SKEW(F18:F27)</f>
        <v>0.2838744313438411</v>
      </c>
      <c r="G31" s="6"/>
      <c r="K31" s="12"/>
      <c r="L31" s="12"/>
      <c r="M31" s="96"/>
      <c r="N31" s="29" t="s">
        <v>254</v>
      </c>
      <c r="O31" s="13">
        <f>SKEW(O12:O14,O16,O18,O20:O24)</f>
        <v>0.16667674165421545</v>
      </c>
      <c r="P31" s="13"/>
      <c r="Q31" s="13"/>
      <c r="R31" s="13"/>
      <c r="S31" s="13">
        <f>SKEW(S12:S14,S16,S18,S20:S24)</f>
        <v>0.35116085733688179</v>
      </c>
      <c r="W31" s="12"/>
      <c r="X31" s="12"/>
      <c r="Y31" s="12"/>
      <c r="Z31" s="12"/>
      <c r="AA31" s="12"/>
      <c r="AB31" s="13" t="s">
        <v>254</v>
      </c>
      <c r="AC31" s="13">
        <f>SKEW(AC12:AC14,AC16,AC18,AC20:AC24)</f>
        <v>-0.1569381096004194</v>
      </c>
      <c r="AD31" s="13"/>
      <c r="AE31" s="13"/>
      <c r="AF31" s="13"/>
      <c r="AG31" s="13">
        <f>SKEW(AG12:AG14,AG16,AG18,AG20:AG24)</f>
        <v>-0.310208888937411</v>
      </c>
      <c r="AL31" s="12"/>
      <c r="AM31" s="12"/>
      <c r="AN31" s="12"/>
      <c r="AO31" s="29" t="s">
        <v>254</v>
      </c>
      <c r="AP31" s="13">
        <f>SKEW(AP12:AP14,AP16,AP18,AP20:AP24)</f>
        <v>0.2009705187283492</v>
      </c>
      <c r="AQ31" s="13">
        <f>SKEW(AQ12:AQ14,AQ16,AQ18,AQ20:AQ24)</f>
        <v>-0.22836644580606927</v>
      </c>
      <c r="AR31" s="13">
        <f>SKEW(AR12:AR14,AR16,AR18,AR20:AR24)</f>
        <v>0.1475661511970279</v>
      </c>
      <c r="AS31" s="13">
        <f>SKEW(AS12:AS14,AS16,AS18,AS20:AS24)</f>
        <v>0.22074899468759637</v>
      </c>
      <c r="AT31" s="13">
        <f>SKEW(AT12:AT14,AT16,AT18,AT20:AT24)</f>
        <v>0.56208561463213369</v>
      </c>
      <c r="AZ31" s="12"/>
      <c r="BA31" s="12"/>
      <c r="BB31" s="13" t="s">
        <v>254</v>
      </c>
      <c r="BC31" s="13">
        <f>SKEW(BC12:BC14,BC16,BC18,BC20:BC24)</f>
        <v>1.411072725033121</v>
      </c>
      <c r="BD31" s="13"/>
      <c r="BE31" s="13"/>
      <c r="BF31" s="13"/>
      <c r="BG31" s="13">
        <f>SKEW(BG12:BG14,BG16,BG18,BG20:BG24)</f>
        <v>1.616836243873264</v>
      </c>
      <c r="BI31" s="11" t="s">
        <v>255</v>
      </c>
      <c r="BJ31" s="11">
        <f>AVERAGE(BL18,BL19,BL21,BL22,BL23,BL24,BL25,BL27)</f>
        <v>1.25</v>
      </c>
      <c r="BO31" s="51" t="s">
        <v>254</v>
      </c>
      <c r="BP31" s="29">
        <f>SKEW(BP12:BP14,BP16,BP18,BP20:BP24)</f>
        <v>1.2431541205441135</v>
      </c>
      <c r="BQ31" s="13"/>
      <c r="BR31" s="13"/>
      <c r="BS31" s="13"/>
      <c r="BT31" s="13">
        <f>SKEW(BT12:BT14,BT16,BT18,BT20:BT24)</f>
        <v>1.1965942448652533</v>
      </c>
      <c r="BY31" s="12"/>
      <c r="BZ31" s="12"/>
      <c r="CA31" s="12"/>
      <c r="CB31" s="51" t="s">
        <v>254</v>
      </c>
      <c r="CC31" s="29">
        <f>SKEW(CC12:CC14,CC16,CC18,CC20:CC24)</f>
        <v>-6.1679056923619811E-17</v>
      </c>
      <c r="CD31" s="13">
        <f>SKEW(CD12:CD14,CD16,CD18,CD20:CD24)</f>
        <v>0.11058790223757997</v>
      </c>
      <c r="CE31" s="13">
        <f>SKEW(CE12:CE14,CE16,CE18,CE20:CE24)</f>
        <v>0.2672585932039474</v>
      </c>
      <c r="CF31" s="13">
        <f>SKEW(CF12:CF14,CF16,CF18,CF20:CF24)</f>
        <v>7.9519673891812165E-2</v>
      </c>
      <c r="CG31" s="13">
        <f>SKEW(CG12:CG14,CG16,CG18,CG20:CG24)</f>
        <v>0.17084331648296541</v>
      </c>
      <c r="CL31" s="12"/>
      <c r="CM31" s="12"/>
      <c r="CN31" s="12"/>
      <c r="CO31" s="13" t="s">
        <v>254</v>
      </c>
      <c r="CP31" s="13">
        <f>SKEW(CP12:CP14,CP16,CP18,CP20:CP24)</f>
        <v>0.54304407832466595</v>
      </c>
      <c r="CQ31" s="13"/>
      <c r="CR31" s="13"/>
      <c r="CS31" s="13"/>
      <c r="CT31" s="13">
        <f>SKEW(CT12:CT14,CT16,CT18,CT20:CT24)</f>
        <v>8.9760639927327274E-2</v>
      </c>
    </row>
    <row r="32" spans="1:104" ht="14.25" customHeight="1" x14ac:dyDescent="0.3">
      <c r="A32" s="5" t="s">
        <v>256</v>
      </c>
      <c r="B32" s="6">
        <v>35.583808440685459</v>
      </c>
      <c r="C32" s="6"/>
      <c r="D32" s="6"/>
      <c r="E32" s="6"/>
      <c r="F32" s="6"/>
      <c r="G32" s="6"/>
      <c r="K32" s="12"/>
      <c r="L32" s="12"/>
      <c r="M32" s="96"/>
      <c r="N32" s="29" t="s">
        <v>256</v>
      </c>
      <c r="O32" s="3">
        <v>18.919531259855241</v>
      </c>
      <c r="W32" s="12"/>
      <c r="X32" s="12"/>
      <c r="Y32" s="12"/>
      <c r="Z32" s="12"/>
      <c r="AA32" s="12"/>
      <c r="AB32" s="13" t="s">
        <v>256</v>
      </c>
      <c r="AC32" s="3">
        <v>19.648496572327211</v>
      </c>
      <c r="AL32" s="12"/>
      <c r="AM32" s="12"/>
      <c r="AN32" s="12"/>
      <c r="AO32" s="29" t="s">
        <v>256</v>
      </c>
      <c r="AP32" s="3">
        <v>10.57860014381631</v>
      </c>
      <c r="AZ32" s="12"/>
      <c r="BA32" s="12"/>
      <c r="BB32" s="13" t="s">
        <v>256</v>
      </c>
      <c r="BC32" s="3">
        <v>18.90454501617625</v>
      </c>
      <c r="BO32" s="51" t="s">
        <v>256</v>
      </c>
      <c r="BP32" s="3">
        <v>22.865874544097949</v>
      </c>
      <c r="BY32" s="12"/>
      <c r="BZ32" s="12"/>
      <c r="CA32" s="12"/>
      <c r="CB32" s="51" t="s">
        <v>256</v>
      </c>
      <c r="CC32" s="3">
        <v>6.622473411283436</v>
      </c>
      <c r="CL32" s="12"/>
      <c r="CM32" s="12"/>
      <c r="CN32" s="12"/>
      <c r="CO32" s="13" t="s">
        <v>256</v>
      </c>
      <c r="CP32" s="3">
        <v>19.683918982455921</v>
      </c>
    </row>
    <row r="33" spans="1:94" ht="28.5" customHeight="1" x14ac:dyDescent="0.3">
      <c r="A33" s="5" t="s">
        <v>257</v>
      </c>
      <c r="B33" s="5">
        <v>9</v>
      </c>
      <c r="C33" s="6"/>
      <c r="D33" s="6"/>
      <c r="E33" s="6"/>
      <c r="F33" s="6"/>
      <c r="G33" s="6"/>
      <c r="K33" s="12"/>
      <c r="L33" s="12"/>
      <c r="M33" s="96"/>
      <c r="N33" s="29" t="s">
        <v>257</v>
      </c>
      <c r="O33" s="13">
        <v>11</v>
      </c>
      <c r="W33" s="12"/>
      <c r="X33" s="12"/>
      <c r="Y33" s="12"/>
      <c r="Z33" s="12"/>
      <c r="AA33" s="12"/>
      <c r="AB33" s="13" t="s">
        <v>257</v>
      </c>
      <c r="AC33" s="13">
        <v>11</v>
      </c>
      <c r="AL33" s="12"/>
      <c r="AM33" s="12"/>
      <c r="AN33" s="12"/>
      <c r="AO33" s="29" t="s">
        <v>257</v>
      </c>
      <c r="AP33" s="13">
        <v>10</v>
      </c>
      <c r="AZ33" s="12"/>
      <c r="BA33" s="12"/>
      <c r="BB33" s="13" t="s">
        <v>257</v>
      </c>
      <c r="BC33" s="13">
        <v>10</v>
      </c>
      <c r="BO33" s="51" t="s">
        <v>257</v>
      </c>
      <c r="BP33" s="29">
        <v>9</v>
      </c>
      <c r="BY33" s="12"/>
      <c r="BZ33" s="12"/>
      <c r="CA33" s="12"/>
      <c r="CB33" s="51" t="s">
        <v>257</v>
      </c>
      <c r="CC33" s="29">
        <v>8</v>
      </c>
      <c r="CL33" s="12"/>
      <c r="CM33" s="12"/>
      <c r="CN33" s="12"/>
      <c r="CO33" s="13" t="s">
        <v>257</v>
      </c>
      <c r="CP33" s="13">
        <v>10</v>
      </c>
    </row>
    <row r="34" spans="1:94" ht="14.25" customHeight="1" x14ac:dyDescent="0.3">
      <c r="A34" s="26" t="s">
        <v>258</v>
      </c>
      <c r="B34" s="5">
        <f>B33*2</f>
        <v>18</v>
      </c>
      <c r="C34" s="6"/>
      <c r="D34" s="6"/>
      <c r="E34" s="6"/>
      <c r="F34" s="6"/>
      <c r="G34" s="6"/>
      <c r="H34" s="3" t="s">
        <v>16</v>
      </c>
      <c r="K34" s="27"/>
      <c r="L34" s="27"/>
      <c r="M34" s="97"/>
      <c r="N34" s="83" t="s">
        <v>258</v>
      </c>
      <c r="O34" s="13">
        <f>O33*2</f>
        <v>22</v>
      </c>
      <c r="W34" s="27"/>
      <c r="X34" s="27"/>
      <c r="Y34" s="27"/>
      <c r="Z34" s="27"/>
      <c r="AA34" s="27"/>
      <c r="AB34" s="28" t="s">
        <v>258</v>
      </c>
      <c r="AC34" s="13">
        <f>AC33*2</f>
        <v>22</v>
      </c>
      <c r="AL34" s="27"/>
      <c r="AM34" s="27"/>
      <c r="AN34" s="27"/>
      <c r="AO34" s="83" t="s">
        <v>258</v>
      </c>
      <c r="AP34" s="13">
        <f>AP33*2</f>
        <v>20</v>
      </c>
      <c r="AZ34" s="27"/>
      <c r="BA34" s="27"/>
      <c r="BB34" s="28" t="s">
        <v>258</v>
      </c>
      <c r="BC34" s="13">
        <f>BC33*2</f>
        <v>20</v>
      </c>
      <c r="BO34" s="91" t="s">
        <v>258</v>
      </c>
      <c r="BP34" s="29">
        <f>BP33*2</f>
        <v>18</v>
      </c>
      <c r="BY34" s="27"/>
      <c r="BZ34" s="27"/>
      <c r="CA34" s="27"/>
      <c r="CB34" s="91" t="s">
        <v>258</v>
      </c>
      <c r="CC34" s="29">
        <f>CC33*2</f>
        <v>16</v>
      </c>
      <c r="CL34" s="27"/>
      <c r="CM34" s="27"/>
      <c r="CN34" s="27"/>
      <c r="CO34" s="28" t="s">
        <v>258</v>
      </c>
      <c r="CP34" s="13">
        <f>CP33*2</f>
        <v>20</v>
      </c>
    </row>
    <row r="35" spans="1:94" ht="14.25" customHeight="1" x14ac:dyDescent="0.3"/>
    <row r="36" spans="1:94" ht="14.25" customHeight="1" x14ac:dyDescent="0.3"/>
    <row r="37" spans="1:94" ht="14.25" customHeight="1" x14ac:dyDescent="0.3"/>
    <row r="38" spans="1:94" ht="14.25" customHeight="1" x14ac:dyDescent="0.3"/>
    <row r="39" spans="1:94" ht="14.25" customHeight="1" x14ac:dyDescent="0.3"/>
    <row r="40" spans="1:94" ht="14.25" customHeight="1" x14ac:dyDescent="0.3"/>
    <row r="41" spans="1:94" ht="14.25" customHeight="1" x14ac:dyDescent="0.3"/>
    <row r="42" spans="1:94" ht="14.25" customHeight="1" x14ac:dyDescent="0.3"/>
    <row r="43" spans="1:94" ht="14.25" customHeight="1" x14ac:dyDescent="0.3"/>
    <row r="44" spans="1:94" ht="14.25" customHeight="1" x14ac:dyDescent="0.3"/>
    <row r="45" spans="1:94" ht="14.25" customHeight="1" x14ac:dyDescent="0.3"/>
    <row r="46" spans="1:94" ht="14.25" customHeight="1" x14ac:dyDescent="0.3"/>
    <row r="47" spans="1:94" ht="14.25" customHeight="1" x14ac:dyDescent="0.3"/>
    <row r="48" spans="1:94" ht="14.25" customHeight="1" x14ac:dyDescent="0.3"/>
    <row r="49" spans="1:104" ht="14.25" customHeight="1" x14ac:dyDescent="0.3"/>
    <row r="50" spans="1:104" ht="14.25" customHeight="1" x14ac:dyDescent="0.3"/>
    <row r="51" spans="1:104" ht="14.25" customHeight="1" x14ac:dyDescent="0.3"/>
    <row r="52" spans="1:104" ht="14.25" customHeight="1" x14ac:dyDescent="0.3"/>
    <row r="53" spans="1:104" ht="14.25" customHeight="1" x14ac:dyDescent="0.3"/>
    <row r="54" spans="1:104" ht="14.25" customHeight="1" x14ac:dyDescent="0.3"/>
    <row r="55" spans="1:104" ht="14.25" customHeight="1" x14ac:dyDescent="0.3"/>
    <row r="56" spans="1:104" ht="14.25" customHeight="1" x14ac:dyDescent="0.3">
      <c r="B56" s="13" t="s">
        <v>259</v>
      </c>
      <c r="C56" s="13"/>
      <c r="D56" s="13"/>
      <c r="E56" s="13"/>
      <c r="F56" s="13"/>
      <c r="O56" s="13" t="s">
        <v>260</v>
      </c>
      <c r="P56" s="13"/>
      <c r="Q56" s="13"/>
      <c r="R56" s="13"/>
      <c r="S56" s="13"/>
      <c r="AC56" s="73" t="s">
        <v>261</v>
      </c>
      <c r="AD56" s="73"/>
      <c r="AE56" s="73"/>
      <c r="AF56" s="73"/>
      <c r="AG56" s="73"/>
      <c r="AO56" s="38"/>
      <c r="AP56" s="39" t="s">
        <v>262</v>
      </c>
      <c r="AQ56" s="40"/>
      <c r="AR56" s="38"/>
      <c r="AS56" s="38"/>
      <c r="AT56" s="38"/>
      <c r="AU56" s="38"/>
      <c r="AV56" s="38"/>
      <c r="AW56" s="38"/>
      <c r="AX56" s="38"/>
      <c r="AY56" s="38"/>
      <c r="BC56" s="13" t="s">
        <v>263</v>
      </c>
      <c r="BD56" s="13"/>
      <c r="BE56" s="13"/>
      <c r="BF56" s="13"/>
      <c r="BG56" s="13"/>
      <c r="BP56" s="13" t="s">
        <v>264</v>
      </c>
      <c r="BQ56" s="13"/>
      <c r="BR56" s="13"/>
      <c r="BS56" s="13"/>
      <c r="BT56" s="13"/>
      <c r="CC56" s="13" t="s">
        <v>265</v>
      </c>
      <c r="CD56" s="13"/>
      <c r="CE56" s="13"/>
      <c r="CF56" s="13"/>
      <c r="CG56" s="13"/>
      <c r="CP56" s="13" t="s">
        <v>266</v>
      </c>
      <c r="CQ56" s="13"/>
      <c r="CR56" s="13"/>
      <c r="CS56" s="13"/>
      <c r="CT56" s="13"/>
    </row>
    <row r="57" spans="1:104" ht="14.25" customHeight="1" x14ac:dyDescent="0.3">
      <c r="A57" s="13" t="s">
        <v>201</v>
      </c>
      <c r="B57" s="13" t="s">
        <v>5</v>
      </c>
      <c r="C57" s="13" t="s">
        <v>202</v>
      </c>
      <c r="D57" s="14" t="s">
        <v>189</v>
      </c>
      <c r="E57" s="13" t="s">
        <v>190</v>
      </c>
      <c r="F57" s="13" t="s">
        <v>191</v>
      </c>
      <c r="G57" s="13" t="s">
        <v>192</v>
      </c>
      <c r="H57" s="64" t="s">
        <v>396</v>
      </c>
      <c r="I57" s="13" t="s">
        <v>193</v>
      </c>
      <c r="J57" s="13" t="s">
        <v>197</v>
      </c>
      <c r="K57" s="72" t="s">
        <v>198</v>
      </c>
      <c r="L57" t="s">
        <v>373</v>
      </c>
      <c r="N57" s="29" t="s">
        <v>201</v>
      </c>
      <c r="O57" s="13" t="s">
        <v>5</v>
      </c>
      <c r="P57" s="13" t="s">
        <v>206</v>
      </c>
      <c r="Q57" s="14" t="s">
        <v>189</v>
      </c>
      <c r="R57" s="13" t="s">
        <v>190</v>
      </c>
      <c r="S57" s="13" t="s">
        <v>191</v>
      </c>
      <c r="T57" s="13" t="s">
        <v>192</v>
      </c>
      <c r="U57" s="64" t="s">
        <v>396</v>
      </c>
      <c r="V57" s="13" t="s">
        <v>193</v>
      </c>
      <c r="W57" s="11" t="s">
        <v>197</v>
      </c>
      <c r="X57" s="72" t="s">
        <v>198</v>
      </c>
      <c r="Y57" s="51" t="s">
        <v>373</v>
      </c>
      <c r="Z57" s="12"/>
      <c r="AA57" s="12"/>
      <c r="AB57" s="51" t="s">
        <v>201</v>
      </c>
      <c r="AC57" s="51" t="s">
        <v>5</v>
      </c>
      <c r="AD57" s="51" t="s">
        <v>208</v>
      </c>
      <c r="AE57" s="52" t="s">
        <v>189</v>
      </c>
      <c r="AF57" s="51" t="s">
        <v>190</v>
      </c>
      <c r="AG57" s="51" t="s">
        <v>191</v>
      </c>
      <c r="AH57" s="51" t="s">
        <v>192</v>
      </c>
      <c r="AI57" s="64" t="s">
        <v>396</v>
      </c>
      <c r="AJ57" s="51" t="s">
        <v>193</v>
      </c>
      <c r="AK57" s="53" t="s">
        <v>197</v>
      </c>
      <c r="AL57" s="51" t="s">
        <v>198</v>
      </c>
      <c r="AM57" s="64" t="s">
        <v>373</v>
      </c>
      <c r="AN57" s="12"/>
      <c r="AO57" s="84" t="s">
        <v>201</v>
      </c>
      <c r="AP57" s="41" t="s">
        <v>5</v>
      </c>
      <c r="AQ57" s="41" t="s">
        <v>209</v>
      </c>
      <c r="AR57" s="42" t="s">
        <v>189</v>
      </c>
      <c r="AS57" s="41" t="s">
        <v>190</v>
      </c>
      <c r="AT57" s="41" t="s">
        <v>191</v>
      </c>
      <c r="AU57" s="41" t="s">
        <v>192</v>
      </c>
      <c r="AV57" s="64" t="s">
        <v>396</v>
      </c>
      <c r="AW57" s="41" t="s">
        <v>193</v>
      </c>
      <c r="AX57" s="41" t="s">
        <v>197</v>
      </c>
      <c r="AY57" s="41" t="s">
        <v>198</v>
      </c>
      <c r="AZ57" s="41" t="s">
        <v>373</v>
      </c>
      <c r="BA57" s="12"/>
      <c r="BB57" s="13" t="s">
        <v>201</v>
      </c>
      <c r="BC57" s="13" t="s">
        <v>5</v>
      </c>
      <c r="BD57" s="13" t="s">
        <v>211</v>
      </c>
      <c r="BE57" s="14" t="s">
        <v>189</v>
      </c>
      <c r="BF57" s="13" t="s">
        <v>190</v>
      </c>
      <c r="BG57" s="13" t="s">
        <v>191</v>
      </c>
      <c r="BH57" s="13" t="s">
        <v>192</v>
      </c>
      <c r="BI57" s="64" t="s">
        <v>396</v>
      </c>
      <c r="BJ57" s="13" t="s">
        <v>193</v>
      </c>
      <c r="BK57" s="11" t="s">
        <v>197</v>
      </c>
      <c r="BL57" s="72" t="s">
        <v>198</v>
      </c>
      <c r="BM57" t="s">
        <v>373</v>
      </c>
      <c r="BO57" s="29" t="s">
        <v>201</v>
      </c>
      <c r="BP57" s="13" t="s">
        <v>5</v>
      </c>
      <c r="BQ57" s="13" t="s">
        <v>212</v>
      </c>
      <c r="BR57" s="14" t="s">
        <v>189</v>
      </c>
      <c r="BS57" s="13" t="s">
        <v>190</v>
      </c>
      <c r="BT57" s="13" t="s">
        <v>191</v>
      </c>
      <c r="BU57" s="64" t="s">
        <v>396</v>
      </c>
      <c r="BV57" s="13" t="s">
        <v>192</v>
      </c>
      <c r="BW57" s="13" t="s">
        <v>193</v>
      </c>
      <c r="BX57" s="11" t="s">
        <v>197</v>
      </c>
      <c r="BY57" s="72" t="s">
        <v>198</v>
      </c>
      <c r="BZ57" s="12" t="s">
        <v>373</v>
      </c>
      <c r="CA57" s="12"/>
      <c r="CB57" s="29" t="s">
        <v>201</v>
      </c>
      <c r="CC57" s="13" t="s">
        <v>5</v>
      </c>
      <c r="CD57" s="13" t="s">
        <v>188</v>
      </c>
      <c r="CE57" s="14" t="s">
        <v>189</v>
      </c>
      <c r="CF57" s="13" t="s">
        <v>190</v>
      </c>
      <c r="CG57" s="13" t="s">
        <v>191</v>
      </c>
      <c r="CH57" s="13" t="s">
        <v>192</v>
      </c>
      <c r="CI57" s="64" t="s">
        <v>396</v>
      </c>
      <c r="CJ57" s="13" t="s">
        <v>193</v>
      </c>
      <c r="CK57" s="11" t="s">
        <v>197</v>
      </c>
      <c r="CL57" s="72" t="s">
        <v>198</v>
      </c>
      <c r="CM57" s="12" t="s">
        <v>373</v>
      </c>
      <c r="CN57" s="12"/>
      <c r="CO57" s="13" t="s">
        <v>201</v>
      </c>
      <c r="CP57" s="13" t="s">
        <v>5</v>
      </c>
      <c r="CQ57" s="13" t="s">
        <v>202</v>
      </c>
      <c r="CR57" s="14" t="s">
        <v>189</v>
      </c>
      <c r="CS57" s="13" t="s">
        <v>190</v>
      </c>
      <c r="CT57" s="13" t="s">
        <v>191</v>
      </c>
      <c r="CU57" s="13" t="s">
        <v>192</v>
      </c>
      <c r="CV57" s="64" t="s">
        <v>396</v>
      </c>
      <c r="CW57" s="13" t="s">
        <v>193</v>
      </c>
      <c r="CX57" s="11" t="s">
        <v>197</v>
      </c>
      <c r="CY57" s="72" t="s">
        <v>198</v>
      </c>
      <c r="CZ57" t="s">
        <v>373</v>
      </c>
    </row>
    <row r="58" spans="1:104" ht="14.25" customHeight="1" x14ac:dyDescent="0.3">
      <c r="A58" s="3" t="s">
        <v>213</v>
      </c>
      <c r="B58" s="3">
        <v>0</v>
      </c>
      <c r="C58" s="18">
        <v>3.3333333333333335</v>
      </c>
      <c r="D58" s="3">
        <v>0</v>
      </c>
      <c r="E58" s="3">
        <v>0</v>
      </c>
      <c r="F58" s="3">
        <v>8</v>
      </c>
      <c r="G58" s="13">
        <v>1.247177188019948</v>
      </c>
      <c r="H58" s="64" t="s">
        <v>397</v>
      </c>
      <c r="I58" s="13">
        <v>17</v>
      </c>
      <c r="J58" s="11">
        <f t="shared" ref="J58:J67" si="34">IF(D58&lt;=B58,1,0)</f>
        <v>1</v>
      </c>
      <c r="K58" s="11">
        <f t="shared" ref="K58:K77" si="35">D58-B58</f>
        <v>0</v>
      </c>
      <c r="L58" t="str">
        <f t="shared" ref="L58:L77" si="36">IF(G58&gt;0,
    IF(OR(B58&lt;=TRUNC(I58/2,0),B58=0),
        IF(F58=TRUNC(I58/2,0),
            "-1, Déficit y dejo la capacidad media",
            IF(AND(F58&gt;TRUNC(I58/2,0), F58&gt;B58),
                "1, Déficit y eliminé déficit",
                IF(AND(F58&lt;TRUNC(I58/2,0), F58&lt;B58),
                    "0, Déficit y no elimine déficit",
                    "-2, Déficit y resultado fue bueno")
            )
        ),
        IF(AND(F58&gt;TRUNC(I58/2,0), F58&gt;B58),
            "1, no había déficit, pero resultado fue mejor",
            IF(AND(F58&lt;TRUNC(I58/2,0),F58&lt;B58),
                "0, no había déficit y la dejo con déficit",
                IF(F58=TRUNC(I58/2,0),
                    "-1, no había déficit y dejo la capacidad media",
                    "-2,no había déficit y resultado fue bueno")
            )
        )
    ),
    IF(G58&lt;0,
        IF(B58&gt;TRUNC(I58/2,0),
            IF(F58=TRUNC(I58/2,0),
                "-1, Superávit y deje la capacidad media",
                IF(AND(F58&gt;TRUNC(I58/2,0), F58&gt;=B58),
                    "0, Superávit y no eliminé superávit",
                    IF(AND(F58&lt;TRUNC(I58/2,0),F58&lt;B58),
                        "1, Superávit y eliminé superávit",
                        "-2, Superávit y resultado fue bueno"
                    )
                )
            ),
            IF(AND(B58&lt;=TRUNC(I58/2,0),B58&gt;=0),
                IF(F58=TRUNC(I58/2,0),
                    "-1, no había superávit y deje la capacidad media",
                    IF(AND(F58&gt;TRUNC(I58/2,0), F58&gt;=B58),
                        "0, no había superávit, y la deje con superávit",
                        IF(AND(F58&lt;TRUNC(I58/2,0),F58&lt;B58),
                            "1, no había superávit, pero el resultado fue mejor",
                            "-2, no había superávit y resultado fue bueno"
                        )
                    )
                )
            )
        )
    )
)</f>
        <v>-1, Déficit y dejo la capacidad media</v>
      </c>
      <c r="N58" s="3" t="s">
        <v>213</v>
      </c>
      <c r="O58" s="3">
        <v>0</v>
      </c>
      <c r="P58" s="18">
        <v>3.1111111111111112</v>
      </c>
      <c r="Q58" s="3">
        <v>0</v>
      </c>
      <c r="R58" s="3">
        <v>0</v>
      </c>
      <c r="S58" s="3">
        <v>8</v>
      </c>
      <c r="T58" s="13">
        <v>1.247177188019948</v>
      </c>
      <c r="U58" s="64" t="s">
        <v>397</v>
      </c>
      <c r="V58" s="13">
        <v>17</v>
      </c>
      <c r="W58" s="11">
        <f t="shared" ref="W58:W67" si="37">IF(Q58&lt;=O58,1,0)</f>
        <v>1</v>
      </c>
      <c r="X58" s="71">
        <f t="shared" ref="X58:X77" si="38">Q58-O58</f>
        <v>0</v>
      </c>
      <c r="Y58" s="64" t="str">
        <f t="shared" ref="Y58:Y77" si="39">IF(T58&gt;0,
    IF(OR(O58&lt;=TRUNC(V58/2,0),O58=0),
        IF(S58=TRUNC(V58/2,0),
            "-1, Déficit y dejo la capacidad media",
            IF(AND(S58&gt;TRUNC(V58/2,0), S58&gt;O58),
                "1, Déficit y eliminé déficit",
                IF(AND(S58&lt;TRUNC(V58/2,0), S58&lt;O58),
                    "0, Déficit y no elimine déficit",
                    "-2, Déficit y resultado fue bueno")
            )
        ),
        IF(AND(S58&gt;TRUNC(V58/2,0), S58&gt;O58),
            "1, no había déficit, pero resultado fue mejor",
            IF(AND(S58&lt;TRUNC(V58/2,0),S58&lt;O58),
                "0, no había déficit y la dejo con déficit",
                IF(S58=TRUNC(V58/2,0),
                    "-1, no había déficit y dejo la capacidad media",
                    "-2,no había déficit y resultado fue bueno")
            )
        )
    ),
    IF(T58&lt;0,
        IF(O58&gt;TRUNC(V58/2,0),
            IF(S58=TRUNC(V58/2,0),
                "-1, Superávit y deje la capacidad media",
                IF(AND(S58&gt;TRUNC(V58/2,0), S58&gt;=O58),
                    "0, Superávit y no eliminé superávit",
                    IF(AND(S58&lt;TRUNC(V58/2,0),S58&lt;O58),
                        "1, Superávit y eliminé superávit",
                        "-2, Superávit y resultado fue bueno"
                    )
                )
            ),
            IF(AND(O58&lt;=TRUNC(V58/2,0),O58&gt;=0),
                IF(S58=TRUNC(V58/2,0),
                    "-1, no había superávit y deje la capacidad media",
                    IF(AND(S58&gt;TRUNC(V58/2,0), S58&gt;=O58),
                        "0, no había superávit, y la deje con superávit",
                        IF(AND(S58&lt;TRUNC(V58/2,0),S58&lt;O58),
                            "1, no había superávit, pero el resultado fue mejor",
                            "-2, no había superávit y resultado fue bueno"
                        )
                    )
                )
            )
        )
    )
)</f>
        <v>-1, Déficit y dejo la capacidad media</v>
      </c>
      <c r="AB58" s="53" t="s">
        <v>213</v>
      </c>
      <c r="AC58" s="53">
        <v>5</v>
      </c>
      <c r="AD58" s="54">
        <v>7</v>
      </c>
      <c r="AE58" s="53">
        <v>2</v>
      </c>
      <c r="AF58" s="53">
        <v>2</v>
      </c>
      <c r="AG58" s="53">
        <v>8</v>
      </c>
      <c r="AH58" s="51">
        <v>1.247177188019948</v>
      </c>
      <c r="AI58" s="64" t="s">
        <v>397</v>
      </c>
      <c r="AJ58" s="51">
        <v>17</v>
      </c>
      <c r="AK58" s="53">
        <f t="shared" ref="AK58:AK67" si="40">IF(AE58&lt;=AC58,1,0)</f>
        <v>1</v>
      </c>
      <c r="AL58" s="53">
        <f t="shared" ref="AL58:AL77" si="41">AE58-AC58</f>
        <v>-3</v>
      </c>
      <c r="AM58" s="64" t="str">
        <f t="shared" ref="AM58:AM77" si="42">IF(AH58&gt;0,
    IF(OR(AC58&lt;=TRUNC(AJ58/2,0),AC58=0),
        IF(AG58=TRUNC(AJ58/2,0),
            "-1, Déficit y dejo la capacidad media",
            IF(AND(AG58&gt;TRUNC(AJ58/2,0), AG58&gt;AC58),
                "1, Déficit y eliminé déficit",
                IF(AND(AG58&lt;TRUNC(AJ58/2,0), AG58&lt;AC58),
                    "0, Déficit y no elimine déficit",
                    "-2, Déficit y resultado fue bueno")
            )
        ),
        IF(AND(AG58&gt;TRUNC(AJ58/2,0), AG58&gt;AC58),
            "1, no había déficit, pero resultado fue mejor",
            IF(AND(AG58&lt;TRUNC(AJ58/2,0),AG58&lt;AC58),
                "0, no había déficit y la dejo con déficit",
                IF(AG58=TRUNC(AJ58/2,0),
                    "-1, no había déficit y dejo la capacidad media",
                    "-2,no había déficit y resultado fue bueno")
            )
        )
    ),
    IF(AH58&lt;0,
        IF(AC58&gt;TRUNC(AJ58/2,0),
            IF(AG58=TRUNC(AJ58/2,0),
                "-1, Superávit y deje la capacidad media",
                IF(AND(AG58&gt;TRUNC(AJ58/2,0), AG58&gt;=AC58),
                    "0, Superávit y no eliminé superávit",
                    IF(AND(AG58&lt;TRUNC(AJ58/2,0),AG58&lt;AC58),
                        "1, Superávit y eliminé superávit",
                        "-2, Superávit y resultado fue bueno"
                    )
                )
            ),
            IF(AND(AC58&lt;=TRUNC(AJ58/2,0),AC58&gt;=0),
                IF(AG58=TRUNC(AJ58/2,0),
                    "-1, no había superávit y deje la capacidad media",
                    IF(AND(AG58&gt;TRUNC(AJ58/2,0), AG58&gt;=AC58),
                        "0, no había superávit, y la deje con superávit",
                        IF(AND(AG58&lt;TRUNC(AJ58/2,0),AG58&lt;AC58),
                            "1, no había superávit, pero el resultado fue mejor",
                            "-2, no había superávit y resultado fue bueno"
                        )
                    )
                )
            )
        )
    )
)</f>
        <v>-1, Déficit y dejo la capacidad media</v>
      </c>
      <c r="AO58" s="84" t="s">
        <v>213</v>
      </c>
      <c r="AP58" s="41">
        <v>4</v>
      </c>
      <c r="AQ58" s="43">
        <v>5.666666666666667</v>
      </c>
      <c r="AR58" s="41">
        <v>0</v>
      </c>
      <c r="AS58" s="41">
        <v>1</v>
      </c>
      <c r="AT58" s="41">
        <v>8</v>
      </c>
      <c r="AU58" s="44">
        <v>1.247177188019948</v>
      </c>
      <c r="AV58" s="64" t="s">
        <v>397</v>
      </c>
      <c r="AW58" s="41">
        <v>17</v>
      </c>
      <c r="AX58" s="41">
        <f t="shared" ref="AX58:AX67" si="43">IF(AR58&lt;=AP58,1,0)</f>
        <v>1</v>
      </c>
      <c r="AY58" s="41">
        <f t="shared" ref="AY58:AY77" si="44">AR58-AP58</f>
        <v>-4</v>
      </c>
      <c r="AZ58" s="41" t="str">
        <f t="shared" ref="AZ58:AZ77" si="45">IF(AU58&gt;0,
    IF(OR(AP58&lt;=TRUNC(AW58/2,0), AP58=0),
        IF(AT58=TRUNC(AW58/2,0),
            "-1, Déficit y dejo la capacidad media",
            IF(AND(AT58&gt;TRUNC(AW58/2,0), AT58&gt;AP58),
                "1, Déficit y eliminé déficit",
                IF(AND(AT58&lt;TRUNC(AW58/2,0), AT58&lt;AP58),
                    "0, Déficit y no elimine déficit",
                    "-2, Déficit y resultado fue bueno")
            )
        ),
        IF(AND(AT58&gt;TRUNC(AW58/2,0), AT58&gt;AP58),
            "1, no había déficit, pero resultado fue mejor",
            IF(AND(AT58&lt;TRUNC(AW58/2,0), AT58&lt;AP58),
                "0, no había déficit y la dejo con déficit",
                IF(AT58=TRUNC(AW58/2,0),
                    "-1, no había déficit y dejo la capacidad media",
                    "-2,no había déficit y resultado fue bueno")
            )
        )
    ),
    IF(AU58&lt;0,
        IF(AP58&gt;TRUNC(AW58/2,0),
            IF(AT58=TRUNC(AW58/2,0),
                "-1, Superávit y deje la capacidad media",
                IF(AND(AT58&gt;TRUNC(AW58/2,0), AT58&gt;=AP58),
                    "0, Superávit y no eliminé superávit",
                    IF(AND(AT58&lt;TRUNC(AW58/2,0), AT58&lt;AP58),
                        "1, Superávit y eliminé superávit",
                        "-2, Superávit y resultado fue bueno"
                    )
                )
            ),
            IF(AND(AP58&lt;=TRUNC(AW58/2,0), AP58&gt;=0),
                IF(AT58=TRUNC(AW58/2,0),
                    "-1, no había superávit y deje la capacidad media",
                    IF(AND(AT58&gt;TRUNC(AW58/2,0), AT58&gt;=AP58),
                        "0, no había superávit, y la deje con superávit",
                        IF(AND(AT58&lt;TRUNC(AW58/2,0), AT58&lt;AP58),
                            "1, no había superávit, pero el resultado fue mejor",
                            "-2, no había superávit y resultado fue bueno"
                        )
                    )
                )
            )
        )
    )
)</f>
        <v>-1, Déficit y dejo la capacidad media</v>
      </c>
      <c r="BB58" s="3" t="s">
        <v>213</v>
      </c>
      <c r="BC58" s="3">
        <v>1</v>
      </c>
      <c r="BD58" s="18">
        <v>3.6666666666666665</v>
      </c>
      <c r="BE58" s="3">
        <v>0</v>
      </c>
      <c r="BF58" s="3">
        <v>1</v>
      </c>
      <c r="BG58" s="3">
        <v>8</v>
      </c>
      <c r="BH58" s="13">
        <v>1.247177188019948</v>
      </c>
      <c r="BI58" s="64" t="s">
        <v>397</v>
      </c>
      <c r="BJ58" s="13">
        <v>17</v>
      </c>
      <c r="BK58" s="3">
        <f t="shared" ref="BK58:BK67" si="46">IF(BE58&lt;=BC58,1,0)</f>
        <v>1</v>
      </c>
      <c r="BL58" s="3">
        <f t="shared" ref="BL58:BL77" si="47">BE58-BC58</f>
        <v>-1</v>
      </c>
      <c r="BM58" t="str">
        <f t="shared" ref="BM58:BM77" si="48">IF(BH58&gt;0,
    IF(OR(BC58&lt;=TRUNC(BJ58/2,0),BC58=0),
        IF(BG58=TRUNC(BJ58/2,0),
            "-1, Déficit y dejo la capacidad media",
            IF(AND(BG58&gt;TRUNC(BJ58/2,0), BG58&gt;BC58),
                "1, Déficit y eliminé déficit",
                IF(AND(BG58&lt;TRUNC(BJ58/2,0), BG58&lt;BC58),
                    "0, Déficit y no elimine déficit",
                    "-2, Déficit y resultado fue bueno")
            )
        ),
        IF(AND(BG58&gt;TRUNC(BJ58/2,0), BG58&gt;BC58),
            "1, no había déficit, pero resultado fue mejor",
            IF(AND(BG58&lt;TRUNC(BJ58/2,0),BG58&lt;BC58),
                "0, no había déficit y la dejo con déficit",
                IF(BG58=TRUNC(BJ58/2,0),
                    "-1, no había déficit y dejo la capacidad media",
                    "-2,no había déficit y resultado fue bueno")
            )
        )
    ),
    IF(BH58&lt;0,
        IF(BC58&gt;TRUNC(BJ58/2,0),
            IF(BG58=TRUNC(BJ58/2,0),
                "-1, Superávit y deje la capacidad media",
                IF(AND(BG58&gt;TRUNC(BJ58/2,0), BG58&gt;=BC58),
                    "0, Superávit y no eliminé superávit",
                    IF(AND(BG58&lt;TRUNC(BJ58/2,0),BG58&lt;BC58),
                        "1, Superávit y eliminé superávit",
                        "-2, Superávit y resultado fue bueno"
                    )
                )
            ),
            IF(AND(BC58&lt;=TRUNC(BJ58/2,0),BC58&gt;=0),
                IF(BG58=TRUNC(BJ58/2,0),
                    "-1, no había superávit y deje la capacidad media",
                    IF(AND(BG58&gt;TRUNC(BJ58/2,0), BG58&gt;=BC58),
                        "0, no había superávit, y la deje con superávit",
                        IF(AND(BG58&lt;TRUNC(BJ58/2,0),BG58&lt;BC58),
                            "1, no había superávit, pero el resultado fue mejor",
                            "-2, no había superávit y resultado fue bueno"
                        )
                    )
                )
            )
        )
    )
)</f>
        <v>-1, Déficit y dejo la capacidad media</v>
      </c>
      <c r="BO58" s="90" t="s">
        <v>213</v>
      </c>
      <c r="BP58" s="11">
        <v>14</v>
      </c>
      <c r="BQ58" s="25">
        <v>6.666666666666667</v>
      </c>
      <c r="BR58" s="11">
        <v>9</v>
      </c>
      <c r="BS58" s="11">
        <v>8</v>
      </c>
      <c r="BT58" s="11">
        <v>8</v>
      </c>
      <c r="BU58" s="64" t="s">
        <v>397</v>
      </c>
      <c r="BV58" s="13">
        <v>1.247177188019948</v>
      </c>
      <c r="BW58" s="13">
        <v>17</v>
      </c>
      <c r="BX58" s="11">
        <f t="shared" ref="BX58:BX67" si="49">IF(BR58&lt;=BP58,1,0)</f>
        <v>1</v>
      </c>
      <c r="BY58" s="11">
        <f t="shared" ref="BY58:BY77" si="50">BR58-BP58</f>
        <v>-5</v>
      </c>
      <c r="BZ58" t="str">
        <f t="shared" ref="BZ58:BZ77" si="51">IF(BV58&gt;0,
    IF(OR(BP58&lt;=TRUNC(BW58/2,0),BP58=0),
        IF(BT58=TRUNC(BW58/2,0),
            "-1, Déficit y dejo la capacidad media",
            IF(AND(BT58&gt;TRUNC(BW58/2,0), BT58&gt;BP58),
                "1, Déficit y eliminé déficit",
                IF(AND(BT58&lt;TRUNC(BW58/2,0), BT58&lt;BP58),
                    "0, Déficit y no elimine déficit",
                    "-2, Déficit y resultado fue bueno")
            )
        ),
        IF(AND(BT58&gt;TRUNC(BW58/2,0), BT58&gt;BP58),
            "1, no había déficit, pero resultado fue mejor",
            IF(AND(BT58&lt;TRUNC(BW58/2,0),BT58&lt;BP58),
                "0, no había déficit y la dejo con déficit",
                IF(BT58=TRUNC(BW58/2,0),
                    "-1, no había déficit y dejo la capacidad media",
                    "-2,no había déficit y resultado fue bueno")
            )
        )
    ),
    IF(BV58&lt;0,
        IF(BP58&gt;TRUNC(BW58/2,0),
            IF(BT58=TRUNC(BW58/2,0),
                "-1, Superávit y deje la capacidad media",
                IF(AND(BT58&gt;TRUNC(BW58/2,0), BT58&gt;=BP58),
                    "0, Superávit y no eliminé superávit",
                    IF(AND(BT58&lt;TRUNC(BW58/2,0),BT58&lt;BP58),
                        "1, Superávit y eliminé superávit",
                        "-2, Superávit y resultado fue bueno"
                    )
                )
            ),
            IF(AND(BP58&lt;=TRUNC(BW58/2,0),BP58&gt;=0),
                IF(BT58=TRUNC(BW58/2,0),
                    "-1, no había superávit y deje la capacidad media",
                    IF(AND(BT58&gt;TRUNC(BW58/2,0), BT58&gt;=BP58),
                        "0, no había superávit, y la deje con superávit",
                        IF(AND(BT58&lt;TRUNC(BW58/2,0),BT58&lt;BP58),
                            "1, no había superávit, pero el resultado fue mejor",
                            "-2, no había superávit y resultado fue bueno"
                        )
                    )
                )
            )
        )
    )
)</f>
        <v>-1, no había déficit y dejo la capacidad media</v>
      </c>
      <c r="CB58" s="3" t="s">
        <v>213</v>
      </c>
      <c r="CC58" s="3">
        <v>7</v>
      </c>
      <c r="CD58" s="18">
        <v>6</v>
      </c>
      <c r="CE58" s="3">
        <v>8</v>
      </c>
      <c r="CF58" s="3">
        <v>8</v>
      </c>
      <c r="CG58" s="3">
        <v>8</v>
      </c>
      <c r="CH58" s="13">
        <v>1.247177188019948</v>
      </c>
      <c r="CI58" s="64" t="s">
        <v>397</v>
      </c>
      <c r="CJ58" s="13">
        <v>17</v>
      </c>
      <c r="CK58" s="11">
        <f t="shared" ref="CK58:CK67" si="52">IF(CE58&lt;=CC58,1,0)</f>
        <v>0</v>
      </c>
      <c r="CL58" s="11">
        <f t="shared" ref="CL58:CL77" si="53">CE58-CC58</f>
        <v>1</v>
      </c>
      <c r="CM58" t="str">
        <f t="shared" ref="CM58:CM77" si="54">IF(CH58&gt;0,
    IF(OR(CC58&lt;=TRUNC(CJ58/2,0),CC58=0),
        IF(CG58=TRUNC(CJ58/2,0),
            "-1, Déficit y dejo la capacidad media",
            IF(AND(CG58&gt;TRUNC(CJ58/2,0), CG58&gt;CC58),
                "1, Déficit y eliminé déficit",
                IF(AND(CG58&lt;TRUNC(CJ58/2,0), CG58&lt;CC58),
                    "0, Déficit y no elimine déficit",
                    "-2, Déficit y resultado fue bueno")
            )
        ),
        IF(AND(CG58&gt;TRUNC(CJ58/2,0), CG58&gt;CC58),
            "1, no había déficit, pero resultado fue mejor",
            IF(AND(CG58&lt;TRUNC(CJ58/2,0),CG58&lt;CC58),
                "0, no había déficit y la dejo con déficit",
                IF(CG58=TRUNC(CJ58/2,0),
                    "-1, no había déficit y dejo la capacidad media",
                    "-2,no había déficit y resultado fue bueno")
            )
        )
    ),
    IF(CH58&lt;0,
        IF(CC58&gt;TRUNC(CJ58/2,0),
            IF(CG58=TRUNC(CJ58/2,0),
                "-1, Superávit y deje la capacidad media",
                IF(AND(CG58&gt;TRUNC(CJ58/2,0), CG58&gt;=CC58),
                    "0, Superávit y no eliminé superávit",
                    IF(AND(CG58&lt;TRUNC(CJ58/2,0),CG58&lt;CC58),
                        "1, Superávit y eliminé superávit",
                        "-2, Superávit y resultado fue bueno"
                    )
                )
            ),
            IF(AND(CC58&lt;=TRUNC(CJ58/2,0),CC58&gt;=0),
                IF(CG58=TRUNC(CJ58/2,0),
                    "-1, no había superávit y deje la capacidad media",
                    IF(AND(CG58&gt;TRUNC(CJ58/2,0), CG58&gt;=CC58),
                        "0, no había superávit, y la deje con superávit",
                        IF(AND(CG58&lt;TRUNC(CJ58/2,0),CG58&lt;CC58),
                            "1, no había superávit, pero el resultado fue mejor",
                            "-2, no había superávit y resultado fue bueno"
                        )
                    )
                )
            )
        )
    )
)</f>
        <v>-1, Déficit y dejo la capacidad media</v>
      </c>
      <c r="CO58" s="3" t="s">
        <v>213</v>
      </c>
      <c r="CP58" s="3">
        <v>7</v>
      </c>
      <c r="CQ58" s="18">
        <v>3.3333333333333335</v>
      </c>
      <c r="CR58" s="3">
        <v>7</v>
      </c>
      <c r="CS58" s="3">
        <v>7</v>
      </c>
      <c r="CT58" s="3">
        <v>8</v>
      </c>
      <c r="CU58" s="13">
        <v>1.247177188019948</v>
      </c>
      <c r="CV58" s="64" t="s">
        <v>397</v>
      </c>
      <c r="CW58" s="13">
        <v>17</v>
      </c>
      <c r="CX58" s="13">
        <f t="shared" ref="CX58:CX67" si="55">IF(CE58&lt;=CC58,1,0)</f>
        <v>0</v>
      </c>
      <c r="CY58" s="13">
        <f t="shared" ref="CY58:CY77" si="56">CR58-CP58</f>
        <v>0</v>
      </c>
      <c r="CZ58" t="str">
        <f t="shared" ref="CZ58:CZ77" si="57">IF(CU58&gt;0,
    IF(OR(CP58&lt;=TRUNC(CW58/2,0),CP58=0),
        IF(CT58=TRUNC(CW58/2,0),
            "-1, Déficit y dejo la capacidad media",
            IF(AND(CT58&gt;TRUNC(CW58/2,0), CT58&gt;CP58),
                "1, Déficit y eliminé déficit",
                IF(AND(CT58&lt;TRUNC(CW58/2,0), CT58&lt;CP58),
                    "0, Déficit y no elimine déficit",
                    "-2, Déficit y resultado fue bueno")
            )
        ),
        IF(AND(CT58&gt;TRUNC(CW58/2,0), CT58&gt;CP58),
            "1, no había déficit, pero resultado fue mejor",
            IF(AND(CT58&lt;TRUNC(CW58/2,0),CT58&lt;CP58),
                "0, no había déficit y la dejo con déficit",
                IF(CT58=TRUNC(CW58/2,0),
                    "-1, no había déficit y dejo la capacidad media",
                    "-2,no había déficit y resultado fue bueno")
            )
        )
    ),
    IF(CU58&lt;0,
        IF(CP58&gt;TRUNC(CW58/2,0),
            IF(CT58=TRUNC(CW58/2,0),
                "-1, Superávit y deje la capacidad media",
                IF(AND(CT58&gt;TRUNC(CW58/2,0), CT58&gt;=CP58),
                    "0, Superávit y no eliminé superávit",
                    IF(AND(CT58&lt;TRUNC(CW58/2,0),CT58&lt;CP58),
                        "1, Superávit y eliminé superávit",
                        "-2, Superávit y resultado fue bueno"
                    )
                )
            ),
            IF(AND(CP58&lt;=TRUNC(CW58/2,0),CP58&gt;=0),
                IF(CT58=TRUNC(CW58/2,0),
                    "-1, no había superávit y deje la capacidad media",
                    IF(AND(CT58&gt;TRUNC(CW58/2,0), CT58&gt;=CP58),
                        "0, no había superávit, y la deje con superávit",
                        IF(AND(CT58&lt;TRUNC(CW58/2,0),CT58&lt;CP58),
                            "1, no había superávit, pero el resultado fue mejor",
                            "-2, no había superávit y resultado fue bueno"
                        )
                    )
                )
            )
        )
    )
)</f>
        <v>-1, Déficit y dejo la capacidad media</v>
      </c>
    </row>
    <row r="59" spans="1:104" ht="14.25" customHeight="1" x14ac:dyDescent="0.3">
      <c r="A59" s="3" t="s">
        <v>215</v>
      </c>
      <c r="B59" s="3">
        <v>7</v>
      </c>
      <c r="C59" s="18">
        <v>5.5555555555555554</v>
      </c>
      <c r="D59" s="3">
        <v>6</v>
      </c>
      <c r="E59" s="3">
        <v>6</v>
      </c>
      <c r="F59" s="3">
        <v>7</v>
      </c>
      <c r="G59" s="13">
        <v>1.1425292918330761</v>
      </c>
      <c r="H59" s="64" t="s">
        <v>399</v>
      </c>
      <c r="I59" s="13">
        <v>15</v>
      </c>
      <c r="J59" s="11">
        <f t="shared" si="34"/>
        <v>1</v>
      </c>
      <c r="K59" s="11">
        <f t="shared" si="35"/>
        <v>-1</v>
      </c>
      <c r="L59" t="str">
        <f t="shared" si="36"/>
        <v>-1, Déficit y dejo la capacidad media</v>
      </c>
      <c r="N59" s="3" t="s">
        <v>215</v>
      </c>
      <c r="O59" s="3">
        <v>6</v>
      </c>
      <c r="P59" s="18">
        <v>4.666666666666667</v>
      </c>
      <c r="Q59" s="3">
        <v>4</v>
      </c>
      <c r="R59" s="3">
        <v>4</v>
      </c>
      <c r="S59" s="3">
        <v>7</v>
      </c>
      <c r="T59" s="13">
        <v>1.1425292918330761</v>
      </c>
      <c r="U59" s="64" t="s">
        <v>399</v>
      </c>
      <c r="V59" s="13">
        <v>15</v>
      </c>
      <c r="W59" s="11">
        <f t="shared" si="37"/>
        <v>1</v>
      </c>
      <c r="X59" s="71">
        <f t="shared" si="38"/>
        <v>-2</v>
      </c>
      <c r="Y59" s="64" t="str">
        <f t="shared" si="39"/>
        <v>-1, Déficit y dejo la capacidad media</v>
      </c>
      <c r="AB59" s="53" t="s">
        <v>215</v>
      </c>
      <c r="AC59" s="53">
        <v>8</v>
      </c>
      <c r="AD59" s="54">
        <v>6.1111111111111107</v>
      </c>
      <c r="AE59" s="53">
        <v>7</v>
      </c>
      <c r="AF59" s="53">
        <v>3</v>
      </c>
      <c r="AG59" s="53">
        <v>7</v>
      </c>
      <c r="AH59" s="51">
        <v>1.1425292918330761</v>
      </c>
      <c r="AI59" s="64" t="s">
        <v>399</v>
      </c>
      <c r="AJ59" s="51">
        <v>15</v>
      </c>
      <c r="AK59" s="53">
        <f t="shared" si="40"/>
        <v>1</v>
      </c>
      <c r="AL59" s="53">
        <f t="shared" si="41"/>
        <v>-1</v>
      </c>
      <c r="AM59" s="64" t="str">
        <f t="shared" si="42"/>
        <v>-1, no había déficit y dejo la capacidad media</v>
      </c>
      <c r="AO59" s="84" t="s">
        <v>215</v>
      </c>
      <c r="AP59" s="41">
        <v>0</v>
      </c>
      <c r="AQ59" s="43">
        <v>3.6666666666666665</v>
      </c>
      <c r="AR59" s="41">
        <v>0</v>
      </c>
      <c r="AS59" s="41">
        <v>0</v>
      </c>
      <c r="AT59" s="41">
        <v>7</v>
      </c>
      <c r="AU59" s="44">
        <v>1.1425292918330761</v>
      </c>
      <c r="AV59" s="64" t="s">
        <v>399</v>
      </c>
      <c r="AW59" s="41">
        <v>15</v>
      </c>
      <c r="AX59" s="41">
        <f t="shared" si="43"/>
        <v>1</v>
      </c>
      <c r="AY59" s="41">
        <f t="shared" si="44"/>
        <v>0</v>
      </c>
      <c r="AZ59" s="41" t="str">
        <f t="shared" si="45"/>
        <v>-1, Déficit y dejo la capacidad media</v>
      </c>
      <c r="BB59" s="3" t="s">
        <v>215</v>
      </c>
      <c r="BC59" s="3">
        <v>8</v>
      </c>
      <c r="BD59" s="18">
        <v>4.666666666666667</v>
      </c>
      <c r="BE59" s="3">
        <v>6</v>
      </c>
      <c r="BF59" s="3">
        <v>4</v>
      </c>
      <c r="BG59" s="3">
        <v>7</v>
      </c>
      <c r="BH59" s="13">
        <v>1.1425292918330761</v>
      </c>
      <c r="BI59" s="64" t="s">
        <v>399</v>
      </c>
      <c r="BJ59" s="13">
        <v>15</v>
      </c>
      <c r="BK59" s="3">
        <f t="shared" si="46"/>
        <v>1</v>
      </c>
      <c r="BL59" s="3">
        <f t="shared" si="47"/>
        <v>-2</v>
      </c>
      <c r="BM59" t="str">
        <f t="shared" si="48"/>
        <v>-1, no había déficit y dejo la capacidad media</v>
      </c>
      <c r="BO59" s="90" t="s">
        <v>215</v>
      </c>
      <c r="BP59" s="11">
        <v>3</v>
      </c>
      <c r="BQ59" s="25">
        <v>6.1111111111111107</v>
      </c>
      <c r="BR59" s="11">
        <v>4</v>
      </c>
      <c r="BS59" s="11">
        <v>2</v>
      </c>
      <c r="BT59" s="11">
        <v>7</v>
      </c>
      <c r="BU59" s="64" t="s">
        <v>399</v>
      </c>
      <c r="BV59" s="13">
        <v>1.1425292918330761</v>
      </c>
      <c r="BW59" s="13">
        <v>15</v>
      </c>
      <c r="BX59" s="11">
        <f t="shared" si="49"/>
        <v>0</v>
      </c>
      <c r="BY59" s="11">
        <f t="shared" si="50"/>
        <v>1</v>
      </c>
      <c r="BZ59" t="str">
        <f t="shared" si="51"/>
        <v>-1, Déficit y dejo la capacidad media</v>
      </c>
      <c r="CB59" s="3" t="s">
        <v>215</v>
      </c>
      <c r="CC59" s="3">
        <v>10</v>
      </c>
      <c r="CD59" s="18">
        <v>4.1111111111111107</v>
      </c>
      <c r="CE59" s="3">
        <v>10</v>
      </c>
      <c r="CF59" s="3">
        <v>10</v>
      </c>
      <c r="CG59" s="3">
        <v>8</v>
      </c>
      <c r="CH59" s="13">
        <v>1.1425292918330761</v>
      </c>
      <c r="CI59" s="64" t="s">
        <v>399</v>
      </c>
      <c r="CJ59" s="13">
        <v>15</v>
      </c>
      <c r="CK59" s="11">
        <f t="shared" si="52"/>
        <v>1</v>
      </c>
      <c r="CL59" s="11">
        <f t="shared" si="53"/>
        <v>0</v>
      </c>
      <c r="CM59" t="str">
        <f t="shared" si="54"/>
        <v>-2,no había déficit y resultado fue bueno</v>
      </c>
      <c r="CO59" s="3" t="s">
        <v>215</v>
      </c>
      <c r="CP59" s="3">
        <v>7</v>
      </c>
      <c r="CQ59" s="18">
        <v>5.5555555555555554</v>
      </c>
      <c r="CR59" s="3">
        <v>7</v>
      </c>
      <c r="CS59" s="3">
        <v>7</v>
      </c>
      <c r="CT59" s="3">
        <v>7</v>
      </c>
      <c r="CU59" s="13">
        <v>1.1425292918330761</v>
      </c>
      <c r="CV59" s="64" t="s">
        <v>399</v>
      </c>
      <c r="CW59" s="13">
        <v>15</v>
      </c>
      <c r="CX59" s="13">
        <f t="shared" si="55"/>
        <v>1</v>
      </c>
      <c r="CY59" s="13">
        <f t="shared" si="56"/>
        <v>0</v>
      </c>
      <c r="CZ59" t="str">
        <f t="shared" si="57"/>
        <v>-1, Déficit y dejo la capacidad media</v>
      </c>
    </row>
    <row r="60" spans="1:104" ht="14.25" customHeight="1" x14ac:dyDescent="0.3">
      <c r="A60" s="3" t="s">
        <v>216</v>
      </c>
      <c r="B60" s="3">
        <v>4</v>
      </c>
      <c r="C60" s="18">
        <v>3.2222222222222223</v>
      </c>
      <c r="D60" s="3">
        <v>4</v>
      </c>
      <c r="E60" s="3">
        <v>4</v>
      </c>
      <c r="F60" s="3">
        <v>5</v>
      </c>
      <c r="G60" s="13">
        <v>1.123713972805261</v>
      </c>
      <c r="H60" s="64" t="s">
        <v>398</v>
      </c>
      <c r="I60" s="13">
        <v>11</v>
      </c>
      <c r="J60" s="11">
        <f t="shared" si="34"/>
        <v>1</v>
      </c>
      <c r="K60" s="11">
        <f t="shared" si="35"/>
        <v>0</v>
      </c>
      <c r="L60" t="str">
        <f t="shared" si="36"/>
        <v>-1, Déficit y dejo la capacidad media</v>
      </c>
      <c r="N60" s="3" t="s">
        <v>216</v>
      </c>
      <c r="O60" s="3">
        <v>5</v>
      </c>
      <c r="P60" s="18">
        <v>3.2222222222222223</v>
      </c>
      <c r="Q60" s="3">
        <v>5</v>
      </c>
      <c r="R60" s="3">
        <v>5</v>
      </c>
      <c r="S60" s="3">
        <v>5</v>
      </c>
      <c r="T60" s="13">
        <v>1.123713972805261</v>
      </c>
      <c r="U60" s="64" t="s">
        <v>398</v>
      </c>
      <c r="V60" s="13">
        <v>11</v>
      </c>
      <c r="W60" s="11">
        <f t="shared" si="37"/>
        <v>1</v>
      </c>
      <c r="X60" s="71">
        <f t="shared" si="38"/>
        <v>0</v>
      </c>
      <c r="Y60" s="64" t="str">
        <f t="shared" si="39"/>
        <v>-1, Déficit y dejo la capacidad media</v>
      </c>
      <c r="AB60" s="53" t="s">
        <v>216</v>
      </c>
      <c r="AC60" s="53">
        <v>6</v>
      </c>
      <c r="AD60" s="54">
        <v>5</v>
      </c>
      <c r="AE60" s="53">
        <v>4</v>
      </c>
      <c r="AF60" s="53">
        <v>2</v>
      </c>
      <c r="AG60" s="53">
        <v>5</v>
      </c>
      <c r="AH60" s="51">
        <v>1.123713972805261</v>
      </c>
      <c r="AI60" s="64" t="s">
        <v>398</v>
      </c>
      <c r="AJ60" s="51">
        <v>11</v>
      </c>
      <c r="AK60" s="53">
        <f t="shared" si="40"/>
        <v>1</v>
      </c>
      <c r="AL60" s="53">
        <f t="shared" si="41"/>
        <v>-2</v>
      </c>
      <c r="AM60" s="64" t="str">
        <f t="shared" si="42"/>
        <v>-1, no había déficit y dejo la capacidad media</v>
      </c>
      <c r="AO60" s="84" t="s">
        <v>216</v>
      </c>
      <c r="AP60" s="41">
        <v>6</v>
      </c>
      <c r="AQ60" s="43">
        <v>4.1111111111111107</v>
      </c>
      <c r="AR60" s="41">
        <v>1</v>
      </c>
      <c r="AS60" s="41">
        <v>2</v>
      </c>
      <c r="AT60" s="41">
        <v>5</v>
      </c>
      <c r="AU60" s="44">
        <v>1.123713972805261</v>
      </c>
      <c r="AV60" s="64" t="s">
        <v>398</v>
      </c>
      <c r="AW60" s="41">
        <v>11</v>
      </c>
      <c r="AX60" s="41">
        <f t="shared" si="43"/>
        <v>1</v>
      </c>
      <c r="AY60" s="41">
        <f t="shared" si="44"/>
        <v>-5</v>
      </c>
      <c r="AZ60" s="41" t="str">
        <f t="shared" si="45"/>
        <v>-1, no había déficit y dejo la capacidad media</v>
      </c>
      <c r="BB60" s="3" t="s">
        <v>216</v>
      </c>
      <c r="BC60" s="3">
        <v>5</v>
      </c>
      <c r="BD60" s="18">
        <v>3.7777777777777777</v>
      </c>
      <c r="BE60" s="3">
        <v>3</v>
      </c>
      <c r="BF60" s="3">
        <v>2</v>
      </c>
      <c r="BG60" s="3">
        <v>5</v>
      </c>
      <c r="BH60" s="13">
        <v>1.123713972805261</v>
      </c>
      <c r="BI60" s="64" t="s">
        <v>398</v>
      </c>
      <c r="BJ60" s="13">
        <v>11</v>
      </c>
      <c r="BK60" s="3">
        <f t="shared" si="46"/>
        <v>1</v>
      </c>
      <c r="BL60" s="3">
        <f t="shared" si="47"/>
        <v>-2</v>
      </c>
      <c r="BM60" t="str">
        <f t="shared" si="48"/>
        <v>-1, Déficit y dejo la capacidad media</v>
      </c>
      <c r="BO60" s="90" t="s">
        <v>216</v>
      </c>
      <c r="BP60" s="11">
        <v>6</v>
      </c>
      <c r="BQ60" s="25">
        <v>6</v>
      </c>
      <c r="BR60" s="11">
        <v>6</v>
      </c>
      <c r="BS60" s="11">
        <v>6</v>
      </c>
      <c r="BT60" s="11">
        <v>5</v>
      </c>
      <c r="BU60" s="64" t="s">
        <v>398</v>
      </c>
      <c r="BV60" s="13">
        <v>1.123713972805261</v>
      </c>
      <c r="BW60" s="13">
        <v>11</v>
      </c>
      <c r="BX60" s="11">
        <f t="shared" si="49"/>
        <v>1</v>
      </c>
      <c r="BY60" s="11">
        <f t="shared" si="50"/>
        <v>0</v>
      </c>
      <c r="BZ60" t="str">
        <f t="shared" si="51"/>
        <v>-1, no había déficit y dejo la capacidad media</v>
      </c>
      <c r="CB60" s="3" t="s">
        <v>216</v>
      </c>
      <c r="CC60" s="3">
        <v>5</v>
      </c>
      <c r="CD60" s="18">
        <v>2.7777777777777777</v>
      </c>
      <c r="CE60" s="3">
        <v>6</v>
      </c>
      <c r="CF60" s="3">
        <v>6</v>
      </c>
      <c r="CG60" s="3">
        <v>5</v>
      </c>
      <c r="CH60" s="13">
        <v>1.123713972805261</v>
      </c>
      <c r="CI60" s="64" t="s">
        <v>398</v>
      </c>
      <c r="CJ60" s="13">
        <v>11</v>
      </c>
      <c r="CK60" s="11">
        <f t="shared" si="52"/>
        <v>0</v>
      </c>
      <c r="CL60" s="11">
        <f t="shared" si="53"/>
        <v>1</v>
      </c>
      <c r="CM60" t="str">
        <f t="shared" si="54"/>
        <v>-1, Déficit y dejo la capacidad media</v>
      </c>
      <c r="CO60" s="3" t="s">
        <v>216</v>
      </c>
      <c r="CP60" s="3">
        <v>4</v>
      </c>
      <c r="CQ60" s="18">
        <v>3.2222222222222223</v>
      </c>
      <c r="CR60" s="3">
        <v>4</v>
      </c>
      <c r="CS60" s="3">
        <v>4</v>
      </c>
      <c r="CT60" s="3">
        <v>5</v>
      </c>
      <c r="CU60" s="13">
        <v>1.123713972805261</v>
      </c>
      <c r="CV60" s="64" t="s">
        <v>398</v>
      </c>
      <c r="CW60" s="13">
        <v>11</v>
      </c>
      <c r="CX60" s="13">
        <f t="shared" si="55"/>
        <v>0</v>
      </c>
      <c r="CY60" s="13">
        <f t="shared" si="56"/>
        <v>0</v>
      </c>
      <c r="CZ60" t="str">
        <f t="shared" si="57"/>
        <v>-1, Déficit y dejo la capacidad media</v>
      </c>
    </row>
    <row r="61" spans="1:104" ht="14.25" customHeight="1" x14ac:dyDescent="0.3">
      <c r="A61" s="3" t="s">
        <v>217</v>
      </c>
      <c r="B61" s="3">
        <v>8</v>
      </c>
      <c r="C61" s="18">
        <v>2.7777777777777777</v>
      </c>
      <c r="D61" s="3">
        <v>8</v>
      </c>
      <c r="E61" s="3">
        <v>8</v>
      </c>
      <c r="F61" s="3">
        <v>7</v>
      </c>
      <c r="G61" s="13">
        <v>1.1139196755889551</v>
      </c>
      <c r="H61" s="64" t="s">
        <v>398</v>
      </c>
      <c r="I61" s="13">
        <v>11</v>
      </c>
      <c r="J61" s="11">
        <f t="shared" si="34"/>
        <v>1</v>
      </c>
      <c r="K61" s="11">
        <f t="shared" si="35"/>
        <v>0</v>
      </c>
      <c r="L61" t="str">
        <f t="shared" si="36"/>
        <v>-2,no había déficit y resultado fue bueno</v>
      </c>
      <c r="N61" s="3" t="s">
        <v>217</v>
      </c>
      <c r="O61" s="3">
        <v>4</v>
      </c>
      <c r="P61" s="18">
        <v>2.8888888888888888</v>
      </c>
      <c r="Q61" s="3">
        <v>4</v>
      </c>
      <c r="R61" s="3">
        <v>4</v>
      </c>
      <c r="S61" s="3">
        <v>5</v>
      </c>
      <c r="T61" s="13">
        <v>1.1139196755889551</v>
      </c>
      <c r="U61" s="64" t="s">
        <v>398</v>
      </c>
      <c r="V61" s="13">
        <v>11</v>
      </c>
      <c r="W61" s="11">
        <f t="shared" si="37"/>
        <v>1</v>
      </c>
      <c r="X61" s="71">
        <f t="shared" si="38"/>
        <v>0</v>
      </c>
      <c r="Y61" s="64" t="str">
        <f t="shared" si="39"/>
        <v>-1, Déficit y dejo la capacidad media</v>
      </c>
      <c r="AB61" s="53" t="s">
        <v>217</v>
      </c>
      <c r="AC61" s="53">
        <v>1</v>
      </c>
      <c r="AD61" s="54">
        <v>4.4444444444444446</v>
      </c>
      <c r="AE61" s="53">
        <v>0</v>
      </c>
      <c r="AF61" s="53">
        <v>0</v>
      </c>
      <c r="AG61" s="53">
        <v>5</v>
      </c>
      <c r="AH61" s="51">
        <v>1.1139196755889551</v>
      </c>
      <c r="AI61" s="64" t="s">
        <v>398</v>
      </c>
      <c r="AJ61" s="51">
        <v>11</v>
      </c>
      <c r="AK61" s="53">
        <f t="shared" si="40"/>
        <v>1</v>
      </c>
      <c r="AL61" s="53">
        <f t="shared" si="41"/>
        <v>-1</v>
      </c>
      <c r="AM61" s="64" t="str">
        <f t="shared" si="42"/>
        <v>-1, Déficit y dejo la capacidad media</v>
      </c>
      <c r="AO61" s="84" t="s">
        <v>217</v>
      </c>
      <c r="AP61" s="41">
        <v>8</v>
      </c>
      <c r="AQ61" s="43">
        <v>4.666666666666667</v>
      </c>
      <c r="AR61" s="41">
        <v>0</v>
      </c>
      <c r="AS61" s="41">
        <v>0</v>
      </c>
      <c r="AT61" s="41">
        <v>5</v>
      </c>
      <c r="AU61" s="44">
        <v>1.1139196755889551</v>
      </c>
      <c r="AV61" s="64" t="s">
        <v>398</v>
      </c>
      <c r="AW61" s="41">
        <v>11</v>
      </c>
      <c r="AX61" s="41">
        <f t="shared" si="43"/>
        <v>1</v>
      </c>
      <c r="AY61" s="41">
        <f t="shared" si="44"/>
        <v>-8</v>
      </c>
      <c r="AZ61" s="41" t="str">
        <f t="shared" si="45"/>
        <v>-1, no había déficit y dejo la capacidad media</v>
      </c>
      <c r="BB61" s="3" t="s">
        <v>217</v>
      </c>
      <c r="BC61" s="3">
        <v>5</v>
      </c>
      <c r="BD61" s="18">
        <v>5.7777777777777777</v>
      </c>
      <c r="BE61" s="3">
        <v>2</v>
      </c>
      <c r="BF61" s="3">
        <v>1</v>
      </c>
      <c r="BG61" s="3">
        <v>5</v>
      </c>
      <c r="BH61" s="13">
        <v>1.1139196755889551</v>
      </c>
      <c r="BI61" s="64" t="s">
        <v>398</v>
      </c>
      <c r="BJ61" s="13">
        <v>11</v>
      </c>
      <c r="BK61" s="3">
        <f t="shared" si="46"/>
        <v>1</v>
      </c>
      <c r="BL61" s="3">
        <f t="shared" si="47"/>
        <v>-3</v>
      </c>
      <c r="BM61" t="str">
        <f t="shared" si="48"/>
        <v>-1, Déficit y dejo la capacidad media</v>
      </c>
      <c r="BO61" s="90" t="s">
        <v>217</v>
      </c>
      <c r="BP61" s="11">
        <v>9</v>
      </c>
      <c r="BQ61" s="25">
        <v>3.3333333333333335</v>
      </c>
      <c r="BR61" s="11">
        <v>5</v>
      </c>
      <c r="BS61" s="11">
        <v>3</v>
      </c>
      <c r="BT61" s="11">
        <v>5</v>
      </c>
      <c r="BU61" s="64" t="s">
        <v>398</v>
      </c>
      <c r="BV61" s="13">
        <v>1.1139196755889551</v>
      </c>
      <c r="BW61" s="13">
        <v>11</v>
      </c>
      <c r="BX61" s="11">
        <f t="shared" si="49"/>
        <v>1</v>
      </c>
      <c r="BY61" s="11">
        <f t="shared" si="50"/>
        <v>-4</v>
      </c>
      <c r="BZ61" t="str">
        <f t="shared" si="51"/>
        <v>-1, no había déficit y dejo la capacidad media</v>
      </c>
      <c r="CB61" s="3" t="s">
        <v>217</v>
      </c>
      <c r="CC61" s="3">
        <v>3</v>
      </c>
      <c r="CD61" s="18">
        <v>2.7777777777777777</v>
      </c>
      <c r="CE61" s="3">
        <v>3</v>
      </c>
      <c r="CF61" s="3">
        <v>3</v>
      </c>
      <c r="CG61" s="3">
        <v>5</v>
      </c>
      <c r="CH61" s="13">
        <v>1.1139196755889551</v>
      </c>
      <c r="CI61" s="64" t="s">
        <v>398</v>
      </c>
      <c r="CJ61" s="13">
        <v>11</v>
      </c>
      <c r="CK61" s="11">
        <f t="shared" si="52"/>
        <v>1</v>
      </c>
      <c r="CL61" s="11">
        <f t="shared" si="53"/>
        <v>0</v>
      </c>
      <c r="CM61" t="str">
        <f t="shared" si="54"/>
        <v>-1, Déficit y dejo la capacidad media</v>
      </c>
      <c r="CO61" s="3" t="s">
        <v>217</v>
      </c>
      <c r="CP61" s="3">
        <v>0</v>
      </c>
      <c r="CQ61" s="18">
        <v>2.7777777777777777</v>
      </c>
      <c r="CR61" s="3">
        <v>0</v>
      </c>
      <c r="CS61" s="3">
        <v>0</v>
      </c>
      <c r="CT61" s="3">
        <v>6</v>
      </c>
      <c r="CU61" s="13">
        <v>1.1139196755889551</v>
      </c>
      <c r="CV61" s="64" t="s">
        <v>398</v>
      </c>
      <c r="CW61" s="13">
        <v>11</v>
      </c>
      <c r="CX61" s="13">
        <f t="shared" si="55"/>
        <v>1</v>
      </c>
      <c r="CY61" s="13">
        <f t="shared" si="56"/>
        <v>0</v>
      </c>
      <c r="CZ61" t="str">
        <f t="shared" si="57"/>
        <v>1, Déficit y eliminé déficit</v>
      </c>
    </row>
    <row r="62" spans="1:104" ht="14.25" customHeight="1" x14ac:dyDescent="0.3">
      <c r="A62" s="3" t="s">
        <v>218</v>
      </c>
      <c r="B62" s="3">
        <v>5</v>
      </c>
      <c r="C62" s="18">
        <v>3</v>
      </c>
      <c r="D62" s="3">
        <v>6</v>
      </c>
      <c r="E62" s="3">
        <v>6</v>
      </c>
      <c r="F62" s="3">
        <v>5</v>
      </c>
      <c r="G62" s="13">
        <v>1.0416402811862899</v>
      </c>
      <c r="H62" s="64" t="s">
        <v>398</v>
      </c>
      <c r="I62" s="13">
        <v>11</v>
      </c>
      <c r="J62" s="11">
        <f t="shared" si="34"/>
        <v>0</v>
      </c>
      <c r="K62" s="11">
        <f t="shared" si="35"/>
        <v>1</v>
      </c>
      <c r="L62" t="str">
        <f t="shared" si="36"/>
        <v>-1, Déficit y dejo la capacidad media</v>
      </c>
      <c r="N62" s="3" t="s">
        <v>218</v>
      </c>
      <c r="O62" s="3">
        <v>6</v>
      </c>
      <c r="P62" s="18">
        <v>2.8888888888888888</v>
      </c>
      <c r="Q62" s="3">
        <v>6</v>
      </c>
      <c r="R62" s="3">
        <v>7</v>
      </c>
      <c r="S62" s="3">
        <v>5</v>
      </c>
      <c r="T62" s="13">
        <v>1.0416402811862899</v>
      </c>
      <c r="U62" s="64" t="s">
        <v>398</v>
      </c>
      <c r="V62" s="13">
        <v>11</v>
      </c>
      <c r="W62" s="11">
        <f t="shared" si="37"/>
        <v>1</v>
      </c>
      <c r="X62" s="71">
        <f t="shared" si="38"/>
        <v>0</v>
      </c>
      <c r="Y62" s="64" t="str">
        <f t="shared" si="39"/>
        <v>-1, no había déficit y dejo la capacidad media</v>
      </c>
      <c r="AB62" s="53" t="s">
        <v>218</v>
      </c>
      <c r="AC62" s="53">
        <v>5</v>
      </c>
      <c r="AD62" s="54">
        <v>3.5555555555555554</v>
      </c>
      <c r="AE62" s="53">
        <v>1</v>
      </c>
      <c r="AF62" s="53">
        <v>1</v>
      </c>
      <c r="AG62" s="53">
        <v>5</v>
      </c>
      <c r="AH62" s="51">
        <v>1.0416402811862899</v>
      </c>
      <c r="AI62" s="64" t="s">
        <v>398</v>
      </c>
      <c r="AJ62" s="51">
        <v>11</v>
      </c>
      <c r="AK62" s="53">
        <f t="shared" si="40"/>
        <v>1</v>
      </c>
      <c r="AL62" s="53">
        <f t="shared" si="41"/>
        <v>-4</v>
      </c>
      <c r="AM62" s="64" t="str">
        <f t="shared" si="42"/>
        <v>-1, Déficit y dejo la capacidad media</v>
      </c>
      <c r="AO62" s="84" t="s">
        <v>218</v>
      </c>
      <c r="AP62" s="41">
        <v>2</v>
      </c>
      <c r="AQ62" s="43">
        <v>2.6666666666666665</v>
      </c>
      <c r="AR62" s="41">
        <v>1</v>
      </c>
      <c r="AS62" s="41">
        <v>0</v>
      </c>
      <c r="AT62" s="41">
        <v>5</v>
      </c>
      <c r="AU62" s="44">
        <v>1.0416402811862899</v>
      </c>
      <c r="AV62" s="64" t="s">
        <v>398</v>
      </c>
      <c r="AW62" s="41">
        <v>11</v>
      </c>
      <c r="AX62" s="41">
        <f t="shared" si="43"/>
        <v>1</v>
      </c>
      <c r="AY62" s="41">
        <f t="shared" si="44"/>
        <v>-1</v>
      </c>
      <c r="AZ62" s="41" t="str">
        <f t="shared" si="45"/>
        <v>-1, Déficit y dejo la capacidad media</v>
      </c>
      <c r="BB62" s="3" t="s">
        <v>218</v>
      </c>
      <c r="BC62" s="3">
        <v>0</v>
      </c>
      <c r="BD62" s="18">
        <v>1.4444444444444444</v>
      </c>
      <c r="BE62" s="3">
        <v>4</v>
      </c>
      <c r="BF62" s="3">
        <v>3</v>
      </c>
      <c r="BG62" s="3">
        <v>5</v>
      </c>
      <c r="BH62" s="13">
        <v>1.0416402811862899</v>
      </c>
      <c r="BI62" s="64" t="s">
        <v>398</v>
      </c>
      <c r="BJ62" s="13">
        <v>11</v>
      </c>
      <c r="BK62" s="3">
        <f t="shared" si="46"/>
        <v>0</v>
      </c>
      <c r="BL62" s="3">
        <f t="shared" si="47"/>
        <v>4</v>
      </c>
      <c r="BM62" t="str">
        <f t="shared" si="48"/>
        <v>-1, Déficit y dejo la capacidad media</v>
      </c>
      <c r="BO62" s="90" t="s">
        <v>218</v>
      </c>
      <c r="BP62" s="11">
        <v>10</v>
      </c>
      <c r="BQ62" s="25">
        <v>4</v>
      </c>
      <c r="BR62" s="11">
        <v>4</v>
      </c>
      <c r="BS62" s="11">
        <v>2</v>
      </c>
      <c r="BT62" s="11">
        <v>5</v>
      </c>
      <c r="BU62" s="64" t="s">
        <v>398</v>
      </c>
      <c r="BV62" s="13">
        <v>1.0416402811862899</v>
      </c>
      <c r="BW62" s="13">
        <v>11</v>
      </c>
      <c r="BX62" s="11">
        <f t="shared" si="49"/>
        <v>1</v>
      </c>
      <c r="BY62" s="11">
        <f t="shared" si="50"/>
        <v>-6</v>
      </c>
      <c r="BZ62" t="str">
        <f t="shared" si="51"/>
        <v>-1, no había déficit y dejo la capacidad media</v>
      </c>
      <c r="CB62" s="3" t="s">
        <v>218</v>
      </c>
      <c r="CC62" s="3">
        <v>5</v>
      </c>
      <c r="CD62" s="18">
        <v>1.7777777777777777</v>
      </c>
      <c r="CE62" s="3">
        <v>5</v>
      </c>
      <c r="CF62" s="3">
        <v>6</v>
      </c>
      <c r="CG62" s="3">
        <v>5</v>
      </c>
      <c r="CH62" s="13">
        <v>1.0416402811862899</v>
      </c>
      <c r="CI62" s="64" t="s">
        <v>398</v>
      </c>
      <c r="CJ62" s="13">
        <v>11</v>
      </c>
      <c r="CK62" s="11">
        <f t="shared" si="52"/>
        <v>1</v>
      </c>
      <c r="CL62" s="11">
        <f t="shared" si="53"/>
        <v>0</v>
      </c>
      <c r="CM62" t="str">
        <f t="shared" si="54"/>
        <v>-1, Déficit y dejo la capacidad media</v>
      </c>
      <c r="CO62" s="3" t="s">
        <v>218</v>
      </c>
      <c r="CP62" s="3">
        <v>0</v>
      </c>
      <c r="CQ62" s="18">
        <v>3</v>
      </c>
      <c r="CR62" s="3">
        <v>0</v>
      </c>
      <c r="CS62" s="3">
        <v>0</v>
      </c>
      <c r="CT62" s="3">
        <v>5</v>
      </c>
      <c r="CU62" s="13">
        <v>1.0416402811862899</v>
      </c>
      <c r="CV62" s="64" t="s">
        <v>398</v>
      </c>
      <c r="CW62" s="13">
        <v>11</v>
      </c>
      <c r="CX62" s="13">
        <f t="shared" si="55"/>
        <v>1</v>
      </c>
      <c r="CY62" s="13">
        <f t="shared" si="56"/>
        <v>0</v>
      </c>
      <c r="CZ62" t="str">
        <f t="shared" si="57"/>
        <v>-1, Déficit y dejo la capacidad media</v>
      </c>
    </row>
    <row r="63" spans="1:104" ht="14.25" customHeight="1" x14ac:dyDescent="0.3">
      <c r="A63" s="3" t="s">
        <v>220</v>
      </c>
      <c r="B63" s="3">
        <v>2</v>
      </c>
      <c r="C63" s="18">
        <v>8</v>
      </c>
      <c r="D63" s="3">
        <v>2</v>
      </c>
      <c r="E63" s="3">
        <v>2</v>
      </c>
      <c r="F63" s="3">
        <v>12</v>
      </c>
      <c r="G63" s="13">
        <v>0.99583449612816577</v>
      </c>
      <c r="H63" s="64" t="s">
        <v>404</v>
      </c>
      <c r="I63" s="13">
        <v>29</v>
      </c>
      <c r="J63" s="11">
        <f t="shared" si="34"/>
        <v>1</v>
      </c>
      <c r="K63" s="11">
        <f t="shared" si="35"/>
        <v>0</v>
      </c>
      <c r="L63" t="str">
        <f t="shared" si="36"/>
        <v>-2, Déficit y resultado fue bueno</v>
      </c>
      <c r="N63" s="3" t="s">
        <v>220</v>
      </c>
      <c r="O63" s="3">
        <v>0</v>
      </c>
      <c r="P63" s="18">
        <v>5.4444444444444446</v>
      </c>
      <c r="Q63" s="3">
        <v>0</v>
      </c>
      <c r="R63" s="3">
        <v>1</v>
      </c>
      <c r="S63" s="3">
        <v>11</v>
      </c>
      <c r="T63" s="13">
        <v>0.99583449612816577</v>
      </c>
      <c r="U63" s="64" t="s">
        <v>404</v>
      </c>
      <c r="V63" s="13">
        <v>29</v>
      </c>
      <c r="W63" s="11">
        <f t="shared" si="37"/>
        <v>1</v>
      </c>
      <c r="X63" s="71">
        <f t="shared" si="38"/>
        <v>0</v>
      </c>
      <c r="Y63" s="64" t="str">
        <f t="shared" si="39"/>
        <v>-2, Déficit y resultado fue bueno</v>
      </c>
      <c r="AB63" s="53" t="s">
        <v>220</v>
      </c>
      <c r="AC63" s="53">
        <v>17</v>
      </c>
      <c r="AD63" s="54">
        <v>10.222222222222221</v>
      </c>
      <c r="AE63" s="53">
        <v>8</v>
      </c>
      <c r="AF63" s="53">
        <v>6</v>
      </c>
      <c r="AG63" s="53">
        <v>11</v>
      </c>
      <c r="AH63" s="51">
        <v>0.99583449612816577</v>
      </c>
      <c r="AI63" s="64" t="s">
        <v>404</v>
      </c>
      <c r="AJ63" s="51">
        <v>29</v>
      </c>
      <c r="AK63" s="53">
        <f t="shared" si="40"/>
        <v>1</v>
      </c>
      <c r="AL63" s="53">
        <f t="shared" si="41"/>
        <v>-9</v>
      </c>
      <c r="AM63" s="64" t="str">
        <f t="shared" si="42"/>
        <v>0, no había déficit y la dejo con déficit</v>
      </c>
      <c r="AO63" s="84" t="s">
        <v>220</v>
      </c>
      <c r="AP63" s="41">
        <v>13</v>
      </c>
      <c r="AQ63" s="43">
        <v>10.333333333333334</v>
      </c>
      <c r="AR63" s="41">
        <v>10</v>
      </c>
      <c r="AS63" s="41">
        <v>6</v>
      </c>
      <c r="AT63" s="41">
        <v>11</v>
      </c>
      <c r="AU63" s="44">
        <v>0.99583449612816577</v>
      </c>
      <c r="AV63" s="64" t="s">
        <v>404</v>
      </c>
      <c r="AW63" s="41">
        <v>29</v>
      </c>
      <c r="AX63" s="41">
        <f t="shared" si="43"/>
        <v>1</v>
      </c>
      <c r="AY63" s="41">
        <f t="shared" si="44"/>
        <v>-3</v>
      </c>
      <c r="AZ63" s="41" t="str">
        <f t="shared" si="45"/>
        <v>0, Déficit y no elimine déficit</v>
      </c>
      <c r="BB63" s="3" t="s">
        <v>220</v>
      </c>
      <c r="BC63" s="3">
        <v>8</v>
      </c>
      <c r="BD63" s="18">
        <v>5.666666666666667</v>
      </c>
      <c r="BE63" s="3">
        <v>0</v>
      </c>
      <c r="BF63" s="3">
        <v>0</v>
      </c>
      <c r="BG63" s="3">
        <v>11</v>
      </c>
      <c r="BH63" s="13">
        <v>0.99583449612816577</v>
      </c>
      <c r="BI63" s="64" t="s">
        <v>404</v>
      </c>
      <c r="BJ63" s="13">
        <v>29</v>
      </c>
      <c r="BK63" s="3">
        <f t="shared" si="46"/>
        <v>1</v>
      </c>
      <c r="BL63" s="3">
        <f t="shared" si="47"/>
        <v>-8</v>
      </c>
      <c r="BM63" t="str">
        <f t="shared" si="48"/>
        <v>-2, Déficit y resultado fue bueno</v>
      </c>
      <c r="BO63" s="90" t="s">
        <v>220</v>
      </c>
      <c r="BP63" s="11">
        <v>8</v>
      </c>
      <c r="BQ63" s="25">
        <v>5.2222222222222223</v>
      </c>
      <c r="BR63" s="11">
        <v>4</v>
      </c>
      <c r="BS63" s="11">
        <v>4</v>
      </c>
      <c r="BT63" s="11">
        <v>14</v>
      </c>
      <c r="BU63" s="64" t="s">
        <v>404</v>
      </c>
      <c r="BV63" s="13">
        <v>0.99583449612816577</v>
      </c>
      <c r="BW63" s="13">
        <v>29</v>
      </c>
      <c r="BX63" s="11">
        <f t="shared" si="49"/>
        <v>1</v>
      </c>
      <c r="BY63" s="11">
        <f t="shared" si="50"/>
        <v>-4</v>
      </c>
      <c r="BZ63" t="str">
        <f t="shared" si="51"/>
        <v>-1, Déficit y dejo la capacidad media</v>
      </c>
      <c r="CB63" s="3" t="s">
        <v>220</v>
      </c>
      <c r="CC63" s="3">
        <v>4</v>
      </c>
      <c r="CD63" s="18">
        <v>5.333333333333333</v>
      </c>
      <c r="CE63" s="3">
        <v>3</v>
      </c>
      <c r="CF63" s="3">
        <v>3</v>
      </c>
      <c r="CG63" s="3">
        <v>12</v>
      </c>
      <c r="CH63" s="13">
        <v>0.99583449612816577</v>
      </c>
      <c r="CI63" s="64" t="s">
        <v>404</v>
      </c>
      <c r="CJ63" s="13">
        <v>29</v>
      </c>
      <c r="CK63" s="11">
        <f t="shared" si="52"/>
        <v>1</v>
      </c>
      <c r="CL63" s="11">
        <f t="shared" si="53"/>
        <v>-1</v>
      </c>
      <c r="CM63" t="str">
        <f t="shared" si="54"/>
        <v>-2, Déficit y resultado fue bueno</v>
      </c>
      <c r="CO63" s="3" t="s">
        <v>220</v>
      </c>
      <c r="CP63" s="3">
        <v>17</v>
      </c>
      <c r="CQ63" s="18">
        <v>8</v>
      </c>
      <c r="CR63" s="3">
        <v>16</v>
      </c>
      <c r="CS63" s="3">
        <v>17</v>
      </c>
      <c r="CT63" s="3">
        <v>11</v>
      </c>
      <c r="CU63" s="13">
        <v>0.99583449612816577</v>
      </c>
      <c r="CV63" s="64" t="s">
        <v>404</v>
      </c>
      <c r="CW63" s="13">
        <v>29</v>
      </c>
      <c r="CX63" s="13">
        <f t="shared" si="55"/>
        <v>1</v>
      </c>
      <c r="CY63" s="13">
        <f t="shared" si="56"/>
        <v>-1</v>
      </c>
      <c r="CZ63" t="str">
        <f t="shared" si="57"/>
        <v>0, no había déficit y la dejo con déficit</v>
      </c>
    </row>
    <row r="64" spans="1:104" ht="14.25" customHeight="1" x14ac:dyDescent="0.3">
      <c r="A64" s="3" t="s">
        <v>223</v>
      </c>
      <c r="B64" s="3">
        <v>3</v>
      </c>
      <c r="C64" s="18">
        <v>4.4444444444444446</v>
      </c>
      <c r="D64" s="3">
        <v>3</v>
      </c>
      <c r="E64" s="3">
        <v>2</v>
      </c>
      <c r="F64" s="3">
        <v>7</v>
      </c>
      <c r="G64" s="13">
        <v>0.9957863323050703</v>
      </c>
      <c r="H64" s="64" t="s">
        <v>402</v>
      </c>
      <c r="I64" s="13">
        <v>15</v>
      </c>
      <c r="J64" s="11">
        <f t="shared" si="34"/>
        <v>1</v>
      </c>
      <c r="K64" s="11">
        <f t="shared" si="35"/>
        <v>0</v>
      </c>
      <c r="L64" t="str">
        <f t="shared" si="36"/>
        <v>-1, Déficit y dejo la capacidad media</v>
      </c>
      <c r="N64" s="3" t="s">
        <v>223</v>
      </c>
      <c r="O64" s="3">
        <v>1</v>
      </c>
      <c r="P64" s="18">
        <v>3</v>
      </c>
      <c r="Q64" s="3">
        <v>0</v>
      </c>
      <c r="R64" s="3">
        <v>1</v>
      </c>
      <c r="S64" s="3">
        <v>7</v>
      </c>
      <c r="T64" s="13">
        <v>0.9957863323050703</v>
      </c>
      <c r="U64" s="64" t="s">
        <v>402</v>
      </c>
      <c r="V64" s="13">
        <v>15</v>
      </c>
      <c r="W64" s="11">
        <f t="shared" si="37"/>
        <v>1</v>
      </c>
      <c r="X64" s="71">
        <f t="shared" si="38"/>
        <v>-1</v>
      </c>
      <c r="Y64" s="64" t="str">
        <f t="shared" si="39"/>
        <v>-1, Déficit y dejo la capacidad media</v>
      </c>
      <c r="AB64" s="53" t="s">
        <v>223</v>
      </c>
      <c r="AC64" s="53">
        <v>1</v>
      </c>
      <c r="AD64" s="54">
        <v>6.7777777777777777</v>
      </c>
      <c r="AE64" s="53">
        <v>0</v>
      </c>
      <c r="AF64" s="53">
        <v>0</v>
      </c>
      <c r="AG64" s="53">
        <v>7</v>
      </c>
      <c r="AH64" s="51">
        <v>0.9957863323050703</v>
      </c>
      <c r="AI64" s="64" t="s">
        <v>402</v>
      </c>
      <c r="AJ64" s="51">
        <v>15</v>
      </c>
      <c r="AK64" s="53">
        <f t="shared" si="40"/>
        <v>1</v>
      </c>
      <c r="AL64" s="53">
        <f t="shared" si="41"/>
        <v>-1</v>
      </c>
      <c r="AM64" s="64" t="str">
        <f t="shared" si="42"/>
        <v>-1, Déficit y dejo la capacidad media</v>
      </c>
      <c r="AO64" s="84" t="s">
        <v>223</v>
      </c>
      <c r="AP64" s="41">
        <v>9</v>
      </c>
      <c r="AQ64" s="43">
        <v>6</v>
      </c>
      <c r="AR64" s="41">
        <v>6</v>
      </c>
      <c r="AS64" s="41">
        <v>7</v>
      </c>
      <c r="AT64" s="41">
        <v>7</v>
      </c>
      <c r="AU64" s="44">
        <v>0.9957863323050703</v>
      </c>
      <c r="AV64" s="64" t="s">
        <v>402</v>
      </c>
      <c r="AW64" s="41">
        <v>15</v>
      </c>
      <c r="AX64" s="41">
        <f t="shared" si="43"/>
        <v>1</v>
      </c>
      <c r="AY64" s="41">
        <f t="shared" si="44"/>
        <v>-3</v>
      </c>
      <c r="AZ64" s="41" t="str">
        <f t="shared" si="45"/>
        <v>-1, no había déficit y dejo la capacidad media</v>
      </c>
      <c r="BB64" s="3" t="s">
        <v>223</v>
      </c>
      <c r="BC64" s="3">
        <v>8</v>
      </c>
      <c r="BD64" s="18">
        <v>9</v>
      </c>
      <c r="BE64" s="3">
        <v>8</v>
      </c>
      <c r="BF64" s="3">
        <v>4</v>
      </c>
      <c r="BG64" s="3">
        <v>7</v>
      </c>
      <c r="BH64" s="13">
        <v>0.9957863323050703</v>
      </c>
      <c r="BI64" s="64" t="s">
        <v>402</v>
      </c>
      <c r="BJ64" s="13">
        <v>15</v>
      </c>
      <c r="BK64" s="3">
        <f t="shared" si="46"/>
        <v>1</v>
      </c>
      <c r="BL64" s="3">
        <f t="shared" si="47"/>
        <v>0</v>
      </c>
      <c r="BM64" t="str">
        <f t="shared" si="48"/>
        <v>-1, no había déficit y dejo la capacidad media</v>
      </c>
      <c r="BO64" s="90" t="s">
        <v>223</v>
      </c>
      <c r="BP64" s="11">
        <v>8</v>
      </c>
      <c r="BQ64" s="25">
        <v>7.8888888888888893</v>
      </c>
      <c r="BR64" s="11">
        <v>9</v>
      </c>
      <c r="BS64" s="11">
        <v>10</v>
      </c>
      <c r="BT64" s="11">
        <v>8</v>
      </c>
      <c r="BU64" s="64" t="s">
        <v>402</v>
      </c>
      <c r="BV64" s="13">
        <v>0.9957863323050703</v>
      </c>
      <c r="BW64" s="13">
        <v>15</v>
      </c>
      <c r="BX64" s="11">
        <f t="shared" si="49"/>
        <v>0</v>
      </c>
      <c r="BY64" s="11">
        <f t="shared" si="50"/>
        <v>1</v>
      </c>
      <c r="BZ64" t="str">
        <f t="shared" si="51"/>
        <v>-2,no había déficit y resultado fue bueno</v>
      </c>
      <c r="CB64" s="3" t="s">
        <v>223</v>
      </c>
      <c r="CC64" s="3">
        <v>0</v>
      </c>
      <c r="CD64" s="18">
        <v>4.8888888888888893</v>
      </c>
      <c r="CE64" s="3">
        <v>1</v>
      </c>
      <c r="CF64" s="3">
        <v>4</v>
      </c>
      <c r="CG64" s="3">
        <v>7</v>
      </c>
      <c r="CH64" s="13">
        <v>0.9957863323050703</v>
      </c>
      <c r="CI64" s="64" t="s">
        <v>402</v>
      </c>
      <c r="CJ64" s="13">
        <v>15</v>
      </c>
      <c r="CK64" s="11">
        <f t="shared" si="52"/>
        <v>0</v>
      </c>
      <c r="CL64" s="11">
        <f t="shared" si="53"/>
        <v>1</v>
      </c>
      <c r="CM64" t="str">
        <f t="shared" si="54"/>
        <v>-1, Déficit y dejo la capacidad media</v>
      </c>
      <c r="CO64" s="3" t="s">
        <v>223</v>
      </c>
      <c r="CP64" s="3">
        <v>0</v>
      </c>
      <c r="CQ64" s="18">
        <v>4.4444444444444446</v>
      </c>
      <c r="CR64" s="3">
        <v>0</v>
      </c>
      <c r="CS64" s="3">
        <v>10</v>
      </c>
      <c r="CT64" s="3">
        <v>7</v>
      </c>
      <c r="CU64" s="13">
        <v>0.9957863323050703</v>
      </c>
      <c r="CV64" s="64" t="s">
        <v>402</v>
      </c>
      <c r="CW64" s="13">
        <v>15</v>
      </c>
      <c r="CX64" s="13">
        <f t="shared" si="55"/>
        <v>0</v>
      </c>
      <c r="CY64" s="13">
        <f t="shared" si="56"/>
        <v>0</v>
      </c>
      <c r="CZ64" t="str">
        <f t="shared" si="57"/>
        <v>-1, Déficit y dejo la capacidad media</v>
      </c>
    </row>
    <row r="65" spans="1:104" ht="14.25" customHeight="1" x14ac:dyDescent="0.3">
      <c r="A65" s="3" t="s">
        <v>224</v>
      </c>
      <c r="B65" s="3">
        <v>5</v>
      </c>
      <c r="C65" s="18">
        <v>3.7777777777777777</v>
      </c>
      <c r="D65" s="3">
        <v>5</v>
      </c>
      <c r="E65" s="3">
        <v>4</v>
      </c>
      <c r="F65" s="3">
        <v>5</v>
      </c>
      <c r="G65" s="13">
        <v>0.98995442105744402</v>
      </c>
      <c r="H65" s="64" t="s">
        <v>398</v>
      </c>
      <c r="I65" s="13">
        <v>11</v>
      </c>
      <c r="J65" s="11">
        <f t="shared" si="34"/>
        <v>1</v>
      </c>
      <c r="K65" s="11">
        <f t="shared" si="35"/>
        <v>0</v>
      </c>
      <c r="L65" t="str">
        <f t="shared" si="36"/>
        <v>-1, Déficit y dejo la capacidad media</v>
      </c>
      <c r="N65" s="3" t="s">
        <v>224</v>
      </c>
      <c r="O65" s="3">
        <v>4</v>
      </c>
      <c r="P65" s="18">
        <v>1.8888888888888888</v>
      </c>
      <c r="Q65" s="3">
        <v>2</v>
      </c>
      <c r="R65" s="3">
        <v>1</v>
      </c>
      <c r="S65" s="3">
        <v>5</v>
      </c>
      <c r="T65" s="13">
        <v>0.98995442105744402</v>
      </c>
      <c r="U65" s="64" t="s">
        <v>398</v>
      </c>
      <c r="V65" s="13">
        <v>11</v>
      </c>
      <c r="W65" s="11">
        <f t="shared" si="37"/>
        <v>1</v>
      </c>
      <c r="X65" s="71">
        <f t="shared" si="38"/>
        <v>-2</v>
      </c>
      <c r="Y65" s="64" t="str">
        <f t="shared" si="39"/>
        <v>-1, Déficit y dejo la capacidad media</v>
      </c>
      <c r="AB65" s="53" t="s">
        <v>224</v>
      </c>
      <c r="AC65" s="53">
        <v>1</v>
      </c>
      <c r="AD65" s="54">
        <v>1.8888888888888888</v>
      </c>
      <c r="AE65" s="53">
        <v>1</v>
      </c>
      <c r="AF65" s="53">
        <v>1</v>
      </c>
      <c r="AG65" s="53">
        <v>5</v>
      </c>
      <c r="AH65" s="51">
        <v>0.98995442105744402</v>
      </c>
      <c r="AI65" s="64" t="s">
        <v>398</v>
      </c>
      <c r="AJ65" s="51">
        <v>11</v>
      </c>
      <c r="AK65" s="53">
        <f t="shared" si="40"/>
        <v>1</v>
      </c>
      <c r="AL65" s="53">
        <f t="shared" si="41"/>
        <v>0</v>
      </c>
      <c r="AM65" s="64" t="str">
        <f t="shared" si="42"/>
        <v>-1, Déficit y dejo la capacidad media</v>
      </c>
      <c r="AO65" s="84" t="s">
        <v>224</v>
      </c>
      <c r="AP65" s="41">
        <v>2</v>
      </c>
      <c r="AQ65" s="43">
        <v>1.5555555555555556</v>
      </c>
      <c r="AR65" s="41">
        <v>2</v>
      </c>
      <c r="AS65" s="41">
        <v>2</v>
      </c>
      <c r="AT65" s="41">
        <v>5</v>
      </c>
      <c r="AU65" s="44">
        <v>0.98995442105744402</v>
      </c>
      <c r="AV65" s="64" t="s">
        <v>398</v>
      </c>
      <c r="AW65" s="41">
        <v>11</v>
      </c>
      <c r="AX65" s="41">
        <f t="shared" si="43"/>
        <v>1</v>
      </c>
      <c r="AY65" s="41">
        <f t="shared" si="44"/>
        <v>0</v>
      </c>
      <c r="AZ65" s="41" t="str">
        <f t="shared" si="45"/>
        <v>-1, Déficit y dejo la capacidad media</v>
      </c>
      <c r="BB65" s="3" t="s">
        <v>224</v>
      </c>
      <c r="BC65" s="3">
        <v>1</v>
      </c>
      <c r="BD65" s="18">
        <v>0.88888888888888884</v>
      </c>
      <c r="BE65" s="3">
        <v>0</v>
      </c>
      <c r="BF65" s="3">
        <v>0</v>
      </c>
      <c r="BG65" s="3">
        <v>5</v>
      </c>
      <c r="BH65" s="13">
        <v>0.98995442105744402</v>
      </c>
      <c r="BI65" s="64" t="s">
        <v>398</v>
      </c>
      <c r="BJ65" s="13">
        <v>11</v>
      </c>
      <c r="BK65" s="3">
        <f t="shared" si="46"/>
        <v>1</v>
      </c>
      <c r="BL65" s="3">
        <f t="shared" si="47"/>
        <v>-1</v>
      </c>
      <c r="BM65" t="str">
        <f t="shared" si="48"/>
        <v>-1, Déficit y dejo la capacidad media</v>
      </c>
      <c r="BO65" s="90" t="s">
        <v>224</v>
      </c>
      <c r="BP65" s="11">
        <v>0</v>
      </c>
      <c r="BQ65" s="25">
        <v>3.1111111111111112</v>
      </c>
      <c r="BR65" s="11">
        <v>0</v>
      </c>
      <c r="BS65" s="11">
        <v>0</v>
      </c>
      <c r="BT65" s="11">
        <v>5</v>
      </c>
      <c r="BU65" s="64" t="s">
        <v>398</v>
      </c>
      <c r="BV65" s="13">
        <v>0.98995442105744402</v>
      </c>
      <c r="BW65" s="13">
        <v>11</v>
      </c>
      <c r="BX65" s="11">
        <f t="shared" si="49"/>
        <v>1</v>
      </c>
      <c r="BY65" s="11">
        <f t="shared" si="50"/>
        <v>0</v>
      </c>
      <c r="BZ65" t="str">
        <f t="shared" si="51"/>
        <v>-1, Déficit y dejo la capacidad media</v>
      </c>
      <c r="CB65" s="3" t="s">
        <v>224</v>
      </c>
      <c r="CC65" s="3">
        <v>0</v>
      </c>
      <c r="CD65" s="18">
        <v>2.3333333333333335</v>
      </c>
      <c r="CE65" s="3">
        <v>0</v>
      </c>
      <c r="CF65" s="3">
        <v>8</v>
      </c>
      <c r="CG65" s="3">
        <v>5</v>
      </c>
      <c r="CH65" s="13">
        <v>0.98995442105744402</v>
      </c>
      <c r="CI65" s="64" t="s">
        <v>398</v>
      </c>
      <c r="CJ65" s="13">
        <v>11</v>
      </c>
      <c r="CK65" s="11">
        <f t="shared" si="52"/>
        <v>1</v>
      </c>
      <c r="CL65" s="11">
        <f t="shared" si="53"/>
        <v>0</v>
      </c>
      <c r="CM65" t="str">
        <f t="shared" si="54"/>
        <v>-1, Déficit y dejo la capacidad media</v>
      </c>
      <c r="CO65" s="3" t="s">
        <v>224</v>
      </c>
      <c r="CP65" s="3">
        <v>3</v>
      </c>
      <c r="CQ65" s="18">
        <v>3.7777777777777777</v>
      </c>
      <c r="CR65" s="3">
        <v>1</v>
      </c>
      <c r="CS65" s="3">
        <v>2</v>
      </c>
      <c r="CT65" s="3">
        <v>5</v>
      </c>
      <c r="CU65" s="13">
        <v>0.98995442105744402</v>
      </c>
      <c r="CV65" s="64" t="s">
        <v>398</v>
      </c>
      <c r="CW65" s="13">
        <v>11</v>
      </c>
      <c r="CX65" s="13">
        <f t="shared" si="55"/>
        <v>1</v>
      </c>
      <c r="CY65" s="13">
        <f t="shared" si="56"/>
        <v>-2</v>
      </c>
      <c r="CZ65" t="str">
        <f t="shared" si="57"/>
        <v>-1, Déficit y dejo la capacidad media</v>
      </c>
    </row>
    <row r="66" spans="1:104" ht="14.25" customHeight="1" x14ac:dyDescent="0.3">
      <c r="A66" s="3" t="s">
        <v>225</v>
      </c>
      <c r="B66" s="3">
        <v>4</v>
      </c>
      <c r="C66" s="18">
        <v>5.8888888888888893</v>
      </c>
      <c r="D66" s="3">
        <v>2</v>
      </c>
      <c r="E66" s="3">
        <v>2</v>
      </c>
      <c r="F66" s="3">
        <v>7</v>
      </c>
      <c r="G66" s="13">
        <v>0.8928339600558084</v>
      </c>
      <c r="H66" s="64" t="s">
        <v>402</v>
      </c>
      <c r="I66" s="13">
        <v>15</v>
      </c>
      <c r="J66" s="11">
        <f t="shared" si="34"/>
        <v>1</v>
      </c>
      <c r="K66" s="11">
        <f t="shared" si="35"/>
        <v>-2</v>
      </c>
      <c r="L66" t="str">
        <f t="shared" si="36"/>
        <v>-1, Déficit y dejo la capacidad media</v>
      </c>
      <c r="N66" s="3" t="s">
        <v>225</v>
      </c>
      <c r="O66" s="3">
        <v>5</v>
      </c>
      <c r="P66" s="18">
        <v>3.3333333333333335</v>
      </c>
      <c r="Q66" s="3">
        <v>6</v>
      </c>
      <c r="R66" s="3">
        <v>6</v>
      </c>
      <c r="S66" s="3">
        <v>9</v>
      </c>
      <c r="T66" s="13">
        <v>0.8928339600558084</v>
      </c>
      <c r="U66" s="64" t="s">
        <v>402</v>
      </c>
      <c r="V66" s="13">
        <v>15</v>
      </c>
      <c r="W66" s="11">
        <f t="shared" si="37"/>
        <v>0</v>
      </c>
      <c r="X66" s="71">
        <f t="shared" si="38"/>
        <v>1</v>
      </c>
      <c r="Y66" s="64" t="str">
        <f t="shared" si="39"/>
        <v>1, Déficit y eliminé déficit</v>
      </c>
      <c r="AB66" s="53" t="s">
        <v>225</v>
      </c>
      <c r="AC66" s="53">
        <v>7</v>
      </c>
      <c r="AD66" s="54">
        <v>2.6666666666666665</v>
      </c>
      <c r="AE66" s="53">
        <v>5</v>
      </c>
      <c r="AF66" s="53">
        <v>5</v>
      </c>
      <c r="AG66" s="53">
        <v>7</v>
      </c>
      <c r="AH66" s="51">
        <v>0.8928339600558084</v>
      </c>
      <c r="AI66" s="64" t="s">
        <v>402</v>
      </c>
      <c r="AJ66" s="51">
        <v>15</v>
      </c>
      <c r="AK66" s="53">
        <f t="shared" si="40"/>
        <v>1</v>
      </c>
      <c r="AL66" s="53">
        <f t="shared" si="41"/>
        <v>-2</v>
      </c>
      <c r="AM66" s="64" t="str">
        <f t="shared" si="42"/>
        <v>-1, Déficit y dejo la capacidad media</v>
      </c>
      <c r="AO66" s="84" t="s">
        <v>225</v>
      </c>
      <c r="AP66" s="41">
        <v>0</v>
      </c>
      <c r="AQ66" s="43">
        <v>5</v>
      </c>
      <c r="AR66" s="41">
        <v>0</v>
      </c>
      <c r="AS66" s="41">
        <v>0</v>
      </c>
      <c r="AT66" s="41">
        <v>7</v>
      </c>
      <c r="AU66" s="44">
        <v>0.8928339600558084</v>
      </c>
      <c r="AV66" s="64" t="s">
        <v>402</v>
      </c>
      <c r="AW66" s="41">
        <v>15</v>
      </c>
      <c r="AX66" s="41">
        <f t="shared" si="43"/>
        <v>1</v>
      </c>
      <c r="AY66" s="41">
        <f t="shared" si="44"/>
        <v>0</v>
      </c>
      <c r="AZ66" s="41" t="str">
        <f t="shared" si="45"/>
        <v>-1, Déficit y dejo la capacidad media</v>
      </c>
      <c r="BB66" s="3" t="s">
        <v>225</v>
      </c>
      <c r="BC66" s="3">
        <v>9</v>
      </c>
      <c r="BD66" s="18">
        <v>4.5555555555555554</v>
      </c>
      <c r="BE66" s="3">
        <v>8</v>
      </c>
      <c r="BF66" s="3">
        <v>8</v>
      </c>
      <c r="BG66" s="3">
        <v>7</v>
      </c>
      <c r="BH66" s="13">
        <v>0.8928339600558084</v>
      </c>
      <c r="BI66" s="64" t="s">
        <v>402</v>
      </c>
      <c r="BJ66" s="13">
        <v>15</v>
      </c>
      <c r="BK66" s="3">
        <f t="shared" si="46"/>
        <v>1</v>
      </c>
      <c r="BL66" s="3">
        <f t="shared" si="47"/>
        <v>-1</v>
      </c>
      <c r="BM66" t="str">
        <f t="shared" si="48"/>
        <v>-1, no había déficit y dejo la capacidad media</v>
      </c>
      <c r="BO66" s="90" t="s">
        <v>225</v>
      </c>
      <c r="BP66" s="11">
        <v>6</v>
      </c>
      <c r="BQ66" s="25">
        <v>4.333333333333333</v>
      </c>
      <c r="BR66" s="11">
        <v>4</v>
      </c>
      <c r="BS66" s="11">
        <v>4</v>
      </c>
      <c r="BT66" s="11">
        <v>7</v>
      </c>
      <c r="BU66" s="64" t="s">
        <v>402</v>
      </c>
      <c r="BV66" s="13">
        <v>0.8928339600558084</v>
      </c>
      <c r="BW66" s="13">
        <v>15</v>
      </c>
      <c r="BX66" s="11">
        <f t="shared" si="49"/>
        <v>1</v>
      </c>
      <c r="BY66" s="11">
        <f t="shared" si="50"/>
        <v>-2</v>
      </c>
      <c r="BZ66" t="str">
        <f t="shared" si="51"/>
        <v>-1, Déficit y dejo la capacidad media</v>
      </c>
      <c r="CB66" s="3" t="s">
        <v>225</v>
      </c>
      <c r="CC66" s="3">
        <v>4</v>
      </c>
      <c r="CD66" s="18">
        <v>2.4444444444444446</v>
      </c>
      <c r="CE66" s="3">
        <v>1</v>
      </c>
      <c r="CF66" s="3">
        <v>1</v>
      </c>
      <c r="CG66" s="3">
        <v>7</v>
      </c>
      <c r="CH66" s="13">
        <v>0.8928339600558084</v>
      </c>
      <c r="CI66" s="64" t="s">
        <v>402</v>
      </c>
      <c r="CJ66" s="13">
        <v>15</v>
      </c>
      <c r="CK66" s="11">
        <f t="shared" si="52"/>
        <v>1</v>
      </c>
      <c r="CL66" s="11">
        <f t="shared" si="53"/>
        <v>-3</v>
      </c>
      <c r="CM66" t="str">
        <f t="shared" si="54"/>
        <v>-1, Déficit y dejo la capacidad media</v>
      </c>
      <c r="CO66" s="3" t="s">
        <v>225</v>
      </c>
      <c r="CP66" s="3">
        <v>9</v>
      </c>
      <c r="CQ66" s="18">
        <v>5.8888888888888893</v>
      </c>
      <c r="CR66" s="3">
        <v>9</v>
      </c>
      <c r="CS66" s="3">
        <v>9</v>
      </c>
      <c r="CT66" s="3">
        <v>7</v>
      </c>
      <c r="CU66" s="13">
        <v>0.8928339600558084</v>
      </c>
      <c r="CV66" s="64" t="s">
        <v>402</v>
      </c>
      <c r="CW66" s="13">
        <v>15</v>
      </c>
      <c r="CX66" s="13">
        <f t="shared" si="55"/>
        <v>1</v>
      </c>
      <c r="CY66" s="13">
        <f t="shared" si="56"/>
        <v>0</v>
      </c>
      <c r="CZ66" t="str">
        <f t="shared" si="57"/>
        <v>-1, no había déficit y dejo la capacidad media</v>
      </c>
    </row>
    <row r="67" spans="1:104" ht="14.25" customHeight="1" x14ac:dyDescent="0.3">
      <c r="A67" s="3" t="s">
        <v>227</v>
      </c>
      <c r="B67" s="3">
        <v>1</v>
      </c>
      <c r="C67" s="18">
        <v>2.5555555555555554</v>
      </c>
      <c r="D67" s="3">
        <v>6</v>
      </c>
      <c r="E67" s="3">
        <v>6</v>
      </c>
      <c r="F67" s="3">
        <v>5</v>
      </c>
      <c r="G67" s="13">
        <v>0.88597893866063815</v>
      </c>
      <c r="H67" s="64" t="s">
        <v>398</v>
      </c>
      <c r="I67" s="13">
        <v>11</v>
      </c>
      <c r="J67" s="11">
        <f t="shared" si="34"/>
        <v>0</v>
      </c>
      <c r="K67" s="11">
        <f t="shared" si="35"/>
        <v>5</v>
      </c>
      <c r="L67" t="str">
        <f t="shared" si="36"/>
        <v>-1, Déficit y dejo la capacidad media</v>
      </c>
      <c r="N67" s="3" t="s">
        <v>227</v>
      </c>
      <c r="O67" s="3">
        <v>2</v>
      </c>
      <c r="P67" s="18">
        <v>3.7777777777777777</v>
      </c>
      <c r="Q67" s="3">
        <v>3</v>
      </c>
      <c r="R67" s="3">
        <v>3</v>
      </c>
      <c r="S67" s="3">
        <v>5</v>
      </c>
      <c r="T67" s="13">
        <v>0.88597893866063815</v>
      </c>
      <c r="U67" s="64" t="s">
        <v>398</v>
      </c>
      <c r="V67" s="13">
        <v>11</v>
      </c>
      <c r="W67" s="11">
        <f t="shared" si="37"/>
        <v>0</v>
      </c>
      <c r="X67" s="71">
        <f t="shared" si="38"/>
        <v>1</v>
      </c>
      <c r="Y67" s="64" t="str">
        <f t="shared" si="39"/>
        <v>-1, Déficit y dejo la capacidad media</v>
      </c>
      <c r="AB67" s="53" t="s">
        <v>227</v>
      </c>
      <c r="AC67" s="53">
        <v>3</v>
      </c>
      <c r="AD67" s="54">
        <v>2.4444444444444446</v>
      </c>
      <c r="AE67" s="53">
        <v>4</v>
      </c>
      <c r="AF67" s="53">
        <v>4</v>
      </c>
      <c r="AG67" s="53">
        <v>5</v>
      </c>
      <c r="AH67" s="51">
        <v>0.88597893866063815</v>
      </c>
      <c r="AI67" s="64" t="s">
        <v>398</v>
      </c>
      <c r="AJ67" s="51">
        <v>11</v>
      </c>
      <c r="AK67" s="53">
        <f t="shared" si="40"/>
        <v>0</v>
      </c>
      <c r="AL67" s="53">
        <f t="shared" si="41"/>
        <v>1</v>
      </c>
      <c r="AM67" s="64" t="str">
        <f t="shared" si="42"/>
        <v>-1, Déficit y dejo la capacidad media</v>
      </c>
      <c r="AO67" s="84" t="s">
        <v>227</v>
      </c>
      <c r="AP67" s="41">
        <v>3</v>
      </c>
      <c r="AQ67" s="43">
        <v>3.4444444444444446</v>
      </c>
      <c r="AR67" s="41">
        <v>2</v>
      </c>
      <c r="AS67" s="41">
        <v>2</v>
      </c>
      <c r="AT67" s="41">
        <v>5</v>
      </c>
      <c r="AU67" s="44">
        <v>0.88597893866063815</v>
      </c>
      <c r="AV67" s="64" t="s">
        <v>398</v>
      </c>
      <c r="AW67" s="41">
        <v>11</v>
      </c>
      <c r="AX67" s="41">
        <f t="shared" si="43"/>
        <v>1</v>
      </c>
      <c r="AY67" s="41">
        <f t="shared" si="44"/>
        <v>-1</v>
      </c>
      <c r="AZ67" s="41" t="str">
        <f t="shared" si="45"/>
        <v>-1, Déficit y dejo la capacidad media</v>
      </c>
      <c r="BB67" s="3" t="s">
        <v>227</v>
      </c>
      <c r="BC67" s="3">
        <v>0</v>
      </c>
      <c r="BD67" s="18">
        <v>4.5555555555555554</v>
      </c>
      <c r="BE67" s="3">
        <v>0</v>
      </c>
      <c r="BF67" s="3">
        <v>0</v>
      </c>
      <c r="BG67" s="3">
        <v>5</v>
      </c>
      <c r="BH67" s="13">
        <v>0.88597893866063815</v>
      </c>
      <c r="BI67" s="64" t="s">
        <v>398</v>
      </c>
      <c r="BJ67" s="13">
        <v>11</v>
      </c>
      <c r="BK67" s="3">
        <f t="shared" si="46"/>
        <v>1</v>
      </c>
      <c r="BL67" s="3">
        <f t="shared" si="47"/>
        <v>0</v>
      </c>
      <c r="BM67" t="str">
        <f t="shared" si="48"/>
        <v>-1, Déficit y dejo la capacidad media</v>
      </c>
      <c r="BO67" s="90" t="s">
        <v>227</v>
      </c>
      <c r="BP67" s="11">
        <v>6</v>
      </c>
      <c r="BQ67" s="25">
        <v>4.7777777777777777</v>
      </c>
      <c r="BR67" s="11">
        <v>5</v>
      </c>
      <c r="BS67" s="11">
        <v>5</v>
      </c>
      <c r="BT67" s="11">
        <v>6</v>
      </c>
      <c r="BU67" s="64" t="s">
        <v>398</v>
      </c>
      <c r="BV67" s="13">
        <v>0.88597893866063815</v>
      </c>
      <c r="BW67" s="13">
        <v>11</v>
      </c>
      <c r="BX67" s="11">
        <f t="shared" si="49"/>
        <v>1</v>
      </c>
      <c r="BY67" s="11">
        <f t="shared" si="50"/>
        <v>-1</v>
      </c>
      <c r="BZ67" t="str">
        <f t="shared" si="51"/>
        <v>-2,no había déficit y resultado fue bueno</v>
      </c>
      <c r="CB67" s="3" t="s">
        <v>227</v>
      </c>
      <c r="CC67" s="3">
        <v>10</v>
      </c>
      <c r="CD67" s="18">
        <v>4.4444444444444446</v>
      </c>
      <c r="CE67" s="3">
        <v>7</v>
      </c>
      <c r="CF67" s="3">
        <v>7</v>
      </c>
      <c r="CG67" s="3">
        <v>5</v>
      </c>
      <c r="CH67" s="13">
        <v>0.88597893866063815</v>
      </c>
      <c r="CI67" s="64" t="s">
        <v>398</v>
      </c>
      <c r="CJ67" s="13">
        <v>11</v>
      </c>
      <c r="CK67" s="11">
        <f t="shared" si="52"/>
        <v>1</v>
      </c>
      <c r="CL67" s="11">
        <f t="shared" si="53"/>
        <v>-3</v>
      </c>
      <c r="CM67" t="str">
        <f t="shared" si="54"/>
        <v>-1, no había déficit y dejo la capacidad media</v>
      </c>
      <c r="CO67" s="3" t="s">
        <v>227</v>
      </c>
      <c r="CP67" s="3">
        <v>1</v>
      </c>
      <c r="CQ67" s="18">
        <v>2.5555555555555554</v>
      </c>
      <c r="CR67" s="3">
        <v>9</v>
      </c>
      <c r="CS67" s="3">
        <v>7</v>
      </c>
      <c r="CT67" s="3">
        <v>5</v>
      </c>
      <c r="CU67" s="13">
        <v>0.88597893866063815</v>
      </c>
      <c r="CV67" s="64" t="s">
        <v>398</v>
      </c>
      <c r="CW67" s="13">
        <v>11</v>
      </c>
      <c r="CX67" s="13">
        <f t="shared" si="55"/>
        <v>1</v>
      </c>
      <c r="CY67" s="13">
        <f t="shared" si="56"/>
        <v>8</v>
      </c>
      <c r="CZ67" t="str">
        <f t="shared" si="57"/>
        <v>-1, Déficit y dejo la capacidad media</v>
      </c>
    </row>
    <row r="68" spans="1:104" ht="14.25" customHeight="1" x14ac:dyDescent="0.3">
      <c r="A68" s="3" t="s">
        <v>229</v>
      </c>
      <c r="B68" s="3">
        <v>12</v>
      </c>
      <c r="C68" s="18">
        <v>10</v>
      </c>
      <c r="D68" s="3">
        <v>12</v>
      </c>
      <c r="E68" s="3">
        <v>12</v>
      </c>
      <c r="F68" s="3">
        <v>4</v>
      </c>
      <c r="G68" s="13">
        <v>-1.0923718971587979</v>
      </c>
      <c r="H68" s="64" t="s">
        <v>401</v>
      </c>
      <c r="I68" s="13">
        <v>15</v>
      </c>
      <c r="J68" s="11">
        <f t="shared" ref="J68:J77" si="58">IF(D68&gt;=B68,1,0)</f>
        <v>1</v>
      </c>
      <c r="K68" s="11">
        <f t="shared" si="35"/>
        <v>0</v>
      </c>
      <c r="L68" t="str">
        <f t="shared" si="36"/>
        <v>1, Superávit y eliminé superávit</v>
      </c>
      <c r="N68" s="3" t="s">
        <v>229</v>
      </c>
      <c r="O68" s="3">
        <v>11</v>
      </c>
      <c r="P68" s="18">
        <v>9.8888888888888893</v>
      </c>
      <c r="Q68" s="3">
        <v>10</v>
      </c>
      <c r="R68" s="3">
        <v>10</v>
      </c>
      <c r="S68" s="3">
        <v>3</v>
      </c>
      <c r="T68" s="13">
        <v>-1.0923718971587979</v>
      </c>
      <c r="U68" s="64" t="s">
        <v>401</v>
      </c>
      <c r="V68" s="13">
        <v>15</v>
      </c>
      <c r="W68" s="11">
        <f t="shared" ref="W68:W77" si="59">IF(Q68&gt;=O68,1,0)</f>
        <v>0</v>
      </c>
      <c r="X68" s="71">
        <f t="shared" si="38"/>
        <v>-1</v>
      </c>
      <c r="Y68" s="64" t="str">
        <f t="shared" si="39"/>
        <v>1, Superávit y eliminé superávit</v>
      </c>
      <c r="AB68" s="53" t="s">
        <v>229</v>
      </c>
      <c r="AC68" s="53">
        <v>1</v>
      </c>
      <c r="AD68" s="54">
        <v>6.666666666666667</v>
      </c>
      <c r="AE68" s="53">
        <v>5</v>
      </c>
      <c r="AF68" s="53">
        <v>5</v>
      </c>
      <c r="AG68" s="53">
        <v>11</v>
      </c>
      <c r="AH68" s="51">
        <v>-1.0923718971587979</v>
      </c>
      <c r="AI68" s="64" t="s">
        <v>401</v>
      </c>
      <c r="AJ68" s="51">
        <v>15</v>
      </c>
      <c r="AK68" s="53">
        <f t="shared" ref="AK68:AK77" si="60">IF(AE68&gt;=AC68,1,0)</f>
        <v>1</v>
      </c>
      <c r="AL68" s="53">
        <f t="shared" si="41"/>
        <v>4</v>
      </c>
      <c r="AM68" s="64" t="str">
        <f t="shared" si="42"/>
        <v>0, no había superávit, y la deje con superávit</v>
      </c>
      <c r="AO68" s="84" t="s">
        <v>229</v>
      </c>
      <c r="AP68" s="41">
        <v>9</v>
      </c>
      <c r="AQ68" s="43">
        <v>9</v>
      </c>
      <c r="AR68" s="41">
        <v>10</v>
      </c>
      <c r="AS68" s="41">
        <v>11</v>
      </c>
      <c r="AT68" s="41">
        <v>9</v>
      </c>
      <c r="AU68" s="44">
        <v>-1.0923718971587979</v>
      </c>
      <c r="AV68" s="64" t="s">
        <v>401</v>
      </c>
      <c r="AW68" s="41">
        <v>15</v>
      </c>
      <c r="AX68" s="41">
        <f t="shared" ref="AX68:AX77" si="61">IF(AR68&gt;=AP68,1,0)</f>
        <v>1</v>
      </c>
      <c r="AY68" s="41">
        <f t="shared" si="44"/>
        <v>1</v>
      </c>
      <c r="AZ68" s="41" t="str">
        <f t="shared" si="45"/>
        <v>0, Superávit y no eliminé superávit</v>
      </c>
      <c r="BB68" s="3" t="s">
        <v>229</v>
      </c>
      <c r="BC68" s="3">
        <v>8</v>
      </c>
      <c r="BD68" s="18">
        <v>9.4444444444444446</v>
      </c>
      <c r="BE68" s="3">
        <v>13</v>
      </c>
      <c r="BF68" s="3">
        <v>13</v>
      </c>
      <c r="BG68" s="3">
        <v>2</v>
      </c>
      <c r="BH68" s="13">
        <v>-1.0923718971587979</v>
      </c>
      <c r="BI68" s="64" t="s">
        <v>401</v>
      </c>
      <c r="BJ68" s="13">
        <v>15</v>
      </c>
      <c r="BK68" s="3">
        <f t="shared" ref="BK68:BK77" si="62">IF(BE68&gt;=BC68,1,0)</f>
        <v>1</v>
      </c>
      <c r="BL68" s="3">
        <f t="shared" si="47"/>
        <v>5</v>
      </c>
      <c r="BM68" t="str">
        <f t="shared" si="48"/>
        <v>1, Superávit y eliminé superávit</v>
      </c>
      <c r="BO68" s="90" t="s">
        <v>229</v>
      </c>
      <c r="BP68" s="11">
        <v>12</v>
      </c>
      <c r="BQ68" s="25">
        <v>8.3333333333333339</v>
      </c>
      <c r="BR68" s="11">
        <v>11</v>
      </c>
      <c r="BS68" s="11">
        <v>13</v>
      </c>
      <c r="BT68" s="11">
        <v>12</v>
      </c>
      <c r="BU68" s="64" t="s">
        <v>401</v>
      </c>
      <c r="BV68" s="13">
        <v>-1.0923718971587979</v>
      </c>
      <c r="BW68" s="13">
        <v>15</v>
      </c>
      <c r="BX68" s="11">
        <f t="shared" ref="BX68:BX77" si="63">IF(BR68&gt;=BP68,1,0)</f>
        <v>0</v>
      </c>
      <c r="BY68" s="11">
        <f t="shared" si="50"/>
        <v>-1</v>
      </c>
      <c r="BZ68" t="str">
        <f t="shared" si="51"/>
        <v>0, Superávit y no eliminé superávit</v>
      </c>
      <c r="CB68" s="3" t="s">
        <v>229</v>
      </c>
      <c r="CC68" s="3">
        <v>8</v>
      </c>
      <c r="CD68" s="18">
        <v>10.777777777777779</v>
      </c>
      <c r="CE68" s="3">
        <v>9</v>
      </c>
      <c r="CF68" s="3">
        <v>8</v>
      </c>
      <c r="CG68" s="3">
        <v>8</v>
      </c>
      <c r="CH68" s="13">
        <v>-1.0923718971587979</v>
      </c>
      <c r="CI68" s="64" t="s">
        <v>401</v>
      </c>
      <c r="CJ68" s="13">
        <v>15</v>
      </c>
      <c r="CK68" s="11">
        <f t="shared" ref="CK68:CK77" si="64">IF(CE68&gt;=CC68,1,0)</f>
        <v>1</v>
      </c>
      <c r="CL68" s="11">
        <f t="shared" si="53"/>
        <v>1</v>
      </c>
      <c r="CM68" t="str">
        <f t="shared" si="54"/>
        <v>0, Superávit y no eliminé superávit</v>
      </c>
      <c r="CO68" s="3" t="s">
        <v>229</v>
      </c>
      <c r="CP68" s="3">
        <v>7</v>
      </c>
      <c r="CQ68" s="18">
        <v>10</v>
      </c>
      <c r="CR68" s="3">
        <v>8</v>
      </c>
      <c r="CS68" s="3">
        <v>11</v>
      </c>
      <c r="CT68" s="3">
        <v>7</v>
      </c>
      <c r="CU68" s="13">
        <v>-1.0923718971587979</v>
      </c>
      <c r="CV68" s="64" t="s">
        <v>401</v>
      </c>
      <c r="CW68" s="13">
        <v>15</v>
      </c>
      <c r="CX68" s="13">
        <f t="shared" ref="CX68:CX77" si="65">IF(CE68&gt;=CC68,1,0)</f>
        <v>1</v>
      </c>
      <c r="CY68" s="13">
        <f t="shared" si="56"/>
        <v>1</v>
      </c>
      <c r="CZ68" t="str">
        <f t="shared" si="57"/>
        <v>-1, no había superávit y deje la capacidad media</v>
      </c>
    </row>
    <row r="69" spans="1:104" ht="14.25" customHeight="1" x14ac:dyDescent="0.3">
      <c r="A69" s="3" t="s">
        <v>232</v>
      </c>
      <c r="B69" s="3">
        <v>7</v>
      </c>
      <c r="C69" s="18">
        <v>14.777777777777779</v>
      </c>
      <c r="D69" s="3">
        <v>9</v>
      </c>
      <c r="E69" s="3">
        <v>11</v>
      </c>
      <c r="F69" s="3">
        <v>7</v>
      </c>
      <c r="G69" s="13">
        <v>-1.1154133211974251</v>
      </c>
      <c r="H69" s="64" t="s">
        <v>406</v>
      </c>
      <c r="I69" s="13">
        <v>19</v>
      </c>
      <c r="J69" s="11">
        <f t="shared" si="58"/>
        <v>1</v>
      </c>
      <c r="K69" s="11">
        <f t="shared" si="35"/>
        <v>2</v>
      </c>
      <c r="L69" t="str">
        <f t="shared" si="36"/>
        <v>-2, no había superávit y resultado fue bueno</v>
      </c>
      <c r="N69" s="3" t="s">
        <v>232</v>
      </c>
      <c r="O69" s="3">
        <v>12</v>
      </c>
      <c r="P69" s="18">
        <v>14.444444444444445</v>
      </c>
      <c r="Q69" s="3">
        <v>15</v>
      </c>
      <c r="R69" s="3">
        <v>15</v>
      </c>
      <c r="S69" s="3">
        <v>12</v>
      </c>
      <c r="T69" s="13">
        <v>-1.1154133211974251</v>
      </c>
      <c r="U69" s="64" t="s">
        <v>406</v>
      </c>
      <c r="V69" s="13">
        <v>19</v>
      </c>
      <c r="W69" s="11">
        <f t="shared" si="59"/>
        <v>1</v>
      </c>
      <c r="X69" s="71">
        <f t="shared" si="38"/>
        <v>3</v>
      </c>
      <c r="Y69" s="64" t="str">
        <f t="shared" si="39"/>
        <v>0, Superávit y no eliminé superávit</v>
      </c>
      <c r="AB69" s="53" t="s">
        <v>232</v>
      </c>
      <c r="AC69" s="53">
        <v>16</v>
      </c>
      <c r="AD69" s="54">
        <v>10.333333333333334</v>
      </c>
      <c r="AE69" s="53">
        <v>15</v>
      </c>
      <c r="AF69" s="53">
        <v>17</v>
      </c>
      <c r="AG69" s="53">
        <v>16</v>
      </c>
      <c r="AH69" s="51">
        <v>-1.1154133211974251</v>
      </c>
      <c r="AI69" s="64" t="s">
        <v>406</v>
      </c>
      <c r="AJ69" s="51">
        <v>19</v>
      </c>
      <c r="AK69" s="53">
        <f t="shared" si="60"/>
        <v>0</v>
      </c>
      <c r="AL69" s="53">
        <f t="shared" si="41"/>
        <v>-1</v>
      </c>
      <c r="AM69" s="64" t="str">
        <f t="shared" si="42"/>
        <v>0, Superávit y no eliminé superávit</v>
      </c>
      <c r="AO69" s="84" t="s">
        <v>232</v>
      </c>
      <c r="AP69" s="41">
        <v>14</v>
      </c>
      <c r="AQ69" s="43">
        <v>13.111111111111111</v>
      </c>
      <c r="AR69" s="41">
        <v>16</v>
      </c>
      <c r="AS69" s="41">
        <v>16</v>
      </c>
      <c r="AT69" s="41">
        <v>14</v>
      </c>
      <c r="AU69" s="44">
        <v>-1.1154133211974251</v>
      </c>
      <c r="AV69" s="64" t="s">
        <v>406</v>
      </c>
      <c r="AW69" s="41">
        <v>19</v>
      </c>
      <c r="AX69" s="41">
        <f t="shared" si="61"/>
        <v>1</v>
      </c>
      <c r="AY69" s="41">
        <f t="shared" si="44"/>
        <v>2</v>
      </c>
      <c r="AZ69" s="41" t="str">
        <f t="shared" si="45"/>
        <v>0, Superávit y no eliminé superávit</v>
      </c>
      <c r="BB69" s="3" t="s">
        <v>232</v>
      </c>
      <c r="BC69" s="3">
        <v>12</v>
      </c>
      <c r="BD69" s="18">
        <v>13.111111111111111</v>
      </c>
      <c r="BE69" s="3">
        <v>10</v>
      </c>
      <c r="BF69" s="3">
        <v>14</v>
      </c>
      <c r="BG69" s="3">
        <v>7</v>
      </c>
      <c r="BH69" s="13">
        <v>-1.1154133211974251</v>
      </c>
      <c r="BI69" s="64" t="s">
        <v>406</v>
      </c>
      <c r="BJ69" s="13">
        <v>19</v>
      </c>
      <c r="BK69" s="3">
        <f t="shared" si="62"/>
        <v>0</v>
      </c>
      <c r="BL69" s="3">
        <f t="shared" si="47"/>
        <v>-2</v>
      </c>
      <c r="BM69" t="str">
        <f t="shared" si="48"/>
        <v>1, Superávit y eliminé superávit</v>
      </c>
      <c r="BO69" s="90" t="s">
        <v>232</v>
      </c>
      <c r="BP69" s="11">
        <v>12</v>
      </c>
      <c r="BQ69" s="25">
        <v>13.555555555555555</v>
      </c>
      <c r="BR69" s="11">
        <v>14</v>
      </c>
      <c r="BS69" s="11">
        <v>15</v>
      </c>
      <c r="BT69" s="11">
        <v>12</v>
      </c>
      <c r="BU69" s="64" t="s">
        <v>406</v>
      </c>
      <c r="BV69" s="13">
        <v>-1.1154133211974251</v>
      </c>
      <c r="BW69" s="13">
        <v>19</v>
      </c>
      <c r="BX69" s="11">
        <f t="shared" si="63"/>
        <v>1</v>
      </c>
      <c r="BY69" s="11">
        <f t="shared" si="50"/>
        <v>2</v>
      </c>
      <c r="BZ69" t="str">
        <f t="shared" si="51"/>
        <v>0, Superávit y no eliminé superávit</v>
      </c>
      <c r="CB69" s="3" t="s">
        <v>232</v>
      </c>
      <c r="CC69" s="3">
        <v>12</v>
      </c>
      <c r="CD69" s="18">
        <v>15.888888888888889</v>
      </c>
      <c r="CE69" s="3">
        <v>14</v>
      </c>
      <c r="CF69" s="3">
        <v>15</v>
      </c>
      <c r="CG69" s="3">
        <v>12</v>
      </c>
      <c r="CH69" s="13">
        <v>-1.1154133211974251</v>
      </c>
      <c r="CI69" s="64" t="s">
        <v>406</v>
      </c>
      <c r="CJ69" s="13">
        <v>19</v>
      </c>
      <c r="CK69" s="11">
        <f t="shared" si="64"/>
        <v>1</v>
      </c>
      <c r="CL69" s="11">
        <f t="shared" si="53"/>
        <v>2</v>
      </c>
      <c r="CM69" t="str">
        <f t="shared" si="54"/>
        <v>0, Superávit y no eliminé superávit</v>
      </c>
      <c r="CO69" s="3" t="s">
        <v>232</v>
      </c>
      <c r="CP69" s="3">
        <v>19</v>
      </c>
      <c r="CQ69" s="18">
        <v>14.777777777777779</v>
      </c>
      <c r="CR69" s="3">
        <v>15</v>
      </c>
      <c r="CS69" s="3">
        <v>15</v>
      </c>
      <c r="CT69" s="3">
        <v>12</v>
      </c>
      <c r="CU69" s="13">
        <v>-1.1154133211974251</v>
      </c>
      <c r="CV69" s="64" t="s">
        <v>406</v>
      </c>
      <c r="CW69" s="13">
        <v>19</v>
      </c>
      <c r="CX69" s="13">
        <f t="shared" si="65"/>
        <v>1</v>
      </c>
      <c r="CY69" s="13">
        <f t="shared" si="56"/>
        <v>-4</v>
      </c>
      <c r="CZ69" t="str">
        <f t="shared" si="57"/>
        <v>-2, Superávit y resultado fue bueno</v>
      </c>
    </row>
    <row r="70" spans="1:104" ht="14.25" customHeight="1" x14ac:dyDescent="0.3">
      <c r="A70" s="3" t="s">
        <v>234</v>
      </c>
      <c r="B70" s="3">
        <v>13</v>
      </c>
      <c r="C70" s="18">
        <v>12.777777777777779</v>
      </c>
      <c r="D70" s="3">
        <v>10</v>
      </c>
      <c r="E70" s="3">
        <v>12</v>
      </c>
      <c r="F70" s="3">
        <v>13</v>
      </c>
      <c r="G70" s="13">
        <v>-1.12017317951397</v>
      </c>
      <c r="H70" s="64" t="s">
        <v>405</v>
      </c>
      <c r="I70" s="13">
        <v>16</v>
      </c>
      <c r="J70" s="11">
        <f t="shared" si="58"/>
        <v>0</v>
      </c>
      <c r="K70" s="11">
        <f t="shared" si="35"/>
        <v>-3</v>
      </c>
      <c r="L70" t="str">
        <f t="shared" si="36"/>
        <v>0, Superávit y no eliminé superávit</v>
      </c>
      <c r="N70" s="3" t="s">
        <v>234</v>
      </c>
      <c r="O70" s="3">
        <v>14</v>
      </c>
      <c r="P70" s="18">
        <v>11.666666666666666</v>
      </c>
      <c r="Q70" s="3">
        <v>15</v>
      </c>
      <c r="R70" s="3">
        <v>15</v>
      </c>
      <c r="S70" s="3">
        <v>13</v>
      </c>
      <c r="T70" s="13">
        <v>-1.12017317951397</v>
      </c>
      <c r="U70" s="64" t="s">
        <v>405</v>
      </c>
      <c r="V70" s="13">
        <v>16</v>
      </c>
      <c r="W70" s="11">
        <f t="shared" si="59"/>
        <v>1</v>
      </c>
      <c r="X70" s="71">
        <f t="shared" si="38"/>
        <v>1</v>
      </c>
      <c r="Y70" s="64" t="str">
        <f t="shared" si="39"/>
        <v>-2, Superávit y resultado fue bueno</v>
      </c>
      <c r="AB70" s="53" t="s">
        <v>234</v>
      </c>
      <c r="AC70" s="53">
        <v>14</v>
      </c>
      <c r="AD70" s="54">
        <v>10.777777777777779</v>
      </c>
      <c r="AE70" s="53">
        <v>9</v>
      </c>
      <c r="AF70" s="53">
        <v>7</v>
      </c>
      <c r="AG70" s="53">
        <v>13</v>
      </c>
      <c r="AH70" s="51">
        <v>-1.12017317951397</v>
      </c>
      <c r="AI70" s="64" t="s">
        <v>405</v>
      </c>
      <c r="AJ70" s="51">
        <v>16</v>
      </c>
      <c r="AK70" s="53">
        <f t="shared" si="60"/>
        <v>0</v>
      </c>
      <c r="AL70" s="53">
        <f t="shared" si="41"/>
        <v>-5</v>
      </c>
      <c r="AM70" s="64" t="str">
        <f t="shared" si="42"/>
        <v>-2, Superávit y resultado fue bueno</v>
      </c>
      <c r="AO70" s="84" t="s">
        <v>234</v>
      </c>
      <c r="AP70" s="41">
        <v>14</v>
      </c>
      <c r="AQ70" s="43">
        <v>9.1111111111111107</v>
      </c>
      <c r="AR70" s="41">
        <v>14</v>
      </c>
      <c r="AS70" s="41">
        <v>13</v>
      </c>
      <c r="AT70" s="41">
        <v>13</v>
      </c>
      <c r="AU70" s="44">
        <v>-1.12017317951397</v>
      </c>
      <c r="AV70" s="64" t="s">
        <v>405</v>
      </c>
      <c r="AW70" s="41">
        <v>16</v>
      </c>
      <c r="AX70" s="41">
        <f t="shared" si="61"/>
        <v>1</v>
      </c>
      <c r="AY70" s="41">
        <f t="shared" si="44"/>
        <v>0</v>
      </c>
      <c r="AZ70" s="41" t="str">
        <f t="shared" si="45"/>
        <v>-2, Superávit y resultado fue bueno</v>
      </c>
      <c r="BB70" s="3" t="s">
        <v>234</v>
      </c>
      <c r="BC70" s="3">
        <v>10</v>
      </c>
      <c r="BD70" s="18">
        <v>7</v>
      </c>
      <c r="BE70" s="3">
        <v>14</v>
      </c>
      <c r="BF70" s="3">
        <v>12</v>
      </c>
      <c r="BG70" s="3">
        <v>13</v>
      </c>
      <c r="BH70" s="13">
        <v>-1.12017317951397</v>
      </c>
      <c r="BI70" s="64" t="s">
        <v>405</v>
      </c>
      <c r="BJ70" s="13">
        <v>16</v>
      </c>
      <c r="BK70" s="3">
        <f t="shared" si="62"/>
        <v>1</v>
      </c>
      <c r="BL70" s="3">
        <f t="shared" si="47"/>
        <v>4</v>
      </c>
      <c r="BM70" t="str">
        <f t="shared" si="48"/>
        <v>0, Superávit y no eliminé superávit</v>
      </c>
      <c r="BO70" s="90" t="s">
        <v>234</v>
      </c>
      <c r="BP70" s="11">
        <v>1</v>
      </c>
      <c r="BQ70" s="25">
        <v>8.8888888888888893</v>
      </c>
      <c r="BR70" s="11">
        <v>1</v>
      </c>
      <c r="BS70" s="11">
        <v>3</v>
      </c>
      <c r="BT70" s="11">
        <v>3</v>
      </c>
      <c r="BU70" s="64" t="s">
        <v>405</v>
      </c>
      <c r="BV70" s="13">
        <v>-1.12017317951397</v>
      </c>
      <c r="BW70" s="13">
        <v>16</v>
      </c>
      <c r="BX70" s="11">
        <f t="shared" si="63"/>
        <v>1</v>
      </c>
      <c r="BY70" s="11">
        <f t="shared" si="50"/>
        <v>0</v>
      </c>
      <c r="BZ70" t="str">
        <f t="shared" si="51"/>
        <v>-2, no había superávit y resultado fue bueno</v>
      </c>
      <c r="CB70" s="3" t="s">
        <v>234</v>
      </c>
      <c r="CC70" s="3">
        <v>4</v>
      </c>
      <c r="CD70" s="18">
        <v>10.444444444444445</v>
      </c>
      <c r="CE70" s="3">
        <v>1</v>
      </c>
      <c r="CF70" s="3">
        <v>1</v>
      </c>
      <c r="CG70" s="3">
        <v>4</v>
      </c>
      <c r="CH70" s="13">
        <v>-1.12017317951397</v>
      </c>
      <c r="CI70" s="64" t="s">
        <v>405</v>
      </c>
      <c r="CJ70" s="13">
        <v>16</v>
      </c>
      <c r="CK70" s="11">
        <f t="shared" si="64"/>
        <v>0</v>
      </c>
      <c r="CL70" s="11">
        <f t="shared" si="53"/>
        <v>-3</v>
      </c>
      <c r="CM70" t="str">
        <f t="shared" si="54"/>
        <v>-2, no había superávit y resultado fue bueno</v>
      </c>
      <c r="CO70" s="3" t="s">
        <v>234</v>
      </c>
      <c r="CP70" s="3">
        <v>9</v>
      </c>
      <c r="CQ70" s="18">
        <v>12.777777777777779</v>
      </c>
      <c r="CR70" s="3">
        <v>10</v>
      </c>
      <c r="CS70" s="3">
        <v>11</v>
      </c>
      <c r="CT70" s="3">
        <v>12</v>
      </c>
      <c r="CU70" s="13">
        <v>-1.12017317951397</v>
      </c>
      <c r="CV70" s="64" t="s">
        <v>405</v>
      </c>
      <c r="CW70" s="13">
        <v>16</v>
      </c>
      <c r="CX70" s="13">
        <f t="shared" si="65"/>
        <v>0</v>
      </c>
      <c r="CY70" s="13">
        <f t="shared" si="56"/>
        <v>1</v>
      </c>
      <c r="CZ70" t="str">
        <f t="shared" si="57"/>
        <v>0, Superávit y no eliminé superávit</v>
      </c>
    </row>
    <row r="71" spans="1:104" ht="14.25" customHeight="1" x14ac:dyDescent="0.3">
      <c r="A71" s="3" t="s">
        <v>236</v>
      </c>
      <c r="B71" s="3">
        <v>11</v>
      </c>
      <c r="C71" s="18">
        <v>12.111111111111111</v>
      </c>
      <c r="D71" s="3">
        <v>13</v>
      </c>
      <c r="E71" s="3">
        <v>13</v>
      </c>
      <c r="F71" s="3">
        <v>11</v>
      </c>
      <c r="G71" s="13">
        <v>-1.1339562965442611</v>
      </c>
      <c r="H71" s="64" t="s">
        <v>401</v>
      </c>
      <c r="I71" s="13">
        <v>15</v>
      </c>
      <c r="J71" s="11">
        <f t="shared" si="58"/>
        <v>1</v>
      </c>
      <c r="K71" s="11">
        <f t="shared" si="35"/>
        <v>2</v>
      </c>
      <c r="L71" t="str">
        <f t="shared" si="36"/>
        <v>0, Superávit y no eliminé superávit</v>
      </c>
      <c r="N71" s="3" t="s">
        <v>236</v>
      </c>
      <c r="O71" s="3">
        <v>13</v>
      </c>
      <c r="P71" s="18">
        <v>13</v>
      </c>
      <c r="Q71" s="3">
        <v>14</v>
      </c>
      <c r="R71" s="3">
        <v>15</v>
      </c>
      <c r="S71" s="3">
        <v>2</v>
      </c>
      <c r="T71" s="13">
        <v>-1.1339562965442611</v>
      </c>
      <c r="U71" s="64" t="s">
        <v>401</v>
      </c>
      <c r="V71" s="13">
        <v>15</v>
      </c>
      <c r="W71" s="11">
        <f t="shared" si="59"/>
        <v>1</v>
      </c>
      <c r="X71" s="71">
        <f t="shared" si="38"/>
        <v>1</v>
      </c>
      <c r="Y71" s="64" t="str">
        <f t="shared" si="39"/>
        <v>1, Superávit y eliminé superávit</v>
      </c>
      <c r="AB71" s="53" t="s">
        <v>236</v>
      </c>
      <c r="AC71" s="53">
        <v>15</v>
      </c>
      <c r="AD71" s="54">
        <v>11.777777777777779</v>
      </c>
      <c r="AE71" s="53">
        <v>9</v>
      </c>
      <c r="AF71" s="53">
        <v>12</v>
      </c>
      <c r="AG71" s="53">
        <v>13</v>
      </c>
      <c r="AH71" s="51">
        <v>-1.1339562965442611</v>
      </c>
      <c r="AI71" s="64" t="s">
        <v>401</v>
      </c>
      <c r="AJ71" s="51">
        <v>15</v>
      </c>
      <c r="AK71" s="53">
        <f t="shared" si="60"/>
        <v>0</v>
      </c>
      <c r="AL71" s="53">
        <f t="shared" si="41"/>
        <v>-6</v>
      </c>
      <c r="AM71" s="64" t="str">
        <f t="shared" si="42"/>
        <v>-2, Superávit y resultado fue bueno</v>
      </c>
      <c r="AO71" s="84" t="s">
        <v>236</v>
      </c>
      <c r="AP71" s="41">
        <v>3</v>
      </c>
      <c r="AQ71" s="43">
        <v>9.4444444444444446</v>
      </c>
      <c r="AR71" s="41">
        <v>5</v>
      </c>
      <c r="AS71" s="41">
        <v>6</v>
      </c>
      <c r="AT71" s="41">
        <v>13</v>
      </c>
      <c r="AU71" s="44">
        <v>-1.1339562965442611</v>
      </c>
      <c r="AV71" s="64" t="s">
        <v>401</v>
      </c>
      <c r="AW71" s="41">
        <v>15</v>
      </c>
      <c r="AX71" s="41">
        <f t="shared" si="61"/>
        <v>1</v>
      </c>
      <c r="AY71" s="41">
        <f t="shared" si="44"/>
        <v>2</v>
      </c>
      <c r="AZ71" s="41" t="str">
        <f t="shared" si="45"/>
        <v>0, no había superávit, y la deje con superávit</v>
      </c>
      <c r="BB71" s="3" t="s">
        <v>236</v>
      </c>
      <c r="BC71" s="3">
        <v>4</v>
      </c>
      <c r="BD71" s="18">
        <v>6.4444444444444446</v>
      </c>
      <c r="BE71" s="3">
        <v>7</v>
      </c>
      <c r="BF71" s="3">
        <v>7</v>
      </c>
      <c r="BG71" s="3">
        <v>4</v>
      </c>
      <c r="BH71" s="13">
        <v>-1.1339562965442611</v>
      </c>
      <c r="BI71" s="64" t="s">
        <v>401</v>
      </c>
      <c r="BJ71" s="13">
        <v>15</v>
      </c>
      <c r="BK71" s="3">
        <f t="shared" si="62"/>
        <v>1</v>
      </c>
      <c r="BL71" s="3">
        <f t="shared" si="47"/>
        <v>3</v>
      </c>
      <c r="BM71" t="str">
        <f t="shared" si="48"/>
        <v>-2, no había superávit y resultado fue bueno</v>
      </c>
      <c r="BO71" s="90" t="s">
        <v>236</v>
      </c>
      <c r="BP71" s="11">
        <v>3</v>
      </c>
      <c r="BQ71" s="25">
        <v>10.555555555555555</v>
      </c>
      <c r="BR71" s="11">
        <v>4</v>
      </c>
      <c r="BS71" s="11">
        <v>5</v>
      </c>
      <c r="BT71" s="11">
        <v>3</v>
      </c>
      <c r="BU71" s="64" t="s">
        <v>401</v>
      </c>
      <c r="BV71" s="13">
        <v>-1.1339562965442611</v>
      </c>
      <c r="BW71" s="13">
        <v>15</v>
      </c>
      <c r="BX71" s="11">
        <f t="shared" si="63"/>
        <v>1</v>
      </c>
      <c r="BY71" s="11">
        <f t="shared" si="50"/>
        <v>1</v>
      </c>
      <c r="BZ71" t="str">
        <f t="shared" si="51"/>
        <v>-2, no había superávit y resultado fue bueno</v>
      </c>
      <c r="CB71" s="3" t="s">
        <v>236</v>
      </c>
      <c r="CC71" s="3">
        <v>12</v>
      </c>
      <c r="CD71" s="18">
        <v>9.2222222222222214</v>
      </c>
      <c r="CE71" s="3">
        <v>12</v>
      </c>
      <c r="CF71" s="3">
        <v>14</v>
      </c>
      <c r="CG71" s="3">
        <v>12</v>
      </c>
      <c r="CH71" s="13">
        <v>-1.1339562965442611</v>
      </c>
      <c r="CI71" s="64" t="s">
        <v>401</v>
      </c>
      <c r="CJ71" s="13">
        <v>15</v>
      </c>
      <c r="CK71" s="11">
        <f t="shared" si="64"/>
        <v>1</v>
      </c>
      <c r="CL71" s="11">
        <f t="shared" si="53"/>
        <v>0</v>
      </c>
      <c r="CM71" t="str">
        <f t="shared" si="54"/>
        <v>0, Superávit y no eliminé superávit</v>
      </c>
      <c r="CO71" s="3" t="s">
        <v>236</v>
      </c>
      <c r="CP71" s="3">
        <v>8</v>
      </c>
      <c r="CQ71" s="18">
        <v>12.111111111111111</v>
      </c>
      <c r="CR71" s="3">
        <v>9</v>
      </c>
      <c r="CS71" s="3">
        <v>9</v>
      </c>
      <c r="CT71" s="3">
        <v>8</v>
      </c>
      <c r="CU71" s="13">
        <v>-1.1339562965442611</v>
      </c>
      <c r="CV71" s="64" t="s">
        <v>401</v>
      </c>
      <c r="CW71" s="13">
        <v>15</v>
      </c>
      <c r="CX71" s="13">
        <f t="shared" si="65"/>
        <v>1</v>
      </c>
      <c r="CY71" s="13">
        <f t="shared" si="56"/>
        <v>1</v>
      </c>
      <c r="CZ71" t="str">
        <f t="shared" si="57"/>
        <v>0, Superávit y no eliminé superávit</v>
      </c>
    </row>
    <row r="72" spans="1:104" ht="14.25" customHeight="1" x14ac:dyDescent="0.3">
      <c r="A72" s="3" t="s">
        <v>238</v>
      </c>
      <c r="B72" s="3">
        <v>2</v>
      </c>
      <c r="C72" s="18">
        <v>2.7777777777777777</v>
      </c>
      <c r="D72" s="3">
        <v>2</v>
      </c>
      <c r="E72" s="3">
        <v>2</v>
      </c>
      <c r="F72" s="3">
        <v>2</v>
      </c>
      <c r="G72" s="13">
        <v>-1.1428327832816429</v>
      </c>
      <c r="H72" s="64" t="s">
        <v>400</v>
      </c>
      <c r="I72" s="13">
        <v>7</v>
      </c>
      <c r="J72" s="11">
        <f t="shared" si="58"/>
        <v>1</v>
      </c>
      <c r="K72" s="11">
        <f t="shared" si="35"/>
        <v>0</v>
      </c>
      <c r="L72" t="str">
        <f t="shared" si="36"/>
        <v>-2, no había superávit y resultado fue bueno</v>
      </c>
      <c r="N72" s="3" t="s">
        <v>238</v>
      </c>
      <c r="O72" s="3">
        <v>2</v>
      </c>
      <c r="P72" s="18">
        <v>2.4444444444444446</v>
      </c>
      <c r="Q72" s="3">
        <v>2</v>
      </c>
      <c r="R72" s="3">
        <v>2</v>
      </c>
      <c r="S72" s="3">
        <v>2</v>
      </c>
      <c r="T72" s="13">
        <v>-1.1428327832816429</v>
      </c>
      <c r="U72" s="64" t="s">
        <v>400</v>
      </c>
      <c r="V72" s="13">
        <v>7</v>
      </c>
      <c r="W72" s="11">
        <f t="shared" si="59"/>
        <v>1</v>
      </c>
      <c r="X72" s="71">
        <f t="shared" si="38"/>
        <v>0</v>
      </c>
      <c r="Y72" s="64" t="str">
        <f t="shared" si="39"/>
        <v>-2, no había superávit y resultado fue bueno</v>
      </c>
      <c r="AB72" s="53" t="s">
        <v>238</v>
      </c>
      <c r="AC72" s="53">
        <v>2</v>
      </c>
      <c r="AD72" s="54">
        <v>3.2222222222222223</v>
      </c>
      <c r="AE72" s="53">
        <v>2</v>
      </c>
      <c r="AF72" s="53">
        <v>2</v>
      </c>
      <c r="AG72" s="53">
        <v>2</v>
      </c>
      <c r="AH72" s="51">
        <v>-1.1428327832816429</v>
      </c>
      <c r="AI72" s="64" t="s">
        <v>400</v>
      </c>
      <c r="AJ72" s="51">
        <v>7</v>
      </c>
      <c r="AK72" s="53">
        <f t="shared" si="60"/>
        <v>1</v>
      </c>
      <c r="AL72" s="53">
        <f t="shared" si="41"/>
        <v>0</v>
      </c>
      <c r="AM72" s="64" t="str">
        <f t="shared" si="42"/>
        <v>-2, no había superávit y resultado fue bueno</v>
      </c>
      <c r="AO72" s="84" t="s">
        <v>238</v>
      </c>
      <c r="AP72" s="41">
        <v>2</v>
      </c>
      <c r="AQ72" s="43">
        <v>3.1111111111111112</v>
      </c>
      <c r="AR72" s="41">
        <v>2</v>
      </c>
      <c r="AS72" s="41">
        <v>2</v>
      </c>
      <c r="AT72" s="41">
        <v>2</v>
      </c>
      <c r="AU72" s="44">
        <v>-1.1428327832816429</v>
      </c>
      <c r="AV72" s="64" t="s">
        <v>400</v>
      </c>
      <c r="AW72" s="41">
        <v>7</v>
      </c>
      <c r="AX72" s="41">
        <f t="shared" si="61"/>
        <v>1</v>
      </c>
      <c r="AY72" s="41">
        <f t="shared" si="44"/>
        <v>0</v>
      </c>
      <c r="AZ72" s="41" t="str">
        <f t="shared" si="45"/>
        <v>-2, no había superávit y resultado fue bueno</v>
      </c>
      <c r="BB72" s="3" t="s">
        <v>238</v>
      </c>
      <c r="BC72" s="3">
        <v>1</v>
      </c>
      <c r="BD72" s="18">
        <v>3</v>
      </c>
      <c r="BE72" s="3">
        <v>1</v>
      </c>
      <c r="BF72" s="3">
        <v>1</v>
      </c>
      <c r="BG72" s="3">
        <v>2</v>
      </c>
      <c r="BH72" s="13">
        <v>-1.1428327832816429</v>
      </c>
      <c r="BI72" s="64" t="s">
        <v>400</v>
      </c>
      <c r="BJ72" s="13">
        <v>7</v>
      </c>
      <c r="BK72" s="3">
        <f t="shared" si="62"/>
        <v>1</v>
      </c>
      <c r="BL72" s="3">
        <f t="shared" si="47"/>
        <v>0</v>
      </c>
      <c r="BM72" t="str">
        <f t="shared" si="48"/>
        <v>-2, no había superávit y resultado fue bueno</v>
      </c>
      <c r="BO72" s="90" t="s">
        <v>238</v>
      </c>
      <c r="BP72" s="11">
        <v>4</v>
      </c>
      <c r="BQ72" s="25">
        <v>3.1111111111111112</v>
      </c>
      <c r="BR72" s="11">
        <v>5</v>
      </c>
      <c r="BS72" s="11">
        <v>5</v>
      </c>
      <c r="BT72" s="11">
        <v>4</v>
      </c>
      <c r="BU72" s="64" t="s">
        <v>400</v>
      </c>
      <c r="BV72" s="13">
        <v>-1.1428327832816429</v>
      </c>
      <c r="BW72" s="13">
        <v>7</v>
      </c>
      <c r="BX72" s="11">
        <f t="shared" si="63"/>
        <v>1</v>
      </c>
      <c r="BY72" s="11">
        <f t="shared" si="50"/>
        <v>1</v>
      </c>
      <c r="BZ72" t="str">
        <f t="shared" si="51"/>
        <v>0, Superávit y no eliminé superávit</v>
      </c>
      <c r="CB72" s="3" t="s">
        <v>238</v>
      </c>
      <c r="CC72" s="3">
        <v>4</v>
      </c>
      <c r="CD72" s="18">
        <v>3.1111111111111112</v>
      </c>
      <c r="CE72" s="3">
        <v>3</v>
      </c>
      <c r="CF72" s="3">
        <v>3</v>
      </c>
      <c r="CG72" s="3">
        <v>4</v>
      </c>
      <c r="CH72" s="13">
        <v>-1.1428327832816429</v>
      </c>
      <c r="CI72" s="64" t="s">
        <v>400</v>
      </c>
      <c r="CJ72" s="13">
        <v>7</v>
      </c>
      <c r="CK72" s="11">
        <f t="shared" si="64"/>
        <v>0</v>
      </c>
      <c r="CL72" s="11">
        <f t="shared" si="53"/>
        <v>-1</v>
      </c>
      <c r="CM72" t="str">
        <f t="shared" si="54"/>
        <v>0, Superávit y no eliminé superávit</v>
      </c>
      <c r="CO72" s="3" t="s">
        <v>238</v>
      </c>
      <c r="CP72" s="3">
        <v>3</v>
      </c>
      <c r="CQ72" s="18">
        <v>2.7777777777777777</v>
      </c>
      <c r="CR72" s="3">
        <v>3</v>
      </c>
      <c r="CS72" s="3">
        <v>3</v>
      </c>
      <c r="CT72" s="3">
        <v>3</v>
      </c>
      <c r="CU72" s="13">
        <v>-1.1428327832816429</v>
      </c>
      <c r="CV72" s="64" t="s">
        <v>400</v>
      </c>
      <c r="CW72" s="13">
        <v>7</v>
      </c>
      <c r="CX72" s="13">
        <f t="shared" si="65"/>
        <v>0</v>
      </c>
      <c r="CY72" s="13">
        <f t="shared" si="56"/>
        <v>0</v>
      </c>
      <c r="CZ72" t="str">
        <f t="shared" si="57"/>
        <v>-1, no había superávit y deje la capacidad media</v>
      </c>
    </row>
    <row r="73" spans="1:104" ht="14.25" customHeight="1" x14ac:dyDescent="0.3">
      <c r="A73" s="3" t="s">
        <v>239</v>
      </c>
      <c r="B73" s="3">
        <v>11</v>
      </c>
      <c r="C73" s="18">
        <v>10.111111111111111</v>
      </c>
      <c r="D73" s="3">
        <v>9</v>
      </c>
      <c r="E73" s="3">
        <v>10</v>
      </c>
      <c r="F73" s="3">
        <v>11</v>
      </c>
      <c r="G73" s="13">
        <v>-1.1920893573654381</v>
      </c>
      <c r="H73" s="64" t="s">
        <v>401</v>
      </c>
      <c r="I73" s="13">
        <v>15</v>
      </c>
      <c r="J73" s="11">
        <f t="shared" si="58"/>
        <v>0</v>
      </c>
      <c r="K73" s="11">
        <f t="shared" si="35"/>
        <v>-2</v>
      </c>
      <c r="L73" t="str">
        <f t="shared" si="36"/>
        <v>0, Superávit y no eliminé superávit</v>
      </c>
      <c r="N73" s="3" t="s">
        <v>239</v>
      </c>
      <c r="O73" s="3">
        <v>11</v>
      </c>
      <c r="P73" s="18">
        <v>11.444444444444445</v>
      </c>
      <c r="Q73" s="3">
        <v>11</v>
      </c>
      <c r="R73" s="3">
        <v>11</v>
      </c>
      <c r="S73" s="3">
        <v>11</v>
      </c>
      <c r="T73" s="13">
        <v>-1.1920893573654381</v>
      </c>
      <c r="U73" s="64" t="s">
        <v>401</v>
      </c>
      <c r="V73" s="13">
        <v>15</v>
      </c>
      <c r="W73" s="11">
        <f t="shared" si="59"/>
        <v>1</v>
      </c>
      <c r="X73" s="71">
        <f t="shared" si="38"/>
        <v>0</v>
      </c>
      <c r="Y73" s="64" t="str">
        <f t="shared" si="39"/>
        <v>0, Superávit y no eliminé superávit</v>
      </c>
      <c r="AB73" s="53" t="s">
        <v>239</v>
      </c>
      <c r="AC73" s="53">
        <v>12</v>
      </c>
      <c r="AD73" s="54">
        <v>11.777777777777779</v>
      </c>
      <c r="AE73" s="53">
        <v>12</v>
      </c>
      <c r="AF73" s="53">
        <v>12</v>
      </c>
      <c r="AG73" s="53">
        <v>2</v>
      </c>
      <c r="AH73" s="51">
        <v>-1.1920893573654381</v>
      </c>
      <c r="AI73" s="64" t="s">
        <v>401</v>
      </c>
      <c r="AJ73" s="51">
        <v>15</v>
      </c>
      <c r="AK73" s="53">
        <f t="shared" si="60"/>
        <v>1</v>
      </c>
      <c r="AL73" s="53">
        <f t="shared" si="41"/>
        <v>0</v>
      </c>
      <c r="AM73" s="64" t="str">
        <f t="shared" si="42"/>
        <v>1, Superávit y eliminé superávit</v>
      </c>
      <c r="AO73" s="84" t="s">
        <v>239</v>
      </c>
      <c r="AP73" s="41">
        <v>6</v>
      </c>
      <c r="AQ73" s="43">
        <v>10</v>
      </c>
      <c r="AR73" s="41">
        <v>7</v>
      </c>
      <c r="AS73" s="41">
        <v>11</v>
      </c>
      <c r="AT73" s="41">
        <v>6</v>
      </c>
      <c r="AU73" s="44">
        <v>-1.1920893573654381</v>
      </c>
      <c r="AV73" s="64" t="s">
        <v>401</v>
      </c>
      <c r="AW73" s="41">
        <v>15</v>
      </c>
      <c r="AX73" s="41">
        <f t="shared" si="61"/>
        <v>1</v>
      </c>
      <c r="AY73" s="41">
        <f t="shared" si="44"/>
        <v>1</v>
      </c>
      <c r="AZ73" s="41" t="str">
        <f t="shared" si="45"/>
        <v>-2, no había superávit y resultado fue bueno</v>
      </c>
      <c r="BB73" s="3" t="s">
        <v>239</v>
      </c>
      <c r="BC73" s="3">
        <v>8</v>
      </c>
      <c r="BD73" s="18">
        <v>10.222222222222221</v>
      </c>
      <c r="BE73" s="3">
        <v>7</v>
      </c>
      <c r="BF73" s="3">
        <v>8</v>
      </c>
      <c r="BG73" s="3">
        <v>8</v>
      </c>
      <c r="BH73" s="13">
        <v>-1.1920893573654381</v>
      </c>
      <c r="BI73" s="64" t="s">
        <v>401</v>
      </c>
      <c r="BJ73" s="13">
        <v>15</v>
      </c>
      <c r="BK73" s="3">
        <f t="shared" si="62"/>
        <v>0</v>
      </c>
      <c r="BL73" s="3">
        <f t="shared" si="47"/>
        <v>-1</v>
      </c>
      <c r="BM73" t="str">
        <f t="shared" si="48"/>
        <v>0, Superávit y no eliminé superávit</v>
      </c>
      <c r="BO73" s="90" t="s">
        <v>239</v>
      </c>
      <c r="BP73" s="11">
        <v>6</v>
      </c>
      <c r="BQ73" s="25">
        <v>9.2222222222222214</v>
      </c>
      <c r="BR73" s="11">
        <v>6</v>
      </c>
      <c r="BS73" s="11">
        <v>6</v>
      </c>
      <c r="BT73" s="11">
        <v>6</v>
      </c>
      <c r="BU73" s="64" t="s">
        <v>401</v>
      </c>
      <c r="BV73" s="13">
        <v>-1.1920893573654381</v>
      </c>
      <c r="BW73" s="13">
        <v>15</v>
      </c>
      <c r="BX73" s="11">
        <f t="shared" si="63"/>
        <v>1</v>
      </c>
      <c r="BY73" s="11">
        <f t="shared" si="50"/>
        <v>0</v>
      </c>
      <c r="BZ73" t="str">
        <f t="shared" si="51"/>
        <v>-2, no había superávit y resultado fue bueno</v>
      </c>
      <c r="CB73" s="3" t="s">
        <v>239</v>
      </c>
      <c r="CC73" s="3">
        <v>8</v>
      </c>
      <c r="CD73" s="18">
        <v>11.444444444444445</v>
      </c>
      <c r="CE73" s="3">
        <v>9</v>
      </c>
      <c r="CF73" s="3">
        <v>9</v>
      </c>
      <c r="CG73" s="3">
        <v>8</v>
      </c>
      <c r="CH73" s="13">
        <v>-1.1920893573654381</v>
      </c>
      <c r="CI73" s="64" t="s">
        <v>401</v>
      </c>
      <c r="CJ73" s="13">
        <v>15</v>
      </c>
      <c r="CK73" s="11">
        <f t="shared" si="64"/>
        <v>1</v>
      </c>
      <c r="CL73" s="11">
        <f t="shared" si="53"/>
        <v>1</v>
      </c>
      <c r="CM73" t="str">
        <f t="shared" si="54"/>
        <v>0, Superávit y no eliminé superávit</v>
      </c>
      <c r="CO73" s="3" t="s">
        <v>239</v>
      </c>
      <c r="CP73" s="3">
        <v>8</v>
      </c>
      <c r="CQ73" s="18">
        <v>10.111111111111111</v>
      </c>
      <c r="CR73" s="3">
        <v>8</v>
      </c>
      <c r="CS73" s="3">
        <v>8</v>
      </c>
      <c r="CT73" s="3">
        <v>8</v>
      </c>
      <c r="CU73" s="13">
        <v>-1.1920893573654381</v>
      </c>
      <c r="CV73" s="64" t="s">
        <v>401</v>
      </c>
      <c r="CW73" s="13">
        <v>15</v>
      </c>
      <c r="CX73" s="13">
        <f t="shared" si="65"/>
        <v>1</v>
      </c>
      <c r="CY73" s="13">
        <f t="shared" si="56"/>
        <v>0</v>
      </c>
      <c r="CZ73" t="str">
        <f t="shared" si="57"/>
        <v>0, Superávit y no eliminé superávit</v>
      </c>
    </row>
    <row r="74" spans="1:104" ht="14.25" customHeight="1" x14ac:dyDescent="0.3">
      <c r="A74" s="3" t="s">
        <v>240</v>
      </c>
      <c r="B74" s="3">
        <v>6</v>
      </c>
      <c r="C74" s="18">
        <v>15.666666666666666</v>
      </c>
      <c r="D74" s="3">
        <v>6</v>
      </c>
      <c r="E74" s="3">
        <v>7</v>
      </c>
      <c r="F74" s="3">
        <v>6</v>
      </c>
      <c r="G74" s="13">
        <v>-1.196962071035268</v>
      </c>
      <c r="H74" s="64" t="s">
        <v>406</v>
      </c>
      <c r="I74" s="13">
        <v>19</v>
      </c>
      <c r="J74" s="11">
        <f t="shared" si="58"/>
        <v>1</v>
      </c>
      <c r="K74" s="11">
        <f t="shared" si="35"/>
        <v>0</v>
      </c>
      <c r="L74" t="str">
        <f t="shared" si="36"/>
        <v>-2, no había superávit y resultado fue bueno</v>
      </c>
      <c r="N74" s="3" t="s">
        <v>240</v>
      </c>
      <c r="O74" s="3">
        <v>10</v>
      </c>
      <c r="P74" s="18">
        <v>14.777777777777779</v>
      </c>
      <c r="Q74" s="3">
        <v>10</v>
      </c>
      <c r="R74" s="3">
        <v>10</v>
      </c>
      <c r="S74" s="3">
        <v>10</v>
      </c>
      <c r="T74" s="13">
        <v>-1.196962071035268</v>
      </c>
      <c r="U74" s="64" t="s">
        <v>406</v>
      </c>
      <c r="V74" s="13">
        <v>19</v>
      </c>
      <c r="W74" s="11">
        <f t="shared" si="59"/>
        <v>1</v>
      </c>
      <c r="X74" s="71">
        <f t="shared" si="38"/>
        <v>0</v>
      </c>
      <c r="Y74" s="64" t="str">
        <f t="shared" si="39"/>
        <v>0, Superávit y no eliminé superávit</v>
      </c>
      <c r="AB74" s="53" t="s">
        <v>240</v>
      </c>
      <c r="AC74" s="53">
        <v>12</v>
      </c>
      <c r="AD74" s="54">
        <v>13.111111111111111</v>
      </c>
      <c r="AE74" s="53">
        <v>14</v>
      </c>
      <c r="AF74" s="53">
        <v>15</v>
      </c>
      <c r="AG74" s="53">
        <v>12</v>
      </c>
      <c r="AH74" s="51">
        <v>-1.196962071035268</v>
      </c>
      <c r="AI74" s="64" t="s">
        <v>406</v>
      </c>
      <c r="AJ74" s="51">
        <v>19</v>
      </c>
      <c r="AK74" s="53">
        <f t="shared" si="60"/>
        <v>1</v>
      </c>
      <c r="AL74" s="53">
        <f t="shared" si="41"/>
        <v>2</v>
      </c>
      <c r="AM74" s="64" t="str">
        <f t="shared" si="42"/>
        <v>0, Superávit y no eliminé superávit</v>
      </c>
      <c r="AO74" s="84" t="s">
        <v>240</v>
      </c>
      <c r="AP74" s="41">
        <v>18</v>
      </c>
      <c r="AQ74" s="43">
        <v>10.555555555555555</v>
      </c>
      <c r="AR74" s="41">
        <v>19</v>
      </c>
      <c r="AS74" s="41">
        <v>19</v>
      </c>
      <c r="AT74" s="41">
        <v>13</v>
      </c>
      <c r="AU74" s="44">
        <v>-1.196962071035268</v>
      </c>
      <c r="AV74" s="64" t="s">
        <v>406</v>
      </c>
      <c r="AW74" s="41">
        <v>19</v>
      </c>
      <c r="AX74" s="41">
        <f t="shared" si="61"/>
        <v>1</v>
      </c>
      <c r="AY74" s="41">
        <f t="shared" si="44"/>
        <v>1</v>
      </c>
      <c r="AZ74" s="41" t="str">
        <f t="shared" si="45"/>
        <v>-2, Superávit y resultado fue bueno</v>
      </c>
      <c r="BB74" s="3" t="s">
        <v>240</v>
      </c>
      <c r="BC74" s="3">
        <v>17</v>
      </c>
      <c r="BD74" s="18">
        <v>11.111111111111111</v>
      </c>
      <c r="BE74" s="3">
        <v>19</v>
      </c>
      <c r="BF74" s="3">
        <v>19</v>
      </c>
      <c r="BG74" s="3">
        <v>15</v>
      </c>
      <c r="BH74" s="13">
        <v>-1.196962071035268</v>
      </c>
      <c r="BI74" s="64" t="s">
        <v>406</v>
      </c>
      <c r="BJ74" s="13">
        <v>19</v>
      </c>
      <c r="BK74" s="3">
        <f t="shared" si="62"/>
        <v>1</v>
      </c>
      <c r="BL74" s="3">
        <f t="shared" si="47"/>
        <v>2</v>
      </c>
      <c r="BM74" t="str">
        <f t="shared" si="48"/>
        <v>-2, Superávit y resultado fue bueno</v>
      </c>
      <c r="BO74" s="90" t="s">
        <v>240</v>
      </c>
      <c r="BP74" s="11">
        <v>15</v>
      </c>
      <c r="BQ74" s="25">
        <v>12.666666666666666</v>
      </c>
      <c r="BR74" s="11">
        <v>19</v>
      </c>
      <c r="BS74" s="11">
        <v>18</v>
      </c>
      <c r="BT74" s="11">
        <v>15</v>
      </c>
      <c r="BU74" s="64" t="s">
        <v>406</v>
      </c>
      <c r="BV74" s="13">
        <v>-1.196962071035268</v>
      </c>
      <c r="BW74" s="13">
        <v>19</v>
      </c>
      <c r="BX74" s="11">
        <f t="shared" si="63"/>
        <v>1</v>
      </c>
      <c r="BY74" s="11">
        <f t="shared" si="50"/>
        <v>4</v>
      </c>
      <c r="BZ74" t="str">
        <f t="shared" si="51"/>
        <v>0, Superávit y no eliminé superávit</v>
      </c>
      <c r="CB74" s="3" t="s">
        <v>240</v>
      </c>
      <c r="CC74" s="3">
        <v>19</v>
      </c>
      <c r="CD74" s="18">
        <v>14</v>
      </c>
      <c r="CE74" s="3">
        <v>19</v>
      </c>
      <c r="CF74" s="3">
        <v>19</v>
      </c>
      <c r="CG74" s="3">
        <v>16</v>
      </c>
      <c r="CH74" s="13">
        <v>-1.196962071035268</v>
      </c>
      <c r="CI74" s="64" t="s">
        <v>406</v>
      </c>
      <c r="CJ74" s="13">
        <v>19</v>
      </c>
      <c r="CK74" s="11">
        <f t="shared" si="64"/>
        <v>1</v>
      </c>
      <c r="CL74" s="11">
        <f t="shared" si="53"/>
        <v>0</v>
      </c>
      <c r="CM74" t="str">
        <f t="shared" si="54"/>
        <v>-2, Superávit y resultado fue bueno</v>
      </c>
      <c r="CO74" s="3" t="s">
        <v>240</v>
      </c>
      <c r="CP74" s="3">
        <v>19</v>
      </c>
      <c r="CQ74" s="18">
        <v>15.666666666666666</v>
      </c>
      <c r="CR74" s="3">
        <v>18</v>
      </c>
      <c r="CS74" s="3">
        <v>18</v>
      </c>
      <c r="CT74" s="3">
        <v>16</v>
      </c>
      <c r="CU74" s="13">
        <v>-1.196962071035268</v>
      </c>
      <c r="CV74" s="64" t="s">
        <v>406</v>
      </c>
      <c r="CW74" s="13">
        <v>19</v>
      </c>
      <c r="CX74" s="13">
        <f t="shared" si="65"/>
        <v>1</v>
      </c>
      <c r="CY74" s="13">
        <f t="shared" si="56"/>
        <v>-1</v>
      </c>
      <c r="CZ74" t="str">
        <f t="shared" si="57"/>
        <v>-2, Superávit y resultado fue bueno</v>
      </c>
    </row>
    <row r="75" spans="1:104" ht="14.25" customHeight="1" x14ac:dyDescent="0.3">
      <c r="A75" s="3" t="s">
        <v>241</v>
      </c>
      <c r="B75" s="3">
        <v>12</v>
      </c>
      <c r="C75" s="18">
        <v>12.111111111111111</v>
      </c>
      <c r="D75" s="3">
        <v>12</v>
      </c>
      <c r="E75" s="3">
        <v>12</v>
      </c>
      <c r="F75" s="3">
        <v>12</v>
      </c>
      <c r="G75" s="13">
        <v>-1.2097705883740471</v>
      </c>
      <c r="H75" s="64" t="s">
        <v>401</v>
      </c>
      <c r="I75" s="13">
        <v>15</v>
      </c>
      <c r="J75" s="11">
        <f t="shared" si="58"/>
        <v>1</v>
      </c>
      <c r="K75" s="11">
        <f t="shared" si="35"/>
        <v>0</v>
      </c>
      <c r="L75" t="str">
        <f t="shared" si="36"/>
        <v>0, Superávit y no eliminé superávit</v>
      </c>
      <c r="N75" s="3" t="s">
        <v>241</v>
      </c>
      <c r="O75" s="3">
        <v>14</v>
      </c>
      <c r="P75" s="18">
        <v>11.777777777777779</v>
      </c>
      <c r="Q75" s="3">
        <v>14</v>
      </c>
      <c r="R75" s="3">
        <v>15</v>
      </c>
      <c r="S75" s="3">
        <v>6</v>
      </c>
      <c r="T75" s="13">
        <v>-1.2097705883740471</v>
      </c>
      <c r="U75" s="64" t="s">
        <v>401</v>
      </c>
      <c r="V75" s="13">
        <v>15</v>
      </c>
      <c r="W75" s="11">
        <f t="shared" si="59"/>
        <v>1</v>
      </c>
      <c r="X75" s="71">
        <f t="shared" si="38"/>
        <v>0</v>
      </c>
      <c r="Y75" s="64" t="str">
        <f t="shared" si="39"/>
        <v>1, Superávit y eliminé superávit</v>
      </c>
      <c r="AB75" s="53" t="s">
        <v>241</v>
      </c>
      <c r="AC75" s="53">
        <v>3</v>
      </c>
      <c r="AD75" s="54">
        <v>11.222222222222221</v>
      </c>
      <c r="AE75" s="53">
        <v>9</v>
      </c>
      <c r="AF75" s="53">
        <v>8</v>
      </c>
      <c r="AG75" s="53">
        <v>4</v>
      </c>
      <c r="AH75" s="51">
        <v>-1.2097705883740471</v>
      </c>
      <c r="AI75" s="64" t="s">
        <v>401</v>
      </c>
      <c r="AJ75" s="51">
        <v>15</v>
      </c>
      <c r="AK75" s="53">
        <f t="shared" si="60"/>
        <v>1</v>
      </c>
      <c r="AL75" s="53">
        <f t="shared" si="41"/>
        <v>6</v>
      </c>
      <c r="AM75" s="64" t="str">
        <f t="shared" si="42"/>
        <v>-2, no había superávit y resultado fue bueno</v>
      </c>
      <c r="AO75" s="84" t="s">
        <v>241</v>
      </c>
      <c r="AP75" s="41">
        <v>14</v>
      </c>
      <c r="AQ75" s="43">
        <v>8.6666666666666661</v>
      </c>
      <c r="AR75" s="41">
        <v>15</v>
      </c>
      <c r="AS75" s="41">
        <v>15</v>
      </c>
      <c r="AT75" s="41">
        <v>13</v>
      </c>
      <c r="AU75" s="44">
        <v>-1.2097705883740471</v>
      </c>
      <c r="AV75" s="64" t="s">
        <v>401</v>
      </c>
      <c r="AW75" s="41">
        <v>15</v>
      </c>
      <c r="AX75" s="41">
        <f t="shared" si="61"/>
        <v>1</v>
      </c>
      <c r="AY75" s="41">
        <f t="shared" si="44"/>
        <v>1</v>
      </c>
      <c r="AZ75" s="41" t="str">
        <f t="shared" si="45"/>
        <v>-2, Superávit y resultado fue bueno</v>
      </c>
      <c r="BB75" s="3" t="s">
        <v>241</v>
      </c>
      <c r="BC75" s="3">
        <v>14</v>
      </c>
      <c r="BD75" s="18">
        <v>7.333333333333333</v>
      </c>
      <c r="BE75" s="3">
        <v>13</v>
      </c>
      <c r="BF75" s="3">
        <v>14</v>
      </c>
      <c r="BG75" s="3">
        <v>13</v>
      </c>
      <c r="BH75" s="13">
        <v>-1.2097705883740471</v>
      </c>
      <c r="BI75" s="64" t="s">
        <v>401</v>
      </c>
      <c r="BJ75" s="13">
        <v>15</v>
      </c>
      <c r="BK75" s="3">
        <f t="shared" si="62"/>
        <v>0</v>
      </c>
      <c r="BL75" s="3">
        <f t="shared" si="47"/>
        <v>-1</v>
      </c>
      <c r="BM75" t="str">
        <f t="shared" si="48"/>
        <v>-2, Superávit y resultado fue bueno</v>
      </c>
      <c r="BO75" s="90" t="s">
        <v>241</v>
      </c>
      <c r="BP75" s="11">
        <v>13</v>
      </c>
      <c r="BQ75" s="25">
        <v>10.888888888888889</v>
      </c>
      <c r="BR75" s="11">
        <v>12</v>
      </c>
      <c r="BS75" s="11">
        <v>9</v>
      </c>
      <c r="BT75" s="11">
        <v>11</v>
      </c>
      <c r="BU75" s="64" t="s">
        <v>401</v>
      </c>
      <c r="BV75" s="13">
        <v>-1.2097705883740471</v>
      </c>
      <c r="BW75" s="13">
        <v>15</v>
      </c>
      <c r="BX75" s="11">
        <f t="shared" si="63"/>
        <v>0</v>
      </c>
      <c r="BY75" s="11">
        <f t="shared" si="50"/>
        <v>-1</v>
      </c>
      <c r="BZ75" t="str">
        <f t="shared" si="51"/>
        <v>-2, Superávit y resultado fue bueno</v>
      </c>
      <c r="CB75" s="3" t="s">
        <v>241</v>
      </c>
      <c r="CC75" s="3">
        <v>5</v>
      </c>
      <c r="CD75" s="18">
        <v>10.888888888888889</v>
      </c>
      <c r="CE75" s="3">
        <v>6</v>
      </c>
      <c r="CF75" s="3">
        <v>8</v>
      </c>
      <c r="CG75" s="3">
        <v>8</v>
      </c>
      <c r="CH75" s="13">
        <v>-1.2097705883740471</v>
      </c>
      <c r="CI75" s="64" t="s">
        <v>401</v>
      </c>
      <c r="CJ75" s="13">
        <v>15</v>
      </c>
      <c r="CK75" s="11">
        <f t="shared" si="64"/>
        <v>1</v>
      </c>
      <c r="CL75" s="11">
        <f t="shared" si="53"/>
        <v>1</v>
      </c>
      <c r="CM75" t="str">
        <f t="shared" si="54"/>
        <v>0, no había superávit, y la deje con superávit</v>
      </c>
      <c r="CO75" s="3" t="s">
        <v>241</v>
      </c>
      <c r="CP75" s="3">
        <v>11</v>
      </c>
      <c r="CQ75" s="18">
        <v>12.111111111111111</v>
      </c>
      <c r="CR75" s="3">
        <v>11</v>
      </c>
      <c r="CS75" s="3">
        <v>10</v>
      </c>
      <c r="CT75" s="3">
        <v>11</v>
      </c>
      <c r="CU75" s="13">
        <v>-1.2097705883740471</v>
      </c>
      <c r="CV75" s="64" t="s">
        <v>401</v>
      </c>
      <c r="CW75" s="13">
        <v>15</v>
      </c>
      <c r="CX75" s="13">
        <f t="shared" si="65"/>
        <v>1</v>
      </c>
      <c r="CY75" s="13">
        <f t="shared" si="56"/>
        <v>0</v>
      </c>
      <c r="CZ75" t="str">
        <f t="shared" si="57"/>
        <v>0, Superávit y no eliminé superávit</v>
      </c>
    </row>
    <row r="76" spans="1:104" ht="14.25" customHeight="1" x14ac:dyDescent="0.3">
      <c r="A76" s="3" t="s">
        <v>242</v>
      </c>
      <c r="B76" s="3">
        <v>17</v>
      </c>
      <c r="C76" s="18">
        <v>12</v>
      </c>
      <c r="D76" s="3">
        <v>17</v>
      </c>
      <c r="E76" s="3">
        <v>17</v>
      </c>
      <c r="F76" s="3">
        <v>3</v>
      </c>
      <c r="G76" s="13">
        <v>-1.3367165560614409</v>
      </c>
      <c r="H76" s="64" t="s">
        <v>403</v>
      </c>
      <c r="I76" s="13">
        <v>17</v>
      </c>
      <c r="J76" s="11">
        <f t="shared" si="58"/>
        <v>1</v>
      </c>
      <c r="K76" s="11">
        <f t="shared" si="35"/>
        <v>0</v>
      </c>
      <c r="L76" t="str">
        <f t="shared" si="36"/>
        <v>1, Superávit y eliminé superávit</v>
      </c>
      <c r="N76" s="3" t="s">
        <v>242</v>
      </c>
      <c r="O76" s="3">
        <v>16</v>
      </c>
      <c r="P76" s="18">
        <v>11.666666666666666</v>
      </c>
      <c r="Q76" s="3">
        <v>16</v>
      </c>
      <c r="R76" s="3">
        <v>16</v>
      </c>
      <c r="S76" s="3">
        <v>10</v>
      </c>
      <c r="T76" s="13">
        <v>-1.3367165560614409</v>
      </c>
      <c r="U76" s="64" t="s">
        <v>403</v>
      </c>
      <c r="V76" s="13">
        <v>17</v>
      </c>
      <c r="W76" s="11">
        <f t="shared" si="59"/>
        <v>1</v>
      </c>
      <c r="X76" s="71">
        <f t="shared" si="38"/>
        <v>0</v>
      </c>
      <c r="Y76" s="64" t="str">
        <f t="shared" si="39"/>
        <v>-2, Superávit y resultado fue bueno</v>
      </c>
      <c r="AB76" s="53" t="s">
        <v>242</v>
      </c>
      <c r="AC76" s="53">
        <v>15</v>
      </c>
      <c r="AD76" s="54">
        <v>13.444444444444445</v>
      </c>
      <c r="AE76" s="53">
        <v>17</v>
      </c>
      <c r="AF76" s="53">
        <v>16</v>
      </c>
      <c r="AG76" s="53">
        <v>9</v>
      </c>
      <c r="AH76" s="51">
        <v>-1.3367165560614409</v>
      </c>
      <c r="AI76" s="64" t="s">
        <v>403</v>
      </c>
      <c r="AJ76" s="51">
        <v>17</v>
      </c>
      <c r="AK76" s="53">
        <f t="shared" si="60"/>
        <v>1</v>
      </c>
      <c r="AL76" s="53">
        <f t="shared" si="41"/>
        <v>2</v>
      </c>
      <c r="AM76" s="64" t="str">
        <f t="shared" si="42"/>
        <v>-2, Superávit y resultado fue bueno</v>
      </c>
      <c r="AO76" s="84" t="s">
        <v>242</v>
      </c>
      <c r="AP76" s="41">
        <v>14</v>
      </c>
      <c r="AQ76" s="43">
        <v>13.555555555555555</v>
      </c>
      <c r="AR76" s="41">
        <v>15</v>
      </c>
      <c r="AS76" s="41">
        <v>17</v>
      </c>
      <c r="AT76" s="41">
        <v>3</v>
      </c>
      <c r="AU76" s="44">
        <v>-1.3367165560614409</v>
      </c>
      <c r="AV76" s="64" t="s">
        <v>403</v>
      </c>
      <c r="AW76" s="41">
        <v>17</v>
      </c>
      <c r="AX76" s="41">
        <f t="shared" si="61"/>
        <v>1</v>
      </c>
      <c r="AY76" s="41">
        <f t="shared" si="44"/>
        <v>1</v>
      </c>
      <c r="AZ76" s="41" t="str">
        <f t="shared" si="45"/>
        <v>1, Superávit y eliminé superávit</v>
      </c>
      <c r="BB76" s="3" t="s">
        <v>242</v>
      </c>
      <c r="BC76" s="3">
        <v>6</v>
      </c>
      <c r="BD76" s="18">
        <v>11.111111111111111</v>
      </c>
      <c r="BE76" s="3">
        <v>6</v>
      </c>
      <c r="BF76" s="3">
        <v>5</v>
      </c>
      <c r="BG76" s="3">
        <v>6</v>
      </c>
      <c r="BH76" s="13">
        <v>-1.3367165560614409</v>
      </c>
      <c r="BI76" s="64" t="s">
        <v>403</v>
      </c>
      <c r="BJ76" s="13">
        <v>17</v>
      </c>
      <c r="BK76" s="3">
        <f t="shared" si="62"/>
        <v>1</v>
      </c>
      <c r="BL76" s="3">
        <f t="shared" si="47"/>
        <v>0</v>
      </c>
      <c r="BM76" t="str">
        <f t="shared" si="48"/>
        <v>-2, no había superávit y resultado fue bueno</v>
      </c>
      <c r="BO76" s="90" t="s">
        <v>242</v>
      </c>
      <c r="BP76" s="11">
        <v>14</v>
      </c>
      <c r="BQ76" s="25">
        <v>13</v>
      </c>
      <c r="BR76" s="11">
        <v>16</v>
      </c>
      <c r="BS76" s="11">
        <v>17</v>
      </c>
      <c r="BT76" s="11">
        <v>14</v>
      </c>
      <c r="BU76" s="64" t="s">
        <v>403</v>
      </c>
      <c r="BV76" s="13">
        <v>-1.3367165560614409</v>
      </c>
      <c r="BW76" s="13">
        <v>17</v>
      </c>
      <c r="BX76" s="11">
        <f t="shared" si="63"/>
        <v>1</v>
      </c>
      <c r="BY76" s="11">
        <f t="shared" si="50"/>
        <v>2</v>
      </c>
      <c r="BZ76" t="str">
        <f t="shared" si="51"/>
        <v>0, Superávit y no eliminé superávit</v>
      </c>
      <c r="CB76" s="3" t="s">
        <v>242</v>
      </c>
      <c r="CC76" s="3">
        <v>15</v>
      </c>
      <c r="CD76" s="18">
        <v>12.555555555555555</v>
      </c>
      <c r="CE76" s="3">
        <v>4</v>
      </c>
      <c r="CF76" s="3">
        <v>5</v>
      </c>
      <c r="CG76" s="3">
        <v>3</v>
      </c>
      <c r="CH76" s="13">
        <v>-1.3367165560614409</v>
      </c>
      <c r="CI76" s="64" t="s">
        <v>403</v>
      </c>
      <c r="CJ76" s="13">
        <v>17</v>
      </c>
      <c r="CK76" s="11">
        <f t="shared" si="64"/>
        <v>0</v>
      </c>
      <c r="CL76" s="11">
        <f t="shared" si="53"/>
        <v>-11</v>
      </c>
      <c r="CM76" t="str">
        <f t="shared" si="54"/>
        <v>1, Superávit y eliminé superávit</v>
      </c>
      <c r="CO76" s="3" t="s">
        <v>242</v>
      </c>
      <c r="CP76" s="3">
        <v>16</v>
      </c>
      <c r="CQ76" s="18">
        <v>12</v>
      </c>
      <c r="CR76" s="3">
        <v>16</v>
      </c>
      <c r="CS76" s="3">
        <v>17</v>
      </c>
      <c r="CT76" s="3">
        <v>5</v>
      </c>
      <c r="CU76" s="13">
        <v>-1.3367165560614409</v>
      </c>
      <c r="CV76" s="64" t="s">
        <v>403</v>
      </c>
      <c r="CW76" s="13">
        <v>17</v>
      </c>
      <c r="CX76" s="13">
        <f t="shared" si="65"/>
        <v>0</v>
      </c>
      <c r="CY76" s="13">
        <f t="shared" si="56"/>
        <v>0</v>
      </c>
      <c r="CZ76" t="str">
        <f t="shared" si="57"/>
        <v>1, Superávit y eliminé superávit</v>
      </c>
    </row>
    <row r="77" spans="1:104" ht="14.25" customHeight="1" x14ac:dyDescent="0.3">
      <c r="A77" s="3" t="s">
        <v>243</v>
      </c>
      <c r="B77" s="3">
        <v>26</v>
      </c>
      <c r="C77" s="18">
        <v>18.777777777777779</v>
      </c>
      <c r="D77" s="3">
        <v>22</v>
      </c>
      <c r="E77" s="3">
        <v>22</v>
      </c>
      <c r="F77" s="3">
        <v>19</v>
      </c>
      <c r="G77" s="13">
        <v>-1.679865001322572</v>
      </c>
      <c r="H77" s="64" t="s">
        <v>407</v>
      </c>
      <c r="I77" s="13">
        <v>27</v>
      </c>
      <c r="J77" s="11">
        <f t="shared" si="58"/>
        <v>0</v>
      </c>
      <c r="K77" s="11">
        <f t="shared" si="35"/>
        <v>-4</v>
      </c>
      <c r="L77" t="str">
        <f t="shared" si="36"/>
        <v>-2, Superávit y resultado fue bueno</v>
      </c>
      <c r="N77" s="3" t="s">
        <v>243</v>
      </c>
      <c r="O77" s="3">
        <v>20</v>
      </c>
      <c r="P77" s="18">
        <v>21.333333333333332</v>
      </c>
      <c r="Q77" s="3">
        <v>23</v>
      </c>
      <c r="R77" s="3">
        <v>23</v>
      </c>
      <c r="S77" s="3">
        <v>20</v>
      </c>
      <c r="T77" s="13">
        <v>-1.679865001322572</v>
      </c>
      <c r="U77" s="64" t="s">
        <v>407</v>
      </c>
      <c r="V77" s="13">
        <v>27</v>
      </c>
      <c r="W77" s="11">
        <f t="shared" si="59"/>
        <v>1</v>
      </c>
      <c r="X77" s="71">
        <f t="shared" si="38"/>
        <v>3</v>
      </c>
      <c r="Y77" s="64" t="str">
        <f t="shared" si="39"/>
        <v>0, Superávit y no eliminé superávit</v>
      </c>
      <c r="AB77" s="53" t="s">
        <v>243</v>
      </c>
      <c r="AC77" s="53">
        <v>27</v>
      </c>
      <c r="AD77" s="54">
        <v>23.111111111111111</v>
      </c>
      <c r="AE77" s="53">
        <v>27</v>
      </c>
      <c r="AF77" s="53">
        <v>26</v>
      </c>
      <c r="AG77" s="53">
        <v>24</v>
      </c>
      <c r="AH77" s="51">
        <v>-1.679865001322572</v>
      </c>
      <c r="AI77" s="64" t="s">
        <v>407</v>
      </c>
      <c r="AJ77" s="51">
        <v>27</v>
      </c>
      <c r="AK77" s="53">
        <f t="shared" si="60"/>
        <v>1</v>
      </c>
      <c r="AL77" s="53">
        <f t="shared" si="41"/>
        <v>0</v>
      </c>
      <c r="AM77" s="64" t="str">
        <f t="shared" si="42"/>
        <v>-2, Superávit y resultado fue bueno</v>
      </c>
      <c r="AO77" s="84" t="s">
        <v>243</v>
      </c>
      <c r="AP77" s="41">
        <v>26</v>
      </c>
      <c r="AQ77" s="43">
        <v>23.888888888888889</v>
      </c>
      <c r="AR77" s="41">
        <v>27</v>
      </c>
      <c r="AS77" s="41">
        <v>27</v>
      </c>
      <c r="AT77" s="41">
        <v>16</v>
      </c>
      <c r="AU77" s="44">
        <v>-1.679865001322572</v>
      </c>
      <c r="AV77" s="64" t="s">
        <v>407</v>
      </c>
      <c r="AW77" s="41">
        <v>27</v>
      </c>
      <c r="AX77" s="41">
        <f t="shared" si="61"/>
        <v>1</v>
      </c>
      <c r="AY77" s="41">
        <f t="shared" si="44"/>
        <v>1</v>
      </c>
      <c r="AZ77" s="41" t="str">
        <f t="shared" si="45"/>
        <v>-2, Superávit y resultado fue bueno</v>
      </c>
      <c r="BB77" s="3" t="s">
        <v>243</v>
      </c>
      <c r="BC77" s="3">
        <v>27</v>
      </c>
      <c r="BD77" s="18">
        <v>24.111111111111111</v>
      </c>
      <c r="BE77" s="3">
        <v>27</v>
      </c>
      <c r="BF77" s="3">
        <v>27</v>
      </c>
      <c r="BG77" s="3">
        <v>17</v>
      </c>
      <c r="BH77" s="13">
        <v>-1.679865001322572</v>
      </c>
      <c r="BI77" s="64" t="s">
        <v>407</v>
      </c>
      <c r="BJ77" s="13">
        <v>27</v>
      </c>
      <c r="BK77" s="3">
        <f t="shared" si="62"/>
        <v>1</v>
      </c>
      <c r="BL77" s="3">
        <f t="shared" si="47"/>
        <v>0</v>
      </c>
      <c r="BM77" t="str">
        <f t="shared" si="48"/>
        <v>-2, Superávit y resultado fue bueno</v>
      </c>
      <c r="BO77" s="90" t="s">
        <v>243</v>
      </c>
      <c r="BP77" s="11">
        <v>23</v>
      </c>
      <c r="BQ77" s="25">
        <v>24</v>
      </c>
      <c r="BR77" s="11">
        <v>25</v>
      </c>
      <c r="BS77" s="11">
        <v>26</v>
      </c>
      <c r="BT77" s="11">
        <v>23</v>
      </c>
      <c r="BU77" s="64" t="s">
        <v>407</v>
      </c>
      <c r="BV77" s="13">
        <v>-1.679865001322572</v>
      </c>
      <c r="BW77" s="13">
        <v>27</v>
      </c>
      <c r="BX77" s="11">
        <f t="shared" si="63"/>
        <v>1</v>
      </c>
      <c r="BY77" s="11">
        <f t="shared" si="50"/>
        <v>2</v>
      </c>
      <c r="BZ77" t="str">
        <f t="shared" si="51"/>
        <v>0, Superávit y no eliminé superávit</v>
      </c>
      <c r="CB77" s="3" t="s">
        <v>243</v>
      </c>
      <c r="CC77" s="3">
        <v>27</v>
      </c>
      <c r="CD77" s="18">
        <v>24</v>
      </c>
      <c r="CE77" s="3">
        <v>27</v>
      </c>
      <c r="CF77" s="3">
        <v>27</v>
      </c>
      <c r="CG77" s="3">
        <v>20</v>
      </c>
      <c r="CH77" s="13">
        <v>-1.679865001322572</v>
      </c>
      <c r="CI77" s="64" t="s">
        <v>407</v>
      </c>
      <c r="CJ77" s="13">
        <v>27</v>
      </c>
      <c r="CK77" s="11">
        <f t="shared" si="64"/>
        <v>1</v>
      </c>
      <c r="CL77" s="11">
        <f t="shared" si="53"/>
        <v>0</v>
      </c>
      <c r="CM77" t="str">
        <f t="shared" si="54"/>
        <v>-2, Superávit y resultado fue bueno</v>
      </c>
      <c r="CO77" s="3" t="s">
        <v>243</v>
      </c>
      <c r="CP77" s="3">
        <v>21</v>
      </c>
      <c r="CQ77" s="18">
        <v>18.777777777777779</v>
      </c>
      <c r="CR77" s="3">
        <v>20</v>
      </c>
      <c r="CS77" s="3">
        <v>20</v>
      </c>
      <c r="CT77" s="3">
        <v>21</v>
      </c>
      <c r="CU77" s="13">
        <v>-1.679865001322572</v>
      </c>
      <c r="CV77" s="64" t="s">
        <v>407</v>
      </c>
      <c r="CW77" s="13">
        <v>27</v>
      </c>
      <c r="CX77" s="13">
        <f t="shared" si="65"/>
        <v>1</v>
      </c>
      <c r="CY77" s="13">
        <f t="shared" si="56"/>
        <v>-1</v>
      </c>
      <c r="CZ77" t="str">
        <f t="shared" si="57"/>
        <v>0, Superávit y no eliminé superávit</v>
      </c>
    </row>
    <row r="78" spans="1:104" ht="14.25" customHeight="1" x14ac:dyDescent="0.3">
      <c r="A78" s="13" t="s">
        <v>245</v>
      </c>
      <c r="B78" s="13">
        <f t="shared" ref="B78:F78" si="66">AVERAGE(B58:B67)</f>
        <v>3.9</v>
      </c>
      <c r="C78" s="25">
        <f t="shared" si="66"/>
        <v>4.2555555555555555</v>
      </c>
      <c r="D78" s="13">
        <f t="shared" si="66"/>
        <v>4.2</v>
      </c>
      <c r="E78" s="13">
        <f t="shared" si="66"/>
        <v>4</v>
      </c>
      <c r="F78" s="13">
        <f t="shared" si="66"/>
        <v>6.8</v>
      </c>
      <c r="K78" s="12"/>
      <c r="L78" s="12"/>
      <c r="M78" s="96"/>
      <c r="N78" s="29" t="s">
        <v>245</v>
      </c>
      <c r="O78" s="13">
        <f>AVERAGE(O58:O67)</f>
        <v>3.3</v>
      </c>
      <c r="P78" s="25">
        <f>AVERAGE(P58:P67)</f>
        <v>3.4222222222222221</v>
      </c>
      <c r="Q78" s="13">
        <f>AVERAGE(Q58:Q67)</f>
        <v>3</v>
      </c>
      <c r="R78" s="13">
        <f>AVERAGE(R58:R67)</f>
        <v>3.2</v>
      </c>
      <c r="S78" s="13">
        <f>AVERAGE(S58:S67)</f>
        <v>6.7</v>
      </c>
      <c r="W78" s="12"/>
      <c r="X78" s="12"/>
      <c r="Y78" s="12"/>
      <c r="Z78" s="12"/>
      <c r="AA78" s="12"/>
      <c r="AB78" s="49" t="s">
        <v>245</v>
      </c>
      <c r="AC78" s="49">
        <f>AVERAGE(AC58:AC67)</f>
        <v>5.4</v>
      </c>
      <c r="AD78" s="50">
        <f>AVERAGE(AD58:AD67)</f>
        <v>5.0111111111111111</v>
      </c>
      <c r="AE78" s="49">
        <f>AVERAGE(AE58:AE67)</f>
        <v>3.2</v>
      </c>
      <c r="AF78" s="49">
        <f>AVERAGE(AF58:AF67)</f>
        <v>2.4</v>
      </c>
      <c r="AG78" s="49">
        <f>AVERAGE(AG58:AG67)</f>
        <v>6.5</v>
      </c>
      <c r="AL78" s="12"/>
      <c r="AM78" s="12"/>
      <c r="AN78" s="12"/>
      <c r="AO78" s="85" t="s">
        <v>275</v>
      </c>
      <c r="AP78" s="45">
        <f>AVERAGE(AP58:AP67)</f>
        <v>4.7</v>
      </c>
      <c r="AQ78" s="46">
        <f>AVERAGE(AQ58:AQ67)</f>
        <v>4.7111111111111112</v>
      </c>
      <c r="AR78" s="45">
        <f>AVERAGE(AR58:AR67)</f>
        <v>2.2000000000000002</v>
      </c>
      <c r="AS78" s="45">
        <f>AVERAGE(AS58:AS67)</f>
        <v>2</v>
      </c>
      <c r="AT78" s="45">
        <f>AVERAGE(AT58:AT67)</f>
        <v>6.5</v>
      </c>
      <c r="AU78" s="38"/>
      <c r="AV78" s="38"/>
      <c r="AW78" s="38"/>
      <c r="AX78" s="38"/>
      <c r="AY78" s="38"/>
      <c r="AZ78" s="12"/>
      <c r="BA78" s="12"/>
      <c r="BB78" s="13" t="s">
        <v>245</v>
      </c>
      <c r="BC78" s="13">
        <f>AVERAGE(BC58:BC67)</f>
        <v>4.5</v>
      </c>
      <c r="BD78" s="25">
        <f>AVERAGE(BD58:BD67)</f>
        <v>4.4000000000000004</v>
      </c>
      <c r="BE78" s="13">
        <f>AVERAGE(BE58:BE67)</f>
        <v>3.1</v>
      </c>
      <c r="BF78" s="13">
        <f>AVERAGE(BF58:BF67)</f>
        <v>2.2999999999999998</v>
      </c>
      <c r="BG78" s="13">
        <f>AVERAGE(BG58:BG67)</f>
        <v>6.5</v>
      </c>
      <c r="BO78" s="29" t="s">
        <v>245</v>
      </c>
      <c r="BP78" s="13">
        <f>AVERAGE(BP58:BP67)</f>
        <v>7</v>
      </c>
      <c r="BQ78" s="25">
        <f>AVERAGE(BQ58:BQ67)</f>
        <v>5.1444444444444448</v>
      </c>
      <c r="BR78" s="13">
        <f>AVERAGE(BR58:BR67)</f>
        <v>5</v>
      </c>
      <c r="BS78" s="13">
        <f>AVERAGE(BS58:BS67)</f>
        <v>4.4000000000000004</v>
      </c>
      <c r="BT78" s="13">
        <f>AVERAGE(BT58:BT67)</f>
        <v>7</v>
      </c>
      <c r="BY78" s="12"/>
      <c r="BZ78" s="12"/>
      <c r="CA78" s="12"/>
      <c r="CB78" s="13" t="s">
        <v>245</v>
      </c>
      <c r="CC78" s="13">
        <f>AVERAGE(CC58:CC67)</f>
        <v>4.8</v>
      </c>
      <c r="CD78" s="25">
        <f>AVERAGE(CD58:CD67)</f>
        <v>3.6888888888888887</v>
      </c>
      <c r="CE78" s="13">
        <f>AVERAGE(CE58:CE67)</f>
        <v>4.4000000000000004</v>
      </c>
      <c r="CF78" s="13">
        <f>AVERAGE(CF58:CF67)</f>
        <v>5.6</v>
      </c>
      <c r="CG78" s="13">
        <f>AVERAGE(CG58:CG67)</f>
        <v>6.7</v>
      </c>
      <c r="CL78" s="12"/>
      <c r="CM78" s="12"/>
      <c r="CN78" s="12"/>
      <c r="CO78" s="13" t="s">
        <v>245</v>
      </c>
      <c r="CP78" s="13">
        <f>AVERAGE(CP58:CP67)</f>
        <v>4.8</v>
      </c>
      <c r="CQ78" s="25">
        <f>AVERAGE(CQ58:CQ67)</f>
        <v>4.2555555555555555</v>
      </c>
      <c r="CR78" s="13">
        <f>AVERAGE(CR58:CR67)</f>
        <v>5.3</v>
      </c>
      <c r="CS78" s="13">
        <f>AVERAGE(CS58:CS67)</f>
        <v>6.3</v>
      </c>
      <c r="CT78" s="13">
        <f>AVERAGE(CT58:CT67)</f>
        <v>6.6</v>
      </c>
    </row>
    <row r="79" spans="1:104" ht="14.25" customHeight="1" x14ac:dyDescent="0.3">
      <c r="A79" s="13" t="s">
        <v>249</v>
      </c>
      <c r="B79" s="13">
        <f t="shared" ref="B79:F79" si="67">AVERAGE(B68:B77)</f>
        <v>11.7</v>
      </c>
      <c r="C79" s="25">
        <f t="shared" si="67"/>
        <v>12.111111111111111</v>
      </c>
      <c r="D79" s="13">
        <f t="shared" si="67"/>
        <v>11.2</v>
      </c>
      <c r="E79" s="13">
        <f t="shared" si="67"/>
        <v>11.8</v>
      </c>
      <c r="F79" s="13">
        <f t="shared" si="67"/>
        <v>8.8000000000000007</v>
      </c>
      <c r="K79" s="12"/>
      <c r="L79" s="12"/>
      <c r="M79" s="96"/>
      <c r="N79" s="29" t="s">
        <v>249</v>
      </c>
      <c r="O79" s="13">
        <f>AVERAGE(O68:O77)</f>
        <v>12.3</v>
      </c>
      <c r="P79" s="25">
        <f>AVERAGE(P68:P77)</f>
        <v>12.244444444444444</v>
      </c>
      <c r="Q79" s="13">
        <f>AVERAGE(Q68:Q77)</f>
        <v>13</v>
      </c>
      <c r="R79" s="13">
        <f>AVERAGE(R68:R77)</f>
        <v>13.2</v>
      </c>
      <c r="S79" s="13">
        <f>AVERAGE(S68:S77)</f>
        <v>8.9</v>
      </c>
      <c r="W79" s="12"/>
      <c r="X79" s="12"/>
      <c r="Y79" s="12"/>
      <c r="Z79" s="12"/>
      <c r="AA79" s="12"/>
      <c r="AB79" s="13" t="s">
        <v>249</v>
      </c>
      <c r="AC79" s="13">
        <f>AVERAGE(AC68:AC77)</f>
        <v>11.7</v>
      </c>
      <c r="AD79" s="25">
        <f>AVERAGE(AD68:AD77)</f>
        <v>11.544444444444444</v>
      </c>
      <c r="AE79" s="13">
        <f>AVERAGE(AE68:AE77)</f>
        <v>11.9</v>
      </c>
      <c r="AF79" s="13">
        <f>AVERAGE(AF68:AF77)</f>
        <v>12</v>
      </c>
      <c r="AG79" s="13">
        <f>AVERAGE(AG68:AG77)</f>
        <v>10.6</v>
      </c>
      <c r="AL79" s="12"/>
      <c r="AM79" s="12"/>
      <c r="AN79" s="12"/>
      <c r="AO79" s="86" t="s">
        <v>276</v>
      </c>
      <c r="AP79" s="47">
        <f>AVERAGE(AP68:AP77)</f>
        <v>12</v>
      </c>
      <c r="AQ79" s="48">
        <f>AVERAGE(AQ68:AQ77)</f>
        <v>11.044444444444444</v>
      </c>
      <c r="AR79" s="47">
        <f>AVERAGE(AR68:AR77)</f>
        <v>13</v>
      </c>
      <c r="AS79" s="47">
        <f>AVERAGE(AS68:AS77)</f>
        <v>13.7</v>
      </c>
      <c r="AT79" s="47">
        <f>AVERAGE(AT68:AT77)</f>
        <v>10.199999999999999</v>
      </c>
      <c r="AU79" s="38"/>
      <c r="AV79" s="38"/>
      <c r="AW79" s="38"/>
      <c r="AX79" s="38"/>
      <c r="AY79" s="38"/>
      <c r="AZ79" s="12"/>
      <c r="BA79" s="12"/>
      <c r="BB79" s="13" t="s">
        <v>249</v>
      </c>
      <c r="BC79" s="13">
        <f>AVERAGE(BC68:BC77)</f>
        <v>10.7</v>
      </c>
      <c r="BD79" s="25">
        <f>AVERAGE(BD68:BD77)</f>
        <v>10.288888888888888</v>
      </c>
      <c r="BE79" s="13">
        <f>AVERAGE(BE68:BE77)</f>
        <v>11.7</v>
      </c>
      <c r="BF79" s="13">
        <f>AVERAGE(BF68:BF77)</f>
        <v>12</v>
      </c>
      <c r="BG79" s="13">
        <f>AVERAGE(BG68:BG77)</f>
        <v>8.6999999999999993</v>
      </c>
      <c r="BO79" s="29" t="s">
        <v>249</v>
      </c>
      <c r="BP79" s="13">
        <f>AVERAGE(BP68:BP77)</f>
        <v>10.3</v>
      </c>
      <c r="BQ79" s="25">
        <f>AVERAGE(BQ68:BQ77)</f>
        <v>11.422222222222222</v>
      </c>
      <c r="BR79" s="13">
        <f>AVERAGE(BR68:BR77)</f>
        <v>11.3</v>
      </c>
      <c r="BS79" s="13">
        <f>AVERAGE(BS68:BS77)</f>
        <v>11.7</v>
      </c>
      <c r="BT79" s="13">
        <f>AVERAGE(BT68:BT77)</f>
        <v>10.3</v>
      </c>
      <c r="BY79" s="12"/>
      <c r="BZ79" s="12"/>
      <c r="CA79" s="12"/>
      <c r="CB79" s="13" t="s">
        <v>249</v>
      </c>
      <c r="CC79" s="13">
        <f>AVERAGE(CC68:CC77)</f>
        <v>11.4</v>
      </c>
      <c r="CD79" s="25">
        <f>AVERAGE(CD68:CD77)</f>
        <v>12.233333333333333</v>
      </c>
      <c r="CE79" s="13">
        <f>AVERAGE(CE68:CE77)</f>
        <v>10.4</v>
      </c>
      <c r="CF79" s="13">
        <f>AVERAGE(CF68:CF77)</f>
        <v>10.9</v>
      </c>
      <c r="CG79" s="13">
        <f>AVERAGE(CG68:CG77)</f>
        <v>9.5</v>
      </c>
      <c r="CL79" s="12"/>
      <c r="CM79" s="12"/>
      <c r="CN79" s="12"/>
      <c r="CO79" s="13" t="s">
        <v>249</v>
      </c>
      <c r="CP79" s="13">
        <f>AVERAGE(CP68:CP77)</f>
        <v>12.1</v>
      </c>
      <c r="CQ79" s="25">
        <f>AVERAGE(CQ68:CQ77)</f>
        <v>12.111111111111111</v>
      </c>
      <c r="CR79" s="13">
        <f>AVERAGE(CR68:CR77)</f>
        <v>11.8</v>
      </c>
      <c r="CS79" s="13">
        <f>AVERAGE(CS68:CS77)</f>
        <v>12.2</v>
      </c>
      <c r="CT79" s="13">
        <f>AVERAGE(CT68:CT77)</f>
        <v>10.3</v>
      </c>
    </row>
    <row r="80" spans="1:104" ht="14.25" customHeight="1" x14ac:dyDescent="0.3">
      <c r="A80" s="13" t="s">
        <v>252</v>
      </c>
      <c r="B80" s="13">
        <f>SKEW(B58:B61,B65,B67,B69,B75:B77)</f>
        <v>1.2884571514369449</v>
      </c>
      <c r="C80" s="13"/>
      <c r="D80" s="13"/>
      <c r="E80" s="13"/>
      <c r="F80" s="13">
        <f>SKEW(F58:F61,F65,F67,F69,F75:F77)</f>
        <v>1.8396222751406968</v>
      </c>
      <c r="K80" s="12"/>
      <c r="L80" s="12"/>
      <c r="M80" s="96"/>
      <c r="N80" s="29" t="s">
        <v>252</v>
      </c>
      <c r="O80" s="13">
        <f>SKEW(O58:O61,O65,O67,O69,O75:O77)</f>
        <v>0.58398575012104903</v>
      </c>
      <c r="P80" s="13"/>
      <c r="Q80" s="13"/>
      <c r="R80" s="13"/>
      <c r="S80" s="13">
        <f>SKEW(S58:S61,S65,S67,S69,S75:S77)</f>
        <v>1.9278799303535543</v>
      </c>
      <c r="W80" s="3"/>
      <c r="X80" s="12"/>
      <c r="Y80" s="12"/>
      <c r="Z80" s="12"/>
      <c r="AA80" s="12"/>
      <c r="AB80" s="13" t="s">
        <v>252</v>
      </c>
      <c r="AC80" s="13">
        <f>SKEW(AC58:AC61,AC65,AC67,AC69,AC75:AC77)</f>
        <v>1.3656644410139358</v>
      </c>
      <c r="AD80" s="13"/>
      <c r="AE80" s="13"/>
      <c r="AF80" s="13"/>
      <c r="AG80" s="13">
        <f>SKEW(AG58:AG61,AG65,AG67,AG69,AG75:AG77)</f>
        <v>1.8881215854765285</v>
      </c>
      <c r="AL80" s="12"/>
      <c r="AM80" s="12"/>
      <c r="AN80" s="12"/>
      <c r="AO80" s="29" t="s">
        <v>252</v>
      </c>
      <c r="AP80" s="13">
        <f>SKEW(AP58:AP61,AP65,AP67,AP69,AP75:AP77)</f>
        <v>1.0271383600602597</v>
      </c>
      <c r="AQ80" s="13"/>
      <c r="AR80" s="13"/>
      <c r="AS80" s="13"/>
      <c r="AT80" s="13">
        <f>SKEW(AT58:AT61,AT65,AT67,AT69,AT75:AT77)</f>
        <v>0.82615967782856115</v>
      </c>
      <c r="AZ80" s="12"/>
      <c r="BA80" s="12"/>
      <c r="BB80" s="13" t="s">
        <v>252</v>
      </c>
      <c r="BC80" s="13">
        <f>SKEW(BC58:BC61,BC65,BC67,BC69,BC75:BC77)</f>
        <v>1.5578079056916967</v>
      </c>
      <c r="BD80" s="13"/>
      <c r="BE80" s="13"/>
      <c r="BF80" s="13"/>
      <c r="BG80" s="13">
        <f>SKEW(BG58:BG61,BG65,BG67,BG69,BG75:BG77)</f>
        <v>1.7245116331747923</v>
      </c>
      <c r="BO80" s="29" t="s">
        <v>252</v>
      </c>
      <c r="BP80" s="13">
        <f>SKEW(BP58:BP61,BP65,BP67,BP69,BP75:BP77)</f>
        <v>0.42257271777944178</v>
      </c>
      <c r="BQ80" s="13"/>
      <c r="BR80" s="13"/>
      <c r="BS80" s="13"/>
      <c r="BT80" s="13">
        <f>SKEW(BT58:BT61,BT65,BT67,BT69,BT75:BT77)</f>
        <v>1.6106546562509401</v>
      </c>
      <c r="BY80" s="12"/>
      <c r="BZ80" s="12"/>
      <c r="CA80" s="12"/>
      <c r="CB80" s="13" t="s">
        <v>252</v>
      </c>
      <c r="CC80" s="13">
        <f>SKEW(CC58:CC61,CC65,CC67,CC69,CC75:CC77)</f>
        <v>1.37200870568654</v>
      </c>
      <c r="CD80" s="13"/>
      <c r="CE80" s="13"/>
      <c r="CF80" s="13"/>
      <c r="CG80" s="13">
        <f>SKEW(CG58:CG61,CG65,CG67,CG69,CG75:CG77)</f>
        <v>1.8563757436400647</v>
      </c>
      <c r="CL80" s="12"/>
      <c r="CM80" s="12"/>
      <c r="CN80" s="12"/>
      <c r="CO80" s="13" t="s">
        <v>252</v>
      </c>
      <c r="CP80" s="13">
        <f>SKEW(CP58:CP61,CP65,CP67,CP69,CP75:CP77)</f>
        <v>0.5307058557731047</v>
      </c>
      <c r="CQ80" s="13"/>
      <c r="CR80" s="13"/>
      <c r="CS80" s="13"/>
      <c r="CT80" s="13">
        <f>SKEW(CT58:CT61,CT65,CT67,CT69,CT75:CT77)</f>
        <v>1.9262239467138373</v>
      </c>
    </row>
    <row r="81" spans="1:104" ht="14.25" customHeight="1" x14ac:dyDescent="0.3">
      <c r="A81" s="13" t="s">
        <v>254</v>
      </c>
      <c r="B81" s="13">
        <f>SKEW(B62:B64,B66,B68,B70:B74)</f>
        <v>0.281857771042755</v>
      </c>
      <c r="C81" s="13"/>
      <c r="D81" s="13"/>
      <c r="E81" s="13"/>
      <c r="F81" s="13">
        <f>SKEW(F62:F64,F66,F68,F70:F74)</f>
        <v>3.8362711936114945E-3</v>
      </c>
      <c r="K81" s="12"/>
      <c r="L81" s="12"/>
      <c r="M81" s="96"/>
      <c r="N81" s="29" t="s">
        <v>254</v>
      </c>
      <c r="O81" s="13">
        <f>SKEW(O62:O64,O66,O68,O70:O74)</f>
        <v>-0.19691494307978441</v>
      </c>
      <c r="P81" s="13"/>
      <c r="Q81" s="13"/>
      <c r="R81" s="13"/>
      <c r="S81" s="13">
        <f>SKEW(S62:S64,S66,S68,S70:S74)</f>
        <v>-0.15979186171300958</v>
      </c>
      <c r="W81" s="3"/>
      <c r="X81" s="12"/>
      <c r="Y81" s="12"/>
      <c r="Z81" s="12"/>
      <c r="AA81" s="12"/>
      <c r="AB81" s="13" t="s">
        <v>254</v>
      </c>
      <c r="AC81" s="13">
        <f>SKEW(AC62:AC64,AC66,AC68,AC70:AC74)</f>
        <v>-7.5468806324001853E-2</v>
      </c>
      <c r="AD81" s="13"/>
      <c r="AE81" s="13"/>
      <c r="AF81" s="13"/>
      <c r="AG81" s="13">
        <f>SKEW(AG62:AG64,AG66,AG68,AG70:AG74)</f>
        <v>-0.4252594252294693</v>
      </c>
      <c r="AL81" s="12"/>
      <c r="AM81" s="12"/>
      <c r="AN81" s="12"/>
      <c r="AO81" s="29" t="s">
        <v>254</v>
      </c>
      <c r="AP81" s="13">
        <f>SKEW(AP62:AP64,AP66,AP68,AP70:AP74)</f>
        <v>0.41864228476042309</v>
      </c>
      <c r="AQ81" s="13"/>
      <c r="AR81" s="13"/>
      <c r="AS81" s="13"/>
      <c r="AT81" s="13">
        <f>SKEW(AT62:AT64,AT66,AT68,AT70:AT74)</f>
        <v>-0.22271623792836434</v>
      </c>
      <c r="AZ81" s="12"/>
      <c r="BA81" s="12"/>
      <c r="BB81" s="13" t="s">
        <v>254</v>
      </c>
      <c r="BC81" s="13">
        <f>SKEW(BC62:BC64,BC66,BC68,BC70:BC74)</f>
        <v>0.3246410931605021</v>
      </c>
      <c r="BD81" s="13"/>
      <c r="BE81" s="13"/>
      <c r="BF81" s="13"/>
      <c r="BG81" s="13">
        <f>SKEW(BG62:BG64,BG66,BG68,BG70:BG74)</f>
        <v>0.46155285349592207</v>
      </c>
      <c r="BO81" s="29" t="s">
        <v>254</v>
      </c>
      <c r="BP81" s="13">
        <f>SKEW(BP62:BP64,BP66,BP68,BP70:BP74)</f>
        <v>0.38309788381217252</v>
      </c>
      <c r="BQ81" s="13"/>
      <c r="BR81" s="13"/>
      <c r="BS81" s="13"/>
      <c r="BT81" s="13">
        <f>SKEW(BT62:BT64,BT66,BT68,BT70:BT74)</f>
        <v>0.67547491126531967</v>
      </c>
      <c r="BY81" s="12"/>
      <c r="BZ81" s="12"/>
      <c r="CA81" s="12"/>
      <c r="CB81" s="13" t="s">
        <v>254</v>
      </c>
      <c r="CC81" s="13">
        <f>SKEW(CC62:CC64,CC66,CC68,CC70:CC74)</f>
        <v>1.3913012570637084</v>
      </c>
      <c r="CD81" s="13"/>
      <c r="CE81" s="13"/>
      <c r="CF81" s="13"/>
      <c r="CG81" s="13">
        <f>SKEW(CG62:CG64,CG66,CG68,CG70:CG74)</f>
        <v>0.82824194048555955</v>
      </c>
      <c r="CL81" s="12"/>
      <c r="CM81" s="12"/>
      <c r="CN81" s="12"/>
      <c r="CO81" s="13" t="s">
        <v>254</v>
      </c>
      <c r="CP81" s="13">
        <f>SKEW(CP62:CP64,CP66,CP68,CP70:CP74)</f>
        <v>0.50489557687971487</v>
      </c>
      <c r="CQ81" s="13"/>
      <c r="CR81" s="13"/>
      <c r="CS81" s="13"/>
      <c r="CT81" s="13">
        <f>SKEW(CT62:CT64,CT66,CT68,CT70:CT74)</f>
        <v>0.80562611310597498</v>
      </c>
    </row>
    <row r="82" spans="1:104" ht="14.25" customHeight="1" x14ac:dyDescent="0.3">
      <c r="A82" s="13" t="s">
        <v>256</v>
      </c>
      <c r="B82" s="3">
        <v>19.63821444392968</v>
      </c>
      <c r="K82" s="12"/>
      <c r="L82" s="12"/>
      <c r="M82" s="96"/>
      <c r="N82" s="29" t="s">
        <v>256</v>
      </c>
      <c r="O82" s="3">
        <v>24.031542112072081</v>
      </c>
      <c r="W82" s="12"/>
      <c r="X82" s="12"/>
      <c r="Y82" s="12"/>
      <c r="Z82" s="12"/>
      <c r="AA82" s="12"/>
      <c r="AB82" s="13" t="s">
        <v>256</v>
      </c>
      <c r="AC82" s="3">
        <v>15.259630887005921</v>
      </c>
      <c r="AL82" s="12"/>
      <c r="AM82" s="12"/>
      <c r="AN82" s="12"/>
      <c r="AO82" s="29" t="s">
        <v>256</v>
      </c>
      <c r="AP82" s="3">
        <v>21.97582988657296</v>
      </c>
      <c r="AZ82" s="12"/>
      <c r="BA82" s="12"/>
      <c r="BB82" s="13" t="s">
        <v>256</v>
      </c>
      <c r="BC82" s="3">
        <v>20.49384450006303</v>
      </c>
      <c r="BO82" s="29" t="s">
        <v>256</v>
      </c>
      <c r="BP82" s="3">
        <v>3.4951411834086139</v>
      </c>
      <c r="BY82" s="12"/>
      <c r="BZ82" s="12"/>
      <c r="CA82" s="12"/>
      <c r="CB82" s="13" t="s">
        <v>256</v>
      </c>
      <c r="CC82" s="3">
        <v>16.43553526733595</v>
      </c>
      <c r="CL82" s="12"/>
      <c r="CM82" s="12"/>
      <c r="CN82" s="12"/>
      <c r="CO82" s="13" t="s">
        <v>256</v>
      </c>
      <c r="CP82" s="3">
        <v>17.704588053684422</v>
      </c>
    </row>
    <row r="83" spans="1:104" ht="14.25" customHeight="1" x14ac:dyDescent="0.3">
      <c r="A83" s="13" t="s">
        <v>257</v>
      </c>
      <c r="B83" s="13">
        <v>6</v>
      </c>
      <c r="K83" s="12"/>
      <c r="L83" s="12"/>
      <c r="M83" s="96"/>
      <c r="N83" s="29" t="s">
        <v>257</v>
      </c>
      <c r="O83" s="13">
        <v>10</v>
      </c>
      <c r="W83" s="12"/>
      <c r="X83" s="12"/>
      <c r="Y83" s="12"/>
      <c r="Z83" s="12"/>
      <c r="AA83" s="12"/>
      <c r="AB83" s="13" t="s">
        <v>257</v>
      </c>
      <c r="AC83" s="13">
        <v>12</v>
      </c>
      <c r="AL83" s="12"/>
      <c r="AM83" s="12"/>
      <c r="AN83" s="12"/>
      <c r="AO83" s="29" t="s">
        <v>257</v>
      </c>
      <c r="AP83" s="13">
        <v>12</v>
      </c>
      <c r="AZ83" s="12"/>
      <c r="BA83" s="12"/>
      <c r="BB83" s="13" t="s">
        <v>257</v>
      </c>
      <c r="BC83" s="13">
        <v>10</v>
      </c>
      <c r="BO83" s="29" t="s">
        <v>257</v>
      </c>
      <c r="BP83" s="13">
        <v>6</v>
      </c>
      <c r="BY83" s="12"/>
      <c r="BZ83" s="12"/>
      <c r="CA83" s="12"/>
      <c r="CB83" s="13" t="s">
        <v>257</v>
      </c>
      <c r="CC83" s="13">
        <v>7</v>
      </c>
      <c r="CL83" s="12"/>
      <c r="CM83" s="12"/>
      <c r="CN83" s="12"/>
      <c r="CO83" s="13" t="s">
        <v>257</v>
      </c>
      <c r="CP83" s="13">
        <v>9</v>
      </c>
    </row>
    <row r="84" spans="1:104" ht="14.25" customHeight="1" x14ac:dyDescent="0.3">
      <c r="A84" s="28" t="s">
        <v>258</v>
      </c>
      <c r="B84" s="13">
        <f>B83*2</f>
        <v>12</v>
      </c>
      <c r="K84" s="27"/>
      <c r="L84" s="27"/>
      <c r="M84" s="97"/>
      <c r="N84" s="83" t="s">
        <v>258</v>
      </c>
      <c r="O84" s="13">
        <f>O83*2</f>
        <v>20</v>
      </c>
      <c r="W84" s="27"/>
      <c r="X84" s="27"/>
      <c r="Y84" s="27"/>
      <c r="Z84" s="27"/>
      <c r="AA84" s="27"/>
      <c r="AB84" s="28" t="s">
        <v>258</v>
      </c>
      <c r="AC84" s="13">
        <f>AC83*2</f>
        <v>24</v>
      </c>
      <c r="AL84" s="27"/>
      <c r="AM84" s="27"/>
      <c r="AN84" s="27"/>
      <c r="AO84" s="83" t="s">
        <v>258</v>
      </c>
      <c r="AP84" s="13">
        <f>AP83*2</f>
        <v>24</v>
      </c>
      <c r="AZ84" s="27"/>
      <c r="BA84" s="27"/>
      <c r="BB84" s="28" t="s">
        <v>258</v>
      </c>
      <c r="BC84" s="13">
        <f>BC83*2</f>
        <v>20</v>
      </c>
      <c r="BO84" s="83" t="s">
        <v>258</v>
      </c>
      <c r="BP84" s="13">
        <f>BP83*2</f>
        <v>12</v>
      </c>
      <c r="BY84" s="27"/>
      <c r="BZ84" s="27"/>
      <c r="CA84" s="27"/>
      <c r="CB84" s="28" t="s">
        <v>258</v>
      </c>
      <c r="CC84" s="13">
        <f>CC83*2</f>
        <v>14</v>
      </c>
      <c r="CL84" s="27"/>
      <c r="CM84" s="27"/>
      <c r="CN84" s="27"/>
      <c r="CO84" s="28" t="s">
        <v>258</v>
      </c>
      <c r="CP84" s="13">
        <f>CP83*2</f>
        <v>18</v>
      </c>
    </row>
    <row r="85" spans="1:104" ht="14.25" customHeight="1" x14ac:dyDescent="0.3"/>
    <row r="86" spans="1:104" ht="14.25" customHeight="1" x14ac:dyDescent="0.3"/>
    <row r="87" spans="1:104" ht="14.25" customHeight="1" x14ac:dyDescent="0.3"/>
    <row r="88" spans="1:104" ht="14.25" customHeight="1" x14ac:dyDescent="0.3"/>
    <row r="89" spans="1:104" ht="14.25" customHeight="1" x14ac:dyDescent="0.3">
      <c r="B89" s="13" t="s">
        <v>267</v>
      </c>
      <c r="C89" s="13"/>
      <c r="D89" s="13"/>
      <c r="E89" s="13"/>
      <c r="F89" s="13"/>
      <c r="K89" s="12"/>
      <c r="L89" s="12"/>
      <c r="M89" s="96"/>
      <c r="N89" s="29" t="s">
        <v>268</v>
      </c>
      <c r="P89" s="13"/>
      <c r="Q89" s="13"/>
      <c r="R89" s="13"/>
      <c r="S89" s="13"/>
      <c r="AC89" s="13" t="s">
        <v>269</v>
      </c>
      <c r="AD89" s="13"/>
      <c r="AE89" s="13"/>
      <c r="AF89" s="13"/>
      <c r="AG89" s="13"/>
      <c r="AP89" s="13" t="s">
        <v>270</v>
      </c>
      <c r="AQ89" s="13"/>
      <c r="AR89" s="13"/>
      <c r="AS89" s="13"/>
      <c r="AT89" s="13"/>
      <c r="BC89" s="13" t="s">
        <v>271</v>
      </c>
      <c r="BD89" s="13"/>
      <c r="BE89" s="13"/>
      <c r="BF89" s="13"/>
      <c r="BG89" s="13"/>
      <c r="BP89" s="13" t="s">
        <v>272</v>
      </c>
      <c r="BQ89" s="13"/>
      <c r="BR89" s="13"/>
      <c r="BS89" s="13"/>
      <c r="BT89" s="13"/>
      <c r="CC89" s="13" t="s">
        <v>273</v>
      </c>
      <c r="CD89" s="13"/>
      <c r="CE89" s="13"/>
      <c r="CF89" s="13"/>
      <c r="CG89" s="13"/>
      <c r="CP89" s="13" t="s">
        <v>274</v>
      </c>
      <c r="CQ89" s="13"/>
      <c r="CR89" s="13"/>
      <c r="CS89" s="13"/>
      <c r="CT89" s="13"/>
    </row>
    <row r="90" spans="1:104" ht="14.25" customHeight="1" x14ac:dyDescent="0.3">
      <c r="A90" s="13" t="s">
        <v>201</v>
      </c>
      <c r="B90" s="13" t="s">
        <v>5</v>
      </c>
      <c r="C90" s="13" t="s">
        <v>206</v>
      </c>
      <c r="D90" s="14" t="s">
        <v>189</v>
      </c>
      <c r="E90" s="13" t="s">
        <v>190</v>
      </c>
      <c r="F90" s="13" t="s">
        <v>191</v>
      </c>
      <c r="G90" s="13" t="s">
        <v>192</v>
      </c>
      <c r="H90" s="64" t="s">
        <v>396</v>
      </c>
      <c r="I90" s="72" t="s">
        <v>193</v>
      </c>
      <c r="J90" s="51" t="s">
        <v>197</v>
      </c>
      <c r="K90" s="51" t="s">
        <v>198</v>
      </c>
      <c r="L90" s="94" t="s">
        <v>373</v>
      </c>
      <c r="N90" s="29" t="s">
        <v>201</v>
      </c>
      <c r="O90" s="13" t="s">
        <v>5</v>
      </c>
      <c r="P90" s="13" t="s">
        <v>208</v>
      </c>
      <c r="Q90" s="14" t="s">
        <v>189</v>
      </c>
      <c r="R90" s="13" t="s">
        <v>190</v>
      </c>
      <c r="S90" s="13" t="s">
        <v>191</v>
      </c>
      <c r="T90" s="13" t="s">
        <v>192</v>
      </c>
      <c r="U90" s="64" t="s">
        <v>396</v>
      </c>
      <c r="V90" s="13" t="s">
        <v>193</v>
      </c>
      <c r="W90" s="13" t="s">
        <v>197</v>
      </c>
      <c r="X90" s="72" t="s">
        <v>198</v>
      </c>
      <c r="Y90" s="51" t="s">
        <v>373</v>
      </c>
      <c r="Z90" s="12"/>
      <c r="AA90" s="12"/>
      <c r="AB90" s="13" t="s">
        <v>201</v>
      </c>
      <c r="AC90" s="13" t="s">
        <v>5</v>
      </c>
      <c r="AD90" s="13" t="s">
        <v>209</v>
      </c>
      <c r="AE90" s="14" t="s">
        <v>189</v>
      </c>
      <c r="AF90" s="13" t="s">
        <v>190</v>
      </c>
      <c r="AG90" s="13" t="s">
        <v>191</v>
      </c>
      <c r="AH90" s="13" t="s">
        <v>192</v>
      </c>
      <c r="AI90" s="64" t="s">
        <v>396</v>
      </c>
      <c r="AJ90" s="13" t="s">
        <v>193</v>
      </c>
      <c r="AK90" s="13" t="s">
        <v>197</v>
      </c>
      <c r="AL90" s="72" t="s">
        <v>198</v>
      </c>
      <c r="AM90" t="s">
        <v>373</v>
      </c>
      <c r="AN90" s="12"/>
      <c r="AO90" s="29" t="s">
        <v>201</v>
      </c>
      <c r="AP90" s="13" t="s">
        <v>5</v>
      </c>
      <c r="AQ90" s="13" t="s">
        <v>211</v>
      </c>
      <c r="AR90" s="14" t="s">
        <v>189</v>
      </c>
      <c r="AS90" s="13" t="s">
        <v>190</v>
      </c>
      <c r="AT90" s="13" t="s">
        <v>191</v>
      </c>
      <c r="AU90" s="13" t="s">
        <v>192</v>
      </c>
      <c r="AV90" s="64" t="s">
        <v>396</v>
      </c>
      <c r="AW90" s="13" t="s">
        <v>193</v>
      </c>
      <c r="AX90" s="13" t="s">
        <v>197</v>
      </c>
      <c r="AY90" s="72" t="s">
        <v>198</v>
      </c>
      <c r="AZ90" t="s">
        <v>373</v>
      </c>
      <c r="BA90" s="12"/>
      <c r="BB90" s="13" t="s">
        <v>201</v>
      </c>
      <c r="BC90" s="13" t="s">
        <v>5</v>
      </c>
      <c r="BD90" s="13" t="s">
        <v>212</v>
      </c>
      <c r="BE90" s="14" t="s">
        <v>189</v>
      </c>
      <c r="BF90" s="13" t="s">
        <v>190</v>
      </c>
      <c r="BG90" s="13" t="s">
        <v>191</v>
      </c>
      <c r="BH90" s="13" t="s">
        <v>192</v>
      </c>
      <c r="BI90" s="64" t="s">
        <v>396</v>
      </c>
      <c r="BJ90" s="13" t="s">
        <v>193</v>
      </c>
      <c r="BK90" s="13" t="s">
        <v>197</v>
      </c>
      <c r="BL90" s="72" t="s">
        <v>198</v>
      </c>
      <c r="BM90" t="s">
        <v>373</v>
      </c>
      <c r="BO90" s="29" t="s">
        <v>201</v>
      </c>
      <c r="BP90" s="13" t="s">
        <v>5</v>
      </c>
      <c r="BQ90" s="13" t="s">
        <v>188</v>
      </c>
      <c r="BR90" s="14" t="s">
        <v>189</v>
      </c>
      <c r="BS90" s="13" t="s">
        <v>190</v>
      </c>
      <c r="BT90" s="13" t="s">
        <v>191</v>
      </c>
      <c r="BU90" s="13" t="s">
        <v>192</v>
      </c>
      <c r="BV90" s="64" t="s">
        <v>396</v>
      </c>
      <c r="BW90" s="13" t="s">
        <v>193</v>
      </c>
      <c r="BX90" s="13" t="s">
        <v>197</v>
      </c>
      <c r="BY90" s="72" t="s">
        <v>198</v>
      </c>
      <c r="BZ90" s="12" t="s">
        <v>373</v>
      </c>
      <c r="CA90" s="12"/>
      <c r="CB90" s="13" t="s">
        <v>201</v>
      </c>
      <c r="CC90" s="13" t="s">
        <v>5</v>
      </c>
      <c r="CD90" s="13" t="s">
        <v>202</v>
      </c>
      <c r="CE90" s="14" t="s">
        <v>189</v>
      </c>
      <c r="CF90" s="13" t="s">
        <v>190</v>
      </c>
      <c r="CG90" s="13" t="s">
        <v>191</v>
      </c>
      <c r="CH90" s="13" t="s">
        <v>192</v>
      </c>
      <c r="CI90" s="64" t="s">
        <v>396</v>
      </c>
      <c r="CJ90" s="13" t="s">
        <v>193</v>
      </c>
      <c r="CK90" s="13" t="s">
        <v>197</v>
      </c>
      <c r="CL90" s="72" t="s">
        <v>198</v>
      </c>
      <c r="CM90" s="12" t="s">
        <v>373</v>
      </c>
      <c r="CN90" s="12"/>
      <c r="CO90" s="13" t="s">
        <v>201</v>
      </c>
      <c r="CP90" s="13" t="s">
        <v>5</v>
      </c>
      <c r="CQ90" s="13" t="s">
        <v>206</v>
      </c>
      <c r="CR90" s="14" t="s">
        <v>189</v>
      </c>
      <c r="CS90" s="13" t="s">
        <v>190</v>
      </c>
      <c r="CT90" s="13" t="s">
        <v>191</v>
      </c>
      <c r="CU90" s="13" t="s">
        <v>192</v>
      </c>
      <c r="CV90" s="64" t="s">
        <v>396</v>
      </c>
      <c r="CW90" s="13" t="s">
        <v>193</v>
      </c>
      <c r="CX90" s="13" t="s">
        <v>197</v>
      </c>
      <c r="CY90" s="72" t="s">
        <v>198</v>
      </c>
      <c r="CZ90" t="s">
        <v>373</v>
      </c>
    </row>
    <row r="91" spans="1:104" ht="14.25" customHeight="1" x14ac:dyDescent="0.3">
      <c r="A91" s="3" t="s">
        <v>213</v>
      </c>
      <c r="B91" s="3">
        <v>4</v>
      </c>
      <c r="C91" s="18">
        <v>3.1111111111111112</v>
      </c>
      <c r="D91" s="3">
        <v>4</v>
      </c>
      <c r="E91" s="3">
        <v>4</v>
      </c>
      <c r="F91" s="3">
        <v>8</v>
      </c>
      <c r="G91" s="13">
        <v>1.247177188019948</v>
      </c>
      <c r="H91" s="64" t="s">
        <v>397</v>
      </c>
      <c r="I91" s="72">
        <v>17</v>
      </c>
      <c r="J91" s="53">
        <f t="shared" ref="J91:J100" si="68">IF(D91&lt;=B91,1,0)</f>
        <v>1</v>
      </c>
      <c r="K91" s="53">
        <f t="shared" ref="K91:K110" si="69">D91-B91</f>
        <v>0</v>
      </c>
      <c r="L91" s="94" t="str">
        <f t="shared" ref="L91:L110" si="70">IF(G91&gt;0,
    IF(OR(B91&lt;=TRUNC(I91/2,0),B91=0),
        IF(F91=TRUNC(I91/2,0),
            "-1, Déficit y dejo la capacidad media",
            IF(AND(F91&gt;TRUNC(I91/2,0), F91&gt;B91),
                "1, Déficit y eliminé déficit",
                IF(AND(F91&lt;TRUNC(I91/2,0), F91&lt;B91),
                    "0, Déficit y no elimine déficit",
                    "-2, Déficit y resultado fue bueno")
            )
        ),
        IF(AND(F91&gt;TRUNC(I91/2,0), F91&gt;B91),
            "1, no había déficit, pero resultado fue mejor",
            IF(AND(F91&lt;TRUNC(I91/2,0),F91&lt;B91),
                "0, no había déficit y la dejo con déficit",
                IF(F91=TRUNC(I91/2,0),
                    "-1, no había déficit y dejo la capacidad media",
                    "-2,no había déficit y resultado fue bueno")
            )
        )
    ),
    IF(G91&lt;0,
        IF(B91&gt;TRUNC(I91/2,0),
            IF(F91=TRUNC(I91/2,0),
                "-1, Superávit y deje la capacidad media",
                IF(AND(F91&gt;TRUNC(I91/2,0), F91&gt;=B91),
                    "0, Superávit y no eliminé superávit",
                    IF(AND(F91&lt;TRUNC(I91/2,0),F91&lt;B91),
                        "1, Superávit y eliminé superávit",
                        "-2, Superávit y resultado fue bueno"
                    )
                )
            ),
            IF(AND(B91&lt;=TRUNC(I91/2,0),B91&gt;=0),
                IF(F91=TRUNC(I91/2,0),
                    "-1, no había superávit y deje la capacidad media",
                    IF(AND(F91&gt;TRUNC(I91/2,0), F91&gt;=B91),
                        "0, no había superávit, y la deje con superávit",
                        IF(AND(F91&lt;TRUNC(I91/2,0),F91&lt;B91),
                            "1, no había superávit, pero el resultado fue mejor",
                            "-2, no había superávit y resultado fue bueno"
                        )
                    )
                )
            )
        )
    )
)</f>
        <v>-1, Déficit y dejo la capacidad media</v>
      </c>
      <c r="N91" s="3" t="s">
        <v>213</v>
      </c>
      <c r="O91" s="3">
        <v>2</v>
      </c>
      <c r="P91" s="18">
        <v>7</v>
      </c>
      <c r="Q91" s="3">
        <v>1</v>
      </c>
      <c r="R91" s="3">
        <v>1</v>
      </c>
      <c r="S91" s="3">
        <v>8</v>
      </c>
      <c r="T91" s="13">
        <v>1.247177188019948</v>
      </c>
      <c r="U91" s="64" t="s">
        <v>397</v>
      </c>
      <c r="V91" s="13">
        <v>17</v>
      </c>
      <c r="W91" s="11">
        <f t="shared" ref="W91:W100" si="71">IF(Q91&lt;=O91,1,0)</f>
        <v>1</v>
      </c>
      <c r="X91" s="71">
        <f t="shared" ref="X91:X110" si="72">Q91-O91</f>
        <v>-1</v>
      </c>
      <c r="Y91" s="64" t="str">
        <f t="shared" ref="Y91:Y110" si="73">IF(T91&gt;0,
    IF(OR(O91&lt;=TRUNC(V91/2,0),O91=0),
        IF(S91=TRUNC(V91/2,0),
            "-1, Déficit y dejo la capacidad media",
            IF(AND(S91&gt;TRUNC(V91/2,0), S91&gt;O91),
                "1, Déficit y eliminé déficit",
                IF(AND(S91&lt;TRUNC(V91/2,0), S91&lt;O91),
                    "0, Déficit y no elimine déficit",
                    "-2, Déficit y resultado fue bueno")
            )
        ),
        IF(AND(S91&gt;TRUNC(V91/2,0), S91&gt;O91),
            "1, no había déficit, pero resultado fue mejor",
            IF(AND(S91&lt;TRUNC(V91/2,0),S91&lt;O91),
                "0, no había déficit y la dejo con déficit",
                IF(S91=TRUNC(V91/2,0),
                    "-1, no había déficit y dejo la capacidad media",
                    "-2,no había déficit y resultado fue bueno")
            )
        )
    ),
    IF(T91&lt;0,
        IF(O91&gt;TRUNC(V91/2,0),
            IF(S91=TRUNC(V91/2,0),
                "-1, Superávit y deje la capacidad media",
                IF(AND(S91&gt;TRUNC(V91/2,0), S91&gt;=O91),
                    "0, Superávit y no eliminé superávit",
                    IF(AND(S91&lt;TRUNC(V91/2,0),S91&lt;O91),
                        "1, Superávit y eliminé superávit",
                        "-2, Superávit y resultado fue bueno"
                    )
                )
            ),
            IF(AND(O91&lt;=TRUNC(V91/2,0),O91&gt;=0),
                IF(S91=TRUNC(V91/2,0),
                    "-1, no había superávit y deje la capacidad media",
                    IF(AND(S91&gt;TRUNC(V91/2,0), S91&gt;=O91),
                        "0, no había superávit, y la deje con superávit",
                        IF(AND(S91&lt;TRUNC(V91/2,0),S91&lt;O91),
                            "1, no había superávit, pero el resultado fue mejor",
                            "-2, no había superávit y resultado fue bueno"
                        )
                    )
                )
            )
        )
    )
)</f>
        <v>-1, Déficit y dejo la capacidad media</v>
      </c>
      <c r="AB91" s="3" t="s">
        <v>213</v>
      </c>
      <c r="AC91" s="3">
        <v>3</v>
      </c>
      <c r="AD91" s="18">
        <v>5.666666666666667</v>
      </c>
      <c r="AE91" s="3">
        <v>4</v>
      </c>
      <c r="AF91" s="3">
        <v>1</v>
      </c>
      <c r="AG91" s="3">
        <v>8</v>
      </c>
      <c r="AH91" s="13">
        <v>1.247177188019948</v>
      </c>
      <c r="AI91" s="64" t="s">
        <v>397</v>
      </c>
      <c r="AJ91" s="13">
        <v>17</v>
      </c>
      <c r="AK91" s="11">
        <f t="shared" ref="AK91:AK100" si="74">IF(AE91&lt;=AC91,1,0)</f>
        <v>0</v>
      </c>
      <c r="AL91" s="11">
        <f t="shared" ref="AL91:AL110" si="75">AE91-AC91</f>
        <v>1</v>
      </c>
      <c r="AM91" t="str">
        <f t="shared" ref="AM91:AM110" si="76">IF(AH91&gt;0,
    IF(OR(AC91&lt;=TRUNC(AJ91/2,0),AC91=0),
        IF(AG91=TRUNC(AJ91/2,0),
            "-1, Déficit y dejo la capacidad media",
            IF(AND(AG91&gt;TRUNC(AJ91/2,0), AG91&gt;AC91),
                "1, Déficit y eliminé déficit",
                IF(AND(AG91&lt;TRUNC(AJ91/2,0), AG91&lt;AC91),
                    "0, Déficit y no elimine déficit",
                    "-2, Déficit y resultado fue bueno")
            )
        ),
        IF(AND(AG91&gt;TRUNC(AJ91/2,0), AG91&gt;AC91),
            "1, no había déficit, pero resultado fue mejor",
            IF(AND(AG91&lt;TRUNC(AJ91/2,0),AG91&lt;AC91),
                "0, no había déficit y la dejo con déficit",
                IF(AG91=TRUNC(AJ91/2,0),
                    "-1, no había déficit y dejo la capacidad media",
                    "-2,no había déficit y resultado fue bueno")
            )
        )
    ),
    IF(AH91&lt;0,
        IF(AC91&gt;TRUNC(AJ91/2,0),
            IF(AG91=TRUNC(AJ91/2,0),
                "-1, Superávit y deje la capacidad media",
                IF(AND(AG91&gt;TRUNC(AJ91/2,0), AG91&gt;=AC91),
                    "0, Superávit y no eliminé superávit",
                    IF(AND(AG91&lt;TRUNC(AJ91/2,0),AG91&lt;AC91),
                        "1, Superávit y eliminé superávit",
                        "-2, Superávit y resultado fue bueno"
                    )
                )
            ),
            IF(AND(AC91&lt;=TRUNC(AJ91/2,0),AC91&gt;=0),
                IF(AG91=TRUNC(AJ91/2,0),
                    "-1, no había superávit y deje la capacidad media",
                    IF(AND(AG91&gt;TRUNC(AJ91/2,0), AG91&gt;=AC91),
                        "0, no había superávit, y la deje con superávit",
                        IF(AND(AG91&lt;TRUNC(AJ91/2,0),AG91&lt;AC91),
                            "1, no había superávit, pero el resultado fue mejor",
                            "-2, no había superávit y resultado fue bueno"
                        )
                    )
                )
            )
        )
    )
)</f>
        <v>-1, Déficit y dejo la capacidad media</v>
      </c>
      <c r="AO91" s="3" t="s">
        <v>213</v>
      </c>
      <c r="AP91" s="3">
        <v>3</v>
      </c>
      <c r="AQ91" s="18">
        <v>3.6666666666666665</v>
      </c>
      <c r="AR91" s="3">
        <v>3</v>
      </c>
      <c r="AS91" s="3">
        <v>2</v>
      </c>
      <c r="AT91" s="3">
        <v>9</v>
      </c>
      <c r="AU91" s="13">
        <v>1.247177188019948</v>
      </c>
      <c r="AV91" s="64" t="s">
        <v>397</v>
      </c>
      <c r="AW91" s="13">
        <v>17</v>
      </c>
      <c r="AX91" s="11">
        <f t="shared" ref="AX91:AX100" si="77">IF(AR91&lt;=AP91,1,0)</f>
        <v>1</v>
      </c>
      <c r="AY91" s="11">
        <f t="shared" ref="AY91:AY110" si="78">AR91-AP91</f>
        <v>0</v>
      </c>
      <c r="AZ91" t="str">
        <f t="shared" ref="AZ91:AZ110" si="79">IF(AU91&gt;0,
    IF(OR(AP91&lt;=TRUNC(AW91/2,0),AP91=0),
        IF(AT91=TRUNC(AW91/2,0),
            "-1, Déficit y dejo la capacidad media",
            IF(AND(AT91&gt;TRUNC(AW91/2,0), AT91&gt;AP91),
                "1, Déficit y eliminé déficit",
                IF(AND(AT91&lt;TRUNC(AW91/2,0), AT91&lt;AP91),
                    "0, Déficit y no elimine déficit",
                    "-2, Déficit y resultado fue bueno")
            )
        ),
        IF(AND(AT91&gt;TRUNC(AW91/2,0), AT91&gt;AP91),
            "1, no había déficit, pero resultado fue mejor",
            IF(AND(AT91&lt;TRUNC(AW91/2,0),AT91&lt;AP91),
                "0, no había déficit y la dejo con déficit",
                IF(AT91=TRUNC(AW91/2,0),
                    "-1, no había déficit y dejo la capacidad media",
                    "-2,no había déficit y resultado fue bueno")
            )
        )
    ),
    IF(AU91&lt;0,
        IF(AP91&gt;TRUNC(AW91/2,0),
            IF(AT91=TRUNC(AW91/2,0),
                "-1, Superávit y deje la capacidad media",
                IF(AND(AT91&gt;TRUNC(AW91/2,0), AT91&gt;=AP91),
                    "0, Superávit y no eliminé superávit",
                    IF(AND(AT91&lt;TRUNC(AW91/2,0),AT91&lt;AP91),
                        "1, Superávit y eliminé superávit",
                        "-2, Superávit y resultado fue bueno"
                    )
                )
            ),
            IF(AND(AP91&lt;=TRUNC(AW91/2,0),AP91&gt;=0),
                IF(AT91=TRUNC(AW91/2,0),
                    "-1, no había superávit y deje la capacidad media",
                    IF(AND(AT91&gt;TRUNC(AW91/2,0), AT91&gt;=AP91),
                        "0, no había superávit, y la deje con superávit",
                        IF(AND(AT91&lt;TRUNC(AW91/2,0),AT91&lt;AP91),
                            "1, no había superávit, pero el resultado fue mejor",
                            "-2, no había superávit y resultado fue bueno"
                        )
                    )
                )
            )
        )
    )
)</f>
        <v>1, Déficit y eliminé déficit</v>
      </c>
      <c r="BB91" s="3" t="s">
        <v>213</v>
      </c>
      <c r="BC91" s="3">
        <v>6</v>
      </c>
      <c r="BD91" s="18">
        <v>6.666666666666667</v>
      </c>
      <c r="BE91" s="3">
        <v>1</v>
      </c>
      <c r="BF91" s="3">
        <v>1</v>
      </c>
      <c r="BG91" s="3">
        <v>8</v>
      </c>
      <c r="BH91" s="13">
        <v>1.247177188019948</v>
      </c>
      <c r="BI91" s="64" t="s">
        <v>397</v>
      </c>
      <c r="BJ91" s="13">
        <v>17</v>
      </c>
      <c r="BK91" s="3">
        <f t="shared" ref="BK91:BK100" si="80">IF(BE91&lt;=BC91,1,0)</f>
        <v>1</v>
      </c>
      <c r="BL91" s="3">
        <f t="shared" ref="BL91:BL110" si="81">BE91-BC91</f>
        <v>-5</v>
      </c>
      <c r="BM91" t="str">
        <f t="shared" ref="BM91:BM110" si="82">IF(BH91&gt;0,
    IF(OR(BC91&lt;=TRUNC(BJ91/2,0),BC91=0),
        IF(BG91=TRUNC(BJ91/2,0),
            "-1, Déficit y dejo la capacidad media",
            IF(AND(BG91&gt;TRUNC(BJ91/2,0), BG91&gt;BC91),
                "1, Déficit y eliminé déficit",
                IF(AND(BG91&lt;TRUNC(BJ91/2,0), BG91&lt;BC91),
                    "0, Déficit y no elimine déficit",
                    "-2, Déficit y resultado fue bueno")
            )
        ),
        IF(AND(BG91&gt;TRUNC(BJ91/2,0), BG91&gt;BC91),
            "1, no había déficit, pero resultado fue mejor",
            IF(AND(BG91&lt;TRUNC(BJ91/2,0),BG91&lt;BC91),
                "0, no había déficit y la dejo con déficit",
                IF(BG91=TRUNC(BJ91/2,0),
                    "-1, no había déficit y dejo la capacidad media",
                    "-2,no había déficit y resultado fue bueno")
            )
        )
    ),
    IF(BH91&lt;0,
        IF(BC91&gt;TRUNC(BJ91/2,0),
            IF(BG91=TRUNC(BJ91/2,0),
                "-1, Superávit y deje la capacidad media",
                IF(AND(BG91&gt;TRUNC(BJ91/2,0), BG91&gt;=BC91),
                    "0, Superávit y no eliminé superávit",
                    IF(AND(BG91&lt;TRUNC(BJ91/2,0),BG91&lt;BC91),
                        "1, Superávit y eliminé superávit",
                        "-2, Superávit y resultado fue bueno"
                    )
                )
            ),
            IF(AND(BC91&lt;=TRUNC(BJ91/2,0),BC91&gt;=0),
                IF(BG91=TRUNC(BJ91/2,0),
                    "-1, no había superávit y deje la capacidad media",
                    IF(AND(BG91&gt;TRUNC(BJ91/2,0), BG91&gt;=BC91),
                        "0, no había superávit, y la deje con superávit",
                        IF(AND(BG91&lt;TRUNC(BJ91/2,0),BG91&lt;BC91),
                            "1, no había superávit, pero el resultado fue mejor",
                            "-2, no había superávit y resultado fue bueno"
                        )
                    )
                )
            )
        )
    )
)</f>
        <v>-1, Déficit y dejo la capacidad media</v>
      </c>
      <c r="BO91" s="3" t="s">
        <v>213</v>
      </c>
      <c r="BP91" s="3">
        <v>3</v>
      </c>
      <c r="BQ91" s="18">
        <v>6</v>
      </c>
      <c r="BR91" s="3">
        <v>4</v>
      </c>
      <c r="BS91" s="3">
        <v>5</v>
      </c>
      <c r="BT91" s="3">
        <v>8</v>
      </c>
      <c r="BU91" s="13">
        <v>1.247177188019948</v>
      </c>
      <c r="BV91" s="64" t="s">
        <v>397</v>
      </c>
      <c r="BW91" s="13">
        <v>17</v>
      </c>
      <c r="BX91" s="3">
        <f t="shared" ref="BX91:BX100" si="83">IF(BR91&lt;=BP91,1,0)</f>
        <v>0</v>
      </c>
      <c r="BY91" s="3">
        <f t="shared" ref="BY91:BY110" si="84">BR91-BP91</f>
        <v>1</v>
      </c>
      <c r="BZ91" t="str">
        <f t="shared" ref="BZ91:BZ110" si="85">IF(BU91&gt;0,
    IF(OR(BP91&lt;=TRUNC(BW91/2,0),BP91=0),
        IF(BT91=TRUNC(BW91/2,0),
            "-1, Déficit y dejo la capacidad media",
            IF(AND(BT91&gt;TRUNC(BW91/2,0), BT91&gt;BP91),
                "1, Déficit y eliminé déficit",
                IF(AND(BT91&lt;TRUNC(BW91/2,0), BT91&lt;BP91),
                    "0, Déficit y no elimine déficit",
                    "-2, Déficit y resultado fue bueno")
            )
        ),
        IF(AND(BT91&gt;TRUNC(BW91/2,0), BT91&gt;BP91),
            "1, no había déficit, pero resultado fue mejor",
            IF(AND(BT91&lt;TRUNC(BW91/2,0),BT91&lt;BP91),
                "0, no había déficit y la dejo con déficit",
                IF(BT91=TRUNC(BW91/2,0),
                    "-1, no había déficit y dejo la capacidad media",
                    "-2,no había déficit y resultado fue bueno")
            )
        )
    ),
    IF(BU91&lt;0,
        IF(BP91&gt;TRUNC(BW91/2,0),
            IF(BT91=TRUNC(BW91/2,0),
                "-1, Superávit y deje la capacidad media",
                IF(AND(BT91&gt;TRUNC(BW91/2,0), BT91&gt;=BP91),
                    "0, Superávit y no eliminé superávit",
                    IF(AND(BT91&lt;TRUNC(BW91/2,0),BT91&lt;BP91),
                        "1, Superávit y eliminé superávit",
                        "-2, Superávit y resultado fue bueno"
                    )
                )
            ),
            IF(AND(BP91&lt;=TRUNC(BW91/2,0),BP91&gt;=0),
                IF(BT91=TRUNC(BW91/2,0),
                    "-1, no había superávit y deje la capacidad media",
                    IF(AND(BT91&gt;TRUNC(BW91/2,0), BT91&gt;=BP91),
                        "0, no había superávit, y la deje con superávit",
                        IF(AND(BT91&lt;TRUNC(BW91/2,0),BT91&lt;BP91),
                            "1, no había superávit, pero el resultado fue mejor",
                            "-2, no había superávit y resultado fue bueno"
                        )
                    )
                )
            )
        )
    )
)</f>
        <v>-1, Déficit y dejo la capacidad media</v>
      </c>
      <c r="CB91" s="3" t="s">
        <v>213</v>
      </c>
      <c r="CC91" s="3">
        <v>2</v>
      </c>
      <c r="CD91" s="18">
        <v>3.3333333333333335</v>
      </c>
      <c r="CE91" s="3">
        <v>2</v>
      </c>
      <c r="CF91" s="3">
        <v>2</v>
      </c>
      <c r="CG91" s="3">
        <v>8</v>
      </c>
      <c r="CH91" s="13">
        <v>1.247177188019948</v>
      </c>
      <c r="CI91" s="64" t="s">
        <v>397</v>
      </c>
      <c r="CJ91" s="13">
        <v>17</v>
      </c>
      <c r="CK91" s="3">
        <f t="shared" ref="CK91:CK100" si="86">IF(CE91&lt;=CC91,1,0)</f>
        <v>1</v>
      </c>
      <c r="CL91" s="3">
        <f t="shared" ref="CL91:CL110" si="87">CE91-CC91</f>
        <v>0</v>
      </c>
      <c r="CM91" t="str">
        <f t="shared" ref="CM91:CM110" si="88">IF(CH91&gt;0,
    IF(OR(CC91&lt;=TRUNC(CJ91/2,0),CC91=0),
        IF(CG91=TRUNC(CJ91/2,0),
            "-1, Déficit y dejo la capacidad media",
            IF(AND(CG91&gt;TRUNC(CJ91/2,0), CG91&gt;CC91),
                "1, Déficit y eliminé déficit",
                IF(AND(CG91&lt;TRUNC(CJ91/2,0), CG91&lt;CC91),
                    "0, Déficit y no elimine déficit",
                    "-2, Déficit y resultado fue bueno")
            )
        ),
        IF(AND(CG91&gt;TRUNC(CJ91/2,0), CG91&gt;CC91),
            "1, no había déficit, pero resultado fue mejor",
            IF(AND(CG91&lt;TRUNC(CJ91/2,0),CG91&lt;CC91),
                "0, no había déficit y la dejo con déficit",
                IF(CG91=TRUNC(CJ91/2,0),
                    "-1, no había déficit y dejo la capacidad media",
                    "-2,no había déficit y resultado fue bueno")
            )
        )
    ),
    IF(CH91&lt;0,
        IF(CC91&gt;TRUNC(CJ91/2,0),
            IF(CG91=TRUNC(CJ91/2,0),
                "-1, Superávit y deje la capacidad media",
                IF(AND(CG91&gt;TRUNC(CJ91/2,0), CG91&gt;=CC91),
                    "0, Superávit y no eliminé superávit",
                    IF(AND(CG91&lt;TRUNC(CJ91/2,0),CG91&lt;CC91),
                        "1, Superávit y eliminé superávit",
                        "-2, Superávit y resultado fue bueno"
                    )
                )
            ),
            IF(AND(CC91&lt;=TRUNC(CJ91/2,0),CC91&gt;=0),
                IF(CG91=TRUNC(CJ91/2,0),
                    "-1, no había superávit y deje la capacidad media",
                    IF(AND(CG91&gt;TRUNC(CJ91/2,0), CG91&gt;=CC91),
                        "0, no había superávit, y la deje con superávit",
                        IF(AND(CG91&lt;TRUNC(CJ91/2,0),CG91&lt;CC91),
                            "1, no había superávit, pero el resultado fue mejor",
                            "-2, no había superávit y resultado fue bueno"
                        )
                    )
                )
            )
        )
    )
)</f>
        <v>-1, Déficit y dejo la capacidad media</v>
      </c>
      <c r="CO91" s="3" t="s">
        <v>213</v>
      </c>
      <c r="CP91" s="3">
        <v>12</v>
      </c>
      <c r="CQ91" s="18">
        <v>3.1111111111111112</v>
      </c>
      <c r="CR91" s="3">
        <v>10</v>
      </c>
      <c r="CS91" s="3">
        <v>10</v>
      </c>
      <c r="CT91" s="3">
        <v>8</v>
      </c>
      <c r="CU91" s="13">
        <v>1.247177188019948</v>
      </c>
      <c r="CV91" s="64" t="s">
        <v>397</v>
      </c>
      <c r="CW91" s="13">
        <v>17</v>
      </c>
      <c r="CX91" s="12">
        <f t="shared" ref="CX91:CX100" si="89">IF(CR91&lt;=CP91,1,0)</f>
        <v>1</v>
      </c>
      <c r="CY91" s="12">
        <f t="shared" ref="CY91:CY110" si="90">CR91-CP91</f>
        <v>-2</v>
      </c>
      <c r="CZ91" t="str">
        <f t="shared" ref="CZ91:CZ110" si="91">IF(CU91&gt;0,
    IF(OR(CP91&lt;=TRUNC(CW91/2,0),CP91=0),
        IF(CT91=TRUNC(CW91/2,0),
            "-1, Déficit y dejo la capacidad media",
            IF(AND(CT91&gt;TRUNC(CW91/2,0), CT91&gt;CP91),
                "1, Déficit y eliminé déficit",
                IF(AND(CT91&lt;TRUNC(CW91/2,0), CT91&lt;CP91),
                    "0, Déficit y no elimine déficit",
                    "-2, Déficit y resultado fue bueno")
            )
        ),
        IF(AND(CT91&gt;TRUNC(CW91/2,0), CT91&gt;CP91),
            "1, no había déficit, pero resultado fue mejor",
            IF(AND(CT91&lt;TRUNC(CW91/2,0),CT91&lt;CP91),
                "0, no había déficit y la dejo con déficit",
                IF(CT91=TRUNC(CW91/2,0),
                    "-1, no había déficit y dejo la capacidad media",
                    "-2,no había déficit y resultado fue bueno")
            )
        )
    ),
    IF(CU91&lt;0,
        IF(CP91&gt;TRUNC(CW91/2,0),
            IF(CT91=TRUNC(CW91/2,0),
                "-1, Superávit y deje la capacidad media",
                IF(AND(CT91&gt;TRUNC(CW91/2,0), CT91&gt;=CP91),
                    "0, Superávit y no eliminé superávit",
                    IF(AND(CT91&lt;TRUNC(CW91/2,0),CT91&lt;CP91),
                        "1, Superávit y eliminé superávit",
                        "-2, Superávit y resultado fue bueno"
                    )
                )
            ),
            IF(AND(CP91&lt;=TRUNC(CW91/2,0),CP91&gt;=0),
                IF(CT91=TRUNC(CW91/2,0),
                    "-1, no había superávit y deje la capacidad media",
                    IF(AND(CT91&gt;TRUNC(CW91/2,0), CT91&gt;=CP91),
                        "0, no había superávit, y la deje con superávit",
                        IF(AND(CT91&lt;TRUNC(CW91/2,0),CT91&lt;CP91),
                            "1, no había superávit, pero el resultado fue mejor",
                            "-2, no había superávit y resultado fue bueno"
                        )
                    )
                )
            )
        )
    )
)</f>
        <v>-1, no había déficit y dejo la capacidad media</v>
      </c>
    </row>
    <row r="92" spans="1:104" ht="14.25" customHeight="1" x14ac:dyDescent="0.3">
      <c r="A92" s="3" t="s">
        <v>215</v>
      </c>
      <c r="B92" s="3">
        <v>4</v>
      </c>
      <c r="C92" s="18">
        <v>4.666666666666667</v>
      </c>
      <c r="D92" s="3">
        <v>4</v>
      </c>
      <c r="E92" s="3">
        <v>4</v>
      </c>
      <c r="F92" s="3">
        <v>7</v>
      </c>
      <c r="G92" s="13">
        <v>1.1425292918330761</v>
      </c>
      <c r="H92" s="64" t="s">
        <v>399</v>
      </c>
      <c r="I92" s="72">
        <v>15</v>
      </c>
      <c r="J92" s="53">
        <f t="shared" si="68"/>
        <v>1</v>
      </c>
      <c r="K92" s="53">
        <f t="shared" si="69"/>
        <v>0</v>
      </c>
      <c r="L92" s="94" t="str">
        <f t="shared" si="70"/>
        <v>-1, Déficit y dejo la capacidad media</v>
      </c>
      <c r="N92" s="3" t="s">
        <v>215</v>
      </c>
      <c r="O92" s="3">
        <v>3</v>
      </c>
      <c r="P92" s="18">
        <v>6.1111111111111107</v>
      </c>
      <c r="Q92" s="3">
        <v>1</v>
      </c>
      <c r="R92" s="3">
        <v>1</v>
      </c>
      <c r="S92" s="3">
        <v>7</v>
      </c>
      <c r="T92" s="13">
        <v>1.1425292918330761</v>
      </c>
      <c r="U92" s="64" t="s">
        <v>399</v>
      </c>
      <c r="V92" s="13">
        <v>15</v>
      </c>
      <c r="W92" s="11">
        <f t="shared" si="71"/>
        <v>1</v>
      </c>
      <c r="X92" s="71">
        <f t="shared" si="72"/>
        <v>-2</v>
      </c>
      <c r="Y92" s="64" t="str">
        <f t="shared" si="73"/>
        <v>-1, Déficit y dejo la capacidad media</v>
      </c>
      <c r="AB92" s="3" t="s">
        <v>215</v>
      </c>
      <c r="AC92" s="3">
        <v>5</v>
      </c>
      <c r="AD92" s="18">
        <v>3.6666666666666665</v>
      </c>
      <c r="AE92" s="3">
        <v>5</v>
      </c>
      <c r="AF92" s="3">
        <v>4</v>
      </c>
      <c r="AG92" s="3">
        <v>9</v>
      </c>
      <c r="AH92" s="13">
        <v>1.1425292918330761</v>
      </c>
      <c r="AI92" s="64" t="s">
        <v>399</v>
      </c>
      <c r="AJ92" s="13">
        <v>15</v>
      </c>
      <c r="AK92" s="11">
        <f t="shared" si="74"/>
        <v>1</v>
      </c>
      <c r="AL92" s="11">
        <f t="shared" si="75"/>
        <v>0</v>
      </c>
      <c r="AM92" t="str">
        <f t="shared" si="76"/>
        <v>1, Déficit y eliminé déficit</v>
      </c>
      <c r="AO92" s="3" t="s">
        <v>215</v>
      </c>
      <c r="AP92" s="3">
        <v>2</v>
      </c>
      <c r="AQ92" s="18">
        <v>4.666666666666667</v>
      </c>
      <c r="AR92" s="3">
        <v>3</v>
      </c>
      <c r="AS92" s="3">
        <v>2</v>
      </c>
      <c r="AT92" s="3">
        <v>7</v>
      </c>
      <c r="AU92" s="13">
        <v>1.1425292918330761</v>
      </c>
      <c r="AV92" s="64" t="s">
        <v>399</v>
      </c>
      <c r="AW92" s="13">
        <v>15</v>
      </c>
      <c r="AX92" s="11">
        <f t="shared" si="77"/>
        <v>0</v>
      </c>
      <c r="AY92" s="11">
        <f t="shared" si="78"/>
        <v>1</v>
      </c>
      <c r="AZ92" t="str">
        <f t="shared" si="79"/>
        <v>-1, Déficit y dejo la capacidad media</v>
      </c>
      <c r="BB92" s="3" t="s">
        <v>215</v>
      </c>
      <c r="BC92" s="3">
        <v>5</v>
      </c>
      <c r="BD92" s="18">
        <v>6.1111111111111107</v>
      </c>
      <c r="BE92" s="3">
        <v>5</v>
      </c>
      <c r="BF92" s="3">
        <v>5</v>
      </c>
      <c r="BG92" s="3">
        <v>7</v>
      </c>
      <c r="BH92" s="13">
        <v>1.1425292918330761</v>
      </c>
      <c r="BI92" s="64" t="s">
        <v>399</v>
      </c>
      <c r="BJ92" s="13">
        <v>15</v>
      </c>
      <c r="BK92" s="3">
        <f t="shared" si="80"/>
        <v>1</v>
      </c>
      <c r="BL92" s="3">
        <f t="shared" si="81"/>
        <v>0</v>
      </c>
      <c r="BM92" t="str">
        <f t="shared" si="82"/>
        <v>-1, Déficit y dejo la capacidad media</v>
      </c>
      <c r="BO92" s="3" t="s">
        <v>215</v>
      </c>
      <c r="BP92" s="3">
        <v>10</v>
      </c>
      <c r="BQ92" s="18">
        <v>4.1111111111111107</v>
      </c>
      <c r="BR92" s="3">
        <v>10</v>
      </c>
      <c r="BS92" s="3">
        <v>10</v>
      </c>
      <c r="BT92" s="3">
        <v>7</v>
      </c>
      <c r="BU92" s="13">
        <v>1.1425292918330761</v>
      </c>
      <c r="BV92" s="64" t="s">
        <v>399</v>
      </c>
      <c r="BW92" s="13">
        <v>15</v>
      </c>
      <c r="BX92" s="3">
        <f t="shared" si="83"/>
        <v>1</v>
      </c>
      <c r="BY92" s="3">
        <f t="shared" si="84"/>
        <v>0</v>
      </c>
      <c r="BZ92" t="str">
        <f t="shared" si="85"/>
        <v>-1, no había déficit y dejo la capacidad media</v>
      </c>
      <c r="CB92" s="3" t="s">
        <v>215</v>
      </c>
      <c r="CC92" s="3">
        <v>5</v>
      </c>
      <c r="CD92" s="18">
        <v>5.5555555555555554</v>
      </c>
      <c r="CE92" s="3">
        <v>6</v>
      </c>
      <c r="CF92" s="3">
        <v>6</v>
      </c>
      <c r="CG92" s="3">
        <v>7</v>
      </c>
      <c r="CH92" s="13">
        <v>1.1425292918330761</v>
      </c>
      <c r="CI92" s="64" t="s">
        <v>399</v>
      </c>
      <c r="CJ92" s="13">
        <v>15</v>
      </c>
      <c r="CK92" s="3">
        <f t="shared" si="86"/>
        <v>0</v>
      </c>
      <c r="CL92" s="3">
        <f t="shared" si="87"/>
        <v>1</v>
      </c>
      <c r="CM92" t="str">
        <f t="shared" si="88"/>
        <v>-1, Déficit y dejo la capacidad media</v>
      </c>
      <c r="CO92" s="3" t="s">
        <v>215</v>
      </c>
      <c r="CP92" s="3">
        <v>6</v>
      </c>
      <c r="CQ92" s="18">
        <v>4.666666666666667</v>
      </c>
      <c r="CR92" s="3">
        <v>6</v>
      </c>
      <c r="CS92" s="3">
        <v>6</v>
      </c>
      <c r="CT92" s="3">
        <v>7</v>
      </c>
      <c r="CU92" s="13">
        <v>1.1425292918330761</v>
      </c>
      <c r="CV92" s="64" t="s">
        <v>399</v>
      </c>
      <c r="CW92" s="13">
        <v>15</v>
      </c>
      <c r="CX92" s="12">
        <f t="shared" si="89"/>
        <v>1</v>
      </c>
      <c r="CY92" s="12">
        <f t="shared" si="90"/>
        <v>0</v>
      </c>
      <c r="CZ92" t="str">
        <f t="shared" si="91"/>
        <v>-1, Déficit y dejo la capacidad media</v>
      </c>
    </row>
    <row r="93" spans="1:104" ht="14.25" customHeight="1" x14ac:dyDescent="0.3">
      <c r="A93" s="3" t="s">
        <v>216</v>
      </c>
      <c r="B93" s="3">
        <v>3</v>
      </c>
      <c r="C93" s="18">
        <v>3.2222222222222223</v>
      </c>
      <c r="D93" s="3">
        <v>3</v>
      </c>
      <c r="E93" s="3">
        <v>3</v>
      </c>
      <c r="F93" s="3">
        <v>5</v>
      </c>
      <c r="G93" s="13">
        <v>1.123713972805261</v>
      </c>
      <c r="H93" s="64" t="s">
        <v>398</v>
      </c>
      <c r="I93" s="72">
        <v>11</v>
      </c>
      <c r="J93" s="53">
        <f t="shared" si="68"/>
        <v>1</v>
      </c>
      <c r="K93" s="53">
        <f t="shared" si="69"/>
        <v>0</v>
      </c>
      <c r="L93" s="94" t="str">
        <f t="shared" si="70"/>
        <v>-1, Déficit y dejo la capacidad media</v>
      </c>
      <c r="N93" s="3" t="s">
        <v>216</v>
      </c>
      <c r="O93" s="3">
        <v>3</v>
      </c>
      <c r="P93" s="18">
        <v>5</v>
      </c>
      <c r="Q93" s="3">
        <v>2</v>
      </c>
      <c r="R93" s="3">
        <v>2</v>
      </c>
      <c r="S93" s="3">
        <v>5</v>
      </c>
      <c r="T93" s="13">
        <v>1.123713972805261</v>
      </c>
      <c r="U93" s="64" t="s">
        <v>398</v>
      </c>
      <c r="V93" s="13">
        <v>11</v>
      </c>
      <c r="W93" s="11">
        <f t="shared" si="71"/>
        <v>1</v>
      </c>
      <c r="X93" s="71">
        <f t="shared" si="72"/>
        <v>-1</v>
      </c>
      <c r="Y93" s="64" t="str">
        <f t="shared" si="73"/>
        <v>-1, Déficit y dejo la capacidad media</v>
      </c>
      <c r="AB93" s="3" t="s">
        <v>216</v>
      </c>
      <c r="AC93" s="3">
        <v>7</v>
      </c>
      <c r="AD93" s="18">
        <v>4.1111111111111107</v>
      </c>
      <c r="AE93" s="3">
        <v>3</v>
      </c>
      <c r="AF93" s="3">
        <v>7</v>
      </c>
      <c r="AG93" s="3">
        <v>7</v>
      </c>
      <c r="AH93" s="13">
        <v>1.123713972805261</v>
      </c>
      <c r="AI93" s="64" t="s">
        <v>398</v>
      </c>
      <c r="AJ93" s="13">
        <v>11</v>
      </c>
      <c r="AK93" s="11">
        <f t="shared" si="74"/>
        <v>1</v>
      </c>
      <c r="AL93" s="11">
        <f t="shared" si="75"/>
        <v>-4</v>
      </c>
      <c r="AM93" t="str">
        <f t="shared" si="76"/>
        <v>-2,no había déficit y resultado fue bueno</v>
      </c>
      <c r="AO93" s="3" t="s">
        <v>216</v>
      </c>
      <c r="AP93" s="3">
        <v>1</v>
      </c>
      <c r="AQ93" s="18">
        <v>3.7777777777777777</v>
      </c>
      <c r="AR93" s="3">
        <v>1</v>
      </c>
      <c r="AS93" s="3">
        <v>0</v>
      </c>
      <c r="AT93" s="3">
        <v>5</v>
      </c>
      <c r="AU93" s="13">
        <v>1.123713972805261</v>
      </c>
      <c r="AV93" s="64" t="s">
        <v>398</v>
      </c>
      <c r="AW93" s="13">
        <v>11</v>
      </c>
      <c r="AX93" s="11">
        <f t="shared" si="77"/>
        <v>1</v>
      </c>
      <c r="AY93" s="11">
        <f t="shared" si="78"/>
        <v>0</v>
      </c>
      <c r="AZ93" t="str">
        <f t="shared" si="79"/>
        <v>-1, Déficit y dejo la capacidad media</v>
      </c>
      <c r="BB93" s="3" t="s">
        <v>216</v>
      </c>
      <c r="BC93" s="3">
        <v>8</v>
      </c>
      <c r="BD93" s="18">
        <v>6</v>
      </c>
      <c r="BE93" s="3">
        <v>8</v>
      </c>
      <c r="BF93" s="3">
        <v>9</v>
      </c>
      <c r="BG93" s="3">
        <v>5</v>
      </c>
      <c r="BH93" s="13">
        <v>1.123713972805261</v>
      </c>
      <c r="BI93" s="64" t="s">
        <v>398</v>
      </c>
      <c r="BJ93" s="13">
        <v>11</v>
      </c>
      <c r="BK93" s="3">
        <f t="shared" si="80"/>
        <v>1</v>
      </c>
      <c r="BL93" s="3">
        <f t="shared" si="81"/>
        <v>0</v>
      </c>
      <c r="BM93" t="str">
        <f t="shared" si="82"/>
        <v>-1, no había déficit y dejo la capacidad media</v>
      </c>
      <c r="BO93" s="3" t="s">
        <v>216</v>
      </c>
      <c r="BP93" s="3">
        <v>3</v>
      </c>
      <c r="BQ93" s="18">
        <v>2.7777777777777777</v>
      </c>
      <c r="BR93" s="3">
        <v>4</v>
      </c>
      <c r="BS93" s="3">
        <v>5</v>
      </c>
      <c r="BT93" s="3">
        <v>5</v>
      </c>
      <c r="BU93" s="13">
        <v>1.123713972805261</v>
      </c>
      <c r="BV93" s="64" t="s">
        <v>398</v>
      </c>
      <c r="BW93" s="13">
        <v>11</v>
      </c>
      <c r="BX93" s="3">
        <f t="shared" si="83"/>
        <v>0</v>
      </c>
      <c r="BY93" s="3">
        <f t="shared" si="84"/>
        <v>1</v>
      </c>
      <c r="BZ93" t="str">
        <f t="shared" si="85"/>
        <v>-1, Déficit y dejo la capacidad media</v>
      </c>
      <c r="CB93" s="3" t="s">
        <v>216</v>
      </c>
      <c r="CC93" s="3">
        <v>3</v>
      </c>
      <c r="CD93" s="18">
        <v>3.2222222222222223</v>
      </c>
      <c r="CE93" s="3">
        <v>3</v>
      </c>
      <c r="CF93" s="3">
        <v>3</v>
      </c>
      <c r="CG93" s="3">
        <v>6</v>
      </c>
      <c r="CH93" s="13">
        <v>1.123713972805261</v>
      </c>
      <c r="CI93" s="64" t="s">
        <v>398</v>
      </c>
      <c r="CJ93" s="13">
        <v>11</v>
      </c>
      <c r="CK93" s="3">
        <f t="shared" si="86"/>
        <v>1</v>
      </c>
      <c r="CL93" s="3">
        <f t="shared" si="87"/>
        <v>0</v>
      </c>
      <c r="CM93" t="str">
        <f t="shared" si="88"/>
        <v>1, Déficit y eliminé déficit</v>
      </c>
      <c r="CO93" s="3" t="s">
        <v>216</v>
      </c>
      <c r="CP93" s="3">
        <v>3</v>
      </c>
      <c r="CQ93" s="18">
        <v>3.2222222222222223</v>
      </c>
      <c r="CR93" s="3">
        <v>5</v>
      </c>
      <c r="CS93" s="3">
        <v>5</v>
      </c>
      <c r="CT93" s="3">
        <v>5</v>
      </c>
      <c r="CU93" s="13">
        <v>1.123713972805261</v>
      </c>
      <c r="CV93" s="64" t="s">
        <v>398</v>
      </c>
      <c r="CW93" s="13">
        <v>11</v>
      </c>
      <c r="CX93" s="12">
        <f t="shared" si="89"/>
        <v>0</v>
      </c>
      <c r="CY93" s="12">
        <f t="shared" si="90"/>
        <v>2</v>
      </c>
      <c r="CZ93" t="str">
        <f t="shared" si="91"/>
        <v>-1, Déficit y dejo la capacidad media</v>
      </c>
    </row>
    <row r="94" spans="1:104" ht="14.25" customHeight="1" x14ac:dyDescent="0.3">
      <c r="A94" s="3" t="s">
        <v>217</v>
      </c>
      <c r="B94" s="3">
        <v>5</v>
      </c>
      <c r="C94" s="18">
        <v>2.8888888888888888</v>
      </c>
      <c r="D94" s="3">
        <v>7</v>
      </c>
      <c r="E94" s="3">
        <v>7</v>
      </c>
      <c r="F94" s="3">
        <v>5</v>
      </c>
      <c r="G94" s="13">
        <v>1.1139196755889551</v>
      </c>
      <c r="H94" s="64" t="s">
        <v>398</v>
      </c>
      <c r="I94" s="72">
        <v>11</v>
      </c>
      <c r="J94" s="53">
        <f t="shared" si="68"/>
        <v>0</v>
      </c>
      <c r="K94" s="53">
        <f t="shared" si="69"/>
        <v>2</v>
      </c>
      <c r="L94" s="94" t="str">
        <f t="shared" si="70"/>
        <v>-1, Déficit y dejo la capacidad media</v>
      </c>
      <c r="N94" s="3" t="s">
        <v>217</v>
      </c>
      <c r="O94" s="3">
        <v>7</v>
      </c>
      <c r="P94" s="18">
        <v>4.4444444444444446</v>
      </c>
      <c r="Q94" s="3">
        <v>3</v>
      </c>
      <c r="R94" s="3">
        <v>2</v>
      </c>
      <c r="S94" s="3">
        <v>5</v>
      </c>
      <c r="T94" s="13">
        <v>1.1139196755889551</v>
      </c>
      <c r="U94" s="64" t="s">
        <v>398</v>
      </c>
      <c r="V94" s="13">
        <v>11</v>
      </c>
      <c r="W94" s="11">
        <f t="shared" si="71"/>
        <v>1</v>
      </c>
      <c r="X94" s="71">
        <f t="shared" si="72"/>
        <v>-4</v>
      </c>
      <c r="Y94" s="64" t="str">
        <f t="shared" si="73"/>
        <v>-1, no había déficit y dejo la capacidad media</v>
      </c>
      <c r="AB94" s="3" t="s">
        <v>217</v>
      </c>
      <c r="AC94" s="3">
        <v>10</v>
      </c>
      <c r="AD94" s="18">
        <v>4.666666666666667</v>
      </c>
      <c r="AE94" s="3">
        <v>3</v>
      </c>
      <c r="AF94" s="3">
        <v>6</v>
      </c>
      <c r="AG94" s="3">
        <v>5</v>
      </c>
      <c r="AH94" s="13">
        <v>1.1139196755889551</v>
      </c>
      <c r="AI94" s="64" t="s">
        <v>398</v>
      </c>
      <c r="AJ94" s="13">
        <v>11</v>
      </c>
      <c r="AK94" s="11">
        <f t="shared" si="74"/>
        <v>1</v>
      </c>
      <c r="AL94" s="11">
        <f t="shared" si="75"/>
        <v>-7</v>
      </c>
      <c r="AM94" t="str">
        <f t="shared" si="76"/>
        <v>-1, no había déficit y dejo la capacidad media</v>
      </c>
      <c r="AO94" s="3" t="s">
        <v>217</v>
      </c>
      <c r="AP94" s="3">
        <v>6</v>
      </c>
      <c r="AQ94" s="18">
        <v>5.7777777777777777</v>
      </c>
      <c r="AR94" s="3">
        <v>1</v>
      </c>
      <c r="AS94" s="3">
        <v>1</v>
      </c>
      <c r="AT94" s="3">
        <v>5</v>
      </c>
      <c r="AU94" s="13">
        <v>1.1139196755889551</v>
      </c>
      <c r="AV94" s="64" t="s">
        <v>398</v>
      </c>
      <c r="AW94" s="13">
        <v>11</v>
      </c>
      <c r="AX94" s="11">
        <f t="shared" si="77"/>
        <v>1</v>
      </c>
      <c r="AY94" s="11">
        <f t="shared" si="78"/>
        <v>-5</v>
      </c>
      <c r="AZ94" t="str">
        <f t="shared" si="79"/>
        <v>-1, no había déficit y dejo la capacidad media</v>
      </c>
      <c r="BB94" s="3" t="s">
        <v>217</v>
      </c>
      <c r="BC94" s="3">
        <v>5</v>
      </c>
      <c r="BD94" s="18">
        <v>3.3333333333333335</v>
      </c>
      <c r="BE94" s="3">
        <v>2</v>
      </c>
      <c r="BF94" s="3">
        <v>2</v>
      </c>
      <c r="BG94" s="3">
        <v>5</v>
      </c>
      <c r="BH94" s="13">
        <v>1.1139196755889551</v>
      </c>
      <c r="BI94" s="64" t="s">
        <v>398</v>
      </c>
      <c r="BJ94" s="13">
        <v>11</v>
      </c>
      <c r="BK94" s="3">
        <f t="shared" si="80"/>
        <v>1</v>
      </c>
      <c r="BL94" s="3">
        <f t="shared" si="81"/>
        <v>-3</v>
      </c>
      <c r="BM94" t="str">
        <f t="shared" si="82"/>
        <v>-1, Déficit y dejo la capacidad media</v>
      </c>
      <c r="BO94" s="3" t="s">
        <v>217</v>
      </c>
      <c r="BP94" s="3">
        <v>2</v>
      </c>
      <c r="BQ94" s="18">
        <v>2.7777777777777777</v>
      </c>
      <c r="BR94" s="3">
        <v>9</v>
      </c>
      <c r="BS94" s="3">
        <v>10</v>
      </c>
      <c r="BT94" s="3">
        <v>5</v>
      </c>
      <c r="BU94" s="13">
        <v>1.1139196755889551</v>
      </c>
      <c r="BV94" s="64" t="s">
        <v>398</v>
      </c>
      <c r="BW94" s="13">
        <v>11</v>
      </c>
      <c r="BX94" s="3">
        <f t="shared" si="83"/>
        <v>0</v>
      </c>
      <c r="BY94" s="3">
        <f t="shared" si="84"/>
        <v>7</v>
      </c>
      <c r="BZ94" t="str">
        <f t="shared" si="85"/>
        <v>-1, Déficit y dejo la capacidad media</v>
      </c>
      <c r="CB94" s="3" t="s">
        <v>217</v>
      </c>
      <c r="CC94" s="3">
        <v>5</v>
      </c>
      <c r="CD94" s="18">
        <v>2.7777777777777777</v>
      </c>
      <c r="CE94" s="3">
        <v>5</v>
      </c>
      <c r="CF94" s="3">
        <v>5</v>
      </c>
      <c r="CG94" s="3">
        <v>5</v>
      </c>
      <c r="CH94" s="13">
        <v>1.1139196755889551</v>
      </c>
      <c r="CI94" s="64" t="s">
        <v>398</v>
      </c>
      <c r="CJ94" s="13">
        <v>11</v>
      </c>
      <c r="CK94" s="3">
        <f t="shared" si="86"/>
        <v>1</v>
      </c>
      <c r="CL94" s="3">
        <f t="shared" si="87"/>
        <v>0</v>
      </c>
      <c r="CM94" t="str">
        <f t="shared" si="88"/>
        <v>-1, Déficit y dejo la capacidad media</v>
      </c>
      <c r="CO94" s="3" t="s">
        <v>217</v>
      </c>
      <c r="CP94" s="3">
        <v>5</v>
      </c>
      <c r="CQ94" s="18">
        <v>2.8888888888888888</v>
      </c>
      <c r="CR94" s="3">
        <v>5</v>
      </c>
      <c r="CS94" s="3">
        <v>5</v>
      </c>
      <c r="CT94" s="3">
        <v>5</v>
      </c>
      <c r="CU94" s="13">
        <v>1.1139196755889551</v>
      </c>
      <c r="CV94" s="64" t="s">
        <v>398</v>
      </c>
      <c r="CW94" s="13">
        <v>11</v>
      </c>
      <c r="CX94" s="12">
        <f t="shared" si="89"/>
        <v>1</v>
      </c>
      <c r="CY94" s="12">
        <f t="shared" si="90"/>
        <v>0</v>
      </c>
      <c r="CZ94" t="str">
        <f t="shared" si="91"/>
        <v>-1, Déficit y dejo la capacidad media</v>
      </c>
    </row>
    <row r="95" spans="1:104" ht="14.25" customHeight="1" x14ac:dyDescent="0.3">
      <c r="A95" s="3" t="s">
        <v>218</v>
      </c>
      <c r="B95" s="3">
        <v>8</v>
      </c>
      <c r="C95" s="18">
        <v>2.8888888888888888</v>
      </c>
      <c r="D95" s="3">
        <v>6</v>
      </c>
      <c r="E95" s="3">
        <v>6</v>
      </c>
      <c r="F95" s="3">
        <v>6</v>
      </c>
      <c r="G95" s="13">
        <v>1.0416402811862899</v>
      </c>
      <c r="H95" s="64" t="s">
        <v>398</v>
      </c>
      <c r="I95" s="72">
        <v>11</v>
      </c>
      <c r="J95" s="53">
        <f t="shared" si="68"/>
        <v>1</v>
      </c>
      <c r="K95" s="53">
        <f t="shared" si="69"/>
        <v>-2</v>
      </c>
      <c r="L95" s="94" t="str">
        <f t="shared" si="70"/>
        <v>-2,no había déficit y resultado fue bueno</v>
      </c>
      <c r="N95" s="3" t="s">
        <v>218</v>
      </c>
      <c r="O95" s="3">
        <v>3</v>
      </c>
      <c r="P95" s="18">
        <v>3.5555555555555554</v>
      </c>
      <c r="Q95" s="3">
        <v>1</v>
      </c>
      <c r="R95" s="3">
        <v>1</v>
      </c>
      <c r="S95" s="3">
        <v>5</v>
      </c>
      <c r="T95" s="13">
        <v>1.0416402811862899</v>
      </c>
      <c r="U95" s="64" t="s">
        <v>398</v>
      </c>
      <c r="V95" s="13">
        <v>11</v>
      </c>
      <c r="W95" s="11">
        <f t="shared" si="71"/>
        <v>1</v>
      </c>
      <c r="X95" s="71">
        <f t="shared" si="72"/>
        <v>-2</v>
      </c>
      <c r="Y95" s="64" t="str">
        <f t="shared" si="73"/>
        <v>-1, Déficit y dejo la capacidad media</v>
      </c>
      <c r="AB95" s="3" t="s">
        <v>218</v>
      </c>
      <c r="AC95" s="3">
        <v>2</v>
      </c>
      <c r="AD95" s="18">
        <v>2.6666666666666665</v>
      </c>
      <c r="AE95" s="3">
        <v>3</v>
      </c>
      <c r="AF95" s="3">
        <v>0</v>
      </c>
      <c r="AG95" s="3">
        <v>5</v>
      </c>
      <c r="AH95" s="13">
        <v>1.0416402811862899</v>
      </c>
      <c r="AI95" s="64" t="s">
        <v>398</v>
      </c>
      <c r="AJ95" s="13">
        <v>11</v>
      </c>
      <c r="AK95" s="11">
        <f t="shared" si="74"/>
        <v>0</v>
      </c>
      <c r="AL95" s="11">
        <f t="shared" si="75"/>
        <v>1</v>
      </c>
      <c r="AM95" t="str">
        <f t="shared" si="76"/>
        <v>-1, Déficit y dejo la capacidad media</v>
      </c>
      <c r="AO95" s="3" t="s">
        <v>218</v>
      </c>
      <c r="AP95" s="3">
        <v>3</v>
      </c>
      <c r="AQ95" s="18">
        <v>1.4444444444444444</v>
      </c>
      <c r="AR95" s="3">
        <v>1</v>
      </c>
      <c r="AS95" s="3">
        <v>0</v>
      </c>
      <c r="AT95" s="3">
        <v>5</v>
      </c>
      <c r="AU95" s="13">
        <v>1.0416402811862899</v>
      </c>
      <c r="AV95" s="64" t="s">
        <v>398</v>
      </c>
      <c r="AW95" s="13">
        <v>11</v>
      </c>
      <c r="AX95" s="11">
        <f t="shared" si="77"/>
        <v>1</v>
      </c>
      <c r="AY95" s="11">
        <f t="shared" si="78"/>
        <v>-2</v>
      </c>
      <c r="AZ95" t="str">
        <f t="shared" si="79"/>
        <v>-1, Déficit y dejo la capacidad media</v>
      </c>
      <c r="BB95" s="3" t="s">
        <v>218</v>
      </c>
      <c r="BC95" s="3">
        <v>5</v>
      </c>
      <c r="BD95" s="18">
        <v>4</v>
      </c>
      <c r="BE95" s="3">
        <v>2</v>
      </c>
      <c r="BF95" s="3">
        <v>2</v>
      </c>
      <c r="BG95" s="3">
        <v>5</v>
      </c>
      <c r="BH95" s="13">
        <v>1.0416402811862899</v>
      </c>
      <c r="BI95" s="64" t="s">
        <v>398</v>
      </c>
      <c r="BJ95" s="13">
        <v>11</v>
      </c>
      <c r="BK95" s="3">
        <f t="shared" si="80"/>
        <v>1</v>
      </c>
      <c r="BL95" s="3">
        <f t="shared" si="81"/>
        <v>-3</v>
      </c>
      <c r="BM95" t="str">
        <f t="shared" si="82"/>
        <v>-1, Déficit y dejo la capacidad media</v>
      </c>
      <c r="BO95" s="3" t="s">
        <v>218</v>
      </c>
      <c r="BP95" s="3">
        <v>4</v>
      </c>
      <c r="BQ95" s="18">
        <v>1.7777777777777777</v>
      </c>
      <c r="BR95" s="3">
        <v>4</v>
      </c>
      <c r="BS95" s="3">
        <v>4</v>
      </c>
      <c r="BT95" s="3">
        <v>5</v>
      </c>
      <c r="BU95" s="13">
        <v>1.0416402811862899</v>
      </c>
      <c r="BV95" s="64" t="s">
        <v>398</v>
      </c>
      <c r="BW95" s="13">
        <v>11</v>
      </c>
      <c r="BX95" s="3">
        <f t="shared" si="83"/>
        <v>1</v>
      </c>
      <c r="BY95" s="3">
        <f t="shared" si="84"/>
        <v>0</v>
      </c>
      <c r="BZ95" t="str">
        <f t="shared" si="85"/>
        <v>-1, Déficit y dejo la capacidad media</v>
      </c>
      <c r="CB95" s="3" t="s">
        <v>218</v>
      </c>
      <c r="CC95" s="3">
        <v>1</v>
      </c>
      <c r="CD95" s="18">
        <v>3</v>
      </c>
      <c r="CE95" s="3">
        <v>1</v>
      </c>
      <c r="CF95" s="3">
        <v>1</v>
      </c>
      <c r="CG95" s="3">
        <v>5</v>
      </c>
      <c r="CH95" s="13">
        <v>1.0416402811862899</v>
      </c>
      <c r="CI95" s="64" t="s">
        <v>398</v>
      </c>
      <c r="CJ95" s="13">
        <v>11</v>
      </c>
      <c r="CK95" s="3">
        <f t="shared" si="86"/>
        <v>1</v>
      </c>
      <c r="CL95" s="3">
        <f t="shared" si="87"/>
        <v>0</v>
      </c>
      <c r="CM95" t="str">
        <f t="shared" si="88"/>
        <v>-1, Déficit y dejo la capacidad media</v>
      </c>
      <c r="CO95" s="3" t="s">
        <v>218</v>
      </c>
      <c r="CP95" s="3">
        <v>0</v>
      </c>
      <c r="CQ95" s="18">
        <v>2.8888888888888888</v>
      </c>
      <c r="CR95" s="3">
        <v>0</v>
      </c>
      <c r="CS95" s="30">
        <v>0</v>
      </c>
      <c r="CT95" s="3">
        <v>5</v>
      </c>
      <c r="CU95" s="13">
        <v>1.0416402811862899</v>
      </c>
      <c r="CV95" s="64" t="s">
        <v>398</v>
      </c>
      <c r="CW95" s="13">
        <v>11</v>
      </c>
      <c r="CX95" s="12">
        <f t="shared" si="89"/>
        <v>1</v>
      </c>
      <c r="CY95" s="12">
        <f t="shared" si="90"/>
        <v>0</v>
      </c>
      <c r="CZ95" t="str">
        <f t="shared" si="91"/>
        <v>-1, Déficit y dejo la capacidad media</v>
      </c>
    </row>
    <row r="96" spans="1:104" ht="14.25" customHeight="1" x14ac:dyDescent="0.3">
      <c r="A96" s="3" t="s">
        <v>220</v>
      </c>
      <c r="B96" s="3">
        <v>6</v>
      </c>
      <c r="C96" s="18">
        <v>5.4444444444444446</v>
      </c>
      <c r="D96" s="3">
        <v>7</v>
      </c>
      <c r="E96" s="3">
        <v>6</v>
      </c>
      <c r="F96" s="3">
        <v>11</v>
      </c>
      <c r="G96" s="13">
        <v>0.99583449612816577</v>
      </c>
      <c r="H96" s="64" t="s">
        <v>404</v>
      </c>
      <c r="I96" s="72">
        <v>29</v>
      </c>
      <c r="J96" s="53">
        <f t="shared" si="68"/>
        <v>0</v>
      </c>
      <c r="K96" s="53">
        <f t="shared" si="69"/>
        <v>1</v>
      </c>
      <c r="L96" s="94" t="str">
        <f t="shared" si="70"/>
        <v>-2, Déficit y resultado fue bueno</v>
      </c>
      <c r="N96" s="3" t="s">
        <v>220</v>
      </c>
      <c r="O96" s="3">
        <v>3</v>
      </c>
      <c r="P96" s="18">
        <v>10.222222222222221</v>
      </c>
      <c r="Q96" s="3">
        <v>2</v>
      </c>
      <c r="R96" s="3">
        <v>3</v>
      </c>
      <c r="S96" s="3">
        <v>11</v>
      </c>
      <c r="T96" s="13">
        <v>0.99583449612816577</v>
      </c>
      <c r="U96" s="64" t="s">
        <v>404</v>
      </c>
      <c r="V96" s="13">
        <v>29</v>
      </c>
      <c r="W96" s="11">
        <f t="shared" si="71"/>
        <v>1</v>
      </c>
      <c r="X96" s="71">
        <f t="shared" si="72"/>
        <v>-1</v>
      </c>
      <c r="Y96" s="64" t="str">
        <f t="shared" si="73"/>
        <v>-2, Déficit y resultado fue bueno</v>
      </c>
      <c r="AB96" s="3" t="s">
        <v>220</v>
      </c>
      <c r="AC96" s="3">
        <v>4</v>
      </c>
      <c r="AD96" s="18">
        <v>10.333333333333334</v>
      </c>
      <c r="AE96" s="3">
        <v>9</v>
      </c>
      <c r="AF96" s="3">
        <v>0</v>
      </c>
      <c r="AG96" s="3">
        <v>11</v>
      </c>
      <c r="AH96" s="13">
        <v>0.99583449612816577</v>
      </c>
      <c r="AI96" s="64" t="s">
        <v>404</v>
      </c>
      <c r="AJ96" s="13">
        <v>29</v>
      </c>
      <c r="AK96" s="11">
        <f t="shared" si="74"/>
        <v>0</v>
      </c>
      <c r="AL96" s="11">
        <f t="shared" si="75"/>
        <v>5</v>
      </c>
      <c r="AM96" t="str">
        <f t="shared" si="76"/>
        <v>-2, Déficit y resultado fue bueno</v>
      </c>
      <c r="AO96" s="3" t="s">
        <v>220</v>
      </c>
      <c r="AP96" s="3">
        <v>12</v>
      </c>
      <c r="AQ96" s="18">
        <v>5.666666666666667</v>
      </c>
      <c r="AR96" s="3">
        <v>5</v>
      </c>
      <c r="AS96" s="3">
        <v>5</v>
      </c>
      <c r="AT96" s="3">
        <v>19</v>
      </c>
      <c r="AU96" s="13">
        <v>0.99583449612816577</v>
      </c>
      <c r="AV96" s="64" t="s">
        <v>404</v>
      </c>
      <c r="AW96" s="13">
        <v>29</v>
      </c>
      <c r="AX96" s="11">
        <f t="shared" si="77"/>
        <v>1</v>
      </c>
      <c r="AY96" s="11">
        <f t="shared" si="78"/>
        <v>-7</v>
      </c>
      <c r="AZ96" t="str">
        <f t="shared" si="79"/>
        <v>1, Déficit y eliminé déficit</v>
      </c>
      <c r="BB96" s="3" t="s">
        <v>220</v>
      </c>
      <c r="BC96" s="3">
        <v>4</v>
      </c>
      <c r="BD96" s="18">
        <v>5.2222222222222223</v>
      </c>
      <c r="BE96" s="3">
        <v>4</v>
      </c>
      <c r="BF96" s="3">
        <v>4</v>
      </c>
      <c r="BG96" s="3">
        <v>19</v>
      </c>
      <c r="BH96" s="13">
        <v>0.99583449612816577</v>
      </c>
      <c r="BI96" s="64" t="s">
        <v>404</v>
      </c>
      <c r="BJ96" s="13">
        <v>29</v>
      </c>
      <c r="BK96" s="3">
        <f t="shared" si="80"/>
        <v>1</v>
      </c>
      <c r="BL96" s="3">
        <f t="shared" si="81"/>
        <v>0</v>
      </c>
      <c r="BM96" t="str">
        <f t="shared" si="82"/>
        <v>1, Déficit y eliminé déficit</v>
      </c>
      <c r="BO96" s="3" t="s">
        <v>220</v>
      </c>
      <c r="BP96" s="3">
        <v>9</v>
      </c>
      <c r="BQ96" s="18">
        <v>5.333333333333333</v>
      </c>
      <c r="BR96" s="3">
        <v>6</v>
      </c>
      <c r="BS96" s="3">
        <v>5</v>
      </c>
      <c r="BT96" s="3">
        <v>11</v>
      </c>
      <c r="BU96" s="13">
        <v>0.99583449612816577</v>
      </c>
      <c r="BV96" s="64" t="s">
        <v>404</v>
      </c>
      <c r="BW96" s="13">
        <v>29</v>
      </c>
      <c r="BX96" s="3">
        <f t="shared" si="83"/>
        <v>1</v>
      </c>
      <c r="BY96" s="3">
        <f t="shared" si="84"/>
        <v>-3</v>
      </c>
      <c r="BZ96" t="str">
        <f t="shared" si="85"/>
        <v>-2, Déficit y resultado fue bueno</v>
      </c>
      <c r="CB96" s="3" t="s">
        <v>220</v>
      </c>
      <c r="CC96" s="3">
        <v>9</v>
      </c>
      <c r="CD96" s="18">
        <v>8</v>
      </c>
      <c r="CE96" s="3">
        <v>10</v>
      </c>
      <c r="CF96" s="3">
        <v>10</v>
      </c>
      <c r="CG96" s="3">
        <v>16</v>
      </c>
      <c r="CH96" s="13">
        <v>0.99583449612816577</v>
      </c>
      <c r="CI96" s="64" t="s">
        <v>404</v>
      </c>
      <c r="CJ96" s="13">
        <v>29</v>
      </c>
      <c r="CK96" s="3">
        <f t="shared" si="86"/>
        <v>0</v>
      </c>
      <c r="CL96" s="3">
        <f t="shared" si="87"/>
        <v>1</v>
      </c>
      <c r="CM96" t="str">
        <f t="shared" si="88"/>
        <v>1, Déficit y eliminé déficit</v>
      </c>
      <c r="CO96" s="3" t="s">
        <v>220</v>
      </c>
      <c r="CP96" s="3">
        <v>5</v>
      </c>
      <c r="CQ96" s="18">
        <v>5.4444444444444446</v>
      </c>
      <c r="CR96" s="3">
        <v>5</v>
      </c>
      <c r="CS96" s="3">
        <v>5</v>
      </c>
      <c r="CT96" s="3">
        <v>11</v>
      </c>
      <c r="CU96" s="13">
        <v>0.99583449612816577</v>
      </c>
      <c r="CV96" s="64" t="s">
        <v>404</v>
      </c>
      <c r="CW96" s="13">
        <v>29</v>
      </c>
      <c r="CX96" s="12">
        <f t="shared" si="89"/>
        <v>1</v>
      </c>
      <c r="CY96" s="12">
        <f t="shared" si="90"/>
        <v>0</v>
      </c>
      <c r="CZ96" t="str">
        <f t="shared" si="91"/>
        <v>-2, Déficit y resultado fue bueno</v>
      </c>
    </row>
    <row r="97" spans="1:104" ht="14.25" customHeight="1" x14ac:dyDescent="0.3">
      <c r="A97" s="3" t="s">
        <v>223</v>
      </c>
      <c r="B97" s="3">
        <v>6</v>
      </c>
      <c r="C97" s="18">
        <v>3</v>
      </c>
      <c r="D97" s="3">
        <v>3</v>
      </c>
      <c r="E97" s="3">
        <v>3</v>
      </c>
      <c r="F97" s="3">
        <v>8</v>
      </c>
      <c r="G97" s="13">
        <v>0.9957863323050703</v>
      </c>
      <c r="H97" s="64" t="s">
        <v>402</v>
      </c>
      <c r="I97" s="72">
        <v>15</v>
      </c>
      <c r="J97" s="53">
        <f t="shared" si="68"/>
        <v>1</v>
      </c>
      <c r="K97" s="53">
        <f t="shared" si="69"/>
        <v>-3</v>
      </c>
      <c r="L97" s="94" t="str">
        <f t="shared" si="70"/>
        <v>1, Déficit y eliminé déficit</v>
      </c>
      <c r="N97" s="3" t="s">
        <v>223</v>
      </c>
      <c r="O97" s="3">
        <v>13</v>
      </c>
      <c r="P97" s="18">
        <v>6.7777777777777777</v>
      </c>
      <c r="Q97" s="3">
        <v>10</v>
      </c>
      <c r="R97" s="3">
        <v>8</v>
      </c>
      <c r="S97" s="3">
        <v>7</v>
      </c>
      <c r="T97" s="13">
        <v>0.9957863323050703</v>
      </c>
      <c r="U97" s="64" t="s">
        <v>402</v>
      </c>
      <c r="V97" s="13">
        <v>15</v>
      </c>
      <c r="W97" s="11">
        <f t="shared" si="71"/>
        <v>1</v>
      </c>
      <c r="X97" s="71">
        <f t="shared" si="72"/>
        <v>-3</v>
      </c>
      <c r="Y97" s="64" t="str">
        <f t="shared" si="73"/>
        <v>-1, no había déficit y dejo la capacidad media</v>
      </c>
      <c r="AB97" s="3" t="s">
        <v>223</v>
      </c>
      <c r="AC97" s="3">
        <v>9</v>
      </c>
      <c r="AD97" s="18">
        <v>6</v>
      </c>
      <c r="AE97" s="3">
        <v>4</v>
      </c>
      <c r="AF97" s="3">
        <v>5</v>
      </c>
      <c r="AG97" s="3">
        <v>7</v>
      </c>
      <c r="AH97" s="13">
        <v>0.9957863323050703</v>
      </c>
      <c r="AI97" s="64" t="s">
        <v>402</v>
      </c>
      <c r="AJ97" s="13">
        <v>15</v>
      </c>
      <c r="AK97" s="11">
        <f t="shared" si="74"/>
        <v>1</v>
      </c>
      <c r="AL97" s="11">
        <f t="shared" si="75"/>
        <v>-5</v>
      </c>
      <c r="AM97" t="str">
        <f t="shared" si="76"/>
        <v>-1, no había déficit y dejo la capacidad media</v>
      </c>
      <c r="AO97" s="3" t="s">
        <v>223</v>
      </c>
      <c r="AP97" s="3">
        <v>9</v>
      </c>
      <c r="AQ97" s="18">
        <v>9</v>
      </c>
      <c r="AR97" s="3">
        <v>11</v>
      </c>
      <c r="AS97" s="3">
        <v>11</v>
      </c>
      <c r="AT97" s="3">
        <v>7</v>
      </c>
      <c r="AU97" s="13">
        <v>0.9957863323050703</v>
      </c>
      <c r="AV97" s="64" t="s">
        <v>402</v>
      </c>
      <c r="AW97" s="13">
        <v>15</v>
      </c>
      <c r="AX97" s="11">
        <f t="shared" si="77"/>
        <v>0</v>
      </c>
      <c r="AY97" s="11">
        <f t="shared" si="78"/>
        <v>2</v>
      </c>
      <c r="AZ97" t="str">
        <f t="shared" si="79"/>
        <v>-1, no había déficit y dejo la capacidad media</v>
      </c>
      <c r="BB97" s="3" t="s">
        <v>223</v>
      </c>
      <c r="BC97" s="3">
        <v>5</v>
      </c>
      <c r="BD97" s="18">
        <v>7.8888888888888893</v>
      </c>
      <c r="BE97" s="3">
        <v>5</v>
      </c>
      <c r="BF97" s="3">
        <v>3</v>
      </c>
      <c r="BG97" s="3">
        <v>7</v>
      </c>
      <c r="BH97" s="13">
        <v>0.9957863323050703</v>
      </c>
      <c r="BI97" s="64" t="s">
        <v>402</v>
      </c>
      <c r="BJ97" s="13">
        <v>15</v>
      </c>
      <c r="BK97" s="3">
        <f t="shared" si="80"/>
        <v>1</v>
      </c>
      <c r="BL97" s="3">
        <f t="shared" si="81"/>
        <v>0</v>
      </c>
      <c r="BM97" t="str">
        <f t="shared" si="82"/>
        <v>-1, Déficit y dejo la capacidad media</v>
      </c>
      <c r="BO97" s="3" t="s">
        <v>223</v>
      </c>
      <c r="BP97" s="3">
        <v>13</v>
      </c>
      <c r="BQ97" s="18">
        <v>4.8888888888888893</v>
      </c>
      <c r="BR97" s="3">
        <v>12</v>
      </c>
      <c r="BS97" s="3">
        <v>12</v>
      </c>
      <c r="BT97" s="3">
        <v>7</v>
      </c>
      <c r="BU97" s="13">
        <v>0.9957863323050703</v>
      </c>
      <c r="BV97" s="64" t="s">
        <v>402</v>
      </c>
      <c r="BW97" s="13">
        <v>15</v>
      </c>
      <c r="BX97" s="3">
        <f t="shared" si="83"/>
        <v>1</v>
      </c>
      <c r="BY97" s="3">
        <f t="shared" si="84"/>
        <v>-1</v>
      </c>
      <c r="BZ97" t="str">
        <f t="shared" si="85"/>
        <v>-1, no había déficit y dejo la capacidad media</v>
      </c>
      <c r="CB97" s="3" t="s">
        <v>223</v>
      </c>
      <c r="CC97" s="3">
        <v>12</v>
      </c>
      <c r="CD97" s="18">
        <v>4.4444444444444446</v>
      </c>
      <c r="CE97" s="3">
        <v>10</v>
      </c>
      <c r="CF97" s="3">
        <v>10</v>
      </c>
      <c r="CG97" s="3">
        <v>7</v>
      </c>
      <c r="CH97" s="13">
        <v>0.9957863323050703</v>
      </c>
      <c r="CI97" s="64" t="s">
        <v>402</v>
      </c>
      <c r="CJ97" s="13">
        <v>15</v>
      </c>
      <c r="CK97" s="3">
        <f t="shared" si="86"/>
        <v>1</v>
      </c>
      <c r="CL97" s="3">
        <f t="shared" si="87"/>
        <v>-2</v>
      </c>
      <c r="CM97" t="str">
        <f t="shared" si="88"/>
        <v>-1, no había déficit y dejo la capacidad media</v>
      </c>
      <c r="CO97" s="3" t="s">
        <v>223</v>
      </c>
      <c r="CP97" s="3">
        <v>5</v>
      </c>
      <c r="CQ97" s="18">
        <v>3</v>
      </c>
      <c r="CR97" s="3">
        <v>4</v>
      </c>
      <c r="CS97" s="3">
        <v>4</v>
      </c>
      <c r="CT97" s="3">
        <v>7</v>
      </c>
      <c r="CU97" s="13">
        <v>0.9957863323050703</v>
      </c>
      <c r="CV97" s="64" t="s">
        <v>402</v>
      </c>
      <c r="CW97" s="13">
        <v>15</v>
      </c>
      <c r="CX97" s="12">
        <f t="shared" si="89"/>
        <v>1</v>
      </c>
      <c r="CY97" s="12">
        <f t="shared" si="90"/>
        <v>-1</v>
      </c>
      <c r="CZ97" t="str">
        <f t="shared" si="91"/>
        <v>-1, Déficit y dejo la capacidad media</v>
      </c>
    </row>
    <row r="98" spans="1:104" ht="14.25" customHeight="1" x14ac:dyDescent="0.3">
      <c r="A98" s="3" t="s">
        <v>224</v>
      </c>
      <c r="B98" s="3">
        <v>3</v>
      </c>
      <c r="C98" s="18">
        <v>1.8888888888888888</v>
      </c>
      <c r="D98" s="3">
        <v>3</v>
      </c>
      <c r="E98" s="3">
        <v>3</v>
      </c>
      <c r="F98" s="3">
        <v>5</v>
      </c>
      <c r="G98" s="13">
        <v>0.98995442105744402</v>
      </c>
      <c r="H98" s="64" t="s">
        <v>398</v>
      </c>
      <c r="I98" s="72">
        <v>11</v>
      </c>
      <c r="J98" s="53">
        <f t="shared" si="68"/>
        <v>1</v>
      </c>
      <c r="K98" s="53">
        <f t="shared" si="69"/>
        <v>0</v>
      </c>
      <c r="L98" s="94" t="str">
        <f t="shared" si="70"/>
        <v>-1, Déficit y dejo la capacidad media</v>
      </c>
      <c r="N98" s="3" t="s">
        <v>224</v>
      </c>
      <c r="O98" s="3">
        <v>1</v>
      </c>
      <c r="P98" s="18">
        <v>1.8888888888888888</v>
      </c>
      <c r="Q98" s="3">
        <v>0</v>
      </c>
      <c r="R98" s="3">
        <v>0</v>
      </c>
      <c r="S98" s="3">
        <v>5</v>
      </c>
      <c r="T98" s="13">
        <v>0.98995442105744402</v>
      </c>
      <c r="U98" s="64" t="s">
        <v>398</v>
      </c>
      <c r="V98" s="13">
        <v>11</v>
      </c>
      <c r="W98" s="11">
        <f t="shared" si="71"/>
        <v>1</v>
      </c>
      <c r="X98" s="71">
        <f t="shared" si="72"/>
        <v>-1</v>
      </c>
      <c r="Y98" s="64" t="str">
        <f t="shared" si="73"/>
        <v>-1, Déficit y dejo la capacidad media</v>
      </c>
      <c r="AB98" s="3" t="s">
        <v>224</v>
      </c>
      <c r="AC98" s="3">
        <v>3</v>
      </c>
      <c r="AD98" s="18">
        <v>1.5555555555555556</v>
      </c>
      <c r="AE98" s="3">
        <v>3</v>
      </c>
      <c r="AF98" s="3">
        <v>2</v>
      </c>
      <c r="AG98" s="3">
        <v>5</v>
      </c>
      <c r="AH98" s="13">
        <v>0.98995442105744402</v>
      </c>
      <c r="AI98" s="64" t="s">
        <v>398</v>
      </c>
      <c r="AJ98" s="13">
        <v>11</v>
      </c>
      <c r="AK98" s="11">
        <f t="shared" si="74"/>
        <v>1</v>
      </c>
      <c r="AL98" s="11">
        <f t="shared" si="75"/>
        <v>0</v>
      </c>
      <c r="AM98" t="str">
        <f t="shared" si="76"/>
        <v>-1, Déficit y dejo la capacidad media</v>
      </c>
      <c r="AO98" s="3" t="s">
        <v>224</v>
      </c>
      <c r="AP98" s="3">
        <v>2</v>
      </c>
      <c r="AQ98" s="18">
        <v>0.88888888888888884</v>
      </c>
      <c r="AR98" s="3">
        <v>1</v>
      </c>
      <c r="AS98" s="3">
        <v>1</v>
      </c>
      <c r="AT98" s="3">
        <v>5</v>
      </c>
      <c r="AU98" s="13">
        <v>0.98995442105744402</v>
      </c>
      <c r="AV98" s="64" t="s">
        <v>398</v>
      </c>
      <c r="AW98" s="13">
        <v>11</v>
      </c>
      <c r="AX98" s="11">
        <f t="shared" si="77"/>
        <v>1</v>
      </c>
      <c r="AY98" s="11">
        <f t="shared" si="78"/>
        <v>-1</v>
      </c>
      <c r="AZ98" t="str">
        <f t="shared" si="79"/>
        <v>-1, Déficit y dejo la capacidad media</v>
      </c>
      <c r="BB98" s="3" t="s">
        <v>224</v>
      </c>
      <c r="BC98" s="3">
        <v>4</v>
      </c>
      <c r="BD98" s="18">
        <v>3.1111111111111112</v>
      </c>
      <c r="BE98" s="3">
        <v>3</v>
      </c>
      <c r="BF98" s="3">
        <v>3</v>
      </c>
      <c r="BG98" s="3">
        <v>5</v>
      </c>
      <c r="BH98" s="13">
        <v>0.98995442105744402</v>
      </c>
      <c r="BI98" s="64" t="s">
        <v>398</v>
      </c>
      <c r="BJ98" s="13">
        <v>11</v>
      </c>
      <c r="BK98" s="3">
        <f t="shared" si="80"/>
        <v>1</v>
      </c>
      <c r="BL98" s="3">
        <f t="shared" si="81"/>
        <v>-1</v>
      </c>
      <c r="BM98" t="str">
        <f t="shared" si="82"/>
        <v>-1, Déficit y dejo la capacidad media</v>
      </c>
      <c r="BO98" s="3" t="s">
        <v>224</v>
      </c>
      <c r="BP98" s="3">
        <v>7</v>
      </c>
      <c r="BQ98" s="18">
        <v>2.3333333333333335</v>
      </c>
      <c r="BR98" s="3">
        <v>4</v>
      </c>
      <c r="BS98" s="3">
        <v>4</v>
      </c>
      <c r="BT98" s="3">
        <v>5</v>
      </c>
      <c r="BU98" s="13">
        <v>0.98995442105744402</v>
      </c>
      <c r="BV98" s="64" t="s">
        <v>398</v>
      </c>
      <c r="BW98" s="13">
        <v>11</v>
      </c>
      <c r="BX98" s="3">
        <f t="shared" si="83"/>
        <v>1</v>
      </c>
      <c r="BY98" s="3">
        <f t="shared" si="84"/>
        <v>-3</v>
      </c>
      <c r="BZ98" t="str">
        <f t="shared" si="85"/>
        <v>-1, no había déficit y dejo la capacidad media</v>
      </c>
      <c r="CB98" s="3" t="s">
        <v>224</v>
      </c>
      <c r="CC98" s="3">
        <v>5</v>
      </c>
      <c r="CD98" s="18">
        <v>3.7777777777777777</v>
      </c>
      <c r="CE98" s="3">
        <v>2</v>
      </c>
      <c r="CF98" s="3">
        <v>1</v>
      </c>
      <c r="CG98" s="3">
        <v>5</v>
      </c>
      <c r="CH98" s="13">
        <v>0.98995442105744402</v>
      </c>
      <c r="CI98" s="64" t="s">
        <v>398</v>
      </c>
      <c r="CJ98" s="13">
        <v>11</v>
      </c>
      <c r="CK98" s="3">
        <f t="shared" si="86"/>
        <v>1</v>
      </c>
      <c r="CL98" s="3">
        <f t="shared" si="87"/>
        <v>-3</v>
      </c>
      <c r="CM98" t="str">
        <f t="shared" si="88"/>
        <v>-1, Déficit y dejo la capacidad media</v>
      </c>
      <c r="CO98" s="3" t="s">
        <v>224</v>
      </c>
      <c r="CP98" s="3">
        <v>0</v>
      </c>
      <c r="CQ98" s="18">
        <v>1.8888888888888888</v>
      </c>
      <c r="CR98" s="3">
        <v>0</v>
      </c>
      <c r="CS98" s="30">
        <v>0</v>
      </c>
      <c r="CT98" s="3">
        <v>5</v>
      </c>
      <c r="CU98" s="13">
        <v>0.98995442105744402</v>
      </c>
      <c r="CV98" s="64" t="s">
        <v>398</v>
      </c>
      <c r="CW98" s="13">
        <v>11</v>
      </c>
      <c r="CX98" s="12">
        <f t="shared" si="89"/>
        <v>1</v>
      </c>
      <c r="CY98" s="12">
        <f t="shared" si="90"/>
        <v>0</v>
      </c>
      <c r="CZ98" t="str">
        <f t="shared" si="91"/>
        <v>-1, Déficit y dejo la capacidad media</v>
      </c>
    </row>
    <row r="99" spans="1:104" ht="14.25" customHeight="1" x14ac:dyDescent="0.3">
      <c r="A99" s="3" t="s">
        <v>225</v>
      </c>
      <c r="B99" s="3">
        <v>3</v>
      </c>
      <c r="C99" s="18">
        <v>3.3333333333333335</v>
      </c>
      <c r="D99" s="3">
        <v>2</v>
      </c>
      <c r="E99" s="3">
        <v>3</v>
      </c>
      <c r="F99" s="3">
        <v>7</v>
      </c>
      <c r="G99" s="13">
        <v>0.8928339600558084</v>
      </c>
      <c r="H99" s="64" t="s">
        <v>402</v>
      </c>
      <c r="I99" s="72">
        <v>15</v>
      </c>
      <c r="J99" s="53">
        <f t="shared" si="68"/>
        <v>1</v>
      </c>
      <c r="K99" s="53">
        <f t="shared" si="69"/>
        <v>-1</v>
      </c>
      <c r="L99" s="94" t="str">
        <f t="shared" si="70"/>
        <v>-1, Déficit y dejo la capacidad media</v>
      </c>
      <c r="N99" s="3" t="s">
        <v>225</v>
      </c>
      <c r="O99" s="3">
        <v>6</v>
      </c>
      <c r="P99" s="18">
        <v>2.6666666666666665</v>
      </c>
      <c r="Q99" s="3">
        <v>4</v>
      </c>
      <c r="R99" s="3">
        <v>3</v>
      </c>
      <c r="S99" s="3">
        <v>7</v>
      </c>
      <c r="T99" s="13">
        <v>0.8928339600558084</v>
      </c>
      <c r="U99" s="64" t="s">
        <v>402</v>
      </c>
      <c r="V99" s="13">
        <v>15</v>
      </c>
      <c r="W99" s="11">
        <f t="shared" si="71"/>
        <v>1</v>
      </c>
      <c r="X99" s="71">
        <f t="shared" si="72"/>
        <v>-2</v>
      </c>
      <c r="Y99" s="64" t="str">
        <f t="shared" si="73"/>
        <v>-1, Déficit y dejo la capacidad media</v>
      </c>
      <c r="AB99" s="3" t="s">
        <v>225</v>
      </c>
      <c r="AC99" s="3">
        <v>4</v>
      </c>
      <c r="AD99" s="18">
        <v>5</v>
      </c>
      <c r="AE99" s="3">
        <v>4</v>
      </c>
      <c r="AF99" s="3">
        <v>4</v>
      </c>
      <c r="AG99" s="3">
        <v>7</v>
      </c>
      <c r="AH99" s="13">
        <v>0.8928339600558084</v>
      </c>
      <c r="AI99" s="64" t="s">
        <v>402</v>
      </c>
      <c r="AJ99" s="13">
        <v>15</v>
      </c>
      <c r="AK99" s="11">
        <f t="shared" si="74"/>
        <v>1</v>
      </c>
      <c r="AL99" s="11">
        <f t="shared" si="75"/>
        <v>0</v>
      </c>
      <c r="AM99" t="str">
        <f t="shared" si="76"/>
        <v>-1, Déficit y dejo la capacidad media</v>
      </c>
      <c r="AO99" s="3" t="s">
        <v>225</v>
      </c>
      <c r="AP99" s="3">
        <v>6</v>
      </c>
      <c r="AQ99" s="18">
        <v>4.5555555555555554</v>
      </c>
      <c r="AR99" s="3">
        <v>5</v>
      </c>
      <c r="AS99" s="3">
        <v>5</v>
      </c>
      <c r="AT99" s="3">
        <v>7</v>
      </c>
      <c r="AU99" s="13">
        <v>0.8928339600558084</v>
      </c>
      <c r="AV99" s="64" t="s">
        <v>402</v>
      </c>
      <c r="AW99" s="13">
        <v>15</v>
      </c>
      <c r="AX99" s="11">
        <f t="shared" si="77"/>
        <v>1</v>
      </c>
      <c r="AY99" s="11">
        <f t="shared" si="78"/>
        <v>-1</v>
      </c>
      <c r="AZ99" t="str">
        <f t="shared" si="79"/>
        <v>-1, Déficit y dejo la capacidad media</v>
      </c>
      <c r="BB99" s="3" t="s">
        <v>225</v>
      </c>
      <c r="BC99" s="3">
        <v>2</v>
      </c>
      <c r="BD99" s="18">
        <v>4.333333333333333</v>
      </c>
      <c r="BE99" s="3">
        <v>3</v>
      </c>
      <c r="BF99" s="3">
        <v>2</v>
      </c>
      <c r="BG99" s="3">
        <v>7</v>
      </c>
      <c r="BH99" s="13">
        <v>0.8928339600558084</v>
      </c>
      <c r="BI99" s="64" t="s">
        <v>402</v>
      </c>
      <c r="BJ99" s="13">
        <v>15</v>
      </c>
      <c r="BK99" s="3">
        <f t="shared" si="80"/>
        <v>0</v>
      </c>
      <c r="BL99" s="3">
        <f t="shared" si="81"/>
        <v>1</v>
      </c>
      <c r="BM99" t="str">
        <f t="shared" si="82"/>
        <v>-1, Déficit y dejo la capacidad media</v>
      </c>
      <c r="BO99" s="3" t="s">
        <v>225</v>
      </c>
      <c r="BP99" s="3">
        <v>4</v>
      </c>
      <c r="BQ99" s="18">
        <v>2.4444444444444446</v>
      </c>
      <c r="BR99" s="3">
        <v>4</v>
      </c>
      <c r="BS99" s="3">
        <v>4</v>
      </c>
      <c r="BT99" s="3">
        <v>7</v>
      </c>
      <c r="BU99" s="13">
        <v>0.8928339600558084</v>
      </c>
      <c r="BV99" s="64" t="s">
        <v>402</v>
      </c>
      <c r="BW99" s="13">
        <v>15</v>
      </c>
      <c r="BX99" s="3">
        <f t="shared" si="83"/>
        <v>1</v>
      </c>
      <c r="BY99" s="3">
        <f t="shared" si="84"/>
        <v>0</v>
      </c>
      <c r="BZ99" t="str">
        <f t="shared" si="85"/>
        <v>-1, Déficit y dejo la capacidad media</v>
      </c>
      <c r="CB99" s="3" t="s">
        <v>225</v>
      </c>
      <c r="CC99" s="3">
        <v>13</v>
      </c>
      <c r="CD99" s="18">
        <v>5.8888888888888893</v>
      </c>
      <c r="CE99" s="3">
        <v>3</v>
      </c>
      <c r="CF99" s="3">
        <v>2</v>
      </c>
      <c r="CG99" s="3">
        <v>9</v>
      </c>
      <c r="CH99" s="13">
        <v>0.8928339600558084</v>
      </c>
      <c r="CI99" s="64" t="s">
        <v>402</v>
      </c>
      <c r="CJ99" s="13">
        <v>15</v>
      </c>
      <c r="CK99" s="3">
        <f t="shared" si="86"/>
        <v>1</v>
      </c>
      <c r="CL99" s="3">
        <f t="shared" si="87"/>
        <v>-10</v>
      </c>
      <c r="CM99" t="str">
        <f t="shared" si="88"/>
        <v>-2,no había déficit y resultado fue bueno</v>
      </c>
      <c r="CO99" s="3" t="s">
        <v>225</v>
      </c>
      <c r="CP99" s="3">
        <v>6</v>
      </c>
      <c r="CQ99" s="18">
        <v>3.3333333333333335</v>
      </c>
      <c r="CR99" s="3">
        <v>6</v>
      </c>
      <c r="CS99" s="3">
        <v>6</v>
      </c>
      <c r="CT99" s="3">
        <v>7</v>
      </c>
      <c r="CU99" s="13">
        <v>0.8928339600558084</v>
      </c>
      <c r="CV99" s="64" t="s">
        <v>402</v>
      </c>
      <c r="CW99" s="13">
        <v>15</v>
      </c>
      <c r="CX99" s="12">
        <f t="shared" si="89"/>
        <v>1</v>
      </c>
      <c r="CY99" s="12">
        <f t="shared" si="90"/>
        <v>0</v>
      </c>
      <c r="CZ99" t="str">
        <f t="shared" si="91"/>
        <v>-1, Déficit y dejo la capacidad media</v>
      </c>
    </row>
    <row r="100" spans="1:104" ht="14.25" customHeight="1" x14ac:dyDescent="0.3">
      <c r="A100" s="3" t="s">
        <v>227</v>
      </c>
      <c r="B100" s="3">
        <v>9</v>
      </c>
      <c r="C100" s="18">
        <v>3.7777777777777777</v>
      </c>
      <c r="D100" s="3">
        <v>8</v>
      </c>
      <c r="E100" s="3">
        <v>8</v>
      </c>
      <c r="F100" s="3">
        <v>5</v>
      </c>
      <c r="G100" s="13">
        <v>0.88597893866063815</v>
      </c>
      <c r="H100" s="64" t="s">
        <v>398</v>
      </c>
      <c r="I100" s="72">
        <v>11</v>
      </c>
      <c r="J100" s="53">
        <f t="shared" si="68"/>
        <v>1</v>
      </c>
      <c r="K100" s="53">
        <f t="shared" si="69"/>
        <v>-1</v>
      </c>
      <c r="L100" s="94" t="str">
        <f t="shared" si="70"/>
        <v>-1, no había déficit y dejo la capacidad media</v>
      </c>
      <c r="N100" s="3" t="s">
        <v>227</v>
      </c>
      <c r="O100" s="3">
        <v>2</v>
      </c>
      <c r="P100" s="18">
        <v>2.4444444444444446</v>
      </c>
      <c r="Q100" s="3">
        <v>1</v>
      </c>
      <c r="R100" s="3">
        <v>1</v>
      </c>
      <c r="S100" s="3">
        <v>7</v>
      </c>
      <c r="T100" s="13">
        <v>0.88597893866063815</v>
      </c>
      <c r="U100" s="64" t="s">
        <v>398</v>
      </c>
      <c r="V100" s="13">
        <v>11</v>
      </c>
      <c r="W100" s="11">
        <f t="shared" si="71"/>
        <v>1</v>
      </c>
      <c r="X100" s="71">
        <f t="shared" si="72"/>
        <v>-1</v>
      </c>
      <c r="Y100" s="64" t="str">
        <f t="shared" si="73"/>
        <v>1, Déficit y eliminé déficit</v>
      </c>
      <c r="AB100" s="3" t="s">
        <v>227</v>
      </c>
      <c r="AC100" s="3">
        <v>1</v>
      </c>
      <c r="AD100" s="18">
        <v>3.4444444444444446</v>
      </c>
      <c r="AE100" s="3">
        <v>3</v>
      </c>
      <c r="AF100" s="3">
        <v>4</v>
      </c>
      <c r="AG100" s="3">
        <v>5</v>
      </c>
      <c r="AH100" s="13">
        <v>0.88597893866063815</v>
      </c>
      <c r="AI100" s="64" t="s">
        <v>398</v>
      </c>
      <c r="AJ100" s="13">
        <v>11</v>
      </c>
      <c r="AK100" s="11">
        <f t="shared" si="74"/>
        <v>0</v>
      </c>
      <c r="AL100" s="11">
        <f t="shared" si="75"/>
        <v>2</v>
      </c>
      <c r="AM100" t="str">
        <f t="shared" si="76"/>
        <v>-1, Déficit y dejo la capacidad media</v>
      </c>
      <c r="AO100" s="3" t="s">
        <v>227</v>
      </c>
      <c r="AP100" s="3">
        <v>4</v>
      </c>
      <c r="AQ100" s="18">
        <v>4.5555555555555554</v>
      </c>
      <c r="AR100" s="3">
        <v>3</v>
      </c>
      <c r="AS100" s="3">
        <v>3</v>
      </c>
      <c r="AT100" s="3">
        <v>5</v>
      </c>
      <c r="AU100" s="13">
        <v>0.88597893866063815</v>
      </c>
      <c r="AV100" s="64" t="s">
        <v>398</v>
      </c>
      <c r="AW100" s="13">
        <v>11</v>
      </c>
      <c r="AX100" s="11">
        <f t="shared" si="77"/>
        <v>1</v>
      </c>
      <c r="AY100" s="11">
        <f t="shared" si="78"/>
        <v>-1</v>
      </c>
      <c r="AZ100" t="str">
        <f t="shared" si="79"/>
        <v>-1, Déficit y dejo la capacidad media</v>
      </c>
      <c r="BB100" s="3" t="s">
        <v>227</v>
      </c>
      <c r="BC100" s="3">
        <v>2</v>
      </c>
      <c r="BD100" s="18">
        <v>4.7777777777777777</v>
      </c>
      <c r="BE100" s="3">
        <v>5</v>
      </c>
      <c r="BF100" s="3">
        <v>1</v>
      </c>
      <c r="BG100" s="3">
        <v>7</v>
      </c>
      <c r="BH100" s="13">
        <v>0.88597893866063815</v>
      </c>
      <c r="BI100" s="64" t="s">
        <v>398</v>
      </c>
      <c r="BJ100" s="13">
        <v>11</v>
      </c>
      <c r="BK100" s="3">
        <f t="shared" si="80"/>
        <v>0</v>
      </c>
      <c r="BL100" s="3">
        <f t="shared" si="81"/>
        <v>3</v>
      </c>
      <c r="BM100" t="str">
        <f t="shared" si="82"/>
        <v>1, Déficit y eliminé déficit</v>
      </c>
      <c r="BO100" s="3" t="s">
        <v>227</v>
      </c>
      <c r="BP100" s="3">
        <v>1</v>
      </c>
      <c r="BQ100" s="18">
        <v>4.4444444444444446</v>
      </c>
      <c r="BR100" s="3">
        <v>2</v>
      </c>
      <c r="BS100" s="3">
        <v>2</v>
      </c>
      <c r="BT100" s="3">
        <v>7</v>
      </c>
      <c r="BU100" s="13">
        <v>0.88597893866063815</v>
      </c>
      <c r="BV100" s="64" t="s">
        <v>398</v>
      </c>
      <c r="BW100" s="13">
        <v>11</v>
      </c>
      <c r="BX100" s="3">
        <f t="shared" si="83"/>
        <v>0</v>
      </c>
      <c r="BY100" s="3">
        <f t="shared" si="84"/>
        <v>1</v>
      </c>
      <c r="BZ100" t="str">
        <f t="shared" si="85"/>
        <v>1, Déficit y eliminé déficit</v>
      </c>
      <c r="CB100" s="3" t="s">
        <v>227</v>
      </c>
      <c r="CC100" s="3">
        <v>2</v>
      </c>
      <c r="CD100" s="18">
        <v>2.5555555555555554</v>
      </c>
      <c r="CE100" s="3">
        <v>4</v>
      </c>
      <c r="CF100" s="3">
        <v>4</v>
      </c>
      <c r="CG100" s="3">
        <v>5</v>
      </c>
      <c r="CH100" s="13">
        <v>0.88597893866063815</v>
      </c>
      <c r="CI100" s="64" t="s">
        <v>398</v>
      </c>
      <c r="CJ100" s="13">
        <v>11</v>
      </c>
      <c r="CK100" s="3">
        <f t="shared" si="86"/>
        <v>0</v>
      </c>
      <c r="CL100" s="3">
        <f t="shared" si="87"/>
        <v>2</v>
      </c>
      <c r="CM100" t="str">
        <f t="shared" si="88"/>
        <v>-1, Déficit y dejo la capacidad media</v>
      </c>
      <c r="CO100" s="3" t="s">
        <v>227</v>
      </c>
      <c r="CP100" s="3">
        <v>5</v>
      </c>
      <c r="CQ100" s="18">
        <v>3.7777777777777777</v>
      </c>
      <c r="CR100" s="3">
        <v>4</v>
      </c>
      <c r="CS100" s="3">
        <v>4</v>
      </c>
      <c r="CT100" s="3">
        <v>5</v>
      </c>
      <c r="CU100" s="13">
        <v>0.88597893866063815</v>
      </c>
      <c r="CV100" s="64" t="s">
        <v>398</v>
      </c>
      <c r="CW100" s="13">
        <v>11</v>
      </c>
      <c r="CX100" s="12">
        <f t="shared" si="89"/>
        <v>1</v>
      </c>
      <c r="CY100" s="12">
        <f t="shared" si="90"/>
        <v>-1</v>
      </c>
      <c r="CZ100" t="str">
        <f t="shared" si="91"/>
        <v>-1, Déficit y dejo la capacidad media</v>
      </c>
    </row>
    <row r="101" spans="1:104" ht="14.25" customHeight="1" x14ac:dyDescent="0.3">
      <c r="A101" s="3" t="s">
        <v>229</v>
      </c>
      <c r="B101" s="3">
        <v>7</v>
      </c>
      <c r="C101" s="18">
        <v>9.8888888888888893</v>
      </c>
      <c r="D101" s="3">
        <v>7</v>
      </c>
      <c r="E101" s="3">
        <v>7</v>
      </c>
      <c r="F101" s="3">
        <v>2</v>
      </c>
      <c r="G101" s="13">
        <v>-1.0923718971587979</v>
      </c>
      <c r="H101" s="64" t="s">
        <v>401</v>
      </c>
      <c r="I101" s="72">
        <v>15</v>
      </c>
      <c r="J101" s="53">
        <f t="shared" ref="J101:J110" si="92">IF(D101&gt;=B101,1,0)</f>
        <v>1</v>
      </c>
      <c r="K101" s="53">
        <f t="shared" si="69"/>
        <v>0</v>
      </c>
      <c r="L101" s="94" t="str">
        <f t="shared" si="70"/>
        <v>1, no había superávit, pero el resultado fue mejor</v>
      </c>
      <c r="N101" s="3" t="s">
        <v>229</v>
      </c>
      <c r="O101" s="3">
        <v>4</v>
      </c>
      <c r="P101" s="18">
        <v>6.666666666666667</v>
      </c>
      <c r="Q101" s="3">
        <v>5</v>
      </c>
      <c r="R101" s="3">
        <v>6</v>
      </c>
      <c r="S101" s="3">
        <v>4</v>
      </c>
      <c r="T101" s="13">
        <v>-1.0923718971587979</v>
      </c>
      <c r="U101" s="64" t="s">
        <v>401</v>
      </c>
      <c r="V101" s="13">
        <v>15</v>
      </c>
      <c r="W101" s="11">
        <f t="shared" ref="W101:W110" si="93">IF(Q101&gt;=O101,1,0)</f>
        <v>1</v>
      </c>
      <c r="X101" s="71">
        <f t="shared" si="72"/>
        <v>1</v>
      </c>
      <c r="Y101" s="64" t="str">
        <f t="shared" si="73"/>
        <v>-2, no había superávit y resultado fue bueno</v>
      </c>
      <c r="AB101" s="3" t="s">
        <v>229</v>
      </c>
      <c r="AC101" s="3">
        <v>10</v>
      </c>
      <c r="AD101" s="18">
        <v>9</v>
      </c>
      <c r="AE101" s="3">
        <v>12</v>
      </c>
      <c r="AF101" s="3">
        <v>13</v>
      </c>
      <c r="AG101" s="3">
        <v>2</v>
      </c>
      <c r="AH101" s="13">
        <v>-1.0923718971587979</v>
      </c>
      <c r="AI101" s="64" t="s">
        <v>401</v>
      </c>
      <c r="AJ101" s="13">
        <v>15</v>
      </c>
      <c r="AK101" s="11">
        <f t="shared" ref="AK101:AK110" si="94">IF(AE101&gt;=AC101,1,0)</f>
        <v>1</v>
      </c>
      <c r="AL101" s="11">
        <f t="shared" si="75"/>
        <v>2</v>
      </c>
      <c r="AM101" t="str">
        <f t="shared" si="76"/>
        <v>1, Superávit y eliminé superávit</v>
      </c>
      <c r="AO101" s="3" t="s">
        <v>229</v>
      </c>
      <c r="AP101" s="3">
        <v>4</v>
      </c>
      <c r="AQ101" s="18">
        <v>9.4444444444444446</v>
      </c>
      <c r="AR101" s="3">
        <v>2</v>
      </c>
      <c r="AS101" s="3">
        <v>3</v>
      </c>
      <c r="AT101" s="3">
        <v>4</v>
      </c>
      <c r="AU101" s="13">
        <v>-1.0923718971587979</v>
      </c>
      <c r="AV101" s="64" t="s">
        <v>401</v>
      </c>
      <c r="AW101" s="13">
        <v>15</v>
      </c>
      <c r="AX101" s="11">
        <f t="shared" ref="AX101:AX110" si="95">IF(AR101&gt;=AP101,1,0)</f>
        <v>0</v>
      </c>
      <c r="AY101" s="11">
        <f t="shared" si="78"/>
        <v>-2</v>
      </c>
      <c r="AZ101" t="str">
        <f t="shared" si="79"/>
        <v>-2, no había superávit y resultado fue bueno</v>
      </c>
      <c r="BB101" s="3" t="s">
        <v>229</v>
      </c>
      <c r="BC101" s="3">
        <v>2</v>
      </c>
      <c r="BD101" s="18">
        <v>8.3333333333333339</v>
      </c>
      <c r="BE101" s="3">
        <v>6</v>
      </c>
      <c r="BF101" s="3">
        <v>7</v>
      </c>
      <c r="BG101" s="3">
        <v>2</v>
      </c>
      <c r="BH101" s="13">
        <v>-1.0923718971587979</v>
      </c>
      <c r="BI101" s="64" t="s">
        <v>401</v>
      </c>
      <c r="BJ101" s="13">
        <v>15</v>
      </c>
      <c r="BK101" s="3">
        <f t="shared" ref="BK101:BK110" si="96">IF(BE101&gt;=BC101,1,0)</f>
        <v>1</v>
      </c>
      <c r="BL101" s="3">
        <f t="shared" si="81"/>
        <v>4</v>
      </c>
      <c r="BM101" t="str">
        <f t="shared" si="82"/>
        <v>-2, no había superávit y resultado fue bueno</v>
      </c>
      <c r="BO101" s="3" t="s">
        <v>229</v>
      </c>
      <c r="BP101" s="3">
        <v>4</v>
      </c>
      <c r="BQ101" s="18">
        <v>10.777777777777779</v>
      </c>
      <c r="BR101" s="3">
        <v>4</v>
      </c>
      <c r="BS101" s="3">
        <v>6</v>
      </c>
      <c r="BT101" s="3">
        <v>4</v>
      </c>
      <c r="BU101" s="13">
        <v>-1.0923718971587979</v>
      </c>
      <c r="BV101" s="64" t="s">
        <v>401</v>
      </c>
      <c r="BW101" s="13">
        <v>15</v>
      </c>
      <c r="BX101" s="3">
        <f t="shared" ref="BX101:BX110" si="97">IF(BR101&gt;=BP101,1,0)</f>
        <v>1</v>
      </c>
      <c r="BY101" s="3">
        <f t="shared" si="84"/>
        <v>0</v>
      </c>
      <c r="BZ101" t="str">
        <f t="shared" si="85"/>
        <v>-2, no había superávit y resultado fue bueno</v>
      </c>
      <c r="CB101" s="3" t="s">
        <v>229</v>
      </c>
      <c r="CC101" s="3">
        <v>2</v>
      </c>
      <c r="CD101" s="18">
        <v>10</v>
      </c>
      <c r="CE101" s="3">
        <v>1</v>
      </c>
      <c r="CF101" s="3">
        <v>1</v>
      </c>
      <c r="CG101" s="3">
        <v>2</v>
      </c>
      <c r="CH101" s="13">
        <v>-1.0923718971587979</v>
      </c>
      <c r="CI101" s="64" t="s">
        <v>401</v>
      </c>
      <c r="CJ101" s="13">
        <v>15</v>
      </c>
      <c r="CK101" s="3">
        <f t="shared" ref="CK101:CK110" si="98">IF(CE101&gt;=CC101,1,0)</f>
        <v>0</v>
      </c>
      <c r="CL101" s="3">
        <f t="shared" si="87"/>
        <v>-1</v>
      </c>
      <c r="CM101" t="str">
        <f t="shared" si="88"/>
        <v>-2, no había superávit y resultado fue bueno</v>
      </c>
      <c r="CO101" s="3" t="s">
        <v>229</v>
      </c>
      <c r="CP101" s="3">
        <v>7</v>
      </c>
      <c r="CQ101" s="18">
        <v>9.8888888888888893</v>
      </c>
      <c r="CR101" s="3">
        <v>8</v>
      </c>
      <c r="CS101" s="3">
        <v>8</v>
      </c>
      <c r="CT101" s="3">
        <v>7</v>
      </c>
      <c r="CU101" s="13">
        <v>-1.0923718971587979</v>
      </c>
      <c r="CV101" s="64" t="s">
        <v>401</v>
      </c>
      <c r="CW101" s="13">
        <v>15</v>
      </c>
      <c r="CX101" s="12">
        <f t="shared" ref="CX101:CX110" si="99">IF(CR101&gt;=CP101,1,0)</f>
        <v>1</v>
      </c>
      <c r="CY101" s="12">
        <f t="shared" si="90"/>
        <v>1</v>
      </c>
      <c r="CZ101" t="str">
        <f t="shared" si="91"/>
        <v>-1, no había superávit y deje la capacidad media</v>
      </c>
    </row>
    <row r="102" spans="1:104" ht="14.25" customHeight="1" x14ac:dyDescent="0.3">
      <c r="A102" s="3" t="s">
        <v>232</v>
      </c>
      <c r="B102" s="3">
        <v>16</v>
      </c>
      <c r="C102" s="18">
        <v>14.444444444444445</v>
      </c>
      <c r="D102" s="3">
        <v>19</v>
      </c>
      <c r="E102" s="3">
        <v>19</v>
      </c>
      <c r="F102" s="3">
        <v>16</v>
      </c>
      <c r="G102" s="13">
        <v>-1.1154133211974251</v>
      </c>
      <c r="H102" s="64" t="s">
        <v>406</v>
      </c>
      <c r="I102" s="72">
        <v>19</v>
      </c>
      <c r="J102" s="53">
        <f t="shared" si="92"/>
        <v>1</v>
      </c>
      <c r="K102" s="53">
        <f t="shared" si="69"/>
        <v>3</v>
      </c>
      <c r="L102" s="94" t="str">
        <f t="shared" si="70"/>
        <v>0, Superávit y no eliminé superávit</v>
      </c>
      <c r="N102" s="3" t="s">
        <v>232</v>
      </c>
      <c r="O102" s="3">
        <v>16</v>
      </c>
      <c r="P102" s="18">
        <v>10.333333333333334</v>
      </c>
      <c r="Q102" s="3">
        <v>14</v>
      </c>
      <c r="R102" s="3">
        <v>18</v>
      </c>
      <c r="S102" s="3">
        <v>16</v>
      </c>
      <c r="T102" s="13">
        <v>-1.1154133211974251</v>
      </c>
      <c r="U102" s="64" t="s">
        <v>406</v>
      </c>
      <c r="V102" s="13">
        <v>19</v>
      </c>
      <c r="W102" s="11">
        <f t="shared" si="93"/>
        <v>0</v>
      </c>
      <c r="X102" s="71">
        <f t="shared" si="72"/>
        <v>-2</v>
      </c>
      <c r="Y102" s="64" t="str">
        <f t="shared" si="73"/>
        <v>0, Superávit y no eliminé superávit</v>
      </c>
      <c r="AB102" s="3" t="s">
        <v>232</v>
      </c>
      <c r="AC102" s="3">
        <v>14</v>
      </c>
      <c r="AD102" s="18">
        <v>13.111111111111111</v>
      </c>
      <c r="AE102" s="3">
        <v>15</v>
      </c>
      <c r="AF102" s="3">
        <v>17</v>
      </c>
      <c r="AG102" s="3">
        <v>14</v>
      </c>
      <c r="AH102" s="13">
        <v>-1.1154133211974251</v>
      </c>
      <c r="AI102" s="64" t="s">
        <v>406</v>
      </c>
      <c r="AJ102" s="13">
        <v>19</v>
      </c>
      <c r="AK102" s="11">
        <f t="shared" si="94"/>
        <v>1</v>
      </c>
      <c r="AL102" s="11">
        <f t="shared" si="75"/>
        <v>1</v>
      </c>
      <c r="AM102" t="str">
        <f t="shared" si="76"/>
        <v>0, Superávit y no eliminé superávit</v>
      </c>
      <c r="AO102" s="3" t="s">
        <v>232</v>
      </c>
      <c r="AP102" s="3">
        <v>7</v>
      </c>
      <c r="AQ102" s="18">
        <v>13.111111111111111</v>
      </c>
      <c r="AR102" s="3">
        <v>10</v>
      </c>
      <c r="AS102" s="3">
        <v>14</v>
      </c>
      <c r="AT102" s="3">
        <v>7</v>
      </c>
      <c r="AU102" s="13">
        <v>-1.1154133211974251</v>
      </c>
      <c r="AV102" s="64" t="s">
        <v>406</v>
      </c>
      <c r="AW102" s="13">
        <v>19</v>
      </c>
      <c r="AX102" s="11">
        <f t="shared" si="95"/>
        <v>1</v>
      </c>
      <c r="AY102" s="11">
        <f t="shared" si="78"/>
        <v>3</v>
      </c>
      <c r="AZ102" t="str">
        <f t="shared" si="79"/>
        <v>-2, no había superávit y resultado fue bueno</v>
      </c>
      <c r="BB102" s="3" t="s">
        <v>232</v>
      </c>
      <c r="BC102" s="3">
        <v>16</v>
      </c>
      <c r="BD102" s="18">
        <v>13.555555555555555</v>
      </c>
      <c r="BE102" s="3">
        <v>18</v>
      </c>
      <c r="BF102" s="3">
        <v>15</v>
      </c>
      <c r="BG102" s="3">
        <v>11</v>
      </c>
      <c r="BH102" s="13">
        <v>-1.1154133211974251</v>
      </c>
      <c r="BI102" s="64" t="s">
        <v>406</v>
      </c>
      <c r="BJ102" s="13">
        <v>19</v>
      </c>
      <c r="BK102" s="3">
        <f t="shared" si="96"/>
        <v>1</v>
      </c>
      <c r="BL102" s="3">
        <f t="shared" si="81"/>
        <v>2</v>
      </c>
      <c r="BM102" t="str">
        <f t="shared" si="82"/>
        <v>-2, Superávit y resultado fue bueno</v>
      </c>
      <c r="BO102" s="3" t="s">
        <v>232</v>
      </c>
      <c r="BP102" s="3">
        <v>9</v>
      </c>
      <c r="BQ102" s="18">
        <v>15.888888888888889</v>
      </c>
      <c r="BR102" s="3">
        <v>6</v>
      </c>
      <c r="BS102" s="3">
        <v>12</v>
      </c>
      <c r="BT102" s="3">
        <v>9</v>
      </c>
      <c r="BU102" s="13">
        <v>-1.1154133211974251</v>
      </c>
      <c r="BV102" s="64" t="s">
        <v>406</v>
      </c>
      <c r="BW102" s="13">
        <v>19</v>
      </c>
      <c r="BX102" s="3">
        <f t="shared" si="97"/>
        <v>0</v>
      </c>
      <c r="BY102" s="3">
        <f t="shared" si="84"/>
        <v>-3</v>
      </c>
      <c r="BZ102" t="str">
        <f t="shared" si="85"/>
        <v>-1, no había superávit y deje la capacidad media</v>
      </c>
      <c r="CB102" s="3" t="s">
        <v>232</v>
      </c>
      <c r="CC102" s="3">
        <v>14</v>
      </c>
      <c r="CD102" s="18">
        <v>14.777777777777779</v>
      </c>
      <c r="CE102" s="3">
        <v>15</v>
      </c>
      <c r="CF102" s="3">
        <v>11</v>
      </c>
      <c r="CG102" s="3">
        <v>14</v>
      </c>
      <c r="CH102" s="13">
        <v>-1.1154133211974251</v>
      </c>
      <c r="CI102" s="64" t="s">
        <v>406</v>
      </c>
      <c r="CJ102" s="13">
        <v>19</v>
      </c>
      <c r="CK102" s="3">
        <f t="shared" si="98"/>
        <v>1</v>
      </c>
      <c r="CL102" s="3">
        <f t="shared" si="87"/>
        <v>1</v>
      </c>
      <c r="CM102" t="str">
        <f t="shared" si="88"/>
        <v>0, Superávit y no eliminé superávit</v>
      </c>
      <c r="CO102" s="3" t="s">
        <v>232</v>
      </c>
      <c r="CP102" s="3">
        <v>15</v>
      </c>
      <c r="CQ102" s="18">
        <v>14.444444444444445</v>
      </c>
      <c r="CR102" s="3">
        <v>17</v>
      </c>
      <c r="CS102" s="3">
        <v>17</v>
      </c>
      <c r="CT102" s="3">
        <v>15</v>
      </c>
      <c r="CU102" s="13">
        <v>-1.1154133211974251</v>
      </c>
      <c r="CV102" s="64" t="s">
        <v>406</v>
      </c>
      <c r="CW102" s="13">
        <v>19</v>
      </c>
      <c r="CX102" s="12">
        <f t="shared" si="99"/>
        <v>1</v>
      </c>
      <c r="CY102" s="12">
        <f t="shared" si="90"/>
        <v>2</v>
      </c>
      <c r="CZ102" t="str">
        <f t="shared" si="91"/>
        <v>0, Superávit y no eliminé superávit</v>
      </c>
    </row>
    <row r="103" spans="1:104" ht="14.25" customHeight="1" x14ac:dyDescent="0.3">
      <c r="A103" s="3" t="s">
        <v>234</v>
      </c>
      <c r="B103" s="3">
        <v>6</v>
      </c>
      <c r="C103" s="18">
        <v>11.666666666666666</v>
      </c>
      <c r="D103" s="3">
        <v>12</v>
      </c>
      <c r="E103" s="3">
        <v>13</v>
      </c>
      <c r="F103" s="3">
        <v>13</v>
      </c>
      <c r="G103" s="13">
        <v>-1.12017317951397</v>
      </c>
      <c r="H103" s="64" t="s">
        <v>405</v>
      </c>
      <c r="I103" s="72">
        <v>16</v>
      </c>
      <c r="J103" s="53">
        <f t="shared" si="92"/>
        <v>1</v>
      </c>
      <c r="K103" s="53">
        <f t="shared" si="69"/>
        <v>6</v>
      </c>
      <c r="L103" s="94" t="str">
        <f t="shared" si="70"/>
        <v>0, no había superávit, y la deje con superávit</v>
      </c>
      <c r="N103" s="3" t="s">
        <v>234</v>
      </c>
      <c r="O103" s="3">
        <v>14</v>
      </c>
      <c r="P103" s="18">
        <v>10.777777777777779</v>
      </c>
      <c r="Q103" s="3">
        <v>14</v>
      </c>
      <c r="R103" s="3">
        <v>16</v>
      </c>
      <c r="S103" s="3">
        <v>10</v>
      </c>
      <c r="T103" s="13">
        <v>-1.12017317951397</v>
      </c>
      <c r="U103" s="64" t="s">
        <v>405</v>
      </c>
      <c r="V103" s="13">
        <v>16</v>
      </c>
      <c r="W103" s="11">
        <f t="shared" si="93"/>
        <v>1</v>
      </c>
      <c r="X103" s="71">
        <f t="shared" si="72"/>
        <v>0</v>
      </c>
      <c r="Y103" s="64" t="str">
        <f t="shared" si="73"/>
        <v>-2, Superávit y resultado fue bueno</v>
      </c>
      <c r="AB103" s="3" t="s">
        <v>234</v>
      </c>
      <c r="AC103" s="3">
        <v>10</v>
      </c>
      <c r="AD103" s="18">
        <v>9.1111111111111107</v>
      </c>
      <c r="AE103" s="3">
        <v>12</v>
      </c>
      <c r="AF103" s="3">
        <v>10</v>
      </c>
      <c r="AG103" s="3">
        <v>10</v>
      </c>
      <c r="AH103" s="13">
        <v>-1.12017317951397</v>
      </c>
      <c r="AI103" s="64" t="s">
        <v>405</v>
      </c>
      <c r="AJ103" s="13">
        <v>16</v>
      </c>
      <c r="AK103" s="11">
        <f t="shared" si="94"/>
        <v>1</v>
      </c>
      <c r="AL103" s="11">
        <f t="shared" si="75"/>
        <v>2</v>
      </c>
      <c r="AM103" t="str">
        <f t="shared" si="76"/>
        <v>0, Superávit y no eliminé superávit</v>
      </c>
      <c r="AO103" s="3" t="s">
        <v>234</v>
      </c>
      <c r="AP103" s="3">
        <v>6</v>
      </c>
      <c r="AQ103" s="18">
        <v>7</v>
      </c>
      <c r="AR103" s="3">
        <v>7</v>
      </c>
      <c r="AS103" s="3">
        <v>5</v>
      </c>
      <c r="AT103" s="3">
        <v>6</v>
      </c>
      <c r="AU103" s="13">
        <v>-1.12017317951397</v>
      </c>
      <c r="AV103" s="64" t="s">
        <v>405</v>
      </c>
      <c r="AW103" s="13">
        <v>16</v>
      </c>
      <c r="AX103" s="11">
        <f t="shared" si="95"/>
        <v>1</v>
      </c>
      <c r="AY103" s="11">
        <f t="shared" si="78"/>
        <v>1</v>
      </c>
      <c r="AZ103" t="str">
        <f t="shared" si="79"/>
        <v>-2, no había superávit y resultado fue bueno</v>
      </c>
      <c r="BB103" s="3" t="s">
        <v>234</v>
      </c>
      <c r="BC103" s="3">
        <v>4</v>
      </c>
      <c r="BD103" s="18">
        <v>8.8888888888888893</v>
      </c>
      <c r="BE103" s="3">
        <v>2</v>
      </c>
      <c r="BF103" s="3">
        <v>3</v>
      </c>
      <c r="BG103" s="3">
        <v>4</v>
      </c>
      <c r="BH103" s="13">
        <v>-1.12017317951397</v>
      </c>
      <c r="BI103" s="64" t="s">
        <v>405</v>
      </c>
      <c r="BJ103" s="13">
        <v>16</v>
      </c>
      <c r="BK103" s="3">
        <f t="shared" si="96"/>
        <v>0</v>
      </c>
      <c r="BL103" s="3">
        <f t="shared" si="81"/>
        <v>-2</v>
      </c>
      <c r="BM103" t="str">
        <f t="shared" si="82"/>
        <v>-2, no había superávit y resultado fue bueno</v>
      </c>
      <c r="BO103" s="3" t="s">
        <v>234</v>
      </c>
      <c r="BP103" s="3">
        <v>8</v>
      </c>
      <c r="BQ103" s="18">
        <v>10.444444444444445</v>
      </c>
      <c r="BR103" s="3">
        <v>3</v>
      </c>
      <c r="BS103" s="3">
        <v>7</v>
      </c>
      <c r="BT103" s="3">
        <v>8</v>
      </c>
      <c r="BU103" s="13">
        <v>-1.12017317951397</v>
      </c>
      <c r="BV103" s="64" t="s">
        <v>405</v>
      </c>
      <c r="BW103" s="13">
        <v>16</v>
      </c>
      <c r="BX103" s="3">
        <f t="shared" si="97"/>
        <v>0</v>
      </c>
      <c r="BY103" s="3">
        <f t="shared" si="84"/>
        <v>-5</v>
      </c>
      <c r="BZ103" t="str">
        <f t="shared" si="85"/>
        <v>-1, no había superávit y deje la capacidad media</v>
      </c>
      <c r="CB103" s="3" t="s">
        <v>234</v>
      </c>
      <c r="CC103" s="3">
        <v>16</v>
      </c>
      <c r="CD103" s="18">
        <v>12.777777777777779</v>
      </c>
      <c r="CE103" s="3">
        <v>13</v>
      </c>
      <c r="CF103" s="3">
        <v>14</v>
      </c>
      <c r="CG103" s="3">
        <v>3</v>
      </c>
      <c r="CH103" s="13">
        <v>-1.12017317951397</v>
      </c>
      <c r="CI103" s="64" t="s">
        <v>405</v>
      </c>
      <c r="CJ103" s="13">
        <v>16</v>
      </c>
      <c r="CK103" s="3">
        <f t="shared" si="98"/>
        <v>0</v>
      </c>
      <c r="CL103" s="3">
        <f t="shared" si="87"/>
        <v>-3</v>
      </c>
      <c r="CM103" t="str">
        <f t="shared" si="88"/>
        <v>1, Superávit y eliminé superávit</v>
      </c>
      <c r="CO103" s="3" t="s">
        <v>234</v>
      </c>
      <c r="CP103" s="3">
        <v>14</v>
      </c>
      <c r="CQ103" s="18">
        <v>11.666666666666666</v>
      </c>
      <c r="CR103" s="3">
        <v>15</v>
      </c>
      <c r="CS103" s="3">
        <v>15</v>
      </c>
      <c r="CT103" s="3">
        <v>7</v>
      </c>
      <c r="CU103" s="13">
        <v>-1.12017317951397</v>
      </c>
      <c r="CV103" s="64" t="s">
        <v>405</v>
      </c>
      <c r="CW103" s="13">
        <v>16</v>
      </c>
      <c r="CX103" s="12">
        <f t="shared" si="99"/>
        <v>1</v>
      </c>
      <c r="CY103" s="12">
        <f t="shared" si="90"/>
        <v>1</v>
      </c>
      <c r="CZ103" t="str">
        <f t="shared" si="91"/>
        <v>1, Superávit y eliminé superávit</v>
      </c>
    </row>
    <row r="104" spans="1:104" ht="14.25" customHeight="1" x14ac:dyDescent="0.3">
      <c r="A104" s="3" t="s">
        <v>236</v>
      </c>
      <c r="B104" s="3">
        <v>14</v>
      </c>
      <c r="C104" s="18">
        <v>13</v>
      </c>
      <c r="D104" s="3">
        <v>15</v>
      </c>
      <c r="E104" s="3">
        <v>14</v>
      </c>
      <c r="F104" s="3">
        <v>13</v>
      </c>
      <c r="G104" s="13">
        <v>-1.1339562965442611</v>
      </c>
      <c r="H104" s="64" t="s">
        <v>401</v>
      </c>
      <c r="I104" s="72">
        <v>15</v>
      </c>
      <c r="J104" s="53">
        <f t="shared" si="92"/>
        <v>1</v>
      </c>
      <c r="K104" s="53">
        <f t="shared" si="69"/>
        <v>1</v>
      </c>
      <c r="L104" s="94" t="str">
        <f t="shared" si="70"/>
        <v>-2, Superávit y resultado fue bueno</v>
      </c>
      <c r="N104" s="3" t="s">
        <v>236</v>
      </c>
      <c r="O104" s="3">
        <v>12</v>
      </c>
      <c r="P104" s="18">
        <v>11.777777777777779</v>
      </c>
      <c r="Q104" s="3">
        <v>15</v>
      </c>
      <c r="R104" s="3">
        <v>15</v>
      </c>
      <c r="S104" s="3">
        <v>12</v>
      </c>
      <c r="T104" s="13">
        <v>-1.1339562965442611</v>
      </c>
      <c r="U104" s="64" t="s">
        <v>401</v>
      </c>
      <c r="V104" s="13">
        <v>15</v>
      </c>
      <c r="W104" s="11">
        <f t="shared" si="93"/>
        <v>1</v>
      </c>
      <c r="X104" s="71">
        <f t="shared" si="72"/>
        <v>3</v>
      </c>
      <c r="Y104" s="64" t="str">
        <f t="shared" si="73"/>
        <v>0, Superávit y no eliminé superávit</v>
      </c>
      <c r="AB104" s="3" t="s">
        <v>236</v>
      </c>
      <c r="AC104" s="3">
        <v>8</v>
      </c>
      <c r="AD104" s="18">
        <v>9.4444444444444446</v>
      </c>
      <c r="AE104" s="3">
        <v>12</v>
      </c>
      <c r="AF104" s="3">
        <v>8</v>
      </c>
      <c r="AG104" s="3">
        <v>8</v>
      </c>
      <c r="AH104" s="13">
        <v>-1.1339562965442611</v>
      </c>
      <c r="AI104" s="64" t="s">
        <v>401</v>
      </c>
      <c r="AJ104" s="13">
        <v>15</v>
      </c>
      <c r="AK104" s="11">
        <f t="shared" si="94"/>
        <v>1</v>
      </c>
      <c r="AL104" s="11">
        <f t="shared" si="75"/>
        <v>4</v>
      </c>
      <c r="AM104" t="str">
        <f t="shared" si="76"/>
        <v>0, Superávit y no eliminé superávit</v>
      </c>
      <c r="AO104" s="3" t="s">
        <v>236</v>
      </c>
      <c r="AP104" s="3">
        <v>7</v>
      </c>
      <c r="AQ104" s="18">
        <v>6.4444444444444446</v>
      </c>
      <c r="AR104" s="3">
        <v>13</v>
      </c>
      <c r="AS104" s="3">
        <v>13</v>
      </c>
      <c r="AT104" s="3">
        <v>4</v>
      </c>
      <c r="AU104" s="13">
        <v>-1.1339562965442611</v>
      </c>
      <c r="AV104" s="64" t="s">
        <v>401</v>
      </c>
      <c r="AW104" s="13">
        <v>15</v>
      </c>
      <c r="AX104" s="11">
        <f t="shared" si="95"/>
        <v>1</v>
      </c>
      <c r="AY104" s="11">
        <f t="shared" si="78"/>
        <v>6</v>
      </c>
      <c r="AZ104" t="str">
        <f t="shared" si="79"/>
        <v>1, no había superávit, pero el resultado fue mejor</v>
      </c>
      <c r="BB104" s="3" t="s">
        <v>236</v>
      </c>
      <c r="BC104" s="3">
        <v>6</v>
      </c>
      <c r="BD104" s="18">
        <v>10.555555555555555</v>
      </c>
      <c r="BE104" s="3">
        <v>12</v>
      </c>
      <c r="BF104" s="3">
        <v>13</v>
      </c>
      <c r="BG104" s="3">
        <v>6</v>
      </c>
      <c r="BH104" s="13">
        <v>-1.1339562965442611</v>
      </c>
      <c r="BI104" s="64" t="s">
        <v>401</v>
      </c>
      <c r="BJ104" s="13">
        <v>15</v>
      </c>
      <c r="BK104" s="3">
        <f t="shared" si="96"/>
        <v>1</v>
      </c>
      <c r="BL104" s="3">
        <f t="shared" si="81"/>
        <v>6</v>
      </c>
      <c r="BM104" t="str">
        <f t="shared" si="82"/>
        <v>-2, no había superávit y resultado fue bueno</v>
      </c>
      <c r="BO104" s="3" t="s">
        <v>236</v>
      </c>
      <c r="BP104" s="3">
        <v>5</v>
      </c>
      <c r="BQ104" s="18">
        <v>9.2222222222222214</v>
      </c>
      <c r="BR104" s="3">
        <v>7</v>
      </c>
      <c r="BS104" s="3">
        <v>7</v>
      </c>
      <c r="BT104" s="3">
        <v>5</v>
      </c>
      <c r="BU104" s="13">
        <v>-1.1339562965442611</v>
      </c>
      <c r="BV104" s="64" t="s">
        <v>401</v>
      </c>
      <c r="BW104" s="13">
        <v>15</v>
      </c>
      <c r="BX104" s="3">
        <f t="shared" si="97"/>
        <v>1</v>
      </c>
      <c r="BY104" s="3">
        <f t="shared" si="84"/>
        <v>2</v>
      </c>
      <c r="BZ104" t="str">
        <f t="shared" si="85"/>
        <v>-2, no había superávit y resultado fue bueno</v>
      </c>
      <c r="CB104" s="3" t="s">
        <v>236</v>
      </c>
      <c r="CC104" s="3">
        <v>13</v>
      </c>
      <c r="CD104" s="18">
        <v>12.111111111111111</v>
      </c>
      <c r="CE104" s="3">
        <v>13</v>
      </c>
      <c r="CF104" s="3">
        <v>13</v>
      </c>
      <c r="CG104" s="3">
        <v>13</v>
      </c>
      <c r="CH104" s="13">
        <v>-1.1339562965442611</v>
      </c>
      <c r="CI104" s="64" t="s">
        <v>401</v>
      </c>
      <c r="CJ104" s="13">
        <v>15</v>
      </c>
      <c r="CK104" s="3">
        <f t="shared" si="98"/>
        <v>1</v>
      </c>
      <c r="CL104" s="3">
        <f t="shared" si="87"/>
        <v>0</v>
      </c>
      <c r="CM104" t="str">
        <f t="shared" si="88"/>
        <v>0, Superávit y no eliminé superávit</v>
      </c>
      <c r="CO104" s="3" t="s">
        <v>236</v>
      </c>
      <c r="CP104" s="3">
        <v>13</v>
      </c>
      <c r="CQ104" s="18">
        <v>13</v>
      </c>
      <c r="CR104" s="3">
        <v>13</v>
      </c>
      <c r="CS104" s="3">
        <v>13</v>
      </c>
      <c r="CT104" s="3">
        <v>13</v>
      </c>
      <c r="CU104" s="13">
        <v>-1.1339562965442611</v>
      </c>
      <c r="CV104" s="64" t="s">
        <v>401</v>
      </c>
      <c r="CW104" s="13">
        <v>15</v>
      </c>
      <c r="CX104" s="12">
        <f t="shared" si="99"/>
        <v>1</v>
      </c>
      <c r="CY104" s="12">
        <f t="shared" si="90"/>
        <v>0</v>
      </c>
      <c r="CZ104" t="str">
        <f t="shared" si="91"/>
        <v>0, Superávit y no eliminé superávit</v>
      </c>
    </row>
    <row r="105" spans="1:104" ht="14.25" customHeight="1" x14ac:dyDescent="0.3">
      <c r="A105" s="3" t="s">
        <v>238</v>
      </c>
      <c r="B105" s="3">
        <v>3</v>
      </c>
      <c r="C105" s="18">
        <v>2.4444444444444446</v>
      </c>
      <c r="D105" s="3">
        <v>3</v>
      </c>
      <c r="E105" s="3">
        <v>3</v>
      </c>
      <c r="F105" s="3">
        <v>3</v>
      </c>
      <c r="G105" s="13">
        <v>-1.1428327832816429</v>
      </c>
      <c r="H105" s="64" t="s">
        <v>400</v>
      </c>
      <c r="I105" s="72">
        <v>7</v>
      </c>
      <c r="J105" s="53">
        <f t="shared" si="92"/>
        <v>1</v>
      </c>
      <c r="K105" s="53">
        <f t="shared" si="69"/>
        <v>0</v>
      </c>
      <c r="L105" s="94" t="str">
        <f t="shared" si="70"/>
        <v>-1, no había superávit y deje la capacidad media</v>
      </c>
      <c r="N105" s="3" t="s">
        <v>238</v>
      </c>
      <c r="O105" s="3">
        <v>3</v>
      </c>
      <c r="P105" s="18">
        <v>3.2222222222222223</v>
      </c>
      <c r="Q105" s="3">
        <v>3</v>
      </c>
      <c r="R105" s="3">
        <v>3</v>
      </c>
      <c r="S105" s="3">
        <v>3</v>
      </c>
      <c r="T105" s="13">
        <v>-1.1428327832816429</v>
      </c>
      <c r="U105" s="64" t="s">
        <v>400</v>
      </c>
      <c r="V105" s="13">
        <v>7</v>
      </c>
      <c r="W105" s="11">
        <f t="shared" si="93"/>
        <v>1</v>
      </c>
      <c r="X105" s="71">
        <f t="shared" si="72"/>
        <v>0</v>
      </c>
      <c r="Y105" s="64" t="str">
        <f t="shared" si="73"/>
        <v>-1, no había superávit y deje la capacidad media</v>
      </c>
      <c r="AB105" s="3" t="s">
        <v>238</v>
      </c>
      <c r="AC105" s="3">
        <v>1</v>
      </c>
      <c r="AD105" s="18">
        <v>3.1111111111111112</v>
      </c>
      <c r="AE105" s="3">
        <v>4</v>
      </c>
      <c r="AF105" s="3">
        <v>1</v>
      </c>
      <c r="AG105" s="3">
        <v>2</v>
      </c>
      <c r="AH105" s="13">
        <v>-1.1428327832816429</v>
      </c>
      <c r="AI105" s="64" t="s">
        <v>400</v>
      </c>
      <c r="AJ105" s="13">
        <v>7</v>
      </c>
      <c r="AK105" s="11">
        <f t="shared" si="94"/>
        <v>1</v>
      </c>
      <c r="AL105" s="11">
        <f t="shared" si="75"/>
        <v>3</v>
      </c>
      <c r="AM105" t="str">
        <f t="shared" si="76"/>
        <v>-2, no había superávit y resultado fue bueno</v>
      </c>
      <c r="AO105" s="3" t="s">
        <v>238</v>
      </c>
      <c r="AP105" s="3">
        <v>0</v>
      </c>
      <c r="AQ105" s="18">
        <v>3</v>
      </c>
      <c r="AR105" s="3">
        <v>0</v>
      </c>
      <c r="AS105" s="3">
        <v>0</v>
      </c>
      <c r="AT105" s="3">
        <v>2</v>
      </c>
      <c r="AU105" s="13">
        <v>-1.1428327832816429</v>
      </c>
      <c r="AV105" s="64" t="s">
        <v>400</v>
      </c>
      <c r="AW105" s="13">
        <v>7</v>
      </c>
      <c r="AX105" s="11">
        <f t="shared" si="95"/>
        <v>1</v>
      </c>
      <c r="AY105" s="11">
        <f t="shared" si="78"/>
        <v>0</v>
      </c>
      <c r="AZ105" t="str">
        <f t="shared" si="79"/>
        <v>-2, no había superávit y resultado fue bueno</v>
      </c>
      <c r="BB105" s="3" t="s">
        <v>238</v>
      </c>
      <c r="BC105" s="3">
        <v>0</v>
      </c>
      <c r="BD105" s="18">
        <v>3.1111111111111112</v>
      </c>
      <c r="BE105" s="3">
        <v>0</v>
      </c>
      <c r="BF105" s="3">
        <v>0</v>
      </c>
      <c r="BG105" s="3">
        <v>2</v>
      </c>
      <c r="BH105" s="13">
        <v>-1.1428327832816429</v>
      </c>
      <c r="BI105" s="64" t="s">
        <v>400</v>
      </c>
      <c r="BJ105" s="13">
        <v>7</v>
      </c>
      <c r="BK105" s="3">
        <f t="shared" si="96"/>
        <v>1</v>
      </c>
      <c r="BL105" s="3">
        <f t="shared" si="81"/>
        <v>0</v>
      </c>
      <c r="BM105" t="str">
        <f t="shared" si="82"/>
        <v>-2, no había superávit y resultado fue bueno</v>
      </c>
      <c r="BO105" s="3" t="s">
        <v>238</v>
      </c>
      <c r="BP105" s="3">
        <v>4</v>
      </c>
      <c r="BQ105" s="18">
        <v>3.1111111111111112</v>
      </c>
      <c r="BR105" s="3">
        <v>4</v>
      </c>
      <c r="BS105" s="3">
        <v>4</v>
      </c>
      <c r="BT105" s="3">
        <v>4</v>
      </c>
      <c r="BU105" s="13">
        <v>-1.1428327832816429</v>
      </c>
      <c r="BV105" s="64" t="s">
        <v>400</v>
      </c>
      <c r="BW105" s="13">
        <v>7</v>
      </c>
      <c r="BX105" s="3">
        <f t="shared" si="97"/>
        <v>1</v>
      </c>
      <c r="BY105" s="3">
        <f t="shared" si="84"/>
        <v>0</v>
      </c>
      <c r="BZ105" t="str">
        <f t="shared" si="85"/>
        <v>0, Superávit y no eliminé superávit</v>
      </c>
      <c r="CB105" s="3" t="s">
        <v>238</v>
      </c>
      <c r="CC105" s="3">
        <v>4</v>
      </c>
      <c r="CD105" s="18">
        <v>2.7777777777777777</v>
      </c>
      <c r="CE105" s="3">
        <v>4</v>
      </c>
      <c r="CF105" s="3">
        <v>4</v>
      </c>
      <c r="CG105" s="3">
        <v>4</v>
      </c>
      <c r="CH105" s="13">
        <v>-1.1428327832816429</v>
      </c>
      <c r="CI105" s="64" t="s">
        <v>400</v>
      </c>
      <c r="CJ105" s="13">
        <v>7</v>
      </c>
      <c r="CK105" s="3">
        <f t="shared" si="98"/>
        <v>1</v>
      </c>
      <c r="CL105" s="3">
        <f t="shared" si="87"/>
        <v>0</v>
      </c>
      <c r="CM105" t="str">
        <f t="shared" si="88"/>
        <v>0, Superávit y no eliminé superávit</v>
      </c>
      <c r="CO105" s="3" t="s">
        <v>238</v>
      </c>
      <c r="CP105" s="3">
        <v>4</v>
      </c>
      <c r="CQ105" s="18">
        <v>2.4444444444444446</v>
      </c>
      <c r="CR105" s="3">
        <v>4</v>
      </c>
      <c r="CS105" s="3">
        <v>4</v>
      </c>
      <c r="CT105" s="3">
        <v>4</v>
      </c>
      <c r="CU105" s="13">
        <v>-1.1428327832816429</v>
      </c>
      <c r="CV105" s="64" t="s">
        <v>400</v>
      </c>
      <c r="CW105" s="13">
        <v>7</v>
      </c>
      <c r="CX105" s="12">
        <f t="shared" si="99"/>
        <v>1</v>
      </c>
      <c r="CY105" s="12">
        <f t="shared" si="90"/>
        <v>0</v>
      </c>
      <c r="CZ105" t="str">
        <f t="shared" si="91"/>
        <v>0, Superávit y no eliminé superávit</v>
      </c>
    </row>
    <row r="106" spans="1:104" ht="14.25" customHeight="1" x14ac:dyDescent="0.3">
      <c r="A106" s="3" t="s">
        <v>239</v>
      </c>
      <c r="B106" s="3">
        <v>10</v>
      </c>
      <c r="C106" s="18">
        <v>11.444444444444445</v>
      </c>
      <c r="D106" s="3">
        <v>10</v>
      </c>
      <c r="E106" s="3">
        <v>10</v>
      </c>
      <c r="F106" s="3">
        <v>10</v>
      </c>
      <c r="G106" s="13">
        <v>-1.1920893573654381</v>
      </c>
      <c r="H106" s="64" t="s">
        <v>401</v>
      </c>
      <c r="I106" s="72">
        <v>15</v>
      </c>
      <c r="J106" s="53">
        <f t="shared" si="92"/>
        <v>1</v>
      </c>
      <c r="K106" s="53">
        <f t="shared" si="69"/>
        <v>0</v>
      </c>
      <c r="L106" s="94" t="str">
        <f t="shared" si="70"/>
        <v>0, Superávit y no eliminé superávit</v>
      </c>
      <c r="N106" s="3" t="s">
        <v>239</v>
      </c>
      <c r="O106" s="3">
        <v>11</v>
      </c>
      <c r="P106" s="18">
        <v>11.777777777777779</v>
      </c>
      <c r="Q106" s="3">
        <v>13</v>
      </c>
      <c r="R106" s="3">
        <v>13</v>
      </c>
      <c r="S106" s="3">
        <v>11</v>
      </c>
      <c r="T106" s="13">
        <v>-1.1920893573654381</v>
      </c>
      <c r="U106" s="64" t="s">
        <v>401</v>
      </c>
      <c r="V106" s="13">
        <v>15</v>
      </c>
      <c r="W106" s="11">
        <f t="shared" si="93"/>
        <v>1</v>
      </c>
      <c r="X106" s="71">
        <f t="shared" si="72"/>
        <v>2</v>
      </c>
      <c r="Y106" s="64" t="str">
        <f t="shared" si="73"/>
        <v>0, Superávit y no eliminé superávit</v>
      </c>
      <c r="AB106" s="3" t="s">
        <v>239</v>
      </c>
      <c r="AC106" s="3">
        <v>14</v>
      </c>
      <c r="AD106" s="18">
        <v>10</v>
      </c>
      <c r="AE106" s="3">
        <v>12</v>
      </c>
      <c r="AF106" s="3">
        <v>6</v>
      </c>
      <c r="AG106" s="3">
        <v>4</v>
      </c>
      <c r="AH106" s="13">
        <v>-1.1920893573654381</v>
      </c>
      <c r="AI106" s="64" t="s">
        <v>401</v>
      </c>
      <c r="AJ106" s="13">
        <v>15</v>
      </c>
      <c r="AK106" s="11">
        <f t="shared" si="94"/>
        <v>0</v>
      </c>
      <c r="AL106" s="11">
        <f t="shared" si="75"/>
        <v>-2</v>
      </c>
      <c r="AM106" t="str">
        <f t="shared" si="76"/>
        <v>1, Superávit y eliminé superávit</v>
      </c>
      <c r="AO106" s="3" t="s">
        <v>239</v>
      </c>
      <c r="AP106" s="3">
        <v>10</v>
      </c>
      <c r="AQ106" s="18">
        <v>10.222222222222221</v>
      </c>
      <c r="AR106" s="3">
        <v>9</v>
      </c>
      <c r="AS106" s="3">
        <v>9</v>
      </c>
      <c r="AT106" s="3">
        <v>10</v>
      </c>
      <c r="AU106" s="13">
        <v>-1.1920893573654381</v>
      </c>
      <c r="AV106" s="64" t="s">
        <v>401</v>
      </c>
      <c r="AW106" s="13">
        <v>15</v>
      </c>
      <c r="AX106" s="11">
        <f t="shared" si="95"/>
        <v>0</v>
      </c>
      <c r="AY106" s="11">
        <f t="shared" si="78"/>
        <v>-1</v>
      </c>
      <c r="AZ106" t="str">
        <f t="shared" si="79"/>
        <v>0, Superávit y no eliminé superávit</v>
      </c>
      <c r="BB106" s="3" t="s">
        <v>239</v>
      </c>
      <c r="BC106" s="3">
        <v>13</v>
      </c>
      <c r="BD106" s="18">
        <v>9.2222222222222214</v>
      </c>
      <c r="BE106" s="3">
        <v>14</v>
      </c>
      <c r="BF106" s="3">
        <v>13</v>
      </c>
      <c r="BG106" s="3">
        <v>13</v>
      </c>
      <c r="BH106" s="13">
        <v>-1.1920893573654381</v>
      </c>
      <c r="BI106" s="64" t="s">
        <v>401</v>
      </c>
      <c r="BJ106" s="13">
        <v>15</v>
      </c>
      <c r="BK106" s="3">
        <f t="shared" si="96"/>
        <v>1</v>
      </c>
      <c r="BL106" s="3">
        <f t="shared" si="81"/>
        <v>1</v>
      </c>
      <c r="BM106" t="str">
        <f t="shared" si="82"/>
        <v>0, Superávit y no eliminé superávit</v>
      </c>
      <c r="BO106" s="3" t="s">
        <v>239</v>
      </c>
      <c r="BP106" s="3">
        <v>5</v>
      </c>
      <c r="BQ106" s="18">
        <v>11.444444444444445</v>
      </c>
      <c r="BR106" s="3">
        <v>7</v>
      </c>
      <c r="BS106" s="3">
        <v>7</v>
      </c>
      <c r="BT106" s="3">
        <v>5</v>
      </c>
      <c r="BU106" s="13">
        <v>-1.1920893573654381</v>
      </c>
      <c r="BV106" s="64" t="s">
        <v>401</v>
      </c>
      <c r="BW106" s="13">
        <v>15</v>
      </c>
      <c r="BX106" s="3">
        <f t="shared" si="97"/>
        <v>1</v>
      </c>
      <c r="BY106" s="3">
        <f t="shared" si="84"/>
        <v>2</v>
      </c>
      <c r="BZ106" t="str">
        <f t="shared" si="85"/>
        <v>-2, no había superávit y resultado fue bueno</v>
      </c>
      <c r="CB106" s="3" t="s">
        <v>239</v>
      </c>
      <c r="CC106" s="3">
        <v>9</v>
      </c>
      <c r="CD106" s="18">
        <v>10.111111111111111</v>
      </c>
      <c r="CE106" s="3">
        <v>10</v>
      </c>
      <c r="CF106" s="3">
        <v>10</v>
      </c>
      <c r="CG106" s="3">
        <v>9</v>
      </c>
      <c r="CH106" s="13">
        <v>-1.1920893573654381</v>
      </c>
      <c r="CI106" s="64" t="s">
        <v>401</v>
      </c>
      <c r="CJ106" s="13">
        <v>15</v>
      </c>
      <c r="CK106" s="3">
        <f t="shared" si="98"/>
        <v>1</v>
      </c>
      <c r="CL106" s="3">
        <f t="shared" si="87"/>
        <v>1</v>
      </c>
      <c r="CM106" t="str">
        <f t="shared" si="88"/>
        <v>0, Superávit y no eliminé superávit</v>
      </c>
      <c r="CO106" s="3" t="s">
        <v>239</v>
      </c>
      <c r="CP106" s="3">
        <v>12</v>
      </c>
      <c r="CQ106" s="18">
        <v>11.444444444444445</v>
      </c>
      <c r="CR106" s="3">
        <v>12</v>
      </c>
      <c r="CS106" s="3">
        <v>12</v>
      </c>
      <c r="CT106" s="3">
        <v>12</v>
      </c>
      <c r="CU106" s="13">
        <v>-1.1920893573654381</v>
      </c>
      <c r="CV106" s="64" t="s">
        <v>401</v>
      </c>
      <c r="CW106" s="13">
        <v>15</v>
      </c>
      <c r="CX106" s="12">
        <f t="shared" si="99"/>
        <v>1</v>
      </c>
      <c r="CY106" s="12">
        <f t="shared" si="90"/>
        <v>0</v>
      </c>
      <c r="CZ106" t="str">
        <f t="shared" si="91"/>
        <v>0, Superávit y no eliminé superávit</v>
      </c>
    </row>
    <row r="107" spans="1:104" ht="14.25" customHeight="1" x14ac:dyDescent="0.3">
      <c r="A107" s="3" t="s">
        <v>240</v>
      </c>
      <c r="B107" s="3">
        <v>17</v>
      </c>
      <c r="C107" s="18">
        <v>14.777777777777779</v>
      </c>
      <c r="D107" s="3">
        <v>17</v>
      </c>
      <c r="E107" s="3">
        <v>17</v>
      </c>
      <c r="F107" s="3">
        <v>11</v>
      </c>
      <c r="G107" s="13">
        <v>-1.196962071035268</v>
      </c>
      <c r="H107" s="64" t="s">
        <v>406</v>
      </c>
      <c r="I107" s="72">
        <v>19</v>
      </c>
      <c r="J107" s="53">
        <f t="shared" si="92"/>
        <v>1</v>
      </c>
      <c r="K107" s="53">
        <f t="shared" si="69"/>
        <v>0</v>
      </c>
      <c r="L107" s="94" t="str">
        <f t="shared" si="70"/>
        <v>-2, Superávit y resultado fue bueno</v>
      </c>
      <c r="N107" s="3" t="s">
        <v>240</v>
      </c>
      <c r="O107" s="3">
        <v>8</v>
      </c>
      <c r="P107" s="18">
        <v>13.111111111111111</v>
      </c>
      <c r="Q107" s="3">
        <v>11</v>
      </c>
      <c r="R107" s="3">
        <v>11</v>
      </c>
      <c r="S107" s="3">
        <v>8</v>
      </c>
      <c r="T107" s="13">
        <v>-1.196962071035268</v>
      </c>
      <c r="U107" s="64" t="s">
        <v>406</v>
      </c>
      <c r="V107" s="13">
        <v>19</v>
      </c>
      <c r="W107" s="11">
        <f t="shared" si="93"/>
        <v>1</v>
      </c>
      <c r="X107" s="71">
        <f t="shared" si="72"/>
        <v>3</v>
      </c>
      <c r="Y107" s="64" t="str">
        <f t="shared" si="73"/>
        <v>-2, no había superávit y resultado fue bueno</v>
      </c>
      <c r="AB107" s="3" t="s">
        <v>240</v>
      </c>
      <c r="AC107" s="3">
        <v>2</v>
      </c>
      <c r="AD107" s="18">
        <v>10.555555555555555</v>
      </c>
      <c r="AE107" s="3">
        <v>15</v>
      </c>
      <c r="AF107" s="3">
        <v>4</v>
      </c>
      <c r="AG107" s="3">
        <v>3</v>
      </c>
      <c r="AH107" s="13">
        <v>-1.196962071035268</v>
      </c>
      <c r="AI107" s="64" t="s">
        <v>406</v>
      </c>
      <c r="AJ107" s="13">
        <v>19</v>
      </c>
      <c r="AK107" s="11">
        <f t="shared" si="94"/>
        <v>1</v>
      </c>
      <c r="AL107" s="11">
        <f t="shared" si="75"/>
        <v>13</v>
      </c>
      <c r="AM107" t="str">
        <f t="shared" si="76"/>
        <v>-2, no había superávit y resultado fue bueno</v>
      </c>
      <c r="AO107" s="3" t="s">
        <v>240</v>
      </c>
      <c r="AP107" s="3">
        <v>12</v>
      </c>
      <c r="AQ107" s="18">
        <v>11.111111111111111</v>
      </c>
      <c r="AR107" s="3">
        <v>16</v>
      </c>
      <c r="AS107" s="3">
        <v>17</v>
      </c>
      <c r="AT107" s="3">
        <v>12</v>
      </c>
      <c r="AU107" s="13">
        <v>-1.196962071035268</v>
      </c>
      <c r="AV107" s="64" t="s">
        <v>406</v>
      </c>
      <c r="AW107" s="13">
        <v>19</v>
      </c>
      <c r="AX107" s="11">
        <f t="shared" si="95"/>
        <v>1</v>
      </c>
      <c r="AY107" s="11">
        <f t="shared" si="78"/>
        <v>4</v>
      </c>
      <c r="AZ107" t="str">
        <f t="shared" si="79"/>
        <v>0, Superávit y no eliminé superávit</v>
      </c>
      <c r="BB107" s="3" t="s">
        <v>240</v>
      </c>
      <c r="BC107" s="3">
        <v>7</v>
      </c>
      <c r="BD107" s="18">
        <v>12.666666666666666</v>
      </c>
      <c r="BE107" s="3">
        <v>16</v>
      </c>
      <c r="BF107" s="3">
        <v>14</v>
      </c>
      <c r="BG107" s="3">
        <v>7</v>
      </c>
      <c r="BH107" s="13">
        <v>-1.196962071035268</v>
      </c>
      <c r="BI107" s="64" t="s">
        <v>406</v>
      </c>
      <c r="BJ107" s="13">
        <v>19</v>
      </c>
      <c r="BK107" s="3">
        <f t="shared" si="96"/>
        <v>1</v>
      </c>
      <c r="BL107" s="3">
        <f t="shared" si="81"/>
        <v>9</v>
      </c>
      <c r="BM107" t="str">
        <f t="shared" si="82"/>
        <v>-2, no había superávit y resultado fue bueno</v>
      </c>
      <c r="BO107" s="3" t="s">
        <v>240</v>
      </c>
      <c r="BP107" s="3">
        <v>15</v>
      </c>
      <c r="BQ107" s="18">
        <v>14</v>
      </c>
      <c r="BR107" s="3">
        <v>18</v>
      </c>
      <c r="BS107" s="3">
        <v>18</v>
      </c>
      <c r="BT107" s="3">
        <v>15</v>
      </c>
      <c r="BU107" s="13">
        <v>-1.196962071035268</v>
      </c>
      <c r="BV107" s="64" t="s">
        <v>406</v>
      </c>
      <c r="BW107" s="13">
        <v>19</v>
      </c>
      <c r="BX107" s="3">
        <f t="shared" si="97"/>
        <v>1</v>
      </c>
      <c r="BY107" s="3">
        <f t="shared" si="84"/>
        <v>3</v>
      </c>
      <c r="BZ107" t="str">
        <f t="shared" si="85"/>
        <v>0, Superávit y no eliminé superávit</v>
      </c>
      <c r="CB107" s="3" t="s">
        <v>240</v>
      </c>
      <c r="CC107" s="3">
        <v>15</v>
      </c>
      <c r="CD107" s="18">
        <v>15.666666666666666</v>
      </c>
      <c r="CE107" s="3">
        <v>14</v>
      </c>
      <c r="CF107" s="3">
        <v>15</v>
      </c>
      <c r="CG107" s="3">
        <v>15</v>
      </c>
      <c r="CH107" s="13">
        <v>-1.196962071035268</v>
      </c>
      <c r="CI107" s="64" t="s">
        <v>406</v>
      </c>
      <c r="CJ107" s="13">
        <v>19</v>
      </c>
      <c r="CK107" s="3">
        <f t="shared" si="98"/>
        <v>0</v>
      </c>
      <c r="CL107" s="3">
        <f t="shared" si="87"/>
        <v>-1</v>
      </c>
      <c r="CM107" t="str">
        <f t="shared" si="88"/>
        <v>0, Superávit y no eliminé superávit</v>
      </c>
      <c r="CO107" s="3" t="s">
        <v>240</v>
      </c>
      <c r="CP107" s="3">
        <v>16</v>
      </c>
      <c r="CQ107" s="18">
        <v>14.777777777777779</v>
      </c>
      <c r="CR107" s="3">
        <v>16</v>
      </c>
      <c r="CS107" s="3">
        <v>16</v>
      </c>
      <c r="CT107" s="3">
        <v>16</v>
      </c>
      <c r="CU107" s="13">
        <v>-1.196962071035268</v>
      </c>
      <c r="CV107" s="64" t="s">
        <v>406</v>
      </c>
      <c r="CW107" s="13">
        <v>19</v>
      </c>
      <c r="CX107" s="12">
        <f t="shared" si="99"/>
        <v>1</v>
      </c>
      <c r="CY107" s="12">
        <f t="shared" si="90"/>
        <v>0</v>
      </c>
      <c r="CZ107" t="str">
        <f t="shared" si="91"/>
        <v>0, Superávit y no eliminé superávit</v>
      </c>
    </row>
    <row r="108" spans="1:104" ht="14.25" customHeight="1" x14ac:dyDescent="0.3">
      <c r="A108" s="3" t="s">
        <v>241</v>
      </c>
      <c r="B108" s="3">
        <v>14</v>
      </c>
      <c r="C108" s="18">
        <v>11.777777777777779</v>
      </c>
      <c r="D108" s="3">
        <v>15</v>
      </c>
      <c r="E108" s="3">
        <v>15</v>
      </c>
      <c r="F108" s="3">
        <v>13</v>
      </c>
      <c r="G108" s="13">
        <v>-1.2097705883740471</v>
      </c>
      <c r="H108" s="64" t="s">
        <v>401</v>
      </c>
      <c r="I108" s="72">
        <v>15</v>
      </c>
      <c r="J108" s="53">
        <f t="shared" si="92"/>
        <v>1</v>
      </c>
      <c r="K108" s="53">
        <f t="shared" si="69"/>
        <v>1</v>
      </c>
      <c r="L108" s="94" t="str">
        <f t="shared" si="70"/>
        <v>-2, Superávit y resultado fue bueno</v>
      </c>
      <c r="N108" s="3" t="s">
        <v>241</v>
      </c>
      <c r="O108" s="3">
        <v>14</v>
      </c>
      <c r="P108" s="18">
        <v>11.222222222222221</v>
      </c>
      <c r="Q108" s="3">
        <v>13</v>
      </c>
      <c r="R108" s="3">
        <v>14</v>
      </c>
      <c r="S108" s="3">
        <v>13</v>
      </c>
      <c r="T108" s="13">
        <v>-1.2097705883740471</v>
      </c>
      <c r="U108" s="64" t="s">
        <v>401</v>
      </c>
      <c r="V108" s="13">
        <v>15</v>
      </c>
      <c r="W108" s="11">
        <f t="shared" si="93"/>
        <v>0</v>
      </c>
      <c r="X108" s="71">
        <f t="shared" si="72"/>
        <v>-1</v>
      </c>
      <c r="Y108" s="64" t="str">
        <f t="shared" si="73"/>
        <v>-2, Superávit y resultado fue bueno</v>
      </c>
      <c r="AB108" s="3" t="s">
        <v>241</v>
      </c>
      <c r="AC108" s="3">
        <v>9</v>
      </c>
      <c r="AD108" s="18">
        <v>8.6666666666666661</v>
      </c>
      <c r="AE108" s="3">
        <v>12</v>
      </c>
      <c r="AF108" s="3">
        <v>10</v>
      </c>
      <c r="AG108" s="3">
        <v>8</v>
      </c>
      <c r="AH108" s="13">
        <v>-1.2097705883740471</v>
      </c>
      <c r="AI108" s="64" t="s">
        <v>401</v>
      </c>
      <c r="AJ108" s="13">
        <v>15</v>
      </c>
      <c r="AK108" s="11">
        <f t="shared" si="94"/>
        <v>1</v>
      </c>
      <c r="AL108" s="11">
        <f t="shared" si="75"/>
        <v>3</v>
      </c>
      <c r="AM108" t="str">
        <f t="shared" si="76"/>
        <v>-2, Superávit y resultado fue bueno</v>
      </c>
      <c r="AO108" s="3" t="s">
        <v>241</v>
      </c>
      <c r="AP108" s="3">
        <v>4</v>
      </c>
      <c r="AQ108" s="18">
        <v>7.333333333333333</v>
      </c>
      <c r="AR108" s="3">
        <v>7</v>
      </c>
      <c r="AS108" s="3">
        <v>8</v>
      </c>
      <c r="AT108" s="3">
        <v>4</v>
      </c>
      <c r="AU108" s="13">
        <v>-1.2097705883740471</v>
      </c>
      <c r="AV108" s="64" t="s">
        <v>401</v>
      </c>
      <c r="AW108" s="13">
        <v>15</v>
      </c>
      <c r="AX108" s="11">
        <f t="shared" si="95"/>
        <v>1</v>
      </c>
      <c r="AY108" s="11">
        <f t="shared" si="78"/>
        <v>3</v>
      </c>
      <c r="AZ108" t="str">
        <f t="shared" si="79"/>
        <v>-2, no había superávit y resultado fue bueno</v>
      </c>
      <c r="BB108" s="3" t="s">
        <v>241</v>
      </c>
      <c r="BC108" s="3">
        <v>9</v>
      </c>
      <c r="BD108" s="18">
        <v>10.888888888888889</v>
      </c>
      <c r="BE108" s="3">
        <v>5</v>
      </c>
      <c r="BF108" s="3">
        <v>5</v>
      </c>
      <c r="BG108" s="3">
        <v>9</v>
      </c>
      <c r="BH108" s="13">
        <v>-1.2097705883740471</v>
      </c>
      <c r="BI108" s="64" t="s">
        <v>401</v>
      </c>
      <c r="BJ108" s="13">
        <v>15</v>
      </c>
      <c r="BK108" s="3">
        <f t="shared" si="96"/>
        <v>0</v>
      </c>
      <c r="BL108" s="3">
        <f t="shared" si="81"/>
        <v>-4</v>
      </c>
      <c r="BM108" t="str">
        <f t="shared" si="82"/>
        <v>0, Superávit y no eliminé superávit</v>
      </c>
      <c r="BO108" s="3" t="s">
        <v>241</v>
      </c>
      <c r="BP108" s="3">
        <v>6</v>
      </c>
      <c r="BQ108" s="18">
        <v>10.888888888888889</v>
      </c>
      <c r="BR108" s="3">
        <v>11</v>
      </c>
      <c r="BS108" s="3">
        <v>11</v>
      </c>
      <c r="BT108" s="3">
        <v>6</v>
      </c>
      <c r="BU108" s="13">
        <v>-1.2097705883740471</v>
      </c>
      <c r="BV108" s="64" t="s">
        <v>401</v>
      </c>
      <c r="BW108" s="13">
        <v>15</v>
      </c>
      <c r="BX108" s="3">
        <f t="shared" si="97"/>
        <v>1</v>
      </c>
      <c r="BY108" s="3">
        <f t="shared" si="84"/>
        <v>5</v>
      </c>
      <c r="BZ108" t="str">
        <f t="shared" si="85"/>
        <v>-2, no había superávit y resultado fue bueno</v>
      </c>
      <c r="CB108" s="3" t="s">
        <v>241</v>
      </c>
      <c r="CC108" s="3">
        <v>15</v>
      </c>
      <c r="CD108" s="18">
        <v>12.111111111111111</v>
      </c>
      <c r="CE108" s="3">
        <v>14</v>
      </c>
      <c r="CF108" s="3">
        <v>14</v>
      </c>
      <c r="CG108" s="3">
        <v>12</v>
      </c>
      <c r="CH108" s="13">
        <v>-1.2097705883740471</v>
      </c>
      <c r="CI108" s="64" t="s">
        <v>401</v>
      </c>
      <c r="CJ108" s="13">
        <v>15</v>
      </c>
      <c r="CK108" s="3">
        <f t="shared" si="98"/>
        <v>0</v>
      </c>
      <c r="CL108" s="3">
        <f t="shared" si="87"/>
        <v>-1</v>
      </c>
      <c r="CM108" t="str">
        <f t="shared" si="88"/>
        <v>-2, Superávit y resultado fue bueno</v>
      </c>
      <c r="CO108" s="3" t="s">
        <v>241</v>
      </c>
      <c r="CP108" s="3">
        <v>13</v>
      </c>
      <c r="CQ108" s="18">
        <v>11.777777777777779</v>
      </c>
      <c r="CR108" s="3">
        <v>12</v>
      </c>
      <c r="CS108" s="3">
        <v>12</v>
      </c>
      <c r="CT108" s="3">
        <v>13</v>
      </c>
      <c r="CU108" s="13">
        <v>-1.2097705883740471</v>
      </c>
      <c r="CV108" s="64" t="s">
        <v>401</v>
      </c>
      <c r="CW108" s="13">
        <v>15</v>
      </c>
      <c r="CX108" s="12">
        <f t="shared" si="99"/>
        <v>0</v>
      </c>
      <c r="CY108" s="12">
        <f t="shared" si="90"/>
        <v>-1</v>
      </c>
      <c r="CZ108" t="str">
        <f t="shared" si="91"/>
        <v>0, Superávit y no eliminé superávit</v>
      </c>
    </row>
    <row r="109" spans="1:104" ht="14.25" customHeight="1" x14ac:dyDescent="0.3">
      <c r="A109" s="3" t="s">
        <v>242</v>
      </c>
      <c r="B109" s="3">
        <v>16</v>
      </c>
      <c r="C109" s="18">
        <v>11.666666666666666</v>
      </c>
      <c r="D109" s="3">
        <v>16</v>
      </c>
      <c r="E109" s="3">
        <v>16</v>
      </c>
      <c r="F109" s="3">
        <v>14</v>
      </c>
      <c r="G109" s="13">
        <v>-1.3367165560614409</v>
      </c>
      <c r="H109" s="64" t="s">
        <v>403</v>
      </c>
      <c r="I109" s="72">
        <v>17</v>
      </c>
      <c r="J109" s="53">
        <f t="shared" si="92"/>
        <v>1</v>
      </c>
      <c r="K109" s="53">
        <f t="shared" si="69"/>
        <v>0</v>
      </c>
      <c r="L109" s="94" t="str">
        <f t="shared" si="70"/>
        <v>-2, Superávit y resultado fue bueno</v>
      </c>
      <c r="N109" s="3" t="s">
        <v>242</v>
      </c>
      <c r="O109" s="3">
        <v>11</v>
      </c>
      <c r="P109" s="18">
        <v>13.444444444444445</v>
      </c>
      <c r="Q109" s="3">
        <v>10</v>
      </c>
      <c r="R109" s="3">
        <v>16</v>
      </c>
      <c r="S109" s="3">
        <v>3</v>
      </c>
      <c r="T109" s="13">
        <v>-1.3367165560614409</v>
      </c>
      <c r="U109" s="64" t="s">
        <v>403</v>
      </c>
      <c r="V109" s="13">
        <v>17</v>
      </c>
      <c r="W109" s="11">
        <f t="shared" si="93"/>
        <v>0</v>
      </c>
      <c r="X109" s="71">
        <f t="shared" si="72"/>
        <v>-1</v>
      </c>
      <c r="Y109" s="64" t="str">
        <f t="shared" si="73"/>
        <v>1, Superávit y eliminé superávit</v>
      </c>
      <c r="AB109" s="3" t="s">
        <v>242</v>
      </c>
      <c r="AC109" s="3">
        <v>17</v>
      </c>
      <c r="AD109" s="18">
        <v>13.555555555555555</v>
      </c>
      <c r="AE109" s="3">
        <v>13</v>
      </c>
      <c r="AF109" s="3">
        <v>17</v>
      </c>
      <c r="AG109" s="3">
        <v>13</v>
      </c>
      <c r="AH109" s="13">
        <v>-1.3367165560614409</v>
      </c>
      <c r="AI109" s="64" t="s">
        <v>403</v>
      </c>
      <c r="AJ109" s="13">
        <v>17</v>
      </c>
      <c r="AK109" s="11">
        <f t="shared" si="94"/>
        <v>0</v>
      </c>
      <c r="AL109" s="11">
        <f t="shared" si="75"/>
        <v>-4</v>
      </c>
      <c r="AM109" t="str">
        <f t="shared" si="76"/>
        <v>-2, Superávit y resultado fue bueno</v>
      </c>
      <c r="AO109" s="3" t="s">
        <v>242</v>
      </c>
      <c r="AP109" s="3">
        <v>9</v>
      </c>
      <c r="AQ109" s="18">
        <v>11.111111111111111</v>
      </c>
      <c r="AR109" s="3">
        <v>8</v>
      </c>
      <c r="AS109" s="3">
        <v>9</v>
      </c>
      <c r="AT109" s="3">
        <v>3</v>
      </c>
      <c r="AU109" s="13">
        <v>-1.3367165560614409</v>
      </c>
      <c r="AV109" s="64" t="s">
        <v>403</v>
      </c>
      <c r="AW109" s="13">
        <v>17</v>
      </c>
      <c r="AX109" s="11">
        <f t="shared" si="95"/>
        <v>0</v>
      </c>
      <c r="AY109" s="11">
        <f t="shared" si="78"/>
        <v>-1</v>
      </c>
      <c r="AZ109" t="str">
        <f t="shared" si="79"/>
        <v>1, Superávit y eliminé superávit</v>
      </c>
      <c r="BB109" s="3" t="s">
        <v>242</v>
      </c>
      <c r="BC109" s="3">
        <v>12</v>
      </c>
      <c r="BD109" s="18">
        <v>13</v>
      </c>
      <c r="BE109" s="3">
        <v>15</v>
      </c>
      <c r="BF109" s="3">
        <v>17</v>
      </c>
      <c r="BG109" s="3">
        <v>5</v>
      </c>
      <c r="BH109" s="13">
        <v>-1.3367165560614409</v>
      </c>
      <c r="BI109" s="64" t="s">
        <v>403</v>
      </c>
      <c r="BJ109" s="13">
        <v>17</v>
      </c>
      <c r="BK109" s="3">
        <f t="shared" si="96"/>
        <v>1</v>
      </c>
      <c r="BL109" s="3">
        <f t="shared" si="81"/>
        <v>3</v>
      </c>
      <c r="BM109" t="str">
        <f t="shared" si="82"/>
        <v>1, Superávit y eliminé superávit</v>
      </c>
      <c r="BO109" s="3" t="s">
        <v>242</v>
      </c>
      <c r="BP109" s="3">
        <v>12</v>
      </c>
      <c r="BQ109" s="18">
        <v>12.555555555555555</v>
      </c>
      <c r="BR109" s="3">
        <v>14</v>
      </c>
      <c r="BS109" s="3">
        <v>14</v>
      </c>
      <c r="BT109" s="3">
        <v>12</v>
      </c>
      <c r="BU109" s="13">
        <v>-1.3367165560614409</v>
      </c>
      <c r="BV109" s="64" t="s">
        <v>403</v>
      </c>
      <c r="BW109" s="13">
        <v>17</v>
      </c>
      <c r="BX109" s="3">
        <f t="shared" si="97"/>
        <v>1</v>
      </c>
      <c r="BY109" s="3">
        <f t="shared" si="84"/>
        <v>2</v>
      </c>
      <c r="BZ109" t="str">
        <f t="shared" si="85"/>
        <v>0, Superávit y no eliminé superávit</v>
      </c>
      <c r="CB109" s="3" t="s">
        <v>242</v>
      </c>
      <c r="CC109" s="3">
        <v>12</v>
      </c>
      <c r="CD109" s="18">
        <v>12</v>
      </c>
      <c r="CE109" s="3">
        <v>13</v>
      </c>
      <c r="CF109" s="3">
        <v>14</v>
      </c>
      <c r="CG109" s="3">
        <v>12</v>
      </c>
      <c r="CH109" s="13">
        <v>-1.3367165560614409</v>
      </c>
      <c r="CI109" s="64" t="s">
        <v>403</v>
      </c>
      <c r="CJ109" s="13">
        <v>17</v>
      </c>
      <c r="CK109" s="3">
        <f t="shared" si="98"/>
        <v>1</v>
      </c>
      <c r="CL109" s="3">
        <f t="shared" si="87"/>
        <v>1</v>
      </c>
      <c r="CM109" t="str">
        <f t="shared" si="88"/>
        <v>0, Superávit y no eliminé superávit</v>
      </c>
      <c r="CO109" s="3" t="s">
        <v>242</v>
      </c>
      <c r="CP109" s="3">
        <v>12</v>
      </c>
      <c r="CQ109" s="18">
        <v>11.666666666666666</v>
      </c>
      <c r="CR109" s="3">
        <v>13</v>
      </c>
      <c r="CS109" s="3">
        <v>14</v>
      </c>
      <c r="CT109" s="3">
        <v>12</v>
      </c>
      <c r="CU109" s="13">
        <v>-1.3367165560614409</v>
      </c>
      <c r="CV109" s="64" t="s">
        <v>403</v>
      </c>
      <c r="CW109" s="13">
        <v>17</v>
      </c>
      <c r="CX109" s="12">
        <f t="shared" si="99"/>
        <v>1</v>
      </c>
      <c r="CY109" s="12">
        <f t="shared" si="90"/>
        <v>1</v>
      </c>
      <c r="CZ109" t="str">
        <f t="shared" si="91"/>
        <v>0, Superávit y no eliminé superávit</v>
      </c>
    </row>
    <row r="110" spans="1:104" ht="14.25" customHeight="1" x14ac:dyDescent="0.3">
      <c r="A110" s="3" t="s">
        <v>243</v>
      </c>
      <c r="B110" s="3">
        <v>26</v>
      </c>
      <c r="C110" s="18">
        <v>21.333333333333332</v>
      </c>
      <c r="D110" s="3">
        <v>26</v>
      </c>
      <c r="E110" s="3">
        <v>27</v>
      </c>
      <c r="F110" s="3">
        <v>18</v>
      </c>
      <c r="G110" s="13">
        <v>-1.679865001322572</v>
      </c>
      <c r="H110" s="64" t="s">
        <v>407</v>
      </c>
      <c r="I110" s="72">
        <v>27</v>
      </c>
      <c r="J110" s="53">
        <f t="shared" si="92"/>
        <v>1</v>
      </c>
      <c r="K110" s="53">
        <f t="shared" si="69"/>
        <v>0</v>
      </c>
      <c r="L110" s="94" t="str">
        <f t="shared" si="70"/>
        <v>-2, Superávit y resultado fue bueno</v>
      </c>
      <c r="N110" s="3" t="s">
        <v>243</v>
      </c>
      <c r="O110" s="3">
        <v>25</v>
      </c>
      <c r="P110" s="18">
        <v>23.111111111111111</v>
      </c>
      <c r="Q110" s="3">
        <v>27</v>
      </c>
      <c r="R110" s="3">
        <v>27</v>
      </c>
      <c r="S110" s="3">
        <v>14</v>
      </c>
      <c r="T110" s="13">
        <v>-1.679865001322572</v>
      </c>
      <c r="U110" s="64" t="s">
        <v>407</v>
      </c>
      <c r="V110" s="13">
        <v>27</v>
      </c>
      <c r="W110" s="11">
        <f t="shared" si="93"/>
        <v>1</v>
      </c>
      <c r="X110" s="71">
        <f t="shared" si="72"/>
        <v>2</v>
      </c>
      <c r="Y110" s="64" t="str">
        <f t="shared" si="73"/>
        <v>-2, Superávit y resultado fue bueno</v>
      </c>
      <c r="AB110" s="3" t="s">
        <v>243</v>
      </c>
      <c r="AC110" s="3">
        <v>19</v>
      </c>
      <c r="AD110" s="18">
        <v>23.888888888888889</v>
      </c>
      <c r="AE110" s="3">
        <v>22</v>
      </c>
      <c r="AF110" s="3">
        <v>22</v>
      </c>
      <c r="AG110" s="3">
        <v>19</v>
      </c>
      <c r="AH110" s="13">
        <v>-1.679865001322572</v>
      </c>
      <c r="AI110" s="64" t="s">
        <v>407</v>
      </c>
      <c r="AJ110" s="13">
        <v>27</v>
      </c>
      <c r="AK110" s="11">
        <f t="shared" si="94"/>
        <v>1</v>
      </c>
      <c r="AL110" s="11">
        <f t="shared" si="75"/>
        <v>3</v>
      </c>
      <c r="AM110" t="str">
        <f t="shared" si="76"/>
        <v>0, Superávit y no eliminé superávit</v>
      </c>
      <c r="AO110" s="3" t="s">
        <v>243</v>
      </c>
      <c r="AP110" s="3">
        <v>26</v>
      </c>
      <c r="AQ110" s="18">
        <v>24.111111111111111</v>
      </c>
      <c r="AR110" s="3">
        <v>26</v>
      </c>
      <c r="AS110" s="3">
        <v>26</v>
      </c>
      <c r="AT110" s="3">
        <v>7</v>
      </c>
      <c r="AU110" s="13">
        <v>-1.679865001322572</v>
      </c>
      <c r="AV110" s="64" t="s">
        <v>407</v>
      </c>
      <c r="AW110" s="13">
        <v>27</v>
      </c>
      <c r="AX110" s="11">
        <f t="shared" si="95"/>
        <v>1</v>
      </c>
      <c r="AY110" s="11">
        <f t="shared" si="78"/>
        <v>0</v>
      </c>
      <c r="AZ110" t="str">
        <f t="shared" si="79"/>
        <v>1, Superávit y eliminé superávit</v>
      </c>
      <c r="BB110" s="3" t="s">
        <v>243</v>
      </c>
      <c r="BC110" s="3">
        <v>26</v>
      </c>
      <c r="BD110" s="18">
        <v>24</v>
      </c>
      <c r="BE110" s="3">
        <v>24</v>
      </c>
      <c r="BF110" s="3">
        <v>24</v>
      </c>
      <c r="BG110" s="3">
        <v>7</v>
      </c>
      <c r="BH110" s="13">
        <v>-1.679865001322572</v>
      </c>
      <c r="BI110" s="64" t="s">
        <v>407</v>
      </c>
      <c r="BJ110" s="13">
        <v>27</v>
      </c>
      <c r="BK110" s="3">
        <f t="shared" si="96"/>
        <v>0</v>
      </c>
      <c r="BL110" s="3">
        <f t="shared" si="81"/>
        <v>-2</v>
      </c>
      <c r="BM110" t="str">
        <f t="shared" si="82"/>
        <v>1, Superávit y eliminé superávit</v>
      </c>
      <c r="BO110" s="3" t="s">
        <v>243</v>
      </c>
      <c r="BP110" s="3">
        <v>27</v>
      </c>
      <c r="BQ110" s="18">
        <v>24</v>
      </c>
      <c r="BR110" s="3">
        <v>27</v>
      </c>
      <c r="BS110" s="3">
        <v>27</v>
      </c>
      <c r="BT110" s="3">
        <v>16</v>
      </c>
      <c r="BU110" s="13">
        <v>-1.679865001322572</v>
      </c>
      <c r="BV110" s="64" t="s">
        <v>407</v>
      </c>
      <c r="BW110" s="13">
        <v>27</v>
      </c>
      <c r="BX110" s="3">
        <f t="shared" si="97"/>
        <v>1</v>
      </c>
      <c r="BY110" s="3">
        <f t="shared" si="84"/>
        <v>0</v>
      </c>
      <c r="BZ110" t="str">
        <f t="shared" si="85"/>
        <v>-2, Superávit y resultado fue bueno</v>
      </c>
      <c r="CB110" s="3" t="s">
        <v>243</v>
      </c>
      <c r="CC110" s="3">
        <v>13</v>
      </c>
      <c r="CD110" s="18">
        <v>18.777777777777779</v>
      </c>
      <c r="CE110" s="3">
        <v>15</v>
      </c>
      <c r="CF110" s="3">
        <v>15</v>
      </c>
      <c r="CG110" s="3">
        <v>13</v>
      </c>
      <c r="CH110" s="13">
        <v>-1.679865001322572</v>
      </c>
      <c r="CI110" s="64" t="s">
        <v>407</v>
      </c>
      <c r="CJ110" s="13">
        <v>27</v>
      </c>
      <c r="CK110" s="3">
        <f t="shared" si="98"/>
        <v>1</v>
      </c>
      <c r="CL110" s="3">
        <f t="shared" si="87"/>
        <v>2</v>
      </c>
      <c r="CM110" t="str">
        <f t="shared" si="88"/>
        <v>-1, no había superávit y deje la capacidad media</v>
      </c>
      <c r="CO110" s="3" t="s">
        <v>243</v>
      </c>
      <c r="CP110" s="3">
        <v>27</v>
      </c>
      <c r="CQ110" s="18">
        <v>21.333333333333332</v>
      </c>
      <c r="CR110" s="3">
        <v>27</v>
      </c>
      <c r="CS110" s="3">
        <v>27</v>
      </c>
      <c r="CT110" s="3">
        <v>16</v>
      </c>
      <c r="CU110" s="13">
        <v>-1.679865001322572</v>
      </c>
      <c r="CV110" s="64" t="s">
        <v>407</v>
      </c>
      <c r="CW110" s="13">
        <v>27</v>
      </c>
      <c r="CX110" s="12">
        <f t="shared" si="99"/>
        <v>1</v>
      </c>
      <c r="CY110" s="12">
        <f t="shared" si="90"/>
        <v>0</v>
      </c>
      <c r="CZ110" t="str">
        <f t="shared" si="91"/>
        <v>-2, Superávit y resultado fue bueno</v>
      </c>
    </row>
    <row r="111" spans="1:104" ht="14.25" customHeight="1" x14ac:dyDescent="0.3">
      <c r="A111" s="13" t="s">
        <v>245</v>
      </c>
      <c r="B111" s="13">
        <f t="shared" ref="B111:F111" si="100">AVERAGE(B91:B100)</f>
        <v>5.0999999999999996</v>
      </c>
      <c r="C111" s="25">
        <f t="shared" si="100"/>
        <v>3.4222222222222221</v>
      </c>
      <c r="D111" s="13">
        <f t="shared" si="100"/>
        <v>4.7</v>
      </c>
      <c r="E111" s="13">
        <f t="shared" si="100"/>
        <v>4.7</v>
      </c>
      <c r="F111" s="13">
        <f t="shared" si="100"/>
        <v>6.7</v>
      </c>
      <c r="K111" s="12"/>
      <c r="L111" s="12"/>
      <c r="M111" s="96"/>
      <c r="N111" s="29" t="s">
        <v>275</v>
      </c>
      <c r="O111" s="13">
        <f>AVERAGE(O91:O100)</f>
        <v>4.3</v>
      </c>
      <c r="P111" s="25">
        <f>AVERAGE(P91:P100)</f>
        <v>5.0111111111111111</v>
      </c>
      <c r="Q111" s="13">
        <f>AVERAGE(Q91:Q100)</f>
        <v>2.5</v>
      </c>
      <c r="R111" s="13">
        <f>AVERAGE(R91:R100)</f>
        <v>2.2000000000000002</v>
      </c>
      <c r="S111" s="13">
        <f>AVERAGE(S91:S100)</f>
        <v>6.7</v>
      </c>
      <c r="W111" s="12"/>
      <c r="X111" s="12"/>
      <c r="Y111" s="12"/>
      <c r="Z111" s="12"/>
      <c r="AA111" s="12"/>
      <c r="AB111" s="13" t="s">
        <v>245</v>
      </c>
      <c r="AC111" s="13">
        <f>AVERAGE(AC91:AC100)</f>
        <v>4.8</v>
      </c>
      <c r="AD111" s="25">
        <f>AVERAGE(AD91:AD100)</f>
        <v>4.7111111111111112</v>
      </c>
      <c r="AE111" s="13">
        <f>AVERAGE(AE91:AE100)</f>
        <v>4.0999999999999996</v>
      </c>
      <c r="AF111" s="13">
        <f>AVERAGE(AF91:AF100)</f>
        <v>3.3</v>
      </c>
      <c r="AG111" s="13">
        <f>AVERAGE(AG91:AG100)</f>
        <v>6.9</v>
      </c>
      <c r="AL111" s="12"/>
      <c r="AM111" s="12"/>
      <c r="AN111" s="12"/>
      <c r="AO111" s="29" t="s">
        <v>245</v>
      </c>
      <c r="AP111" s="13">
        <f>AVERAGE(AP91:AP100)</f>
        <v>4.8</v>
      </c>
      <c r="AQ111" s="25">
        <f>AVERAGE(AQ91:AQ100)</f>
        <v>4.4000000000000004</v>
      </c>
      <c r="AR111" s="13">
        <f>AVERAGE(AR91:AR100)</f>
        <v>3.4</v>
      </c>
      <c r="AS111" s="13">
        <f>AVERAGE(AS91:AS100)</f>
        <v>3</v>
      </c>
      <c r="AT111" s="13">
        <f>AVERAGE(AT91:AT100)</f>
        <v>7.4</v>
      </c>
      <c r="AZ111" s="12"/>
      <c r="BA111" s="12"/>
      <c r="BB111" s="13" t="s">
        <v>245</v>
      </c>
      <c r="BC111" s="13">
        <f>AVERAGE(BC91:BC100)</f>
        <v>4.5999999999999996</v>
      </c>
      <c r="BD111" s="25">
        <f>AVERAGE(BD91:BD100)</f>
        <v>5.1444444444444448</v>
      </c>
      <c r="BE111" s="13">
        <f>AVERAGE(BE91:BE100)</f>
        <v>3.8</v>
      </c>
      <c r="BF111" s="13">
        <f>AVERAGE(BF91:BF100)</f>
        <v>3.2</v>
      </c>
      <c r="BG111" s="13">
        <f>AVERAGE(BG91:BG100)</f>
        <v>7.5</v>
      </c>
      <c r="BO111" s="29" t="s">
        <v>245</v>
      </c>
      <c r="BP111" s="13">
        <f>AVERAGE(BP91:BP100)</f>
        <v>5.6</v>
      </c>
      <c r="BQ111" s="25">
        <f>AVERAGE(BQ91:BQ100)</f>
        <v>3.6888888888888887</v>
      </c>
      <c r="BR111" s="13">
        <f>AVERAGE(BR91:BR100)</f>
        <v>5.9</v>
      </c>
      <c r="BS111" s="13">
        <f>AVERAGE(BS91:BS100)</f>
        <v>6.1</v>
      </c>
      <c r="BT111" s="13">
        <f>AVERAGE(BT91:BT100)</f>
        <v>6.7</v>
      </c>
      <c r="BY111" s="12"/>
      <c r="BZ111" s="12"/>
      <c r="CA111" s="12"/>
      <c r="CB111" s="13" t="s">
        <v>245</v>
      </c>
      <c r="CC111" s="13">
        <f>AVERAGE(CC91:CC100)</f>
        <v>5.7</v>
      </c>
      <c r="CD111" s="25">
        <f>AVERAGE(CD91:CD100)</f>
        <v>4.2555555555555555</v>
      </c>
      <c r="CE111" s="13">
        <f>AVERAGE(CE91:CE100)</f>
        <v>4.5999999999999996</v>
      </c>
      <c r="CF111" s="13">
        <f>AVERAGE(CF91:CF100)</f>
        <v>4.4000000000000004</v>
      </c>
      <c r="CG111" s="13">
        <f>AVERAGE(CG91:CG100)</f>
        <v>7.3</v>
      </c>
      <c r="CL111" s="12"/>
      <c r="CM111" s="12"/>
      <c r="CN111" s="12"/>
      <c r="CO111" s="13" t="s">
        <v>245</v>
      </c>
      <c r="CP111" s="13">
        <f>AVERAGE(CP91:CP100)</f>
        <v>4.7</v>
      </c>
      <c r="CQ111" s="25">
        <f>AVERAGE(CQ91:CQ100)</f>
        <v>3.4222222222222221</v>
      </c>
      <c r="CR111" s="13">
        <f>AVERAGE(CR91:CR100)</f>
        <v>4.5</v>
      </c>
      <c r="CS111" s="13">
        <f>AVERAGE(CS91:CS100)</f>
        <v>4.5</v>
      </c>
      <c r="CT111" s="13">
        <f>AVERAGE(CT91:CT100)</f>
        <v>6.5</v>
      </c>
    </row>
    <row r="112" spans="1:104" ht="14.25" customHeight="1" x14ac:dyDescent="0.3">
      <c r="A112" s="13" t="s">
        <v>249</v>
      </c>
      <c r="B112" s="13">
        <f t="shared" ref="B112:F112" si="101">AVERAGE(B101:B110)</f>
        <v>12.9</v>
      </c>
      <c r="C112" s="25">
        <f t="shared" si="101"/>
        <v>12.244444444444444</v>
      </c>
      <c r="D112" s="13">
        <f t="shared" si="101"/>
        <v>14</v>
      </c>
      <c r="E112" s="13">
        <f t="shared" si="101"/>
        <v>14.1</v>
      </c>
      <c r="F112" s="13">
        <f t="shared" si="101"/>
        <v>11.3</v>
      </c>
      <c r="K112" s="12"/>
      <c r="L112" s="12"/>
      <c r="M112" s="96"/>
      <c r="N112" s="29" t="s">
        <v>276</v>
      </c>
      <c r="O112" s="13">
        <f>AVERAGE(O101:O110)</f>
        <v>11.8</v>
      </c>
      <c r="P112" s="25">
        <f>AVERAGE(P101:P110)</f>
        <v>11.544444444444444</v>
      </c>
      <c r="Q112" s="13">
        <f>AVERAGE(Q101:Q110)</f>
        <v>12.5</v>
      </c>
      <c r="R112" s="13">
        <f>AVERAGE(R101:R110)</f>
        <v>13.9</v>
      </c>
      <c r="S112" s="13">
        <f>AVERAGE(S101:S110)</f>
        <v>9.4</v>
      </c>
      <c r="W112" s="12"/>
      <c r="X112" s="12"/>
      <c r="Y112" s="12"/>
      <c r="Z112" s="12"/>
      <c r="AA112" s="12"/>
      <c r="AB112" s="13" t="s">
        <v>249</v>
      </c>
      <c r="AC112" s="13">
        <f>AVERAGE(AC101:AC110)</f>
        <v>10.4</v>
      </c>
      <c r="AD112" s="25">
        <f>AVERAGE(AD101:AD110)</f>
        <v>11.044444444444444</v>
      </c>
      <c r="AE112" s="13">
        <f>AVERAGE(AE101:AE110)</f>
        <v>12.9</v>
      </c>
      <c r="AF112" s="13">
        <f>AVERAGE(AF101:AF110)</f>
        <v>10.8</v>
      </c>
      <c r="AG112" s="13">
        <f>AVERAGE(AG101:AG110)</f>
        <v>8.3000000000000007</v>
      </c>
      <c r="AL112" s="12"/>
      <c r="AM112" s="12"/>
      <c r="AN112" s="12"/>
      <c r="AO112" s="29" t="s">
        <v>249</v>
      </c>
      <c r="AP112" s="13">
        <f>AVERAGE(AP101:AP110)</f>
        <v>8.5</v>
      </c>
      <c r="AQ112" s="25">
        <f>AVERAGE(AQ101:AQ110)</f>
        <v>10.288888888888888</v>
      </c>
      <c r="AR112" s="13">
        <f>AVERAGE(AR101:AR110)</f>
        <v>9.8000000000000007</v>
      </c>
      <c r="AS112" s="13">
        <f>AVERAGE(AS101:AS110)</f>
        <v>10.4</v>
      </c>
      <c r="AT112" s="13">
        <f>AVERAGE(AT101:AT110)</f>
        <v>5.9</v>
      </c>
      <c r="AZ112" s="12"/>
      <c r="BA112" s="12"/>
      <c r="BB112" s="13" t="s">
        <v>249</v>
      </c>
      <c r="BC112" s="13">
        <f>AVERAGE(BC101:BC110)</f>
        <v>9.5</v>
      </c>
      <c r="BD112" s="25">
        <f>AVERAGE(BD101:BD110)</f>
        <v>11.422222222222222</v>
      </c>
      <c r="BE112" s="13">
        <f>AVERAGE(BE101:BE110)</f>
        <v>11.2</v>
      </c>
      <c r="BF112" s="13">
        <f>AVERAGE(BF101:BF110)</f>
        <v>11.1</v>
      </c>
      <c r="BG112" s="13">
        <f>AVERAGE(BG101:BG110)</f>
        <v>6.6</v>
      </c>
      <c r="BO112" s="29" t="s">
        <v>249</v>
      </c>
      <c r="BP112" s="13">
        <f>AVERAGE(BP101:BP110)</f>
        <v>9.5</v>
      </c>
      <c r="BQ112" s="25">
        <f>AVERAGE(BQ101:BQ110)</f>
        <v>12.233333333333333</v>
      </c>
      <c r="BR112" s="13">
        <f>AVERAGE(BR101:BR110)</f>
        <v>10.1</v>
      </c>
      <c r="BS112" s="13">
        <f>AVERAGE(BS101:BS110)</f>
        <v>11.3</v>
      </c>
      <c r="BT112" s="13">
        <f>AVERAGE(BT101:BT110)</f>
        <v>8.4</v>
      </c>
      <c r="BY112" s="12"/>
      <c r="BZ112" s="12"/>
      <c r="CA112" s="12"/>
      <c r="CB112" s="13" t="s">
        <v>249</v>
      </c>
      <c r="CC112" s="13">
        <f>AVERAGE(CC101:CC110)</f>
        <v>11.3</v>
      </c>
      <c r="CD112" s="25">
        <f>AVERAGE(CD101:CD110)</f>
        <v>12.111111111111111</v>
      </c>
      <c r="CE112" s="13">
        <f>AVERAGE(CE101:CE110)</f>
        <v>11.2</v>
      </c>
      <c r="CF112" s="13">
        <f>AVERAGE(CF101:CF110)</f>
        <v>11.1</v>
      </c>
      <c r="CG112" s="13">
        <f>AVERAGE(CG101:CG110)</f>
        <v>9.6999999999999993</v>
      </c>
      <c r="CL112" s="12"/>
      <c r="CM112" s="12"/>
      <c r="CN112" s="12"/>
      <c r="CO112" s="13" t="s">
        <v>249</v>
      </c>
      <c r="CP112" s="13">
        <f>AVERAGE(CP101:CP110)</f>
        <v>13.3</v>
      </c>
      <c r="CQ112" s="25">
        <f>AVERAGE(CQ101:CQ110)</f>
        <v>12.244444444444444</v>
      </c>
      <c r="CR112" s="13">
        <f>AVERAGE(CR101:CR110)</f>
        <v>13.7</v>
      </c>
      <c r="CS112" s="13">
        <f>AVERAGE(CS101:CS110)</f>
        <v>13.8</v>
      </c>
      <c r="CT112" s="13">
        <f>AVERAGE(CT101:CT110)</f>
        <v>11.5</v>
      </c>
    </row>
    <row r="113" spans="1:98" ht="14.25" customHeight="1" x14ac:dyDescent="0.3">
      <c r="A113" s="13" t="s">
        <v>252</v>
      </c>
      <c r="B113" s="13">
        <f>SKEW(B91:B94,B98,B100,B102,B108:B110)</f>
        <v>1.000520697770249</v>
      </c>
      <c r="C113" s="13"/>
      <c r="D113" s="13"/>
      <c r="E113" s="13"/>
      <c r="F113" s="13">
        <f>SKEW(F91:F94,F98,F100,F102,F108:F110)</f>
        <v>0.58634469362876074</v>
      </c>
      <c r="K113" s="12"/>
      <c r="L113" s="12"/>
      <c r="M113" s="96"/>
      <c r="N113" s="29" t="s">
        <v>252</v>
      </c>
      <c r="O113" s="13">
        <f>SKEW(O91:O94,O98,O100,O102,O108:O110)</f>
        <v>1.09563621760338</v>
      </c>
      <c r="P113" s="13"/>
      <c r="Q113" s="13"/>
      <c r="R113" s="13"/>
      <c r="S113" s="13">
        <f>SKEW(S91:S94,S98,S100,S102,S108:S110)</f>
        <v>0.7643202816766056</v>
      </c>
      <c r="W113" s="12"/>
      <c r="X113" s="12"/>
      <c r="Y113" s="12"/>
      <c r="Z113" s="12"/>
      <c r="AA113" s="12"/>
      <c r="AB113" s="13" t="s">
        <v>252</v>
      </c>
      <c r="AC113" s="13">
        <f>SKEW(AC91:AC94,AC98,AC100,AC102,AC108:AC110)</f>
        <v>0.48412291827592657</v>
      </c>
      <c r="AD113" s="13"/>
      <c r="AE113" s="13"/>
      <c r="AF113" s="13"/>
      <c r="AG113" s="13">
        <f>SKEW(AG91:AG94,AG98,AG100,AG102,AG108:AG110)</f>
        <v>1.1260829611449008</v>
      </c>
      <c r="AL113" s="12"/>
      <c r="AM113" s="12"/>
      <c r="AN113" s="12"/>
      <c r="AO113" s="29" t="s">
        <v>252</v>
      </c>
      <c r="AP113" s="13">
        <f>SKEW(AP91:AP94,AP98,AP100,AP102,AP108:AP110)</f>
        <v>2.53149440065802</v>
      </c>
      <c r="AQ113" s="13"/>
      <c r="AR113" s="13"/>
      <c r="AS113" s="13"/>
      <c r="AT113" s="13">
        <f>SKEW(AT91:AT94,AT98,AT100,AT102,AT108:AT110)</f>
        <v>0.41690021617324075</v>
      </c>
      <c r="AZ113" s="12"/>
      <c r="BA113" s="12"/>
      <c r="BB113" s="13" t="s">
        <v>252</v>
      </c>
      <c r="BC113" s="13">
        <f>SKEW(BC91:BC94,BC98,BC100,BC102,BC108:BC110)</f>
        <v>1.6017103042483931</v>
      </c>
      <c r="BD113" s="13"/>
      <c r="BE113" s="13"/>
      <c r="BF113" s="13"/>
      <c r="BG113" s="13">
        <f>SKEW(BG91:BG94,BG98,BG100,BG102,BG108:BG110)</f>
        <v>0.8712899287518735</v>
      </c>
      <c r="BO113" s="29" t="s">
        <v>252</v>
      </c>
      <c r="BP113" s="13">
        <f>SKEW(BP91:BP94,BP98,BP100,BP102,BP108:BP110)</f>
        <v>1.9224318259203639</v>
      </c>
      <c r="BQ113" s="13"/>
      <c r="BR113" s="13"/>
      <c r="BS113" s="13"/>
      <c r="BT113" s="13">
        <f>SKEW(BT91:BT94,BT98,BT100,BT102,BT108:BT110)</f>
        <v>1.4973049487786296</v>
      </c>
      <c r="BY113" s="12"/>
      <c r="BZ113" s="12"/>
      <c r="CA113" s="12"/>
      <c r="CB113" s="13" t="s">
        <v>252</v>
      </c>
      <c r="CC113" s="13">
        <f>SKEW(CC91:CC94,CC98,CC100,CC102,CC108:CC110)</f>
        <v>0.39149820046152739</v>
      </c>
      <c r="CD113" s="13"/>
      <c r="CE113" s="13"/>
      <c r="CF113" s="13"/>
      <c r="CG113" s="13">
        <f>SKEW(CG91:CG94,CG98,CG100,CG102,CG108:CG110)</f>
        <v>0.35147231129141643</v>
      </c>
      <c r="CL113" s="12"/>
      <c r="CM113" s="12"/>
      <c r="CN113" s="12"/>
      <c r="CO113" s="13" t="s">
        <v>252</v>
      </c>
      <c r="CP113" s="13">
        <f>SKEW(CP91:CP94,CP98,CP100,CP102,CP108:CP110)</f>
        <v>1.103869490172849</v>
      </c>
      <c r="CQ113" s="13"/>
      <c r="CR113" s="13"/>
      <c r="CS113" s="13"/>
      <c r="CT113" s="13">
        <f>SKEW(CT91:CT94,CT98,CT100,CT102,CT108:CT110)</f>
        <v>0.51923434285790804</v>
      </c>
    </row>
    <row r="114" spans="1:98" ht="14.25" customHeight="1" x14ac:dyDescent="0.3">
      <c r="A114" s="13" t="s">
        <v>254</v>
      </c>
      <c r="B114" s="13">
        <f>SKEW(B95:B97,B99,B101,B103:B107)</f>
        <v>1.0186716671843099</v>
      </c>
      <c r="C114" s="13"/>
      <c r="D114" s="13"/>
      <c r="E114" s="13"/>
      <c r="F114" s="13">
        <f>SKEW(F95:F97,F99,F101,F103:F107)</f>
        <v>-0.4762648481687482</v>
      </c>
      <c r="K114" s="12"/>
      <c r="L114" s="12"/>
      <c r="M114" s="96"/>
      <c r="N114" s="29" t="s">
        <v>254</v>
      </c>
      <c r="O114" s="13">
        <f>SKEW(O95:O97,O99,O101,O103:O107)</f>
        <v>0.22863373512508575</v>
      </c>
      <c r="P114" s="13"/>
      <c r="Q114" s="13"/>
      <c r="R114" s="13"/>
      <c r="S114" s="13">
        <f>SKEW(S95:S97,S99,S101,S103:S107)</f>
        <v>-0.16872429387786061</v>
      </c>
      <c r="W114" s="12"/>
      <c r="X114" s="12"/>
      <c r="Y114" s="12"/>
      <c r="Z114" s="12"/>
      <c r="AA114" s="12"/>
      <c r="AB114" s="13" t="s">
        <v>254</v>
      </c>
      <c r="AC114" s="13">
        <f>SKEW(AC95:AC97,AC99,AC101,AC103:AC107)</f>
        <v>0.32880781166453182</v>
      </c>
      <c r="AD114" s="13"/>
      <c r="AE114" s="13"/>
      <c r="AF114" s="13"/>
      <c r="AG114" s="13">
        <f>SKEW(AG95:AG97,AG99,AG101,AG103:AG107)</f>
        <v>0.26334206075614597</v>
      </c>
      <c r="AL114" s="12"/>
      <c r="AM114" s="12"/>
      <c r="AN114" s="12"/>
      <c r="AO114" s="29" t="s">
        <v>254</v>
      </c>
      <c r="AP114" s="13">
        <f>SKEW(AP95:AP97,AP99,AP101,AP103:AP107)</f>
        <v>-0.25042490756465613</v>
      </c>
      <c r="AQ114" s="13"/>
      <c r="AR114" s="13"/>
      <c r="AS114" s="13"/>
      <c r="AT114" s="13">
        <f>SKEW(AT95:AT97,AT99,AT101,AT103:AT107)</f>
        <v>1.4579988305676652</v>
      </c>
      <c r="AZ114" s="12"/>
      <c r="BA114" s="12"/>
      <c r="BB114" s="13" t="s">
        <v>254</v>
      </c>
      <c r="BC114" s="13">
        <f>SKEW(BC95:BC97,BC99,BC101,BC103:BC107)</f>
        <v>1.2643849738941046</v>
      </c>
      <c r="BD114" s="13"/>
      <c r="BE114" s="13"/>
      <c r="BF114" s="13"/>
      <c r="BG114" s="13">
        <f>SKEW(BG95:BG97,BG99,BG101,BG103:BG107)</f>
        <v>1.4910705474809256</v>
      </c>
      <c r="BO114" s="29" t="s">
        <v>254</v>
      </c>
      <c r="BP114" s="13">
        <f>SKEW(BP95:BP97,BP99,BP101,BP103:BP107)</f>
        <v>1.1729571876182767</v>
      </c>
      <c r="BQ114" s="13"/>
      <c r="BR114" s="13"/>
      <c r="BS114" s="13"/>
      <c r="BT114" s="13">
        <f>SKEW(BT95:BT97,BT99,BT101,BT103:BT107)</f>
        <v>1.4954050305833719</v>
      </c>
      <c r="BY114" s="12"/>
      <c r="BZ114" s="12"/>
      <c r="CA114" s="12"/>
      <c r="CB114" s="13" t="s">
        <v>254</v>
      </c>
      <c r="CC114" s="13">
        <f>SKEW(CC95:CC97,CC99,CC101,CC103:CC107)</f>
        <v>-0.51303876034054929</v>
      </c>
      <c r="CD114" s="13"/>
      <c r="CE114" s="13"/>
      <c r="CF114" s="13"/>
      <c r="CG114" s="13">
        <f>SKEW(CG95:CG97,CG99,CG101,CG103:CG107)</f>
        <v>0.38080402678053876</v>
      </c>
      <c r="CL114" s="12"/>
      <c r="CM114" s="12"/>
      <c r="CN114" s="12"/>
      <c r="CO114" s="13" t="s">
        <v>254</v>
      </c>
      <c r="CP114" s="13">
        <f>SKEW(CP95:CP97,CP99,CP101,CP103:CP107)</f>
        <v>0.12995677576869838</v>
      </c>
      <c r="CQ114" s="13"/>
      <c r="CR114" s="13"/>
      <c r="CS114" s="13"/>
      <c r="CT114" s="13">
        <f>SKEW(CT95:CT97,CT99,CT101,CT103:CT107)</f>
        <v>0.62582343142549968</v>
      </c>
    </row>
    <row r="115" spans="1:98" ht="14.25" customHeight="1" x14ac:dyDescent="0.3">
      <c r="A115" s="13" t="s">
        <v>256</v>
      </c>
      <c r="B115" s="3">
        <v>16.7935621859916</v>
      </c>
      <c r="K115" s="12"/>
      <c r="L115" s="12"/>
      <c r="M115" s="96"/>
      <c r="N115" s="29" t="s">
        <v>256</v>
      </c>
      <c r="O115" s="3">
        <v>21.637838724725519</v>
      </c>
      <c r="W115" s="12"/>
      <c r="X115" s="12"/>
      <c r="Y115" s="12"/>
      <c r="Z115" s="12"/>
      <c r="AA115" s="12"/>
      <c r="AB115" s="13" t="s">
        <v>256</v>
      </c>
      <c r="AC115" s="3">
        <v>21.292561612569671</v>
      </c>
      <c r="AL115" s="12"/>
      <c r="AM115" s="12"/>
      <c r="AN115" s="12"/>
      <c r="AO115" s="29" t="s">
        <v>256</v>
      </c>
      <c r="AP115" s="3">
        <v>22.52749607214626</v>
      </c>
      <c r="AZ115" s="12"/>
      <c r="BA115" s="12"/>
      <c r="BB115" s="13" t="s">
        <v>256</v>
      </c>
      <c r="BC115" s="3">
        <v>21.13484269119547</v>
      </c>
      <c r="BO115" s="29" t="s">
        <v>256</v>
      </c>
      <c r="BP115" s="3">
        <v>11.323532689150531</v>
      </c>
      <c r="BY115" s="12"/>
      <c r="BZ115" s="12"/>
      <c r="CA115" s="12"/>
      <c r="CB115" s="13" t="s">
        <v>256</v>
      </c>
      <c r="CC115" s="3">
        <v>11.331777079522441</v>
      </c>
      <c r="CL115" s="12"/>
      <c r="CM115" s="12"/>
      <c r="CN115" s="12"/>
      <c r="CO115" s="13" t="s">
        <v>256</v>
      </c>
      <c r="CP115" s="3">
        <v>17.23327092670311</v>
      </c>
    </row>
    <row r="116" spans="1:98" ht="14.25" customHeight="1" x14ac:dyDescent="0.3">
      <c r="A116" s="13" t="s">
        <v>257</v>
      </c>
      <c r="B116" s="13">
        <v>11</v>
      </c>
      <c r="K116" s="12"/>
      <c r="L116" s="12"/>
      <c r="M116" s="96"/>
      <c r="N116" s="29" t="s">
        <v>257</v>
      </c>
      <c r="O116" s="13">
        <v>11</v>
      </c>
      <c r="W116" s="12"/>
      <c r="X116" s="12"/>
      <c r="Y116" s="12"/>
      <c r="Z116" s="12"/>
      <c r="AA116" s="12"/>
      <c r="AB116" s="13" t="s">
        <v>257</v>
      </c>
      <c r="AC116" s="13">
        <v>10</v>
      </c>
      <c r="AL116" s="12"/>
      <c r="AM116" s="12"/>
      <c r="AN116" s="12"/>
      <c r="AO116" s="29" t="s">
        <v>257</v>
      </c>
      <c r="AP116" s="13">
        <v>12</v>
      </c>
      <c r="AZ116" s="12"/>
      <c r="BA116" s="12"/>
      <c r="BB116" s="13" t="s">
        <v>257</v>
      </c>
      <c r="BC116" s="13">
        <v>9</v>
      </c>
      <c r="BO116" s="29" t="s">
        <v>257</v>
      </c>
      <c r="BP116" s="13">
        <v>8</v>
      </c>
      <c r="BY116" s="12"/>
      <c r="BZ116" s="12"/>
      <c r="CA116" s="12"/>
      <c r="CB116" s="13" t="s">
        <v>257</v>
      </c>
      <c r="CC116" s="13">
        <v>7</v>
      </c>
      <c r="CL116" s="12"/>
      <c r="CM116" s="12"/>
      <c r="CN116" s="12"/>
      <c r="CO116" s="13" t="s">
        <v>257</v>
      </c>
      <c r="CP116" s="13">
        <v>8</v>
      </c>
    </row>
    <row r="117" spans="1:98" ht="14.25" customHeight="1" x14ac:dyDescent="0.3">
      <c r="A117" s="28" t="s">
        <v>258</v>
      </c>
      <c r="B117" s="13">
        <f>B116*2</f>
        <v>22</v>
      </c>
      <c r="K117" s="27"/>
      <c r="L117" s="27"/>
      <c r="M117" s="97"/>
      <c r="N117" s="83" t="s">
        <v>258</v>
      </c>
      <c r="O117" s="13">
        <f>O116*2</f>
        <v>22</v>
      </c>
      <c r="W117" s="27"/>
      <c r="X117" s="27"/>
      <c r="Y117" s="27"/>
      <c r="Z117" s="27"/>
      <c r="AA117" s="27"/>
      <c r="AB117" s="28" t="s">
        <v>258</v>
      </c>
      <c r="AC117" s="13">
        <f>AC116*2</f>
        <v>20</v>
      </c>
      <c r="AL117" s="27"/>
      <c r="AM117" s="27"/>
      <c r="AN117" s="27"/>
      <c r="AO117" s="83" t="s">
        <v>258</v>
      </c>
      <c r="AP117" s="13">
        <f>AP116*2</f>
        <v>24</v>
      </c>
      <c r="AZ117" s="27"/>
      <c r="BA117" s="27"/>
      <c r="BB117" s="28" t="s">
        <v>258</v>
      </c>
      <c r="BC117" s="13">
        <f>BC116*2</f>
        <v>18</v>
      </c>
      <c r="BO117" s="83" t="s">
        <v>258</v>
      </c>
      <c r="BP117" s="13">
        <f>BP116*2</f>
        <v>16</v>
      </c>
      <c r="BY117" s="27"/>
      <c r="BZ117" s="27"/>
      <c r="CA117" s="27"/>
      <c r="CB117" s="28" t="s">
        <v>258</v>
      </c>
      <c r="CC117" s="13">
        <f>CC116*2</f>
        <v>14</v>
      </c>
      <c r="CL117" s="27"/>
      <c r="CM117" s="27"/>
      <c r="CN117" s="27"/>
      <c r="CO117" s="28" t="s">
        <v>258</v>
      </c>
      <c r="CP117" s="13">
        <f>CP116*2</f>
        <v>16</v>
      </c>
    </row>
    <row r="118" spans="1:98" ht="14.25" customHeight="1" x14ac:dyDescent="0.3"/>
    <row r="119" spans="1:98" ht="14.25" customHeight="1" x14ac:dyDescent="0.3"/>
    <row r="120" spans="1:98" ht="14.25" customHeight="1" x14ac:dyDescent="0.3"/>
    <row r="121" spans="1:98" ht="14.25" customHeight="1" x14ac:dyDescent="0.3">
      <c r="B121" s="13" t="s">
        <v>277</v>
      </c>
      <c r="C121" s="13"/>
      <c r="D121" s="13"/>
      <c r="E121" s="13"/>
      <c r="F121" s="13"/>
      <c r="O121" s="13" t="s">
        <v>278</v>
      </c>
      <c r="P121" s="13"/>
      <c r="Q121" s="13"/>
      <c r="R121" s="13"/>
      <c r="S121" s="13"/>
      <c r="AC121" s="13" t="s">
        <v>279</v>
      </c>
      <c r="AD121" s="13"/>
      <c r="AE121" s="13"/>
      <c r="AF121" s="13"/>
      <c r="AG121" s="13"/>
      <c r="AP121" s="13" t="s">
        <v>280</v>
      </c>
      <c r="AQ121" s="13"/>
      <c r="AR121" s="13"/>
      <c r="AS121" s="13"/>
      <c r="AT121" s="13"/>
      <c r="BC121" s="13" t="s">
        <v>281</v>
      </c>
      <c r="BD121" s="13"/>
      <c r="BE121" s="13"/>
      <c r="BF121" s="13"/>
      <c r="BG121" s="13"/>
      <c r="BP121" s="13" t="s">
        <v>282</v>
      </c>
      <c r="BQ121" s="13"/>
      <c r="BR121" s="13"/>
      <c r="BS121" s="13"/>
      <c r="BT121" s="13"/>
      <c r="CC121" s="13" t="s">
        <v>283</v>
      </c>
      <c r="CD121" s="13"/>
      <c r="CE121" s="13"/>
      <c r="CF121" s="13"/>
      <c r="CG121" s="13"/>
    </row>
    <row r="122" spans="1:98" ht="14.25" customHeight="1" x14ac:dyDescent="0.3">
      <c r="A122" s="13" t="s">
        <v>201</v>
      </c>
      <c r="B122" s="13" t="s">
        <v>5</v>
      </c>
      <c r="C122" s="13" t="s">
        <v>208</v>
      </c>
      <c r="D122" s="14" t="s">
        <v>189</v>
      </c>
      <c r="E122" s="13" t="s">
        <v>190</v>
      </c>
      <c r="F122" s="13" t="s">
        <v>191</v>
      </c>
      <c r="G122" s="13" t="s">
        <v>192</v>
      </c>
      <c r="H122" s="64" t="s">
        <v>396</v>
      </c>
      <c r="I122" s="13" t="s">
        <v>193</v>
      </c>
      <c r="J122" s="13" t="s">
        <v>197</v>
      </c>
      <c r="K122" s="72" t="s">
        <v>198</v>
      </c>
      <c r="L122" t="s">
        <v>373</v>
      </c>
      <c r="N122" s="29" t="s">
        <v>201</v>
      </c>
      <c r="O122" s="13" t="s">
        <v>5</v>
      </c>
      <c r="P122" s="13" t="s">
        <v>209</v>
      </c>
      <c r="Q122" s="14" t="s">
        <v>189</v>
      </c>
      <c r="R122" s="13" t="s">
        <v>190</v>
      </c>
      <c r="S122" s="13" t="s">
        <v>191</v>
      </c>
      <c r="T122" s="13" t="s">
        <v>192</v>
      </c>
      <c r="U122" s="64" t="s">
        <v>396</v>
      </c>
      <c r="V122" s="13" t="s">
        <v>193</v>
      </c>
      <c r="W122" s="13" t="s">
        <v>197</v>
      </c>
      <c r="X122" s="72" t="s">
        <v>198</v>
      </c>
      <c r="Y122" s="12" t="s">
        <v>373</v>
      </c>
      <c r="Z122" s="12"/>
      <c r="AA122" s="12"/>
      <c r="AB122" s="13" t="s">
        <v>201</v>
      </c>
      <c r="AC122" s="13" t="s">
        <v>5</v>
      </c>
      <c r="AD122" s="13" t="s">
        <v>211</v>
      </c>
      <c r="AE122" s="14" t="s">
        <v>189</v>
      </c>
      <c r="AF122" s="13" t="s">
        <v>190</v>
      </c>
      <c r="AG122" s="13" t="s">
        <v>191</v>
      </c>
      <c r="AH122" s="13" t="s">
        <v>192</v>
      </c>
      <c r="AI122" s="64" t="s">
        <v>396</v>
      </c>
      <c r="AJ122" s="13" t="s">
        <v>193</v>
      </c>
      <c r="AK122" s="13" t="s">
        <v>197</v>
      </c>
      <c r="AL122" s="72" t="s">
        <v>198</v>
      </c>
      <c r="AM122" t="s">
        <v>373</v>
      </c>
      <c r="AN122" s="12"/>
      <c r="AO122" s="29" t="s">
        <v>201</v>
      </c>
      <c r="AP122" s="13" t="s">
        <v>5</v>
      </c>
      <c r="AQ122" s="13" t="s">
        <v>212</v>
      </c>
      <c r="AR122" s="14" t="s">
        <v>189</v>
      </c>
      <c r="AS122" s="13" t="s">
        <v>190</v>
      </c>
      <c r="AT122" s="13" t="s">
        <v>191</v>
      </c>
      <c r="AU122" s="13" t="s">
        <v>192</v>
      </c>
      <c r="AV122" s="64" t="s">
        <v>396</v>
      </c>
      <c r="AW122" s="13" t="s">
        <v>193</v>
      </c>
      <c r="AX122" s="13" t="s">
        <v>197</v>
      </c>
      <c r="AY122" s="72" t="s">
        <v>198</v>
      </c>
      <c r="AZ122" t="s">
        <v>373</v>
      </c>
      <c r="BA122" s="12"/>
      <c r="BB122" s="13" t="s">
        <v>201</v>
      </c>
      <c r="BC122" s="13" t="s">
        <v>5</v>
      </c>
      <c r="BD122" s="13" t="s">
        <v>188</v>
      </c>
      <c r="BE122" s="14" t="s">
        <v>189</v>
      </c>
      <c r="BF122" s="13" t="s">
        <v>190</v>
      </c>
      <c r="BG122" s="13" t="s">
        <v>191</v>
      </c>
      <c r="BH122" s="13" t="s">
        <v>192</v>
      </c>
      <c r="BI122" s="64" t="s">
        <v>396</v>
      </c>
      <c r="BJ122" s="13" t="s">
        <v>193</v>
      </c>
      <c r="BK122" s="13" t="s">
        <v>197</v>
      </c>
      <c r="BL122" s="72" t="s">
        <v>198</v>
      </c>
      <c r="BM122" t="s">
        <v>373</v>
      </c>
      <c r="BO122" s="29" t="s">
        <v>201</v>
      </c>
      <c r="BP122" s="13" t="s">
        <v>5</v>
      </c>
      <c r="BQ122" s="13" t="s">
        <v>202</v>
      </c>
      <c r="BR122" s="14" t="s">
        <v>189</v>
      </c>
      <c r="BS122" s="13" t="s">
        <v>190</v>
      </c>
      <c r="BT122" s="13" t="s">
        <v>191</v>
      </c>
      <c r="BU122" s="13" t="s">
        <v>192</v>
      </c>
      <c r="BV122" s="64" t="s">
        <v>396</v>
      </c>
      <c r="BW122" s="13" t="s">
        <v>193</v>
      </c>
      <c r="BX122" s="13" t="s">
        <v>197</v>
      </c>
      <c r="BY122" s="72" t="s">
        <v>198</v>
      </c>
      <c r="BZ122" s="12" t="s">
        <v>373</v>
      </c>
      <c r="CA122" s="12"/>
      <c r="CB122" s="13" t="s">
        <v>201</v>
      </c>
      <c r="CC122" s="13" t="s">
        <v>5</v>
      </c>
      <c r="CD122" s="13" t="s">
        <v>206</v>
      </c>
      <c r="CE122" s="14" t="s">
        <v>189</v>
      </c>
      <c r="CF122" s="13" t="s">
        <v>190</v>
      </c>
      <c r="CG122" s="13" t="s">
        <v>191</v>
      </c>
      <c r="CH122" s="13" t="s">
        <v>192</v>
      </c>
      <c r="CI122" s="64" t="s">
        <v>396</v>
      </c>
      <c r="CJ122" s="13" t="s">
        <v>193</v>
      </c>
      <c r="CK122" s="13" t="s">
        <v>197</v>
      </c>
      <c r="CL122" s="72" t="s">
        <v>198</v>
      </c>
      <c r="CM122" t="s">
        <v>373</v>
      </c>
    </row>
    <row r="123" spans="1:98" ht="14.25" customHeight="1" x14ac:dyDescent="0.3">
      <c r="A123" s="3" t="s">
        <v>213</v>
      </c>
      <c r="B123" s="3">
        <v>15</v>
      </c>
      <c r="C123" s="18">
        <v>7</v>
      </c>
      <c r="D123" s="3">
        <v>16</v>
      </c>
      <c r="E123" s="3">
        <v>17</v>
      </c>
      <c r="F123" s="3">
        <v>8</v>
      </c>
      <c r="G123" s="13">
        <v>1.247177188019948</v>
      </c>
      <c r="H123" s="64" t="s">
        <v>397</v>
      </c>
      <c r="I123" s="13">
        <v>17</v>
      </c>
      <c r="J123" s="3">
        <f t="shared" ref="J123:J132" si="102">IF(D123&lt;=B123,1,0)</f>
        <v>0</v>
      </c>
      <c r="K123" s="3">
        <f t="shared" ref="K123:K142" si="103">D123-B123</f>
        <v>1</v>
      </c>
      <c r="L123" t="str">
        <f t="shared" ref="L123:L142" si="104">IF(G123&gt;0,
    IF(OR(B123&lt;=TRUNC(I123/2,0),B123=0),
        IF(F123=TRUNC(I123/2,0),
            "-1, Déficit y dejo la capacidad media",
            IF(AND(F123&gt;TRUNC(I123/2,0), F123&gt;B123),
                "1, Déficit y eliminé déficit",
                IF(AND(F123&lt;TRUNC(I123/2,0), F123&lt;B123),
                    "0, Déficit y no elimine déficit",
                    "-2, Déficit y resultado fue bueno")
            )
        ),
        IF(AND(F123&gt;TRUNC(I123/2,0), F123&gt;B123),
            "1, no había déficit, pero resultado fue mejor",
            IF(AND(F123&lt;TRUNC(I123/2,0),F123&lt;B123),
                "0, no había déficit y la dejo con déficit",
                IF(F123=TRUNC(I123/2,0),
                    "-1, no había déficit y dejo la capacidad media",
                    "-2,no había déficit y resultado fue bueno")
            )
        )
    ),
    IF(G123&lt;0,
        IF(B123&gt;TRUNC(I123/2,0),
            IF(F123=TRUNC(I123/2,0),
                "-1, Superávit y deje la capacidad media",
                IF(AND(F123&gt;TRUNC(I123/2,0), F123&gt;=B123),
                    "0, Superávit y no eliminé superávit",
                    IF(AND(F123&lt;TRUNC(I123/2,0),F123&lt;B123),
                        "1, Superávit y eliminé superávit",
                        "-2, Superávit y resultado fue bueno"
                    )
                )
            ),
            IF(AND(B123&lt;=TRUNC(I123/2,0),B123&gt;=0),
                IF(F123=TRUNC(I123/2,0),
                    "-1, no había superávit y deje la capacidad media",
                    IF(AND(F123&gt;TRUNC(I123/2,0), F123&gt;=B123),
                        "0, no había superávit, y la deje con superávit",
                        IF(AND(F123&lt;TRUNC(I123/2,0),F123&lt;B123),
                            "1, no había superávit, pero el resultado fue mejor",
                            "-2, no había superávit y resultado fue bueno"
                        )
                    )
                )
            )
        )
    )
)</f>
        <v>-1, no había déficit y dejo la capacidad media</v>
      </c>
      <c r="M123" s="98"/>
      <c r="N123" s="3" t="s">
        <v>213</v>
      </c>
      <c r="O123" s="3">
        <v>4</v>
      </c>
      <c r="P123" s="18">
        <v>5.666666666666667</v>
      </c>
      <c r="Q123" s="3">
        <v>15</v>
      </c>
      <c r="R123" s="3">
        <v>14</v>
      </c>
      <c r="S123" s="3">
        <v>8</v>
      </c>
      <c r="T123" s="13">
        <v>1.247177188019948</v>
      </c>
      <c r="U123" s="64" t="s">
        <v>397</v>
      </c>
      <c r="V123" s="13">
        <v>17</v>
      </c>
      <c r="W123" s="3">
        <f t="shared" ref="W123:W132" si="105">IF(Q123&lt;=O123,1,0)</f>
        <v>0</v>
      </c>
      <c r="X123" s="3">
        <f t="shared" ref="X123:X142" si="106">Q123-O123</f>
        <v>11</v>
      </c>
      <c r="Y123" t="str">
        <f t="shared" ref="Y123:Y142" si="107">IF(T123&gt;0,
    IF(OR(O123&lt;=TRUNC(V123/2,0),O123=0),
        IF(S123=TRUNC(V123/2,0),
            "-1, Déficit y dejo la capacidad media",
            IF(AND(S123&gt;TRUNC(V123/2,0), S123&gt;O123),
                "1, Déficit y eliminé déficit",
                IF(AND(S123&lt;TRUNC(V123/2,0), S123&lt;O123),
                    "0, Déficit y no elimine déficit",
                    "-2, Déficit y resultado fue bueno")
            )
        ),
        IF(AND(S123&gt;TRUNC(V123/2,0), S123&gt;O123),
            "1, no había déficit, pero resultado fue mejor",
            IF(AND(S123&lt;TRUNC(V123/2,0),S123&lt;O123),
                "0, no había déficit y la dejo con déficit",
                IF(S123=TRUNC(V123/2,0),
                    "-1, no había déficit y dejo la capacidad media",
                    "-2,no había déficit y resultado fue bueno")
            )
        )
    ),
    IF(T123&lt;0,
        IF(O123&gt;TRUNC(V123/2,0),
            IF(S123=TRUNC(V123/2,0),
                "-1, Superávit y deje la capacidad media",
                IF(AND(S123&gt;TRUNC(V123/2,0), S123&gt;=O123),
                    "0, Superávit y no eliminé superávit",
                    IF(AND(S123&lt;TRUNC(V123/2,0),S123&lt;O123),
                        "1, Superávit y eliminé superávit",
                        "-2, Superávit y resultado fue bueno"
                    )
                )
            ),
            IF(AND(O123&lt;=TRUNC(V123/2,0),O123&gt;=0),
                IF(S123=TRUNC(V123/2,0),
                    "-1, no había superávit y deje la capacidad media",
                    IF(AND(S123&gt;TRUNC(V123/2,0), S123&gt;=O123),
                        "0, no había superávit, y la deje con superávit",
                        IF(AND(S123&lt;TRUNC(V123/2,0),S123&lt;O123),
                            "1, no había superávit, pero el resultado fue mejor",
                            "-2, no había superávit y resultado fue bueno"
                        )
                    )
                )
            )
        )
    )
)</f>
        <v>-1, Déficit y dejo la capacidad media</v>
      </c>
      <c r="AB123" s="3" t="s">
        <v>213</v>
      </c>
      <c r="AC123" s="3">
        <v>14</v>
      </c>
      <c r="AD123" s="18">
        <v>3.6666666666666665</v>
      </c>
      <c r="AE123" s="3">
        <v>14</v>
      </c>
      <c r="AF123" s="3">
        <v>14</v>
      </c>
      <c r="AG123" s="3">
        <v>8</v>
      </c>
      <c r="AH123" s="13">
        <v>1.247177188019948</v>
      </c>
      <c r="AI123" s="64" t="s">
        <v>397</v>
      </c>
      <c r="AJ123" s="13">
        <v>17</v>
      </c>
      <c r="AK123" s="3">
        <f t="shared" ref="AK123:AK132" si="108">IF(AE123&lt;=AC123,1,0)</f>
        <v>1</v>
      </c>
      <c r="AL123" s="3">
        <f t="shared" ref="AL123:AL142" si="109">AE123-AC123</f>
        <v>0</v>
      </c>
      <c r="AM123" t="str">
        <f t="shared" ref="AM123:AM142" si="110">IF(AH123&gt;0,
    IF(OR(AC123&lt;=TRUNC(AJ123/2,0),AC123=0),
        IF(AG123=TRUNC(AJ123/2,0),
            "-1, Déficit y dejo la capacidad media",
            IF(AND(AG123&gt;TRUNC(AJ123/2,0), AG123&gt;AC123),
                "1, Déficit y eliminé déficit",
                IF(AND(AG123&lt;TRUNC(AJ123/2,0), AG123&lt;AC123),
                    "0, Déficit y no elimine déficit",
                    "-2, Déficit y resultado fue bueno")
            )
        ),
        IF(AND(AG123&gt;TRUNC(AJ123/2,0), AG123&gt;AC123),
            "1, no había déficit, pero resultado fue mejor",
            IF(AND(AG123&lt;TRUNC(AJ123/2,0),AG123&lt;AC123),
                "0, no había déficit y la dejo con déficit",
                IF(AG123=TRUNC(AJ123/2,0),
                    "-1, no había déficit y dejo la capacidad media",
                    "-2,no había déficit y resultado fue bueno")
            )
        )
    ),
    IF(AH123&lt;0,
        IF(AC123&gt;TRUNC(AJ123/2,0),
            IF(AG123=TRUNC(AJ123/2,0),
                "-1, Superávit y deje la capacidad media",
                IF(AND(AG123&gt;TRUNC(AJ123/2,0), AG123&gt;=AC123),
                    "0, Superávit y no eliminé superávit",
                    IF(AND(AG123&lt;TRUNC(AJ123/2,0),AG123&lt;AC123),
                        "1, Superávit y eliminé superávit",
                        "-2, Superávit y resultado fue bueno"
                    )
                )
            ),
            IF(AND(AC123&lt;=TRUNC(AJ123/2,0),AC123&gt;=0),
                IF(AG123=TRUNC(AJ123/2,0),
                    "-1, no había superávit y deje la capacidad media",
                    IF(AND(AG123&gt;TRUNC(AJ123/2,0), AG123&gt;=AC123),
                        "0, no había superávit, y la deje con superávit",
                        IF(AND(AG123&lt;TRUNC(AJ123/2,0),AG123&lt;AC123),
                            "1, no había superávit, pero el resultado fue mejor",
                            "-2, no había superávit y resultado fue bueno"
                        )
                    )
                )
            )
        )
    )
)</f>
        <v>-1, no había déficit y dejo la capacidad media</v>
      </c>
      <c r="AO123" s="3" t="s">
        <v>213</v>
      </c>
      <c r="AP123" s="3">
        <v>3</v>
      </c>
      <c r="AQ123" s="18">
        <v>6.666666666666667</v>
      </c>
      <c r="AR123" s="3">
        <v>2</v>
      </c>
      <c r="AS123" s="3">
        <v>2</v>
      </c>
      <c r="AT123" s="3">
        <v>8</v>
      </c>
      <c r="AU123" s="13">
        <v>1.247177188019948</v>
      </c>
      <c r="AV123" s="64" t="s">
        <v>397</v>
      </c>
      <c r="AW123" s="13">
        <v>17</v>
      </c>
      <c r="AX123" s="3">
        <f t="shared" ref="AX123:AX132" si="111">IF(AR123&lt;=AP123,1,0)</f>
        <v>1</v>
      </c>
      <c r="AY123" s="3">
        <f t="shared" ref="AY123:AY142" si="112">AR123-AP123</f>
        <v>-1</v>
      </c>
      <c r="AZ123" t="str">
        <f t="shared" ref="AZ123:AZ142" si="113">IF(AU123&gt;0,
    IF(OR(AP123&lt;=TRUNC(AW123/2,0),AP123=0),
        IF(AT123=TRUNC(AW123/2,0),
            "-1, Déficit y dejo la capacidad media",
            IF(AND(AT123&gt;TRUNC(AW123/2,0), AT123&gt;AP123),
                "1, Déficit y eliminé déficit",
                IF(AND(AT123&lt;TRUNC(AW123/2,0), AT123&lt;AP123),
                    "0, Déficit y no elimine déficit",
                    "-2, Déficit y resultado fue bueno")
            )
        ),
        IF(AND(AT123&gt;TRUNC(AW123/2,0), AT123&gt;AP123),
            "1, no había déficit, pero resultado fue mejor",
            IF(AND(AT123&lt;TRUNC(AW123/2,0),AT123&lt;AP123),
                "0, no había déficit y la dejo con déficit",
                IF(AT123=TRUNC(AW123/2,0),
                    "-1, no había déficit y dejo la capacidad media",
                    "-2,no había déficit y resultado fue bueno")
            )
        )
    ),
    IF(AU123&lt;0,
        IF(AP123&gt;TRUNC(AW123/2,0),
            IF(AT123=TRUNC(AW123/2,0),
                "-1, Superávit y deje la capacidad media",
                IF(AND(AT123&gt;TRUNC(AW123/2,0), AT123&gt;=AP123),
                    "0, Superávit y no eliminé superávit",
                    IF(AND(AT123&lt;TRUNC(AW123/2,0),AT123&lt;AP123),
                        "1, Superávit y eliminé superávit",
                        "-2, Superávit y resultado fue bueno"
                    )
                )
            ),
            IF(AND(AP123&lt;=TRUNC(AW123/2,0),AP123&gt;=0),
                IF(AT123=TRUNC(AW123/2,0),
                    "-1, no había superávit y deje la capacidad media",
                    IF(AND(AT123&gt;TRUNC(AW123/2,0), AT123&gt;=AP123),
                        "0, no había superávit, y la deje con superávit",
                        IF(AND(AT123&lt;TRUNC(AW123/2,0),AT123&lt;AP123),
                            "1, no había superávit, pero el resultado fue mejor",
                            "-2, no había superávit y resultado fue bueno"
                        )
                    )
                )
            )
        )
    )
)</f>
        <v>-1, Déficit y dejo la capacidad media</v>
      </c>
      <c r="BB123" s="3" t="s">
        <v>213</v>
      </c>
      <c r="BC123" s="3">
        <v>6</v>
      </c>
      <c r="BD123" s="18">
        <v>6</v>
      </c>
      <c r="BE123" s="3">
        <v>5</v>
      </c>
      <c r="BF123" s="3">
        <v>5</v>
      </c>
      <c r="BG123" s="3">
        <v>8</v>
      </c>
      <c r="BH123" s="13">
        <v>1.247177188019948</v>
      </c>
      <c r="BI123" s="64" t="s">
        <v>397</v>
      </c>
      <c r="BJ123" s="13">
        <v>17</v>
      </c>
      <c r="BK123" s="3">
        <f t="shared" ref="BK123:BK132" si="114">IF(BE123&lt;=BC123,1,0)</f>
        <v>1</v>
      </c>
      <c r="BL123" s="3">
        <f t="shared" ref="BL123:BL142" si="115">BE123-BC123</f>
        <v>-1</v>
      </c>
      <c r="BM123" t="str">
        <f t="shared" ref="BM123:BM142" si="116">IF(BH123&gt;0,
    IF(OR(BC123&lt;=TRUNC(BJ123/2,0),BC123=0),
        IF(BG123=TRUNC(BJ123/2,0),
            "-1, Déficit y dejo la capacidad media",
            IF(AND(BG123&gt;TRUNC(BJ123/2,0), BG123&gt;BC123),
                "1, Déficit y eliminé déficit",
                IF(AND(BG123&lt;TRUNC(BJ123/2,0), BG123&lt;BC123),
                    "0, Déficit y no elimine déficit",
                    "-2, Déficit y resultado fue bueno")
            )
        ),
        IF(AND(BG123&gt;TRUNC(BJ123/2,0), BG123&gt;BC123),
            "1, no había déficit, pero resultado fue mejor",
            IF(AND(BG123&lt;TRUNC(BJ123/2,0),BG123&lt;BC123),
                "0, no había déficit y la dejo con déficit",
                IF(BG123=TRUNC(BJ123/2,0),
                    "-1, no había déficit y dejo la capacidad media",
                    "-2,no había déficit y resultado fue bueno")
            )
        )
    ),
    IF(BH123&lt;0,
        IF(BC123&gt;TRUNC(BJ123/2,0),
            IF(BG123=TRUNC(BJ123/2,0),
                "-1, Superávit y deje la capacidad media",
                IF(AND(BG123&gt;TRUNC(BJ123/2,0), BG123&gt;=BC123),
                    "0, Superávit y no eliminé superávit",
                    IF(AND(BG123&lt;TRUNC(BJ123/2,0),BG123&lt;BC123),
                        "1, Superávit y eliminé superávit",
                        "-2, Superávit y resultado fue bueno"
                    )
                )
            ),
            IF(AND(BC123&lt;=TRUNC(BJ123/2,0),BC123&gt;=0),
                IF(BG123=TRUNC(BJ123/2,0),
                    "-1, no había superávit y deje la capacidad media",
                    IF(AND(BG123&gt;TRUNC(BJ123/2,0), BG123&gt;=BC123),
                        "0, no había superávit, y la deje con superávit",
                        IF(AND(BG123&lt;TRUNC(BJ123/2,0),BG123&lt;BC123),
                            "1, no había superávit, pero el resultado fue mejor",
                            "-2, no había superávit y resultado fue bueno"
                        )
                    )
                )
            )
        )
    )
)</f>
        <v>-1, Déficit y dejo la capacidad media</v>
      </c>
      <c r="BO123" s="3" t="s">
        <v>213</v>
      </c>
      <c r="BP123" s="3">
        <v>6</v>
      </c>
      <c r="BQ123" s="18">
        <v>3.3333333333333335</v>
      </c>
      <c r="BR123" s="3">
        <v>6</v>
      </c>
      <c r="BS123" s="3">
        <v>6</v>
      </c>
      <c r="BT123" s="3">
        <v>8</v>
      </c>
      <c r="BU123" s="13">
        <v>1.247177188019948</v>
      </c>
      <c r="BV123" s="64" t="s">
        <v>397</v>
      </c>
      <c r="BW123" s="13">
        <v>17</v>
      </c>
      <c r="BX123" s="3">
        <f t="shared" ref="BX123:BX132" si="117">IF(BR123&lt;=BP123,1,0)</f>
        <v>1</v>
      </c>
      <c r="BY123" s="3">
        <f t="shared" ref="BY123:BY142" si="118">BR123-BP123</f>
        <v>0</v>
      </c>
      <c r="BZ123" t="str">
        <f t="shared" ref="BZ123:BZ142" si="119">IF(BU123&gt;0,
    IF(OR(BP123&lt;=TRUNC(BW123/2,0),BP123=0),
        IF(BT123=TRUNC(BW123/2,0),
            "-1, Déficit y dejo la capacidad media",
            IF(AND(BT123&gt;TRUNC(BW123/2,0), BT123&gt;BP123),
                "1, Déficit y eliminé déficit",
                IF(AND(BT123&lt;TRUNC(BW123/2,0), BT123&lt;BP123),
                    "0, Déficit y no elimine déficit",
                    "-2, Déficit y resultado fue bueno")
            )
        ),
        IF(AND(BT123&gt;TRUNC(BW123/2,0), BT123&gt;BP123),
            "1, no había déficit, pero resultado fue mejor",
            IF(AND(BT123&lt;TRUNC(BW123/2,0),BT123&lt;BP123),
                "0, no había déficit y la dejo con déficit",
                IF(BT123=TRUNC(BW123/2,0),
                    "-1, no había déficit y dejo la capacidad media",
                    "-2,no había déficit y resultado fue bueno")
            )
        )
    ),
    IF(BU123&lt;0,
        IF(BP123&gt;TRUNC(BW123/2,0),
            IF(BT123=TRUNC(BW123/2,0),
                "-1, Superávit y deje la capacidad media",
                IF(AND(BT123&gt;TRUNC(BW123/2,0), BT123&gt;=BP123),
                    "0, Superávit y no eliminé superávit",
                    IF(AND(BT123&lt;TRUNC(BW123/2,0),BT123&lt;BP123),
                        "1, Superávit y eliminé superávit",
                        "-2, Superávit y resultado fue bueno"
                    )
                )
            ),
            IF(AND(BP123&lt;=TRUNC(BW123/2,0),BP123&gt;=0),
                IF(BT123=TRUNC(BW123/2,0),
                    "-1, no había superávit y deje la capacidad media",
                    IF(AND(BT123&gt;TRUNC(BW123/2,0), BT123&gt;=BP123),
                        "0, no había superávit, y la deje con superávit",
                        IF(AND(BT123&lt;TRUNC(BW123/2,0),BT123&lt;BP123),
                            "1, no había superávit, pero el resultado fue mejor",
                            "-2, no había superávit y resultado fue bueno"
                        )
                    )
                )
            )
        )
    )
)</f>
        <v>-1, Déficit y dejo la capacidad media</v>
      </c>
      <c r="CB123" s="3" t="s">
        <v>213</v>
      </c>
      <c r="CC123" s="3">
        <v>1</v>
      </c>
      <c r="CD123" s="18">
        <v>3.1111111111111112</v>
      </c>
      <c r="CE123" s="3">
        <v>1</v>
      </c>
      <c r="CF123" s="3">
        <v>1</v>
      </c>
      <c r="CG123" s="3">
        <v>8</v>
      </c>
      <c r="CH123" s="13">
        <v>1.247177188019948</v>
      </c>
      <c r="CI123" s="64" t="s">
        <v>397</v>
      </c>
      <c r="CJ123" s="13">
        <v>17</v>
      </c>
      <c r="CK123" s="3">
        <f t="shared" ref="CK123:CK142" si="120">IF(CE123&lt;=CC123,1,0)</f>
        <v>1</v>
      </c>
      <c r="CL123" s="3">
        <f t="shared" ref="CL123:CL142" si="121">CE123-CC123</f>
        <v>0</v>
      </c>
      <c r="CM123" t="str">
        <f t="shared" ref="CM123:CM142" si="122">IF(CH123&gt;0,
    IF(OR(CC123&lt;=TRUNC(CJ123/2,0),CC123=0),
        IF(CG123=TRUNC(CJ123/2,0),
            "-1, Déficit y dejo la capacidad media",
            IF(AND(CG123&gt;TRUNC(CJ123/2,0), CG123&gt;CC123),
                "1, Déficit y eliminé déficit",
                IF(AND(CG123&lt;TRUNC(CJ123/2,0), CG123&lt;CC123),
                    "0, Déficit y no elimine déficit",
                    "-2, Déficit y resultado fue bueno")
            )
        ),
        IF(AND(CG123&gt;TRUNC(CJ123/2,0), CG123&gt;CC123),
            "1, no había déficit, pero resultado fue mejor",
            IF(AND(CG123&lt;TRUNC(CJ123/2,0),CG123&lt;CC123),
                "0, no había déficit y la dejo con déficit",
                IF(CG123=TRUNC(CJ123/2,0),
                    "-1, no había déficit y dejo la capacidad media",
                    "-2,no había déficit y resultado fue bueno")
            )
        )
    ),
    IF(CH123&lt;0,
        IF(CC123&gt;TRUNC(CJ123/2,0),
            IF(CG123=TRUNC(CJ123/2,0),
                "-1, Superávit y deje la capacidad media",
                IF(AND(CG123&gt;TRUNC(CJ123/2,0), CG123&gt;=CC123),
                    "0, Superávit y no eliminé superávit",
                    IF(AND(CG123&lt;TRUNC(CJ123/2,0),CG123&lt;CC123),
                        "1, Superávit y eliminé superávit",
                        "-2, Superávit y resultado fue bueno"
                    )
                )
            ),
            IF(AND(CC123&lt;=TRUNC(CJ123/2,0),CC123&gt;=0),
                IF(CG123=TRUNC(CJ123/2,0),
                    "-1, no había superávit y deje la capacidad media",
                    IF(AND(CG123&gt;TRUNC(CJ123/2,0), CG123&gt;=CC123),
                        "0, no había superávit, y la deje con superávit",
                        IF(AND(CG123&lt;TRUNC(CJ123/2,0),CG123&lt;CC123),
                            "1, no había superávit, pero el resultado fue mejor",
                            "-2, no había superávit y resultado fue bueno"
                        )
                    )
                )
            )
        )
    )
)</f>
        <v>-1, Déficit y dejo la capacidad media</v>
      </c>
    </row>
    <row r="124" spans="1:98" ht="14.25" customHeight="1" x14ac:dyDescent="0.3">
      <c r="A124" s="3" t="s">
        <v>215</v>
      </c>
      <c r="B124" s="3">
        <v>7</v>
      </c>
      <c r="C124" s="18">
        <v>6.1111111111111107</v>
      </c>
      <c r="D124" s="3">
        <v>6</v>
      </c>
      <c r="E124" s="3">
        <v>6</v>
      </c>
      <c r="F124" s="3">
        <v>7</v>
      </c>
      <c r="G124" s="13">
        <v>1.1425292918330761</v>
      </c>
      <c r="H124" s="64" t="s">
        <v>399</v>
      </c>
      <c r="I124" s="13">
        <v>15</v>
      </c>
      <c r="J124" s="3">
        <f t="shared" si="102"/>
        <v>1</v>
      </c>
      <c r="K124" s="3">
        <f t="shared" si="103"/>
        <v>-1</v>
      </c>
      <c r="L124" t="str">
        <f t="shared" si="104"/>
        <v>-1, Déficit y dejo la capacidad media</v>
      </c>
      <c r="M124" s="98"/>
      <c r="N124" s="3" t="s">
        <v>215</v>
      </c>
      <c r="O124" s="3">
        <v>5</v>
      </c>
      <c r="P124" s="18">
        <v>3.6666666666666665</v>
      </c>
      <c r="Q124" s="3">
        <v>6</v>
      </c>
      <c r="R124" s="3">
        <v>4</v>
      </c>
      <c r="S124" s="3">
        <v>10</v>
      </c>
      <c r="T124" s="13">
        <v>1.1425292918330761</v>
      </c>
      <c r="U124" s="64" t="s">
        <v>399</v>
      </c>
      <c r="V124" s="13">
        <v>15</v>
      </c>
      <c r="W124" s="3">
        <f t="shared" si="105"/>
        <v>0</v>
      </c>
      <c r="X124" s="3">
        <f t="shared" si="106"/>
        <v>1</v>
      </c>
      <c r="Y124" t="str">
        <f t="shared" si="107"/>
        <v>1, Déficit y eliminé déficit</v>
      </c>
      <c r="AB124" s="3" t="s">
        <v>215</v>
      </c>
      <c r="AC124" s="3">
        <v>2</v>
      </c>
      <c r="AD124" s="18">
        <v>4.666666666666667</v>
      </c>
      <c r="AE124" s="3">
        <v>1</v>
      </c>
      <c r="AF124" s="3">
        <v>1</v>
      </c>
      <c r="AG124" s="3">
        <v>7</v>
      </c>
      <c r="AH124" s="13">
        <v>1.1425292918330761</v>
      </c>
      <c r="AI124" s="64" t="s">
        <v>399</v>
      </c>
      <c r="AJ124" s="13">
        <v>15</v>
      </c>
      <c r="AK124" s="3">
        <f t="shared" si="108"/>
        <v>1</v>
      </c>
      <c r="AL124" s="3">
        <f t="shared" si="109"/>
        <v>-1</v>
      </c>
      <c r="AM124" t="str">
        <f t="shared" si="110"/>
        <v>-1, Déficit y dejo la capacidad media</v>
      </c>
      <c r="AO124" s="3" t="s">
        <v>215</v>
      </c>
      <c r="AP124" s="3">
        <v>8</v>
      </c>
      <c r="AQ124" s="18">
        <v>6.1111111111111107</v>
      </c>
      <c r="AR124" s="3">
        <v>5</v>
      </c>
      <c r="AS124" s="3">
        <v>1</v>
      </c>
      <c r="AT124" s="3">
        <v>7</v>
      </c>
      <c r="AU124" s="13">
        <v>1.1425292918330761</v>
      </c>
      <c r="AV124" s="64" t="s">
        <v>399</v>
      </c>
      <c r="AW124" s="13">
        <v>15</v>
      </c>
      <c r="AX124" s="3">
        <f t="shared" si="111"/>
        <v>1</v>
      </c>
      <c r="AY124" s="3">
        <f t="shared" si="112"/>
        <v>-3</v>
      </c>
      <c r="AZ124" t="str">
        <f t="shared" si="113"/>
        <v>-1, no había déficit y dejo la capacidad media</v>
      </c>
      <c r="BB124" s="3" t="s">
        <v>215</v>
      </c>
      <c r="BC124" s="3">
        <v>2</v>
      </c>
      <c r="BD124" s="18">
        <v>4.1111111111111107</v>
      </c>
      <c r="BE124" s="3">
        <v>3</v>
      </c>
      <c r="BF124" s="3">
        <v>3</v>
      </c>
      <c r="BG124" s="3">
        <v>9</v>
      </c>
      <c r="BH124" s="13">
        <v>1.1425292918330761</v>
      </c>
      <c r="BI124" s="64" t="s">
        <v>399</v>
      </c>
      <c r="BJ124" s="13">
        <v>15</v>
      </c>
      <c r="BK124" s="3">
        <f t="shared" si="114"/>
        <v>0</v>
      </c>
      <c r="BL124" s="3">
        <f t="shared" si="115"/>
        <v>1</v>
      </c>
      <c r="BM124" t="str">
        <f t="shared" si="116"/>
        <v>1, Déficit y eliminé déficit</v>
      </c>
      <c r="BO124" s="3" t="s">
        <v>215</v>
      </c>
      <c r="BP124" s="3">
        <v>1</v>
      </c>
      <c r="BQ124" s="18">
        <v>5.5555555555555554</v>
      </c>
      <c r="BR124" s="3">
        <v>2</v>
      </c>
      <c r="BS124" s="3">
        <v>2</v>
      </c>
      <c r="BT124" s="3">
        <v>7</v>
      </c>
      <c r="BU124" s="13">
        <v>1.1425292918330761</v>
      </c>
      <c r="BV124" s="64" t="s">
        <v>399</v>
      </c>
      <c r="BW124" s="13">
        <v>15</v>
      </c>
      <c r="BX124" s="3">
        <f t="shared" si="117"/>
        <v>0</v>
      </c>
      <c r="BY124" s="3">
        <f t="shared" si="118"/>
        <v>1</v>
      </c>
      <c r="BZ124" t="str">
        <f t="shared" si="119"/>
        <v>-1, Déficit y dejo la capacidad media</v>
      </c>
      <c r="CB124" s="3" t="s">
        <v>215</v>
      </c>
      <c r="CC124" s="3">
        <v>4</v>
      </c>
      <c r="CD124" s="18">
        <v>4.666666666666667</v>
      </c>
      <c r="CE124" s="3">
        <v>4</v>
      </c>
      <c r="CF124" s="3">
        <v>4</v>
      </c>
      <c r="CG124" s="3">
        <v>7</v>
      </c>
      <c r="CH124" s="13">
        <v>1.1425292918330761</v>
      </c>
      <c r="CI124" s="64" t="s">
        <v>399</v>
      </c>
      <c r="CJ124" s="13">
        <v>15</v>
      </c>
      <c r="CK124" s="3">
        <f t="shared" si="120"/>
        <v>1</v>
      </c>
      <c r="CL124" s="3">
        <f t="shared" si="121"/>
        <v>0</v>
      </c>
      <c r="CM124" t="str">
        <f t="shared" si="122"/>
        <v>-1, Déficit y dejo la capacidad media</v>
      </c>
    </row>
    <row r="125" spans="1:98" ht="14.25" customHeight="1" x14ac:dyDescent="0.3">
      <c r="A125" s="3" t="s">
        <v>216</v>
      </c>
      <c r="B125" s="3">
        <v>8</v>
      </c>
      <c r="C125" s="18">
        <v>5</v>
      </c>
      <c r="D125" s="3">
        <v>7</v>
      </c>
      <c r="E125" s="3">
        <v>7</v>
      </c>
      <c r="F125" s="3">
        <v>6</v>
      </c>
      <c r="G125" s="13">
        <v>1.123713972805261</v>
      </c>
      <c r="H125" s="64" t="s">
        <v>398</v>
      </c>
      <c r="I125" s="13">
        <v>11</v>
      </c>
      <c r="J125" s="3">
        <f t="shared" si="102"/>
        <v>1</v>
      </c>
      <c r="K125" s="3">
        <f t="shared" si="103"/>
        <v>-1</v>
      </c>
      <c r="L125" t="str">
        <f t="shared" si="104"/>
        <v>-2,no había déficit y resultado fue bueno</v>
      </c>
      <c r="M125" s="98"/>
      <c r="N125" s="3" t="s">
        <v>216</v>
      </c>
      <c r="O125" s="3">
        <v>3</v>
      </c>
      <c r="P125" s="18">
        <v>4.1111111111111107</v>
      </c>
      <c r="Q125" s="3">
        <v>1</v>
      </c>
      <c r="R125" s="3">
        <v>0</v>
      </c>
      <c r="S125" s="3">
        <v>6</v>
      </c>
      <c r="T125" s="13">
        <v>1.123713972805261</v>
      </c>
      <c r="U125" s="64" t="s">
        <v>398</v>
      </c>
      <c r="V125" s="13">
        <v>11</v>
      </c>
      <c r="W125" s="3">
        <f t="shared" si="105"/>
        <v>1</v>
      </c>
      <c r="X125" s="3">
        <f t="shared" si="106"/>
        <v>-2</v>
      </c>
      <c r="Y125" t="str">
        <f t="shared" si="107"/>
        <v>1, Déficit y eliminé déficit</v>
      </c>
      <c r="AB125" s="3" t="s">
        <v>216</v>
      </c>
      <c r="AC125" s="3">
        <v>2</v>
      </c>
      <c r="AD125" s="18">
        <v>3.7777777777777777</v>
      </c>
      <c r="AE125" s="3">
        <v>2</v>
      </c>
      <c r="AF125" s="3">
        <v>2</v>
      </c>
      <c r="AG125" s="3">
        <v>5</v>
      </c>
      <c r="AH125" s="13">
        <v>1.123713972805261</v>
      </c>
      <c r="AI125" s="64" t="s">
        <v>398</v>
      </c>
      <c r="AJ125" s="13">
        <v>11</v>
      </c>
      <c r="AK125" s="3">
        <f t="shared" si="108"/>
        <v>1</v>
      </c>
      <c r="AL125" s="3">
        <f t="shared" si="109"/>
        <v>0</v>
      </c>
      <c r="AM125" t="str">
        <f t="shared" si="110"/>
        <v>-1, Déficit y dejo la capacidad media</v>
      </c>
      <c r="AO125" s="3" t="s">
        <v>216</v>
      </c>
      <c r="AP125" s="3">
        <v>5</v>
      </c>
      <c r="AQ125" s="18">
        <v>6</v>
      </c>
      <c r="AR125" s="3">
        <v>3</v>
      </c>
      <c r="AS125" s="3">
        <v>4</v>
      </c>
      <c r="AT125" s="3">
        <v>5</v>
      </c>
      <c r="AU125" s="13">
        <v>1.123713972805261</v>
      </c>
      <c r="AV125" s="64" t="s">
        <v>398</v>
      </c>
      <c r="AW125" s="13">
        <v>11</v>
      </c>
      <c r="AX125" s="3">
        <f t="shared" si="111"/>
        <v>1</v>
      </c>
      <c r="AY125" s="3">
        <f t="shared" si="112"/>
        <v>-2</v>
      </c>
      <c r="AZ125" t="str">
        <f t="shared" si="113"/>
        <v>-1, Déficit y dejo la capacidad media</v>
      </c>
      <c r="BB125" s="3" t="s">
        <v>216</v>
      </c>
      <c r="BC125" s="3">
        <v>3</v>
      </c>
      <c r="BD125" s="18">
        <v>2.7777777777777777</v>
      </c>
      <c r="BE125" s="3">
        <v>1</v>
      </c>
      <c r="BF125" s="3">
        <v>6</v>
      </c>
      <c r="BG125" s="3">
        <v>5</v>
      </c>
      <c r="BH125" s="13">
        <v>1.123713972805261</v>
      </c>
      <c r="BI125" s="64" t="s">
        <v>398</v>
      </c>
      <c r="BJ125" s="13">
        <v>11</v>
      </c>
      <c r="BK125" s="3">
        <f t="shared" si="114"/>
        <v>1</v>
      </c>
      <c r="BL125" s="3">
        <f t="shared" si="115"/>
        <v>-2</v>
      </c>
      <c r="BM125" t="str">
        <f t="shared" si="116"/>
        <v>-1, Déficit y dejo la capacidad media</v>
      </c>
      <c r="BO125" s="3" t="s">
        <v>216</v>
      </c>
      <c r="BP125" s="3">
        <v>6</v>
      </c>
      <c r="BQ125" s="18">
        <v>3.2222222222222223</v>
      </c>
      <c r="BR125" s="3">
        <v>5</v>
      </c>
      <c r="BS125" s="3">
        <v>5</v>
      </c>
      <c r="BT125" s="3">
        <v>5</v>
      </c>
      <c r="BU125" s="13">
        <v>1.123713972805261</v>
      </c>
      <c r="BV125" s="64" t="s">
        <v>398</v>
      </c>
      <c r="BW125" s="13">
        <v>11</v>
      </c>
      <c r="BX125" s="3">
        <f t="shared" si="117"/>
        <v>1</v>
      </c>
      <c r="BY125" s="3">
        <f t="shared" si="118"/>
        <v>-1</v>
      </c>
      <c r="BZ125" t="str">
        <f t="shared" si="119"/>
        <v>-1, no había déficit y dejo la capacidad media</v>
      </c>
      <c r="CB125" s="3" t="s">
        <v>216</v>
      </c>
      <c r="CC125" s="3">
        <v>4</v>
      </c>
      <c r="CD125" s="18">
        <v>3.2222222222222223</v>
      </c>
      <c r="CE125" s="3">
        <v>5</v>
      </c>
      <c r="CF125" s="3">
        <v>5</v>
      </c>
      <c r="CG125" s="3">
        <v>5</v>
      </c>
      <c r="CH125" s="13">
        <v>1.123713972805261</v>
      </c>
      <c r="CI125" s="64" t="s">
        <v>398</v>
      </c>
      <c r="CJ125" s="13">
        <v>11</v>
      </c>
      <c r="CK125" s="3">
        <f t="shared" si="120"/>
        <v>0</v>
      </c>
      <c r="CL125" s="3">
        <f t="shared" si="121"/>
        <v>1</v>
      </c>
      <c r="CM125" t="str">
        <f t="shared" si="122"/>
        <v>-1, Déficit y dejo la capacidad media</v>
      </c>
    </row>
    <row r="126" spans="1:98" ht="14.25" customHeight="1" x14ac:dyDescent="0.3">
      <c r="A126" s="3" t="s">
        <v>217</v>
      </c>
      <c r="B126" s="3">
        <v>4</v>
      </c>
      <c r="C126" s="18">
        <v>4.4444444444444446</v>
      </c>
      <c r="D126" s="3">
        <v>1</v>
      </c>
      <c r="E126" s="3">
        <v>1</v>
      </c>
      <c r="F126" s="3">
        <v>5</v>
      </c>
      <c r="G126" s="13">
        <v>1.1139196755889551</v>
      </c>
      <c r="H126" s="64" t="s">
        <v>398</v>
      </c>
      <c r="I126" s="13">
        <v>11</v>
      </c>
      <c r="J126" s="3">
        <f t="shared" si="102"/>
        <v>1</v>
      </c>
      <c r="K126" s="3">
        <f t="shared" si="103"/>
        <v>-3</v>
      </c>
      <c r="L126" t="str">
        <f t="shared" si="104"/>
        <v>-1, Déficit y dejo la capacidad media</v>
      </c>
      <c r="M126" s="98"/>
      <c r="N126" s="3" t="s">
        <v>217</v>
      </c>
      <c r="O126" s="3">
        <v>3</v>
      </c>
      <c r="P126" s="18">
        <v>4.666666666666667</v>
      </c>
      <c r="Q126" s="3">
        <v>0</v>
      </c>
      <c r="R126" s="3">
        <v>0</v>
      </c>
      <c r="S126" s="3">
        <v>5</v>
      </c>
      <c r="T126" s="13">
        <v>1.1139196755889551</v>
      </c>
      <c r="U126" s="64" t="s">
        <v>398</v>
      </c>
      <c r="V126" s="13">
        <v>11</v>
      </c>
      <c r="W126" s="3">
        <f t="shared" si="105"/>
        <v>1</v>
      </c>
      <c r="X126" s="3">
        <f t="shared" si="106"/>
        <v>-3</v>
      </c>
      <c r="Y126" t="str">
        <f t="shared" si="107"/>
        <v>-1, Déficit y dejo la capacidad media</v>
      </c>
      <c r="AB126" s="3" t="s">
        <v>217</v>
      </c>
      <c r="AC126" s="3">
        <v>5</v>
      </c>
      <c r="AD126" s="18">
        <v>5.7777777777777777</v>
      </c>
      <c r="AE126" s="3">
        <v>0</v>
      </c>
      <c r="AF126" s="3">
        <v>0</v>
      </c>
      <c r="AG126" s="3">
        <v>5</v>
      </c>
      <c r="AH126" s="13">
        <v>1.1139196755889551</v>
      </c>
      <c r="AI126" s="64" t="s">
        <v>398</v>
      </c>
      <c r="AJ126" s="13">
        <v>11</v>
      </c>
      <c r="AK126" s="3">
        <f t="shared" si="108"/>
        <v>1</v>
      </c>
      <c r="AL126" s="3">
        <f t="shared" si="109"/>
        <v>-5</v>
      </c>
      <c r="AM126" t="str">
        <f t="shared" si="110"/>
        <v>-1, Déficit y dejo la capacidad media</v>
      </c>
      <c r="AO126" s="3" t="s">
        <v>217</v>
      </c>
      <c r="AP126" s="3">
        <v>4</v>
      </c>
      <c r="AQ126" s="18">
        <v>3.3333333333333335</v>
      </c>
      <c r="AR126" s="3">
        <v>0</v>
      </c>
      <c r="AS126" s="3">
        <v>0</v>
      </c>
      <c r="AT126" s="3">
        <v>5</v>
      </c>
      <c r="AU126" s="13">
        <v>1.1139196755889551</v>
      </c>
      <c r="AV126" s="64" t="s">
        <v>398</v>
      </c>
      <c r="AW126" s="13">
        <v>11</v>
      </c>
      <c r="AX126" s="3">
        <f t="shared" si="111"/>
        <v>1</v>
      </c>
      <c r="AY126" s="3">
        <f t="shared" si="112"/>
        <v>-4</v>
      </c>
      <c r="AZ126" t="str">
        <f t="shared" si="113"/>
        <v>-1, Déficit y dejo la capacidad media</v>
      </c>
      <c r="BB126" s="3" t="s">
        <v>217</v>
      </c>
      <c r="BC126" s="3">
        <v>1</v>
      </c>
      <c r="BD126" s="18">
        <v>2.7777777777777777</v>
      </c>
      <c r="BE126" s="3">
        <v>0</v>
      </c>
      <c r="BF126" s="3">
        <v>0</v>
      </c>
      <c r="BG126" s="3">
        <v>5</v>
      </c>
      <c r="BH126" s="13">
        <v>1.1139196755889551</v>
      </c>
      <c r="BI126" s="64" t="s">
        <v>398</v>
      </c>
      <c r="BJ126" s="13">
        <v>11</v>
      </c>
      <c r="BK126" s="3">
        <f t="shared" si="114"/>
        <v>1</v>
      </c>
      <c r="BL126" s="3">
        <f t="shared" si="115"/>
        <v>-1</v>
      </c>
      <c r="BM126" t="str">
        <f t="shared" si="116"/>
        <v>-1, Déficit y dejo la capacidad media</v>
      </c>
      <c r="BO126" s="3" t="s">
        <v>217</v>
      </c>
      <c r="BP126" s="3">
        <v>2</v>
      </c>
      <c r="BQ126" s="18">
        <v>2.7777777777777777</v>
      </c>
      <c r="BR126" s="3">
        <v>2</v>
      </c>
      <c r="BS126" s="3">
        <v>2</v>
      </c>
      <c r="BT126" s="3">
        <v>5</v>
      </c>
      <c r="BU126" s="13">
        <v>1.1139196755889551</v>
      </c>
      <c r="BV126" s="64" t="s">
        <v>398</v>
      </c>
      <c r="BW126" s="13">
        <v>11</v>
      </c>
      <c r="BX126" s="3">
        <f t="shared" si="117"/>
        <v>1</v>
      </c>
      <c r="BY126" s="3">
        <f t="shared" si="118"/>
        <v>0</v>
      </c>
      <c r="BZ126" t="str">
        <f t="shared" si="119"/>
        <v>-1, Déficit y dejo la capacidad media</v>
      </c>
      <c r="CB126" s="3" t="s">
        <v>217</v>
      </c>
      <c r="CC126" s="3">
        <v>2</v>
      </c>
      <c r="CD126" s="18">
        <v>2.8888888888888888</v>
      </c>
      <c r="CE126" s="3">
        <v>2</v>
      </c>
      <c r="CF126" s="3">
        <v>2</v>
      </c>
      <c r="CG126" s="3">
        <v>5</v>
      </c>
      <c r="CH126" s="13">
        <v>1.1139196755889551</v>
      </c>
      <c r="CI126" s="64" t="s">
        <v>398</v>
      </c>
      <c r="CJ126" s="13">
        <v>11</v>
      </c>
      <c r="CK126" s="3">
        <f t="shared" si="120"/>
        <v>1</v>
      </c>
      <c r="CL126" s="3">
        <f t="shared" si="121"/>
        <v>0</v>
      </c>
      <c r="CM126" t="str">
        <f t="shared" si="122"/>
        <v>-1, Déficit y dejo la capacidad media</v>
      </c>
    </row>
    <row r="127" spans="1:98" ht="14.25" customHeight="1" x14ac:dyDescent="0.3">
      <c r="A127" s="3" t="s">
        <v>218</v>
      </c>
      <c r="B127" s="3">
        <v>4</v>
      </c>
      <c r="C127" s="18">
        <v>3.5555555555555554</v>
      </c>
      <c r="D127" s="3">
        <v>2</v>
      </c>
      <c r="E127" s="3">
        <v>2</v>
      </c>
      <c r="F127" s="3">
        <v>5</v>
      </c>
      <c r="G127" s="13">
        <v>1.0416402811862899</v>
      </c>
      <c r="H127" s="64" t="s">
        <v>398</v>
      </c>
      <c r="I127" s="13">
        <v>11</v>
      </c>
      <c r="J127" s="3">
        <f t="shared" si="102"/>
        <v>1</v>
      </c>
      <c r="K127" s="3">
        <f t="shared" si="103"/>
        <v>-2</v>
      </c>
      <c r="L127" t="str">
        <f t="shared" si="104"/>
        <v>-1, Déficit y dejo la capacidad media</v>
      </c>
      <c r="M127" s="98"/>
      <c r="N127" s="3" t="s">
        <v>218</v>
      </c>
      <c r="O127" s="3">
        <v>3</v>
      </c>
      <c r="P127" s="18">
        <v>2.6666666666666665</v>
      </c>
      <c r="Q127" s="3">
        <v>5</v>
      </c>
      <c r="R127" s="3">
        <v>5</v>
      </c>
      <c r="S127" s="3">
        <v>5</v>
      </c>
      <c r="T127" s="13">
        <v>1.0416402811862899</v>
      </c>
      <c r="U127" s="64" t="s">
        <v>398</v>
      </c>
      <c r="V127" s="13">
        <v>11</v>
      </c>
      <c r="W127" s="3">
        <f t="shared" si="105"/>
        <v>0</v>
      </c>
      <c r="X127" s="3">
        <f t="shared" si="106"/>
        <v>2</v>
      </c>
      <c r="Y127" t="str">
        <f t="shared" si="107"/>
        <v>-1, Déficit y dejo la capacidad media</v>
      </c>
      <c r="AB127" s="3" t="s">
        <v>218</v>
      </c>
      <c r="AC127" s="3">
        <v>1</v>
      </c>
      <c r="AD127" s="18">
        <v>1.4444444444444444</v>
      </c>
      <c r="AE127" s="3">
        <v>0</v>
      </c>
      <c r="AF127" s="3">
        <v>0</v>
      </c>
      <c r="AG127" s="3">
        <v>5</v>
      </c>
      <c r="AH127" s="13">
        <v>1.0416402811862899</v>
      </c>
      <c r="AI127" s="64" t="s">
        <v>398</v>
      </c>
      <c r="AJ127" s="13">
        <v>11</v>
      </c>
      <c r="AK127" s="3">
        <f t="shared" si="108"/>
        <v>1</v>
      </c>
      <c r="AL127" s="3">
        <f t="shared" si="109"/>
        <v>-1</v>
      </c>
      <c r="AM127" t="str">
        <f t="shared" si="110"/>
        <v>-1, Déficit y dejo la capacidad media</v>
      </c>
      <c r="AO127" s="3" t="s">
        <v>218</v>
      </c>
      <c r="AP127" s="3">
        <v>2</v>
      </c>
      <c r="AQ127" s="18">
        <v>4</v>
      </c>
      <c r="AR127" s="3">
        <v>0</v>
      </c>
      <c r="AS127" s="3">
        <v>0</v>
      </c>
      <c r="AT127" s="3">
        <v>5</v>
      </c>
      <c r="AU127" s="13">
        <v>1.0416402811862899</v>
      </c>
      <c r="AV127" s="64" t="s">
        <v>398</v>
      </c>
      <c r="AW127" s="13">
        <v>11</v>
      </c>
      <c r="AX127" s="3">
        <f t="shared" si="111"/>
        <v>1</v>
      </c>
      <c r="AY127" s="3">
        <f t="shared" si="112"/>
        <v>-2</v>
      </c>
      <c r="AZ127" t="str">
        <f t="shared" si="113"/>
        <v>-1, Déficit y dejo la capacidad media</v>
      </c>
      <c r="BB127" s="3" t="s">
        <v>218</v>
      </c>
      <c r="BC127" s="3">
        <v>0</v>
      </c>
      <c r="BD127" s="18">
        <v>1.7777777777777777</v>
      </c>
      <c r="BE127" s="3">
        <v>0</v>
      </c>
      <c r="BF127" s="3">
        <v>0</v>
      </c>
      <c r="BG127" s="3">
        <v>5</v>
      </c>
      <c r="BH127" s="13">
        <v>1.0416402811862899</v>
      </c>
      <c r="BI127" s="64" t="s">
        <v>398</v>
      </c>
      <c r="BJ127" s="13">
        <v>11</v>
      </c>
      <c r="BK127" s="3">
        <f t="shared" si="114"/>
        <v>1</v>
      </c>
      <c r="BL127" s="3">
        <f t="shared" si="115"/>
        <v>0</v>
      </c>
      <c r="BM127" t="str">
        <f t="shared" si="116"/>
        <v>-1, Déficit y dejo la capacidad media</v>
      </c>
      <c r="BO127" s="3" t="s">
        <v>218</v>
      </c>
      <c r="BP127" s="3">
        <v>1</v>
      </c>
      <c r="BQ127" s="18">
        <v>3</v>
      </c>
      <c r="BR127" s="3">
        <v>1</v>
      </c>
      <c r="BS127" s="3">
        <v>1</v>
      </c>
      <c r="BT127" s="3">
        <v>5</v>
      </c>
      <c r="BU127" s="13">
        <v>1.0416402811862899</v>
      </c>
      <c r="BV127" s="64" t="s">
        <v>398</v>
      </c>
      <c r="BW127" s="13">
        <v>11</v>
      </c>
      <c r="BX127" s="3">
        <f t="shared" si="117"/>
        <v>1</v>
      </c>
      <c r="BY127" s="3">
        <f t="shared" si="118"/>
        <v>0</v>
      </c>
      <c r="BZ127" t="str">
        <f t="shared" si="119"/>
        <v>-1, Déficit y dejo la capacidad media</v>
      </c>
      <c r="CB127" s="3" t="s">
        <v>218</v>
      </c>
      <c r="CC127" s="3">
        <v>1</v>
      </c>
      <c r="CD127" s="18">
        <v>2.8888888888888888</v>
      </c>
      <c r="CE127" s="3">
        <v>0</v>
      </c>
      <c r="CF127" s="3">
        <v>0</v>
      </c>
      <c r="CG127" s="3">
        <v>5</v>
      </c>
      <c r="CH127" s="13">
        <v>1.0416402811862899</v>
      </c>
      <c r="CI127" s="64" t="s">
        <v>398</v>
      </c>
      <c r="CJ127" s="13">
        <v>11</v>
      </c>
      <c r="CK127" s="3">
        <f t="shared" si="120"/>
        <v>1</v>
      </c>
      <c r="CL127" s="3">
        <f t="shared" si="121"/>
        <v>-1</v>
      </c>
      <c r="CM127" t="str">
        <f t="shared" si="122"/>
        <v>-1, Déficit y dejo la capacidad media</v>
      </c>
    </row>
    <row r="128" spans="1:98" ht="14.25" customHeight="1" x14ac:dyDescent="0.3">
      <c r="A128" s="3" t="s">
        <v>220</v>
      </c>
      <c r="B128" s="3">
        <v>4</v>
      </c>
      <c r="C128" s="18">
        <v>10.222222222222221</v>
      </c>
      <c r="D128" s="3">
        <v>0</v>
      </c>
      <c r="E128" s="3">
        <v>0</v>
      </c>
      <c r="F128" s="3">
        <v>11</v>
      </c>
      <c r="G128" s="13">
        <v>0.99583449612816577</v>
      </c>
      <c r="H128" s="64" t="s">
        <v>404</v>
      </c>
      <c r="I128" s="13">
        <v>29</v>
      </c>
      <c r="J128" s="3">
        <f t="shared" si="102"/>
        <v>1</v>
      </c>
      <c r="K128" s="3">
        <f t="shared" si="103"/>
        <v>-4</v>
      </c>
      <c r="L128" t="str">
        <f t="shared" si="104"/>
        <v>-2, Déficit y resultado fue bueno</v>
      </c>
      <c r="M128" s="98"/>
      <c r="N128" s="3" t="s">
        <v>220</v>
      </c>
      <c r="O128" s="3">
        <v>9</v>
      </c>
      <c r="P128" s="18">
        <v>10.333333333333334</v>
      </c>
      <c r="Q128" s="3">
        <v>14</v>
      </c>
      <c r="R128" s="3">
        <v>13</v>
      </c>
      <c r="S128" s="3">
        <v>11</v>
      </c>
      <c r="T128" s="13">
        <v>0.99583449612816577</v>
      </c>
      <c r="U128" s="64" t="s">
        <v>404</v>
      </c>
      <c r="V128" s="13">
        <v>29</v>
      </c>
      <c r="W128" s="3">
        <f t="shared" si="105"/>
        <v>0</v>
      </c>
      <c r="X128" s="3">
        <f t="shared" si="106"/>
        <v>5</v>
      </c>
      <c r="Y128" t="str">
        <f t="shared" si="107"/>
        <v>-2, Déficit y resultado fue bueno</v>
      </c>
      <c r="AB128" s="3" t="s">
        <v>220</v>
      </c>
      <c r="AC128" s="3">
        <v>7</v>
      </c>
      <c r="AD128" s="18">
        <v>5.666666666666667</v>
      </c>
      <c r="AE128" s="3">
        <v>4</v>
      </c>
      <c r="AF128" s="3">
        <v>3</v>
      </c>
      <c r="AG128" s="3">
        <v>15</v>
      </c>
      <c r="AH128" s="13">
        <v>0.99583449612816577</v>
      </c>
      <c r="AI128" s="64" t="s">
        <v>404</v>
      </c>
      <c r="AJ128" s="13">
        <v>29</v>
      </c>
      <c r="AK128" s="3">
        <f t="shared" si="108"/>
        <v>1</v>
      </c>
      <c r="AL128" s="3">
        <f t="shared" si="109"/>
        <v>-3</v>
      </c>
      <c r="AM128" t="str">
        <f t="shared" si="110"/>
        <v>1, Déficit y eliminé déficit</v>
      </c>
      <c r="AO128" s="3" t="s">
        <v>220</v>
      </c>
      <c r="AP128" s="3">
        <v>2</v>
      </c>
      <c r="AQ128" s="18">
        <v>5.2222222222222223</v>
      </c>
      <c r="AR128" s="3">
        <v>1</v>
      </c>
      <c r="AS128" s="3">
        <v>2</v>
      </c>
      <c r="AT128" s="3">
        <v>13</v>
      </c>
      <c r="AU128" s="13">
        <v>0.99583449612816577</v>
      </c>
      <c r="AV128" s="64" t="s">
        <v>404</v>
      </c>
      <c r="AW128" s="13">
        <v>29</v>
      </c>
      <c r="AX128" s="3">
        <f t="shared" si="111"/>
        <v>1</v>
      </c>
      <c r="AY128" s="3">
        <f t="shared" si="112"/>
        <v>-1</v>
      </c>
      <c r="AZ128" t="str">
        <f t="shared" si="113"/>
        <v>-2, Déficit y resultado fue bueno</v>
      </c>
      <c r="BB128" s="3" t="s">
        <v>220</v>
      </c>
      <c r="BC128" s="3">
        <v>3</v>
      </c>
      <c r="BD128" s="18">
        <v>5.333333333333333</v>
      </c>
      <c r="BE128" s="3">
        <v>1</v>
      </c>
      <c r="BF128" s="3">
        <v>1</v>
      </c>
      <c r="BG128" s="3">
        <v>17</v>
      </c>
      <c r="BH128" s="13">
        <v>0.99583449612816577</v>
      </c>
      <c r="BI128" s="64" t="s">
        <v>404</v>
      </c>
      <c r="BJ128" s="13">
        <v>29</v>
      </c>
      <c r="BK128" s="3">
        <f t="shared" si="114"/>
        <v>1</v>
      </c>
      <c r="BL128" s="3">
        <f t="shared" si="115"/>
        <v>-2</v>
      </c>
      <c r="BM128" t="str">
        <f t="shared" si="116"/>
        <v>1, Déficit y eliminé déficit</v>
      </c>
      <c r="BO128" s="3" t="s">
        <v>220</v>
      </c>
      <c r="BP128" s="3">
        <v>6</v>
      </c>
      <c r="BQ128" s="18">
        <v>8</v>
      </c>
      <c r="BR128" s="3">
        <v>7</v>
      </c>
      <c r="BS128" s="3">
        <v>6</v>
      </c>
      <c r="BT128" s="3">
        <v>11</v>
      </c>
      <c r="BU128" s="13">
        <v>0.99583449612816577</v>
      </c>
      <c r="BV128" s="64" t="s">
        <v>404</v>
      </c>
      <c r="BW128" s="13">
        <v>29</v>
      </c>
      <c r="BX128" s="3">
        <f t="shared" si="117"/>
        <v>0</v>
      </c>
      <c r="BY128" s="3">
        <f t="shared" si="118"/>
        <v>1</v>
      </c>
      <c r="BZ128" t="str">
        <f t="shared" si="119"/>
        <v>-2, Déficit y resultado fue bueno</v>
      </c>
      <c r="CB128" s="3" t="s">
        <v>220</v>
      </c>
      <c r="CC128" s="3">
        <v>1</v>
      </c>
      <c r="CD128" s="18">
        <v>5.4444444444444446</v>
      </c>
      <c r="CE128" s="3">
        <v>1</v>
      </c>
      <c r="CF128" s="3">
        <v>1</v>
      </c>
      <c r="CG128" s="3">
        <v>19</v>
      </c>
      <c r="CH128" s="13">
        <v>0.99583449612816577</v>
      </c>
      <c r="CI128" s="64" t="s">
        <v>404</v>
      </c>
      <c r="CJ128" s="13">
        <v>29</v>
      </c>
      <c r="CK128" s="3">
        <f t="shared" si="120"/>
        <v>1</v>
      </c>
      <c r="CL128" s="3">
        <f t="shared" si="121"/>
        <v>0</v>
      </c>
      <c r="CM128" t="str">
        <f t="shared" si="122"/>
        <v>1, Déficit y eliminé déficit</v>
      </c>
    </row>
    <row r="129" spans="1:91" ht="14.25" customHeight="1" x14ac:dyDescent="0.3">
      <c r="A129" s="3" t="s">
        <v>223</v>
      </c>
      <c r="B129" s="3">
        <v>6</v>
      </c>
      <c r="C129" s="18">
        <v>6.7777777777777777</v>
      </c>
      <c r="D129" s="3">
        <v>6</v>
      </c>
      <c r="E129" s="3">
        <v>4</v>
      </c>
      <c r="F129" s="3">
        <v>7</v>
      </c>
      <c r="G129" s="13">
        <v>0.9957863323050703</v>
      </c>
      <c r="H129" s="64" t="s">
        <v>402</v>
      </c>
      <c r="I129" s="13">
        <v>15</v>
      </c>
      <c r="J129" s="3">
        <f t="shared" si="102"/>
        <v>1</v>
      </c>
      <c r="K129" s="3">
        <f t="shared" si="103"/>
        <v>0</v>
      </c>
      <c r="L129" t="str">
        <f t="shared" si="104"/>
        <v>-1, Déficit y dejo la capacidad media</v>
      </c>
      <c r="M129" s="98"/>
      <c r="N129" s="3" t="s">
        <v>223</v>
      </c>
      <c r="O129" s="3">
        <v>4</v>
      </c>
      <c r="P129" s="18">
        <v>6</v>
      </c>
      <c r="Q129" s="3">
        <v>3</v>
      </c>
      <c r="R129" s="3">
        <v>5</v>
      </c>
      <c r="S129" s="3">
        <v>7</v>
      </c>
      <c r="T129" s="13">
        <v>0.9957863323050703</v>
      </c>
      <c r="U129" s="64" t="s">
        <v>402</v>
      </c>
      <c r="V129" s="13">
        <v>15</v>
      </c>
      <c r="W129" s="3">
        <f t="shared" si="105"/>
        <v>1</v>
      </c>
      <c r="X129" s="3">
        <f t="shared" si="106"/>
        <v>-1</v>
      </c>
      <c r="Y129" t="str">
        <f t="shared" si="107"/>
        <v>-1, Déficit y dejo la capacidad media</v>
      </c>
      <c r="AB129" s="3" t="s">
        <v>223</v>
      </c>
      <c r="AC129" s="3">
        <v>10</v>
      </c>
      <c r="AD129" s="18">
        <v>9</v>
      </c>
      <c r="AE129" s="3">
        <v>13</v>
      </c>
      <c r="AF129" s="3">
        <v>10</v>
      </c>
      <c r="AG129" s="3">
        <v>7</v>
      </c>
      <c r="AH129" s="13">
        <v>0.9957863323050703</v>
      </c>
      <c r="AI129" s="64" t="s">
        <v>402</v>
      </c>
      <c r="AJ129" s="13">
        <v>15</v>
      </c>
      <c r="AK129" s="3">
        <f t="shared" si="108"/>
        <v>0</v>
      </c>
      <c r="AL129" s="3">
        <f t="shared" si="109"/>
        <v>3</v>
      </c>
      <c r="AM129" t="str">
        <f t="shared" si="110"/>
        <v>-1, no había déficit y dejo la capacidad media</v>
      </c>
      <c r="AO129" s="3" t="s">
        <v>223</v>
      </c>
      <c r="AP129" s="3">
        <v>13</v>
      </c>
      <c r="AQ129" s="18">
        <v>7.8888888888888893</v>
      </c>
      <c r="AR129" s="3">
        <v>13</v>
      </c>
      <c r="AS129" s="3">
        <v>12</v>
      </c>
      <c r="AT129" s="3">
        <v>8</v>
      </c>
      <c r="AU129" s="13">
        <v>0.9957863323050703</v>
      </c>
      <c r="AV129" s="64" t="s">
        <v>402</v>
      </c>
      <c r="AW129" s="13">
        <v>15</v>
      </c>
      <c r="AX129" s="3">
        <f t="shared" si="111"/>
        <v>1</v>
      </c>
      <c r="AY129" s="3">
        <f t="shared" si="112"/>
        <v>0</v>
      </c>
      <c r="AZ129" t="str">
        <f t="shared" si="113"/>
        <v>-2,no había déficit y resultado fue bueno</v>
      </c>
      <c r="BB129" s="3" t="s">
        <v>223</v>
      </c>
      <c r="BC129" s="3">
        <v>10</v>
      </c>
      <c r="BD129" s="18">
        <v>4.8888888888888893</v>
      </c>
      <c r="BE129" s="3">
        <v>5</v>
      </c>
      <c r="BF129" s="3">
        <v>6</v>
      </c>
      <c r="BG129" s="3">
        <v>7</v>
      </c>
      <c r="BH129" s="13">
        <v>0.9957863323050703</v>
      </c>
      <c r="BI129" s="64" t="s">
        <v>402</v>
      </c>
      <c r="BJ129" s="13">
        <v>15</v>
      </c>
      <c r="BK129" s="3">
        <f t="shared" si="114"/>
        <v>1</v>
      </c>
      <c r="BL129" s="3">
        <f t="shared" si="115"/>
        <v>-5</v>
      </c>
      <c r="BM129" t="str">
        <f t="shared" si="116"/>
        <v>-1, no había déficit y dejo la capacidad media</v>
      </c>
      <c r="BO129" s="3" t="s">
        <v>223</v>
      </c>
      <c r="BP129" s="3">
        <v>4</v>
      </c>
      <c r="BQ129" s="18">
        <v>4.4444444444444446</v>
      </c>
      <c r="BR129" s="3">
        <v>5</v>
      </c>
      <c r="BS129" s="3">
        <v>4</v>
      </c>
      <c r="BT129" s="3">
        <v>7</v>
      </c>
      <c r="BU129" s="13">
        <v>0.9957863323050703</v>
      </c>
      <c r="BV129" s="64" t="s">
        <v>402</v>
      </c>
      <c r="BW129" s="13">
        <v>15</v>
      </c>
      <c r="BX129" s="3">
        <f t="shared" si="117"/>
        <v>0</v>
      </c>
      <c r="BY129" s="3">
        <f t="shared" si="118"/>
        <v>1</v>
      </c>
      <c r="BZ129" t="str">
        <f t="shared" si="119"/>
        <v>-1, Déficit y dejo la capacidad media</v>
      </c>
      <c r="CB129" s="3" t="s">
        <v>223</v>
      </c>
      <c r="CC129" s="3">
        <v>3</v>
      </c>
      <c r="CD129" s="18">
        <v>3</v>
      </c>
      <c r="CE129" s="3">
        <v>1</v>
      </c>
      <c r="CF129" s="3">
        <v>1</v>
      </c>
      <c r="CG129" s="3">
        <v>7</v>
      </c>
      <c r="CH129" s="13">
        <v>0.9957863323050703</v>
      </c>
      <c r="CI129" s="64" t="s">
        <v>402</v>
      </c>
      <c r="CJ129" s="13">
        <v>15</v>
      </c>
      <c r="CK129" s="3">
        <f t="shared" si="120"/>
        <v>1</v>
      </c>
      <c r="CL129" s="3">
        <f t="shared" si="121"/>
        <v>-2</v>
      </c>
      <c r="CM129" t="str">
        <f t="shared" si="122"/>
        <v>-1, Déficit y dejo la capacidad media</v>
      </c>
    </row>
    <row r="130" spans="1:91" ht="14.25" customHeight="1" x14ac:dyDescent="0.3">
      <c r="A130" s="3" t="s">
        <v>224</v>
      </c>
      <c r="B130" s="3">
        <v>2</v>
      </c>
      <c r="C130" s="18">
        <v>1.8888888888888888</v>
      </c>
      <c r="D130" s="3">
        <v>0</v>
      </c>
      <c r="E130" s="3">
        <v>0</v>
      </c>
      <c r="F130" s="3">
        <v>5</v>
      </c>
      <c r="G130" s="13">
        <v>0.98995442105744402</v>
      </c>
      <c r="H130" s="64" t="s">
        <v>398</v>
      </c>
      <c r="I130" s="13">
        <v>11</v>
      </c>
      <c r="J130" s="3">
        <f t="shared" si="102"/>
        <v>1</v>
      </c>
      <c r="K130" s="3">
        <f t="shared" si="103"/>
        <v>-2</v>
      </c>
      <c r="L130" t="str">
        <f t="shared" si="104"/>
        <v>-1, Déficit y dejo la capacidad media</v>
      </c>
      <c r="M130" s="98"/>
      <c r="N130" s="3" t="s">
        <v>224</v>
      </c>
      <c r="O130" s="3">
        <v>3</v>
      </c>
      <c r="P130" s="18">
        <v>1.5555555555555556</v>
      </c>
      <c r="Q130" s="3">
        <v>0</v>
      </c>
      <c r="R130" s="3">
        <v>0</v>
      </c>
      <c r="S130" s="3">
        <v>5</v>
      </c>
      <c r="T130" s="13">
        <v>0.98995442105744402</v>
      </c>
      <c r="U130" s="64" t="s">
        <v>398</v>
      </c>
      <c r="V130" s="13">
        <v>11</v>
      </c>
      <c r="W130" s="3">
        <f t="shared" si="105"/>
        <v>1</v>
      </c>
      <c r="X130" s="3">
        <f t="shared" si="106"/>
        <v>-3</v>
      </c>
      <c r="Y130" t="str">
        <f t="shared" si="107"/>
        <v>-1, Déficit y dejo la capacidad media</v>
      </c>
      <c r="AB130" s="3" t="s">
        <v>224</v>
      </c>
      <c r="AC130" s="3">
        <v>0</v>
      </c>
      <c r="AD130" s="18">
        <v>0.88888888888888884</v>
      </c>
      <c r="AE130" s="3">
        <v>8</v>
      </c>
      <c r="AF130" s="3">
        <v>7</v>
      </c>
      <c r="AG130" s="3">
        <v>5</v>
      </c>
      <c r="AH130" s="13">
        <v>0.98995442105744402</v>
      </c>
      <c r="AI130" s="64" t="s">
        <v>398</v>
      </c>
      <c r="AJ130" s="13">
        <v>11</v>
      </c>
      <c r="AK130" s="3">
        <f t="shared" si="108"/>
        <v>0</v>
      </c>
      <c r="AL130" s="3">
        <f t="shared" si="109"/>
        <v>8</v>
      </c>
      <c r="AM130" t="str">
        <f t="shared" si="110"/>
        <v>-1, Déficit y dejo la capacidad media</v>
      </c>
      <c r="AO130" s="3" t="s">
        <v>224</v>
      </c>
      <c r="AP130" s="3">
        <v>0</v>
      </c>
      <c r="AQ130" s="18">
        <v>3.1111111111111112</v>
      </c>
      <c r="AR130" s="3">
        <v>0</v>
      </c>
      <c r="AS130" s="3">
        <v>0</v>
      </c>
      <c r="AT130" s="3">
        <v>5</v>
      </c>
      <c r="AU130" s="13">
        <v>0.98995442105744402</v>
      </c>
      <c r="AV130" s="64" t="s">
        <v>398</v>
      </c>
      <c r="AW130" s="13">
        <v>11</v>
      </c>
      <c r="AX130" s="3">
        <f t="shared" si="111"/>
        <v>1</v>
      </c>
      <c r="AY130" s="3">
        <f t="shared" si="112"/>
        <v>0</v>
      </c>
      <c r="AZ130" t="str">
        <f t="shared" si="113"/>
        <v>-1, Déficit y dejo la capacidad media</v>
      </c>
      <c r="BB130" s="3" t="s">
        <v>224</v>
      </c>
      <c r="BC130" s="3">
        <v>1</v>
      </c>
      <c r="BD130" s="18">
        <v>2.3333333333333335</v>
      </c>
      <c r="BE130" s="3">
        <v>0</v>
      </c>
      <c r="BF130" s="3">
        <v>0</v>
      </c>
      <c r="BG130" s="3">
        <v>5</v>
      </c>
      <c r="BH130" s="13">
        <v>0.98995442105744402</v>
      </c>
      <c r="BI130" s="64" t="s">
        <v>398</v>
      </c>
      <c r="BJ130" s="13">
        <v>11</v>
      </c>
      <c r="BK130" s="3">
        <f t="shared" si="114"/>
        <v>1</v>
      </c>
      <c r="BL130" s="3">
        <f t="shared" si="115"/>
        <v>-1</v>
      </c>
      <c r="BM130" t="str">
        <f t="shared" si="116"/>
        <v>-1, Déficit y dejo la capacidad media</v>
      </c>
      <c r="BO130" s="3" t="s">
        <v>224</v>
      </c>
      <c r="BP130" s="3">
        <v>6</v>
      </c>
      <c r="BQ130" s="18">
        <v>3.7777777777777777</v>
      </c>
      <c r="BR130" s="3">
        <v>5</v>
      </c>
      <c r="BS130" s="3">
        <v>4</v>
      </c>
      <c r="BT130" s="3">
        <v>5</v>
      </c>
      <c r="BU130" s="13">
        <v>0.98995442105744402</v>
      </c>
      <c r="BV130" s="64" t="s">
        <v>398</v>
      </c>
      <c r="BW130" s="13">
        <v>11</v>
      </c>
      <c r="BX130" s="3">
        <f t="shared" si="117"/>
        <v>1</v>
      </c>
      <c r="BY130" s="3">
        <f t="shared" si="118"/>
        <v>-1</v>
      </c>
      <c r="BZ130" t="str">
        <f t="shared" si="119"/>
        <v>-1, no había déficit y dejo la capacidad media</v>
      </c>
      <c r="CB130" s="3" t="s">
        <v>224</v>
      </c>
      <c r="CC130" s="3">
        <v>4</v>
      </c>
      <c r="CD130" s="18">
        <v>1.8888888888888888</v>
      </c>
      <c r="CE130" s="3">
        <v>2</v>
      </c>
      <c r="CF130" s="3">
        <v>2</v>
      </c>
      <c r="CG130" s="3">
        <v>5</v>
      </c>
      <c r="CH130" s="13">
        <v>0.98995442105744402</v>
      </c>
      <c r="CI130" s="64" t="s">
        <v>398</v>
      </c>
      <c r="CJ130" s="13">
        <v>11</v>
      </c>
      <c r="CK130" s="3">
        <f t="shared" si="120"/>
        <v>1</v>
      </c>
      <c r="CL130" s="3">
        <f t="shared" si="121"/>
        <v>-2</v>
      </c>
      <c r="CM130" t="str">
        <f t="shared" si="122"/>
        <v>-1, Déficit y dejo la capacidad media</v>
      </c>
    </row>
    <row r="131" spans="1:91" ht="14.25" customHeight="1" x14ac:dyDescent="0.3">
      <c r="A131" s="3" t="s">
        <v>225</v>
      </c>
      <c r="B131" s="3">
        <v>3</v>
      </c>
      <c r="C131" s="18">
        <v>2.6666666666666665</v>
      </c>
      <c r="D131" s="3">
        <v>3</v>
      </c>
      <c r="E131" s="3">
        <v>3</v>
      </c>
      <c r="F131" s="3">
        <v>7</v>
      </c>
      <c r="G131" s="13">
        <v>0.8928339600558084</v>
      </c>
      <c r="H131" s="64" t="s">
        <v>402</v>
      </c>
      <c r="I131" s="13">
        <v>15</v>
      </c>
      <c r="J131" s="3">
        <f t="shared" si="102"/>
        <v>1</v>
      </c>
      <c r="K131" s="3">
        <f t="shared" si="103"/>
        <v>0</v>
      </c>
      <c r="L131" t="str">
        <f t="shared" si="104"/>
        <v>-1, Déficit y dejo la capacidad media</v>
      </c>
      <c r="M131" s="98"/>
      <c r="N131" s="3" t="s">
        <v>225</v>
      </c>
      <c r="O131" s="3">
        <v>4</v>
      </c>
      <c r="P131" s="18">
        <v>5</v>
      </c>
      <c r="Q131" s="3">
        <v>5</v>
      </c>
      <c r="R131" s="3">
        <v>4</v>
      </c>
      <c r="S131" s="3">
        <v>9</v>
      </c>
      <c r="T131" s="13">
        <v>0.8928339600558084</v>
      </c>
      <c r="U131" s="64" t="s">
        <v>402</v>
      </c>
      <c r="V131" s="13">
        <v>15</v>
      </c>
      <c r="W131" s="3">
        <f t="shared" si="105"/>
        <v>0</v>
      </c>
      <c r="X131" s="3">
        <f t="shared" si="106"/>
        <v>1</v>
      </c>
      <c r="Y131" t="str">
        <f t="shared" si="107"/>
        <v>1, Déficit y eliminé déficit</v>
      </c>
      <c r="AB131" s="3" t="s">
        <v>225</v>
      </c>
      <c r="AC131" s="3">
        <v>3</v>
      </c>
      <c r="AD131" s="18">
        <v>4.5555555555555554</v>
      </c>
      <c r="AE131" s="3">
        <v>6</v>
      </c>
      <c r="AF131" s="3">
        <v>6</v>
      </c>
      <c r="AG131" s="3">
        <v>7</v>
      </c>
      <c r="AH131" s="13">
        <v>0.8928339600558084</v>
      </c>
      <c r="AI131" s="64" t="s">
        <v>402</v>
      </c>
      <c r="AJ131" s="13">
        <v>15</v>
      </c>
      <c r="AK131" s="3">
        <f t="shared" si="108"/>
        <v>0</v>
      </c>
      <c r="AL131" s="3">
        <f t="shared" si="109"/>
        <v>3</v>
      </c>
      <c r="AM131" t="str">
        <f t="shared" si="110"/>
        <v>-1, Déficit y dejo la capacidad media</v>
      </c>
      <c r="AO131" s="3" t="s">
        <v>225</v>
      </c>
      <c r="AP131" s="3">
        <v>0</v>
      </c>
      <c r="AQ131" s="18">
        <v>4.333333333333333</v>
      </c>
      <c r="AR131" s="3">
        <v>0</v>
      </c>
      <c r="AS131" s="3">
        <v>2</v>
      </c>
      <c r="AT131" s="3">
        <v>7</v>
      </c>
      <c r="AU131" s="13">
        <v>0.8928339600558084</v>
      </c>
      <c r="AV131" s="64" t="s">
        <v>402</v>
      </c>
      <c r="AW131" s="13">
        <v>15</v>
      </c>
      <c r="AX131" s="3">
        <f t="shared" si="111"/>
        <v>1</v>
      </c>
      <c r="AY131" s="3">
        <f t="shared" si="112"/>
        <v>0</v>
      </c>
      <c r="AZ131" t="str">
        <f t="shared" si="113"/>
        <v>-1, Déficit y dejo la capacidad media</v>
      </c>
      <c r="BB131" s="3" t="s">
        <v>225</v>
      </c>
      <c r="BC131" s="3">
        <v>2</v>
      </c>
      <c r="BD131" s="18">
        <v>2.4444444444444446</v>
      </c>
      <c r="BE131" s="3">
        <v>0</v>
      </c>
      <c r="BF131" s="3">
        <v>0</v>
      </c>
      <c r="BG131" s="3">
        <v>7</v>
      </c>
      <c r="BH131" s="13">
        <v>0.8928339600558084</v>
      </c>
      <c r="BI131" s="64" t="s">
        <v>402</v>
      </c>
      <c r="BJ131" s="13">
        <v>15</v>
      </c>
      <c r="BK131" s="3">
        <f t="shared" si="114"/>
        <v>1</v>
      </c>
      <c r="BL131" s="3">
        <f t="shared" si="115"/>
        <v>-2</v>
      </c>
      <c r="BM131" t="str">
        <f t="shared" si="116"/>
        <v>-1, Déficit y dejo la capacidad media</v>
      </c>
      <c r="BO131" s="3" t="s">
        <v>225</v>
      </c>
      <c r="BP131" s="3">
        <v>5</v>
      </c>
      <c r="BQ131" s="18">
        <v>5.8888888888888893</v>
      </c>
      <c r="BR131" s="3">
        <v>0</v>
      </c>
      <c r="BS131" s="3">
        <v>0</v>
      </c>
      <c r="BT131" s="3">
        <v>7</v>
      </c>
      <c r="BU131" s="13">
        <v>0.8928339600558084</v>
      </c>
      <c r="BV131" s="64" t="s">
        <v>402</v>
      </c>
      <c r="BW131" s="13">
        <v>15</v>
      </c>
      <c r="BX131" s="3">
        <f t="shared" si="117"/>
        <v>1</v>
      </c>
      <c r="BY131" s="3">
        <f t="shared" si="118"/>
        <v>-5</v>
      </c>
      <c r="BZ131" t="str">
        <f t="shared" si="119"/>
        <v>-1, Déficit y dejo la capacidad media</v>
      </c>
      <c r="CB131" s="3" t="s">
        <v>225</v>
      </c>
      <c r="CC131" s="3">
        <v>5</v>
      </c>
      <c r="CD131" s="18">
        <v>3.3333333333333335</v>
      </c>
      <c r="CE131" s="3">
        <v>1</v>
      </c>
      <c r="CF131" s="3">
        <v>1</v>
      </c>
      <c r="CG131" s="3">
        <v>7</v>
      </c>
      <c r="CH131" s="13">
        <v>0.8928339600558084</v>
      </c>
      <c r="CI131" s="64" t="s">
        <v>402</v>
      </c>
      <c r="CJ131" s="13">
        <v>15</v>
      </c>
      <c r="CK131" s="3">
        <f t="shared" si="120"/>
        <v>1</v>
      </c>
      <c r="CL131" s="3">
        <f t="shared" si="121"/>
        <v>-4</v>
      </c>
      <c r="CM131" t="str">
        <f t="shared" si="122"/>
        <v>-1, Déficit y dejo la capacidad media</v>
      </c>
    </row>
    <row r="132" spans="1:91" ht="14.25" customHeight="1" x14ac:dyDescent="0.3">
      <c r="A132" s="3" t="s">
        <v>227</v>
      </c>
      <c r="B132" s="3">
        <v>7</v>
      </c>
      <c r="C132" s="18">
        <v>2.4444444444444446</v>
      </c>
      <c r="D132" s="3">
        <v>7</v>
      </c>
      <c r="E132" s="3">
        <v>7</v>
      </c>
      <c r="F132" s="3">
        <v>7</v>
      </c>
      <c r="G132" s="13">
        <v>0.88597893866063815</v>
      </c>
      <c r="H132" s="64" t="s">
        <v>398</v>
      </c>
      <c r="I132" s="13">
        <v>11</v>
      </c>
      <c r="J132" s="3">
        <f t="shared" si="102"/>
        <v>1</v>
      </c>
      <c r="K132" s="3">
        <f t="shared" si="103"/>
        <v>0</v>
      </c>
      <c r="L132" t="str">
        <f t="shared" si="104"/>
        <v>-2,no había déficit y resultado fue bueno</v>
      </c>
      <c r="M132" s="98"/>
      <c r="N132" s="3" t="s">
        <v>227</v>
      </c>
      <c r="O132" s="3">
        <v>3</v>
      </c>
      <c r="P132" s="18">
        <v>3.4444444444444446</v>
      </c>
      <c r="Q132" s="3">
        <v>10</v>
      </c>
      <c r="R132" s="3">
        <v>10</v>
      </c>
      <c r="S132" s="3">
        <v>5</v>
      </c>
      <c r="T132" s="13">
        <v>0.88597893866063815</v>
      </c>
      <c r="U132" s="64" t="s">
        <v>398</v>
      </c>
      <c r="V132" s="13">
        <v>11</v>
      </c>
      <c r="W132" s="3">
        <f t="shared" si="105"/>
        <v>0</v>
      </c>
      <c r="X132" s="3">
        <f t="shared" si="106"/>
        <v>7</v>
      </c>
      <c r="Y132" t="str">
        <f t="shared" si="107"/>
        <v>-1, Déficit y dejo la capacidad media</v>
      </c>
      <c r="AB132" s="3" t="s">
        <v>227</v>
      </c>
      <c r="AC132" s="3">
        <v>5</v>
      </c>
      <c r="AD132" s="18">
        <v>4.5555555555555554</v>
      </c>
      <c r="AE132" s="3">
        <v>4</v>
      </c>
      <c r="AF132" s="3">
        <v>5</v>
      </c>
      <c r="AG132" s="3">
        <v>5</v>
      </c>
      <c r="AH132" s="13">
        <v>0.88597893866063815</v>
      </c>
      <c r="AI132" s="64" t="s">
        <v>398</v>
      </c>
      <c r="AJ132" s="13">
        <v>11</v>
      </c>
      <c r="AK132" s="3">
        <f t="shared" si="108"/>
        <v>1</v>
      </c>
      <c r="AL132" s="3">
        <f t="shared" si="109"/>
        <v>-1</v>
      </c>
      <c r="AM132" t="str">
        <f t="shared" si="110"/>
        <v>-1, Déficit y dejo la capacidad media</v>
      </c>
      <c r="AO132" s="3" t="s">
        <v>227</v>
      </c>
      <c r="AP132" s="3">
        <v>1</v>
      </c>
      <c r="AQ132" s="18">
        <v>4.7777777777777777</v>
      </c>
      <c r="AR132" s="3">
        <v>2</v>
      </c>
      <c r="AS132" s="3">
        <v>2</v>
      </c>
      <c r="AT132" s="3">
        <v>5</v>
      </c>
      <c r="AU132" s="13">
        <v>0.88597893866063815</v>
      </c>
      <c r="AV132" s="64" t="s">
        <v>398</v>
      </c>
      <c r="AW132" s="13">
        <v>11</v>
      </c>
      <c r="AX132" s="3">
        <f t="shared" si="111"/>
        <v>0</v>
      </c>
      <c r="AY132" s="3">
        <f t="shared" si="112"/>
        <v>1</v>
      </c>
      <c r="AZ132" t="str">
        <f t="shared" si="113"/>
        <v>-1, Déficit y dejo la capacidad media</v>
      </c>
      <c r="BB132" s="3" t="s">
        <v>227</v>
      </c>
      <c r="BC132" s="3">
        <v>9</v>
      </c>
      <c r="BD132" s="18">
        <v>4.4444444444444446</v>
      </c>
      <c r="BE132" s="3">
        <v>7</v>
      </c>
      <c r="BF132" s="3">
        <v>10</v>
      </c>
      <c r="BG132" s="3">
        <v>5</v>
      </c>
      <c r="BH132" s="13">
        <v>0.88597893866063815</v>
      </c>
      <c r="BI132" s="64" t="s">
        <v>398</v>
      </c>
      <c r="BJ132" s="13">
        <v>11</v>
      </c>
      <c r="BK132" s="3">
        <f t="shared" si="114"/>
        <v>1</v>
      </c>
      <c r="BL132" s="3">
        <f t="shared" si="115"/>
        <v>-2</v>
      </c>
      <c r="BM132" t="str">
        <f t="shared" si="116"/>
        <v>-1, no había déficit y dejo la capacidad media</v>
      </c>
      <c r="BO132" s="3" t="s">
        <v>227</v>
      </c>
      <c r="BP132" s="3">
        <v>10</v>
      </c>
      <c r="BQ132" s="18">
        <v>2.5555555555555554</v>
      </c>
      <c r="BR132" s="3">
        <v>6</v>
      </c>
      <c r="BS132" s="3">
        <v>6</v>
      </c>
      <c r="BT132" s="3">
        <v>5</v>
      </c>
      <c r="BU132" s="13">
        <v>0.88597893866063815</v>
      </c>
      <c r="BV132" s="64" t="s">
        <v>398</v>
      </c>
      <c r="BW132" s="13">
        <v>11</v>
      </c>
      <c r="BX132" s="3">
        <f t="shared" si="117"/>
        <v>1</v>
      </c>
      <c r="BY132" s="3">
        <f t="shared" si="118"/>
        <v>-4</v>
      </c>
      <c r="BZ132" t="str">
        <f t="shared" si="119"/>
        <v>-1, no había déficit y dejo la capacidad media</v>
      </c>
      <c r="CB132" s="3" t="s">
        <v>227</v>
      </c>
      <c r="CC132" s="3">
        <v>3</v>
      </c>
      <c r="CD132" s="18">
        <v>3.7777777777777777</v>
      </c>
      <c r="CE132" s="3">
        <v>0</v>
      </c>
      <c r="CF132" s="3">
        <v>0</v>
      </c>
      <c r="CG132" s="3">
        <v>5</v>
      </c>
      <c r="CH132" s="13">
        <v>0.88597893866063815</v>
      </c>
      <c r="CI132" s="64" t="s">
        <v>398</v>
      </c>
      <c r="CJ132" s="13">
        <v>11</v>
      </c>
      <c r="CK132" s="3">
        <f t="shared" si="120"/>
        <v>1</v>
      </c>
      <c r="CL132" s="3">
        <f t="shared" si="121"/>
        <v>-3</v>
      </c>
      <c r="CM132" t="str">
        <f t="shared" si="122"/>
        <v>-1, Déficit y dejo la capacidad media</v>
      </c>
    </row>
    <row r="133" spans="1:91" ht="14.25" customHeight="1" x14ac:dyDescent="0.3">
      <c r="A133" s="3" t="s">
        <v>229</v>
      </c>
      <c r="B133" s="3">
        <v>3</v>
      </c>
      <c r="C133" s="18">
        <v>6.666666666666667</v>
      </c>
      <c r="D133" s="3">
        <v>6</v>
      </c>
      <c r="E133" s="3">
        <v>9</v>
      </c>
      <c r="F133" s="3">
        <v>13</v>
      </c>
      <c r="G133" s="13">
        <v>-1.0923718971587979</v>
      </c>
      <c r="H133" s="64" t="s">
        <v>401</v>
      </c>
      <c r="I133" s="13">
        <v>15</v>
      </c>
      <c r="J133" s="3">
        <f t="shared" ref="J133:J142" si="123">IF(D133&gt;=B133,1,0)</f>
        <v>1</v>
      </c>
      <c r="K133" s="3">
        <f t="shared" si="103"/>
        <v>3</v>
      </c>
      <c r="L133" t="str">
        <f t="shared" si="104"/>
        <v>0, no había superávit, y la deje con superávit</v>
      </c>
      <c r="M133" s="98"/>
      <c r="N133" s="3" t="s">
        <v>229</v>
      </c>
      <c r="O133" s="3">
        <v>12</v>
      </c>
      <c r="P133" s="18">
        <v>9</v>
      </c>
      <c r="Q133" s="3">
        <v>12</v>
      </c>
      <c r="R133" s="3">
        <v>11</v>
      </c>
      <c r="S133" s="3">
        <v>2</v>
      </c>
      <c r="T133" s="13">
        <v>-1.0923718971587979</v>
      </c>
      <c r="U133" s="64" t="s">
        <v>401</v>
      </c>
      <c r="V133" s="13">
        <v>15</v>
      </c>
      <c r="W133" s="3">
        <f t="shared" ref="W133:W142" si="124">IF(Q133&gt;=O133,1,0)</f>
        <v>1</v>
      </c>
      <c r="X133" s="3">
        <f t="shared" si="106"/>
        <v>0</v>
      </c>
      <c r="Y133" t="str">
        <f t="shared" si="107"/>
        <v>1, Superávit y eliminé superávit</v>
      </c>
      <c r="AB133" s="3" t="s">
        <v>229</v>
      </c>
      <c r="AC133" s="3">
        <v>7</v>
      </c>
      <c r="AD133" s="18">
        <v>9.4444444444444446</v>
      </c>
      <c r="AE133" s="3">
        <v>7</v>
      </c>
      <c r="AF133" s="3">
        <v>10</v>
      </c>
      <c r="AG133" s="3">
        <v>2</v>
      </c>
      <c r="AH133" s="13">
        <v>-1.0923718971587979</v>
      </c>
      <c r="AI133" s="64" t="s">
        <v>401</v>
      </c>
      <c r="AJ133" s="13">
        <v>15</v>
      </c>
      <c r="AK133" s="3">
        <f t="shared" ref="AK133:AK142" si="125">IF(AE133&gt;=AC133,1,0)</f>
        <v>1</v>
      </c>
      <c r="AL133" s="3">
        <f t="shared" si="109"/>
        <v>0</v>
      </c>
      <c r="AM133" t="str">
        <f t="shared" si="110"/>
        <v>1, no había superávit, pero el resultado fue mejor</v>
      </c>
      <c r="AO133" s="3" t="s">
        <v>229</v>
      </c>
      <c r="AP133" s="3">
        <v>8</v>
      </c>
      <c r="AQ133" s="18">
        <v>8.3333333333333339</v>
      </c>
      <c r="AR133" s="3">
        <v>12</v>
      </c>
      <c r="AS133" s="3">
        <v>13</v>
      </c>
      <c r="AT133" s="3">
        <v>2</v>
      </c>
      <c r="AU133" s="13">
        <v>-1.0923718971587979</v>
      </c>
      <c r="AV133" s="64" t="s">
        <v>401</v>
      </c>
      <c r="AW133" s="13">
        <v>15</v>
      </c>
      <c r="AX133" s="3">
        <f t="shared" ref="AX133:AX142" si="126">IF(AR133&gt;=AP133,1,0)</f>
        <v>1</v>
      </c>
      <c r="AY133" s="3">
        <f t="shared" si="112"/>
        <v>4</v>
      </c>
      <c r="AZ133" t="str">
        <f t="shared" si="113"/>
        <v>1, Superávit y eliminé superávit</v>
      </c>
      <c r="BB133" s="3" t="s">
        <v>229</v>
      </c>
      <c r="BC133" s="3">
        <v>11</v>
      </c>
      <c r="BD133" s="18">
        <v>10.777777777777779</v>
      </c>
      <c r="BE133" s="3">
        <v>14</v>
      </c>
      <c r="BF133" s="3">
        <v>14</v>
      </c>
      <c r="BG133" s="3">
        <v>2</v>
      </c>
      <c r="BH133" s="13">
        <v>-1.0923718971587979</v>
      </c>
      <c r="BI133" s="64" t="s">
        <v>401</v>
      </c>
      <c r="BJ133" s="13">
        <v>15</v>
      </c>
      <c r="BK133" s="3">
        <f t="shared" ref="BK133:BK142" si="127">IF(BE133&gt;=BC133,1,0)</f>
        <v>1</v>
      </c>
      <c r="BL133" s="3">
        <f t="shared" si="115"/>
        <v>3</v>
      </c>
      <c r="BM133" t="str">
        <f t="shared" si="116"/>
        <v>1, Superávit y eliminé superávit</v>
      </c>
      <c r="BO133" s="3" t="s">
        <v>229</v>
      </c>
      <c r="BP133" s="3">
        <v>13</v>
      </c>
      <c r="BQ133" s="18">
        <v>10</v>
      </c>
      <c r="BR133" s="3">
        <v>13</v>
      </c>
      <c r="BS133" s="3">
        <v>12</v>
      </c>
      <c r="BT133" s="3">
        <v>6</v>
      </c>
      <c r="BU133" s="13">
        <v>-1.0923718971587979</v>
      </c>
      <c r="BV133" s="64" t="s">
        <v>401</v>
      </c>
      <c r="BW133" s="13">
        <v>15</v>
      </c>
      <c r="BX133" s="3">
        <f t="shared" ref="BX133:BX142" si="128">IF(BR133&gt;=BP133,1,0)</f>
        <v>1</v>
      </c>
      <c r="BY133" s="3">
        <f t="shared" si="118"/>
        <v>0</v>
      </c>
      <c r="BZ133" t="str">
        <f t="shared" si="119"/>
        <v>1, Superávit y eliminé superávit</v>
      </c>
      <c r="CB133" s="3" t="s">
        <v>229</v>
      </c>
      <c r="CC133" s="3">
        <v>10</v>
      </c>
      <c r="CD133" s="18">
        <v>9.8888888888888893</v>
      </c>
      <c r="CE133" s="3">
        <v>8</v>
      </c>
      <c r="CF133" s="3">
        <v>8</v>
      </c>
      <c r="CG133" s="3">
        <v>4</v>
      </c>
      <c r="CH133" s="13">
        <v>-1.0923718971587979</v>
      </c>
      <c r="CI133" s="64" t="s">
        <v>401</v>
      </c>
      <c r="CJ133" s="13">
        <v>15</v>
      </c>
      <c r="CK133" s="3">
        <f t="shared" si="120"/>
        <v>1</v>
      </c>
      <c r="CL133" s="3">
        <f t="shared" si="121"/>
        <v>-2</v>
      </c>
      <c r="CM133" t="str">
        <f t="shared" si="122"/>
        <v>1, Superávit y eliminé superávit</v>
      </c>
    </row>
    <row r="134" spans="1:91" ht="14.25" customHeight="1" x14ac:dyDescent="0.3">
      <c r="A134" s="3" t="s">
        <v>232</v>
      </c>
      <c r="B134" s="3">
        <v>3</v>
      </c>
      <c r="C134" s="18">
        <v>10.333333333333334</v>
      </c>
      <c r="D134" s="3">
        <v>2</v>
      </c>
      <c r="E134" s="3">
        <v>2</v>
      </c>
      <c r="F134" s="3">
        <v>3</v>
      </c>
      <c r="G134" s="13">
        <v>-1.1154133211974251</v>
      </c>
      <c r="H134" s="64" t="s">
        <v>406</v>
      </c>
      <c r="I134" s="13">
        <v>19</v>
      </c>
      <c r="J134" s="3">
        <f t="shared" si="123"/>
        <v>0</v>
      </c>
      <c r="K134" s="3">
        <f t="shared" si="103"/>
        <v>-1</v>
      </c>
      <c r="L134" t="str">
        <f t="shared" si="104"/>
        <v>-2, no había superávit y resultado fue bueno</v>
      </c>
      <c r="M134" s="98"/>
      <c r="N134" s="3" t="s">
        <v>232</v>
      </c>
      <c r="O134" s="3">
        <v>15</v>
      </c>
      <c r="P134" s="18">
        <v>13.111111111111111</v>
      </c>
      <c r="Q134" s="3">
        <v>6</v>
      </c>
      <c r="R134" s="3">
        <v>6</v>
      </c>
      <c r="S134" s="3">
        <v>6</v>
      </c>
      <c r="T134" s="13">
        <v>-1.1154133211974251</v>
      </c>
      <c r="U134" s="64" t="s">
        <v>406</v>
      </c>
      <c r="V134" s="13">
        <v>19</v>
      </c>
      <c r="W134" s="3">
        <f t="shared" si="124"/>
        <v>0</v>
      </c>
      <c r="X134" s="3">
        <f t="shared" si="106"/>
        <v>-9</v>
      </c>
      <c r="Y134" t="str">
        <f t="shared" si="107"/>
        <v>1, Superávit y eliminé superávit</v>
      </c>
      <c r="AB134" s="3" t="s">
        <v>232</v>
      </c>
      <c r="AC134" s="3">
        <v>18</v>
      </c>
      <c r="AD134" s="18">
        <v>13.111111111111111</v>
      </c>
      <c r="AE134" s="3">
        <v>18</v>
      </c>
      <c r="AF134" s="3">
        <v>18</v>
      </c>
      <c r="AG134" s="3">
        <v>3</v>
      </c>
      <c r="AH134" s="13">
        <v>-1.1154133211974251</v>
      </c>
      <c r="AI134" s="64" t="s">
        <v>406</v>
      </c>
      <c r="AJ134" s="13">
        <v>19</v>
      </c>
      <c r="AK134" s="3">
        <f t="shared" si="125"/>
        <v>1</v>
      </c>
      <c r="AL134" s="3">
        <f t="shared" si="109"/>
        <v>0</v>
      </c>
      <c r="AM134" t="str">
        <f t="shared" si="110"/>
        <v>1, Superávit y eliminé superávit</v>
      </c>
      <c r="AO134" s="3" t="s">
        <v>232</v>
      </c>
      <c r="AP134" s="3">
        <v>16</v>
      </c>
      <c r="AQ134" s="18">
        <v>13.555555555555555</v>
      </c>
      <c r="AR134" s="3">
        <v>15</v>
      </c>
      <c r="AS134" s="3">
        <v>15</v>
      </c>
      <c r="AT134" s="3">
        <v>16</v>
      </c>
      <c r="AU134" s="13">
        <v>-1.1154133211974251</v>
      </c>
      <c r="AV134" s="64" t="s">
        <v>406</v>
      </c>
      <c r="AW134" s="13">
        <v>19</v>
      </c>
      <c r="AX134" s="3">
        <f t="shared" si="126"/>
        <v>0</v>
      </c>
      <c r="AY134" s="3">
        <f t="shared" si="112"/>
        <v>-1</v>
      </c>
      <c r="AZ134" t="str">
        <f t="shared" si="113"/>
        <v>0, Superávit y no eliminé superávit</v>
      </c>
      <c r="BB134" s="3" t="s">
        <v>232</v>
      </c>
      <c r="BC134" s="3">
        <v>19</v>
      </c>
      <c r="BD134" s="18">
        <v>15.888888888888889</v>
      </c>
      <c r="BE134" s="3">
        <v>18</v>
      </c>
      <c r="BF134" s="3">
        <v>17</v>
      </c>
      <c r="BG134" s="3">
        <v>3</v>
      </c>
      <c r="BH134" s="13">
        <v>-1.1154133211974251</v>
      </c>
      <c r="BI134" s="64" t="s">
        <v>406</v>
      </c>
      <c r="BJ134" s="13">
        <v>19</v>
      </c>
      <c r="BK134" s="3">
        <f t="shared" si="127"/>
        <v>0</v>
      </c>
      <c r="BL134" s="3">
        <f t="shared" si="115"/>
        <v>-1</v>
      </c>
      <c r="BM134" t="str">
        <f t="shared" si="116"/>
        <v>1, Superávit y eliminé superávit</v>
      </c>
      <c r="BO134" s="3" t="s">
        <v>232</v>
      </c>
      <c r="BP134" s="3">
        <v>13</v>
      </c>
      <c r="BQ134" s="18">
        <v>14.777777777777779</v>
      </c>
      <c r="BR134" s="3">
        <v>14</v>
      </c>
      <c r="BS134" s="3">
        <v>12</v>
      </c>
      <c r="BT134" s="3">
        <v>13</v>
      </c>
      <c r="BU134" s="13">
        <v>-1.1154133211974251</v>
      </c>
      <c r="BV134" s="64" t="s">
        <v>406</v>
      </c>
      <c r="BW134" s="13">
        <v>19</v>
      </c>
      <c r="BX134" s="3">
        <f t="shared" si="128"/>
        <v>1</v>
      </c>
      <c r="BY134" s="3">
        <f t="shared" si="118"/>
        <v>1</v>
      </c>
      <c r="BZ134" t="str">
        <f t="shared" si="119"/>
        <v>0, Superávit y no eliminé superávit</v>
      </c>
      <c r="CB134" s="3" t="s">
        <v>232</v>
      </c>
      <c r="CC134" s="3">
        <v>15</v>
      </c>
      <c r="CD134" s="18">
        <v>14.444444444444445</v>
      </c>
      <c r="CE134" s="3">
        <v>17</v>
      </c>
      <c r="CF134" s="3">
        <v>16</v>
      </c>
      <c r="CG134" s="3">
        <v>10</v>
      </c>
      <c r="CH134" s="13">
        <v>-1.1154133211974251</v>
      </c>
      <c r="CI134" s="64" t="s">
        <v>406</v>
      </c>
      <c r="CJ134" s="13">
        <v>19</v>
      </c>
      <c r="CK134" s="3">
        <f t="shared" si="120"/>
        <v>0</v>
      </c>
      <c r="CL134" s="3">
        <f t="shared" si="121"/>
        <v>2</v>
      </c>
      <c r="CM134" t="str">
        <f t="shared" si="122"/>
        <v>-2, Superávit y resultado fue bueno</v>
      </c>
    </row>
    <row r="135" spans="1:91" ht="14.25" customHeight="1" x14ac:dyDescent="0.3">
      <c r="A135" s="3" t="s">
        <v>234</v>
      </c>
      <c r="B135" s="3">
        <v>9</v>
      </c>
      <c r="C135" s="18">
        <v>10.777777777777779</v>
      </c>
      <c r="D135" s="3">
        <v>6</v>
      </c>
      <c r="E135" s="3">
        <v>7</v>
      </c>
      <c r="F135" s="3">
        <v>9</v>
      </c>
      <c r="G135" s="13">
        <v>-1.12017317951397</v>
      </c>
      <c r="H135" s="64" t="s">
        <v>405</v>
      </c>
      <c r="I135" s="13">
        <v>16</v>
      </c>
      <c r="J135" s="3">
        <f t="shared" si="123"/>
        <v>0</v>
      </c>
      <c r="K135" s="3">
        <f t="shared" si="103"/>
        <v>-3</v>
      </c>
      <c r="L135" t="str">
        <f t="shared" si="104"/>
        <v>0, Superávit y no eliminé superávit</v>
      </c>
      <c r="M135" s="98"/>
      <c r="N135" s="3" t="s">
        <v>234</v>
      </c>
      <c r="O135" s="3">
        <v>12</v>
      </c>
      <c r="P135" s="18">
        <v>9.1111111111111107</v>
      </c>
      <c r="Q135" s="3">
        <v>13</v>
      </c>
      <c r="R135" s="3">
        <v>12</v>
      </c>
      <c r="S135" s="3">
        <v>12</v>
      </c>
      <c r="T135" s="13">
        <v>-1.12017317951397</v>
      </c>
      <c r="U135" s="64" t="s">
        <v>405</v>
      </c>
      <c r="V135" s="13">
        <v>16</v>
      </c>
      <c r="W135" s="3">
        <f t="shared" si="124"/>
        <v>1</v>
      </c>
      <c r="X135" s="3">
        <f t="shared" si="106"/>
        <v>1</v>
      </c>
      <c r="Y135" t="str">
        <f t="shared" si="107"/>
        <v>0, Superávit y no eliminé superávit</v>
      </c>
      <c r="AB135" s="3" t="s">
        <v>234</v>
      </c>
      <c r="AC135" s="3">
        <v>9</v>
      </c>
      <c r="AD135" s="18">
        <v>7</v>
      </c>
      <c r="AE135" s="3">
        <v>8</v>
      </c>
      <c r="AF135" s="3">
        <v>7</v>
      </c>
      <c r="AG135" s="3">
        <v>9</v>
      </c>
      <c r="AH135" s="13">
        <v>-1.12017317951397</v>
      </c>
      <c r="AI135" s="64" t="s">
        <v>405</v>
      </c>
      <c r="AJ135" s="13">
        <v>16</v>
      </c>
      <c r="AK135" s="3">
        <f t="shared" si="125"/>
        <v>0</v>
      </c>
      <c r="AL135" s="3">
        <f t="shared" si="109"/>
        <v>-1</v>
      </c>
      <c r="AM135" t="str">
        <f t="shared" si="110"/>
        <v>0, Superávit y no eliminé superávit</v>
      </c>
      <c r="AO135" s="3" t="s">
        <v>234</v>
      </c>
      <c r="AP135" s="3">
        <v>12</v>
      </c>
      <c r="AQ135" s="18">
        <v>8.8888888888888893</v>
      </c>
      <c r="AR135" s="3">
        <v>12</v>
      </c>
      <c r="AS135" s="3">
        <v>14</v>
      </c>
      <c r="AT135" s="3">
        <v>13</v>
      </c>
      <c r="AU135" s="13">
        <v>-1.12017317951397</v>
      </c>
      <c r="AV135" s="64" t="s">
        <v>405</v>
      </c>
      <c r="AW135" s="13">
        <v>16</v>
      </c>
      <c r="AX135" s="3">
        <f t="shared" si="126"/>
        <v>1</v>
      </c>
      <c r="AY135" s="3">
        <f t="shared" si="112"/>
        <v>0</v>
      </c>
      <c r="AZ135" t="str">
        <f t="shared" si="113"/>
        <v>0, Superávit y no eliminé superávit</v>
      </c>
      <c r="BB135" s="3" t="s">
        <v>234</v>
      </c>
      <c r="BC135" s="3">
        <v>9</v>
      </c>
      <c r="BD135" s="18">
        <v>10.444444444444445</v>
      </c>
      <c r="BE135" s="3">
        <v>9</v>
      </c>
      <c r="BF135" s="3">
        <v>8</v>
      </c>
      <c r="BG135" s="3">
        <v>9</v>
      </c>
      <c r="BH135" s="13">
        <v>-1.12017317951397</v>
      </c>
      <c r="BI135" s="64" t="s">
        <v>405</v>
      </c>
      <c r="BJ135" s="13">
        <v>16</v>
      </c>
      <c r="BK135" s="3">
        <f t="shared" si="127"/>
        <v>1</v>
      </c>
      <c r="BL135" s="3">
        <f t="shared" si="115"/>
        <v>0</v>
      </c>
      <c r="BM135" t="str">
        <f t="shared" si="116"/>
        <v>0, Superávit y no eliminé superávit</v>
      </c>
      <c r="BO135" s="3" t="s">
        <v>234</v>
      </c>
      <c r="BP135" s="3">
        <v>16</v>
      </c>
      <c r="BQ135" s="18">
        <v>12.777777777777779</v>
      </c>
      <c r="BR135" s="3">
        <v>14</v>
      </c>
      <c r="BS135" s="3">
        <v>15</v>
      </c>
      <c r="BT135" s="3">
        <v>8</v>
      </c>
      <c r="BU135" s="13">
        <v>-1.12017317951397</v>
      </c>
      <c r="BV135" s="64" t="s">
        <v>405</v>
      </c>
      <c r="BW135" s="13">
        <v>16</v>
      </c>
      <c r="BX135" s="3">
        <f t="shared" si="128"/>
        <v>0</v>
      </c>
      <c r="BY135" s="3">
        <f t="shared" si="118"/>
        <v>-2</v>
      </c>
      <c r="BZ135" t="str">
        <f t="shared" si="119"/>
        <v>-1, Superávit y deje la capacidad media</v>
      </c>
      <c r="CB135" s="3" t="s">
        <v>234</v>
      </c>
      <c r="CC135" s="3">
        <v>12</v>
      </c>
      <c r="CD135" s="18">
        <v>11.666666666666666</v>
      </c>
      <c r="CE135" s="3">
        <v>12</v>
      </c>
      <c r="CF135" s="3">
        <v>12</v>
      </c>
      <c r="CG135" s="3">
        <v>12</v>
      </c>
      <c r="CH135" s="13">
        <v>-1.12017317951397</v>
      </c>
      <c r="CI135" s="64" t="s">
        <v>405</v>
      </c>
      <c r="CJ135" s="13">
        <v>16</v>
      </c>
      <c r="CK135" s="3">
        <f t="shared" si="120"/>
        <v>1</v>
      </c>
      <c r="CL135" s="3">
        <f t="shared" si="121"/>
        <v>0</v>
      </c>
      <c r="CM135" t="str">
        <f t="shared" si="122"/>
        <v>0, Superávit y no eliminé superávit</v>
      </c>
    </row>
    <row r="136" spans="1:91" ht="14.25" customHeight="1" x14ac:dyDescent="0.3">
      <c r="A136" s="3" t="s">
        <v>236</v>
      </c>
      <c r="B136" s="3">
        <v>13</v>
      </c>
      <c r="C136" s="18">
        <v>11.777777777777779</v>
      </c>
      <c r="D136" s="3">
        <v>13</v>
      </c>
      <c r="E136" s="3">
        <v>13</v>
      </c>
      <c r="F136" s="3">
        <v>13</v>
      </c>
      <c r="G136" s="13">
        <v>-1.1339562965442611</v>
      </c>
      <c r="H136" s="64" t="s">
        <v>401</v>
      </c>
      <c r="I136" s="13">
        <v>15</v>
      </c>
      <c r="J136" s="3">
        <f t="shared" si="123"/>
        <v>1</v>
      </c>
      <c r="K136" s="3">
        <f t="shared" si="103"/>
        <v>0</v>
      </c>
      <c r="L136" t="str">
        <f t="shared" si="104"/>
        <v>0, Superávit y no eliminé superávit</v>
      </c>
      <c r="M136" s="98"/>
      <c r="N136" s="3" t="s">
        <v>236</v>
      </c>
      <c r="O136" s="3">
        <v>12</v>
      </c>
      <c r="P136" s="18">
        <v>9.4444444444444446</v>
      </c>
      <c r="Q136" s="3">
        <v>10</v>
      </c>
      <c r="R136" s="3">
        <v>12</v>
      </c>
      <c r="S136" s="3">
        <v>11</v>
      </c>
      <c r="T136" s="13">
        <v>-1.1339562965442611</v>
      </c>
      <c r="U136" s="64" t="s">
        <v>401</v>
      </c>
      <c r="V136" s="13">
        <v>15</v>
      </c>
      <c r="W136" s="3">
        <f t="shared" si="124"/>
        <v>0</v>
      </c>
      <c r="X136" s="3">
        <f t="shared" si="106"/>
        <v>-2</v>
      </c>
      <c r="Y136" t="str">
        <f t="shared" si="107"/>
        <v>-2, Superávit y resultado fue bueno</v>
      </c>
      <c r="AB136" s="3" t="s">
        <v>236</v>
      </c>
      <c r="AC136" s="3">
        <v>1</v>
      </c>
      <c r="AD136" s="18">
        <v>6.4444444444444446</v>
      </c>
      <c r="AE136" s="3">
        <v>11</v>
      </c>
      <c r="AF136" s="3">
        <v>12</v>
      </c>
      <c r="AG136" s="3">
        <v>13</v>
      </c>
      <c r="AH136" s="13">
        <v>-1.1339562965442611</v>
      </c>
      <c r="AI136" s="64" t="s">
        <v>401</v>
      </c>
      <c r="AJ136" s="13">
        <v>15</v>
      </c>
      <c r="AK136" s="3">
        <f t="shared" si="125"/>
        <v>1</v>
      </c>
      <c r="AL136" s="3">
        <f t="shared" si="109"/>
        <v>10</v>
      </c>
      <c r="AM136" t="str">
        <f t="shared" si="110"/>
        <v>0, no había superávit, y la deje con superávit</v>
      </c>
      <c r="AO136" s="3" t="s">
        <v>236</v>
      </c>
      <c r="AP136" s="3">
        <v>15</v>
      </c>
      <c r="AQ136" s="18">
        <v>10.555555555555555</v>
      </c>
      <c r="AR136" s="3">
        <v>15</v>
      </c>
      <c r="AS136" s="3">
        <v>15</v>
      </c>
      <c r="AT136" s="3">
        <v>2</v>
      </c>
      <c r="AU136" s="13">
        <v>-1.1339562965442611</v>
      </c>
      <c r="AV136" s="64" t="s">
        <v>401</v>
      </c>
      <c r="AW136" s="13">
        <v>15</v>
      </c>
      <c r="AX136" s="3">
        <f t="shared" si="126"/>
        <v>1</v>
      </c>
      <c r="AY136" s="3">
        <f t="shared" si="112"/>
        <v>0</v>
      </c>
      <c r="AZ136" t="str">
        <f t="shared" si="113"/>
        <v>1, Superávit y eliminé superávit</v>
      </c>
      <c r="BB136" s="3" t="s">
        <v>236</v>
      </c>
      <c r="BC136" s="3">
        <v>2</v>
      </c>
      <c r="BD136" s="18">
        <v>9.2222222222222214</v>
      </c>
      <c r="BE136" s="3">
        <v>6</v>
      </c>
      <c r="BF136" s="3">
        <v>6</v>
      </c>
      <c r="BG136" s="3">
        <v>2</v>
      </c>
      <c r="BH136" s="13">
        <v>-1.1339562965442611</v>
      </c>
      <c r="BI136" s="64" t="s">
        <v>401</v>
      </c>
      <c r="BJ136" s="13">
        <v>15</v>
      </c>
      <c r="BK136" s="3">
        <f t="shared" si="127"/>
        <v>1</v>
      </c>
      <c r="BL136" s="3">
        <f t="shared" si="115"/>
        <v>4</v>
      </c>
      <c r="BM136" t="str">
        <f t="shared" si="116"/>
        <v>-2, no había superávit y resultado fue bueno</v>
      </c>
      <c r="BO136" s="3" t="s">
        <v>236</v>
      </c>
      <c r="BP136" s="3">
        <v>9</v>
      </c>
      <c r="BQ136" s="18">
        <v>12.111111111111111</v>
      </c>
      <c r="BR136" s="3">
        <v>9</v>
      </c>
      <c r="BS136" s="3">
        <v>9</v>
      </c>
      <c r="BT136" s="3">
        <v>13</v>
      </c>
      <c r="BU136" s="13">
        <v>-1.1339562965442611</v>
      </c>
      <c r="BV136" s="64" t="s">
        <v>401</v>
      </c>
      <c r="BW136" s="13">
        <v>15</v>
      </c>
      <c r="BX136" s="3">
        <f t="shared" si="128"/>
        <v>1</v>
      </c>
      <c r="BY136" s="3">
        <f t="shared" si="118"/>
        <v>0</v>
      </c>
      <c r="BZ136" t="str">
        <f t="shared" si="119"/>
        <v>0, Superávit y no eliminé superávit</v>
      </c>
      <c r="CB136" s="3" t="s">
        <v>236</v>
      </c>
      <c r="CC136" s="3">
        <v>14</v>
      </c>
      <c r="CD136" s="18">
        <v>13</v>
      </c>
      <c r="CE136" s="3">
        <v>14</v>
      </c>
      <c r="CF136" s="3">
        <v>14</v>
      </c>
      <c r="CG136" s="3">
        <v>6</v>
      </c>
      <c r="CH136" s="13">
        <v>-1.1339562965442611</v>
      </c>
      <c r="CI136" s="64" t="s">
        <v>401</v>
      </c>
      <c r="CJ136" s="13">
        <v>15</v>
      </c>
      <c r="CK136" s="3">
        <f t="shared" si="120"/>
        <v>1</v>
      </c>
      <c r="CL136" s="3">
        <f t="shared" si="121"/>
        <v>0</v>
      </c>
      <c r="CM136" t="str">
        <f t="shared" si="122"/>
        <v>1, Superávit y eliminé superávit</v>
      </c>
    </row>
    <row r="137" spans="1:91" ht="14.25" customHeight="1" x14ac:dyDescent="0.3">
      <c r="A137" s="3" t="s">
        <v>238</v>
      </c>
      <c r="B137" s="3">
        <v>5</v>
      </c>
      <c r="C137" s="18">
        <v>3.2222222222222223</v>
      </c>
      <c r="D137" s="3">
        <v>5</v>
      </c>
      <c r="E137" s="3">
        <v>5</v>
      </c>
      <c r="F137" s="3">
        <v>5</v>
      </c>
      <c r="G137" s="13">
        <v>-1.1428327832816429</v>
      </c>
      <c r="H137" s="64" t="s">
        <v>400</v>
      </c>
      <c r="I137" s="13">
        <v>7</v>
      </c>
      <c r="J137" s="3">
        <f t="shared" si="123"/>
        <v>1</v>
      </c>
      <c r="K137" s="3">
        <f t="shared" si="103"/>
        <v>0</v>
      </c>
      <c r="L137" t="str">
        <f t="shared" si="104"/>
        <v>0, Superávit y no eliminé superávit</v>
      </c>
      <c r="M137" s="98"/>
      <c r="N137" s="3" t="s">
        <v>238</v>
      </c>
      <c r="O137" s="3">
        <v>4</v>
      </c>
      <c r="P137" s="18">
        <v>3.1111111111111112</v>
      </c>
      <c r="Q137" s="3">
        <v>5</v>
      </c>
      <c r="R137" s="3">
        <v>5</v>
      </c>
      <c r="S137" s="3">
        <v>4</v>
      </c>
      <c r="T137" s="13">
        <v>-1.1428327832816429</v>
      </c>
      <c r="U137" s="64" t="s">
        <v>400</v>
      </c>
      <c r="V137" s="13">
        <v>7</v>
      </c>
      <c r="W137" s="3">
        <f t="shared" si="124"/>
        <v>1</v>
      </c>
      <c r="X137" s="3">
        <f t="shared" si="106"/>
        <v>1</v>
      </c>
      <c r="Y137" t="str">
        <f t="shared" si="107"/>
        <v>0, Superávit y no eliminé superávit</v>
      </c>
      <c r="AB137" s="3" t="s">
        <v>238</v>
      </c>
      <c r="AC137" s="3">
        <v>5</v>
      </c>
      <c r="AD137" s="18">
        <v>3</v>
      </c>
      <c r="AE137" s="3">
        <v>4</v>
      </c>
      <c r="AF137" s="3">
        <v>4</v>
      </c>
      <c r="AG137" s="3">
        <v>5</v>
      </c>
      <c r="AH137" s="13">
        <v>-1.1428327832816429</v>
      </c>
      <c r="AI137" s="64" t="s">
        <v>400</v>
      </c>
      <c r="AJ137" s="13">
        <v>7</v>
      </c>
      <c r="AK137" s="3">
        <f t="shared" si="125"/>
        <v>0</v>
      </c>
      <c r="AL137" s="3">
        <f t="shared" si="109"/>
        <v>-1</v>
      </c>
      <c r="AM137" t="str">
        <f t="shared" si="110"/>
        <v>0, Superávit y no eliminé superávit</v>
      </c>
      <c r="AO137" s="3" t="s">
        <v>238</v>
      </c>
      <c r="AP137" s="3">
        <v>3</v>
      </c>
      <c r="AQ137" s="18">
        <v>3.1111111111111112</v>
      </c>
      <c r="AR137" s="3">
        <v>3</v>
      </c>
      <c r="AS137" s="3">
        <v>3</v>
      </c>
      <c r="AT137" s="3">
        <v>3</v>
      </c>
      <c r="AU137" s="13">
        <v>-1.1428327832816429</v>
      </c>
      <c r="AV137" s="64" t="s">
        <v>400</v>
      </c>
      <c r="AW137" s="13">
        <v>7</v>
      </c>
      <c r="AX137" s="3">
        <f t="shared" si="126"/>
        <v>1</v>
      </c>
      <c r="AY137" s="3">
        <f t="shared" si="112"/>
        <v>0</v>
      </c>
      <c r="AZ137" t="str">
        <f t="shared" si="113"/>
        <v>-1, no había superávit y deje la capacidad media</v>
      </c>
      <c r="BB137" s="3" t="s">
        <v>238</v>
      </c>
      <c r="BC137" s="3">
        <v>3</v>
      </c>
      <c r="BD137" s="18">
        <v>3.1111111111111112</v>
      </c>
      <c r="BE137" s="3">
        <v>3</v>
      </c>
      <c r="BF137" s="3">
        <v>3</v>
      </c>
      <c r="BG137" s="3">
        <v>3</v>
      </c>
      <c r="BH137" s="13">
        <v>-1.1428327832816429</v>
      </c>
      <c r="BI137" s="64" t="s">
        <v>400</v>
      </c>
      <c r="BJ137" s="13">
        <v>7</v>
      </c>
      <c r="BK137" s="3">
        <f t="shared" si="127"/>
        <v>1</v>
      </c>
      <c r="BL137" s="3">
        <f t="shared" si="115"/>
        <v>0</v>
      </c>
      <c r="BM137" t="str">
        <f t="shared" si="116"/>
        <v>-1, no había superávit y deje la capacidad media</v>
      </c>
      <c r="BO137" s="3" t="s">
        <v>238</v>
      </c>
      <c r="BP137" s="3">
        <v>2</v>
      </c>
      <c r="BQ137" s="18">
        <v>2.7777777777777777</v>
      </c>
      <c r="BR137" s="3">
        <v>2</v>
      </c>
      <c r="BS137" s="3">
        <v>2</v>
      </c>
      <c r="BT137" s="3">
        <v>2</v>
      </c>
      <c r="BU137" s="13">
        <v>-1.1428327832816429</v>
      </c>
      <c r="BV137" s="64" t="s">
        <v>400</v>
      </c>
      <c r="BW137" s="13">
        <v>7</v>
      </c>
      <c r="BX137" s="3">
        <f t="shared" si="128"/>
        <v>1</v>
      </c>
      <c r="BY137" s="3">
        <f t="shared" si="118"/>
        <v>0</v>
      </c>
      <c r="BZ137" t="str">
        <f t="shared" si="119"/>
        <v>-2, no había superávit y resultado fue bueno</v>
      </c>
      <c r="CB137" s="3" t="s">
        <v>238</v>
      </c>
      <c r="CC137" s="3">
        <v>2</v>
      </c>
      <c r="CD137" s="18">
        <v>2.4444444444444446</v>
      </c>
      <c r="CE137" s="3">
        <v>2</v>
      </c>
      <c r="CF137" s="3">
        <v>2</v>
      </c>
      <c r="CG137" s="3">
        <v>2</v>
      </c>
      <c r="CH137" s="13">
        <v>-1.1428327832816429</v>
      </c>
      <c r="CI137" s="64" t="s">
        <v>400</v>
      </c>
      <c r="CJ137" s="13">
        <v>7</v>
      </c>
      <c r="CK137" s="3">
        <f t="shared" si="120"/>
        <v>1</v>
      </c>
      <c r="CL137" s="3">
        <f t="shared" si="121"/>
        <v>0</v>
      </c>
      <c r="CM137" t="str">
        <f t="shared" si="122"/>
        <v>-2, no había superávit y resultado fue bueno</v>
      </c>
    </row>
    <row r="138" spans="1:91" ht="14.25" customHeight="1" x14ac:dyDescent="0.3">
      <c r="A138" s="3" t="s">
        <v>239</v>
      </c>
      <c r="B138" s="3">
        <v>14</v>
      </c>
      <c r="C138" s="18">
        <v>11.777777777777779</v>
      </c>
      <c r="D138" s="3">
        <v>8</v>
      </c>
      <c r="E138" s="3">
        <v>8</v>
      </c>
      <c r="F138" s="3">
        <v>4</v>
      </c>
      <c r="G138" s="13">
        <v>-1.1920893573654381</v>
      </c>
      <c r="H138" s="64" t="s">
        <v>401</v>
      </c>
      <c r="I138" s="13">
        <v>15</v>
      </c>
      <c r="J138" s="3">
        <f t="shared" si="123"/>
        <v>0</v>
      </c>
      <c r="K138" s="3">
        <f t="shared" si="103"/>
        <v>-6</v>
      </c>
      <c r="L138" t="str">
        <f t="shared" si="104"/>
        <v>1, Superávit y eliminé superávit</v>
      </c>
      <c r="M138" s="98"/>
      <c r="N138" s="3" t="s">
        <v>239</v>
      </c>
      <c r="O138" s="3">
        <v>12</v>
      </c>
      <c r="P138" s="18">
        <v>10</v>
      </c>
      <c r="Q138" s="3">
        <v>10</v>
      </c>
      <c r="R138" s="3">
        <v>12</v>
      </c>
      <c r="S138" s="3">
        <v>12</v>
      </c>
      <c r="T138" s="13">
        <v>-1.1920893573654381</v>
      </c>
      <c r="U138" s="64" t="s">
        <v>401</v>
      </c>
      <c r="V138" s="13">
        <v>15</v>
      </c>
      <c r="W138" s="3">
        <f t="shared" si="124"/>
        <v>0</v>
      </c>
      <c r="X138" s="3">
        <f t="shared" si="106"/>
        <v>-2</v>
      </c>
      <c r="Y138" t="str">
        <f t="shared" si="107"/>
        <v>0, Superávit y no eliminé superávit</v>
      </c>
      <c r="AB138" s="3" t="s">
        <v>239</v>
      </c>
      <c r="AC138" s="3">
        <v>6</v>
      </c>
      <c r="AD138" s="18">
        <v>10.222222222222221</v>
      </c>
      <c r="AE138" s="3">
        <v>8</v>
      </c>
      <c r="AF138" s="3">
        <v>9</v>
      </c>
      <c r="AG138" s="3">
        <v>6</v>
      </c>
      <c r="AH138" s="13">
        <v>-1.1920893573654381</v>
      </c>
      <c r="AI138" s="64" t="s">
        <v>401</v>
      </c>
      <c r="AJ138" s="13">
        <v>15</v>
      </c>
      <c r="AK138" s="3">
        <f t="shared" si="125"/>
        <v>1</v>
      </c>
      <c r="AL138" s="3">
        <f t="shared" si="109"/>
        <v>2</v>
      </c>
      <c r="AM138" t="str">
        <f t="shared" si="110"/>
        <v>-2, no había superávit y resultado fue bueno</v>
      </c>
      <c r="AO138" s="3" t="s">
        <v>239</v>
      </c>
      <c r="AP138" s="3">
        <v>8</v>
      </c>
      <c r="AQ138" s="18">
        <v>9.2222222222222214</v>
      </c>
      <c r="AR138" s="3">
        <v>10</v>
      </c>
      <c r="AS138" s="3">
        <v>11</v>
      </c>
      <c r="AT138" s="3">
        <v>8</v>
      </c>
      <c r="AU138" s="13">
        <v>-1.1920893573654381</v>
      </c>
      <c r="AV138" s="64" t="s">
        <v>401</v>
      </c>
      <c r="AW138" s="13">
        <v>15</v>
      </c>
      <c r="AX138" s="3">
        <f t="shared" si="126"/>
        <v>1</v>
      </c>
      <c r="AY138" s="3">
        <f t="shared" si="112"/>
        <v>2</v>
      </c>
      <c r="AZ138" t="str">
        <f t="shared" si="113"/>
        <v>0, Superávit y no eliminé superávit</v>
      </c>
      <c r="BB138" s="3" t="s">
        <v>239</v>
      </c>
      <c r="BC138" s="3">
        <v>6</v>
      </c>
      <c r="BD138" s="18">
        <v>11.444444444444445</v>
      </c>
      <c r="BE138" s="3">
        <v>7</v>
      </c>
      <c r="BF138" s="3">
        <v>7</v>
      </c>
      <c r="BG138" s="3">
        <v>6</v>
      </c>
      <c r="BH138" s="13">
        <v>-1.1920893573654381</v>
      </c>
      <c r="BI138" s="64" t="s">
        <v>401</v>
      </c>
      <c r="BJ138" s="13">
        <v>15</v>
      </c>
      <c r="BK138" s="3">
        <f t="shared" si="127"/>
        <v>1</v>
      </c>
      <c r="BL138" s="3">
        <f t="shared" si="115"/>
        <v>1</v>
      </c>
      <c r="BM138" t="str">
        <f t="shared" si="116"/>
        <v>-2, no había superávit y resultado fue bueno</v>
      </c>
      <c r="BO138" s="3" t="s">
        <v>239</v>
      </c>
      <c r="BP138" s="3">
        <v>9</v>
      </c>
      <c r="BQ138" s="18">
        <v>10.111111111111111</v>
      </c>
      <c r="BR138" s="3">
        <v>9</v>
      </c>
      <c r="BS138" s="3">
        <v>9</v>
      </c>
      <c r="BT138" s="3">
        <v>9</v>
      </c>
      <c r="BU138" s="13">
        <v>-1.1920893573654381</v>
      </c>
      <c r="BV138" s="64" t="s">
        <v>401</v>
      </c>
      <c r="BW138" s="13">
        <v>15</v>
      </c>
      <c r="BX138" s="3">
        <f t="shared" si="128"/>
        <v>1</v>
      </c>
      <c r="BY138" s="3">
        <f t="shared" si="118"/>
        <v>0</v>
      </c>
      <c r="BZ138" t="str">
        <f t="shared" si="119"/>
        <v>0, Superávit y no eliminé superávit</v>
      </c>
      <c r="CB138" s="3" t="s">
        <v>239</v>
      </c>
      <c r="CC138" s="3">
        <v>9</v>
      </c>
      <c r="CD138" s="18">
        <v>11.444444444444445</v>
      </c>
      <c r="CE138" s="3">
        <v>10</v>
      </c>
      <c r="CF138" s="3">
        <v>10</v>
      </c>
      <c r="CG138" s="3">
        <v>9</v>
      </c>
      <c r="CH138" s="13">
        <v>-1.1920893573654381</v>
      </c>
      <c r="CI138" s="64" t="s">
        <v>401</v>
      </c>
      <c r="CJ138" s="13">
        <v>15</v>
      </c>
      <c r="CK138" s="3">
        <f t="shared" si="120"/>
        <v>0</v>
      </c>
      <c r="CL138" s="3">
        <f t="shared" si="121"/>
        <v>1</v>
      </c>
      <c r="CM138" t="str">
        <f t="shared" si="122"/>
        <v>0, Superávit y no eliminé superávit</v>
      </c>
    </row>
    <row r="139" spans="1:91" ht="14.25" customHeight="1" x14ac:dyDescent="0.3">
      <c r="A139" s="3" t="s">
        <v>240</v>
      </c>
      <c r="B139" s="3">
        <v>18</v>
      </c>
      <c r="C139" s="18">
        <v>13.111111111111111</v>
      </c>
      <c r="D139" s="3">
        <v>7</v>
      </c>
      <c r="E139" s="3">
        <v>8</v>
      </c>
      <c r="F139" s="3">
        <v>15</v>
      </c>
      <c r="G139" s="13">
        <v>-1.196962071035268</v>
      </c>
      <c r="H139" s="64" t="s">
        <v>406</v>
      </c>
      <c r="I139" s="13">
        <v>19</v>
      </c>
      <c r="J139" s="3">
        <f t="shared" si="123"/>
        <v>0</v>
      </c>
      <c r="K139" s="3">
        <f t="shared" si="103"/>
        <v>-11</v>
      </c>
      <c r="L139" t="str">
        <f t="shared" si="104"/>
        <v>-2, Superávit y resultado fue bueno</v>
      </c>
      <c r="M139" s="98"/>
      <c r="N139" s="3" t="s">
        <v>240</v>
      </c>
      <c r="O139" s="3">
        <v>15</v>
      </c>
      <c r="P139" s="18">
        <v>10.555555555555555</v>
      </c>
      <c r="Q139" s="3">
        <v>12</v>
      </c>
      <c r="R139" s="3">
        <v>11</v>
      </c>
      <c r="S139" s="3">
        <v>15</v>
      </c>
      <c r="T139" s="13">
        <v>-1.196962071035268</v>
      </c>
      <c r="U139" s="64" t="s">
        <v>406</v>
      </c>
      <c r="V139" s="13">
        <v>19</v>
      </c>
      <c r="W139" s="3">
        <f t="shared" si="124"/>
        <v>0</v>
      </c>
      <c r="X139" s="3">
        <f t="shared" si="106"/>
        <v>-3</v>
      </c>
      <c r="Y139" t="str">
        <f t="shared" si="107"/>
        <v>0, Superávit y no eliminé superávit</v>
      </c>
      <c r="AB139" s="3" t="s">
        <v>240</v>
      </c>
      <c r="AC139" s="3">
        <v>8</v>
      </c>
      <c r="AD139" s="18">
        <v>11.111111111111111</v>
      </c>
      <c r="AE139" s="3">
        <v>12</v>
      </c>
      <c r="AF139" s="3">
        <v>17</v>
      </c>
      <c r="AG139" s="3">
        <v>8</v>
      </c>
      <c r="AH139" s="13">
        <v>-1.196962071035268</v>
      </c>
      <c r="AI139" s="64" t="s">
        <v>406</v>
      </c>
      <c r="AJ139" s="13">
        <v>19</v>
      </c>
      <c r="AK139" s="3">
        <f t="shared" si="125"/>
        <v>1</v>
      </c>
      <c r="AL139" s="3">
        <f t="shared" si="109"/>
        <v>4</v>
      </c>
      <c r="AM139" t="str">
        <f t="shared" si="110"/>
        <v>-2, no había superávit y resultado fue bueno</v>
      </c>
      <c r="AO139" s="3" t="s">
        <v>240</v>
      </c>
      <c r="AP139" s="3">
        <v>13</v>
      </c>
      <c r="AQ139" s="18">
        <v>12.666666666666666</v>
      </c>
      <c r="AR139" s="3">
        <v>14</v>
      </c>
      <c r="AS139" s="3">
        <v>19</v>
      </c>
      <c r="AT139" s="3">
        <v>13</v>
      </c>
      <c r="AU139" s="13">
        <v>-1.196962071035268</v>
      </c>
      <c r="AV139" s="64" t="s">
        <v>406</v>
      </c>
      <c r="AW139" s="13">
        <v>19</v>
      </c>
      <c r="AX139" s="3">
        <f t="shared" si="126"/>
        <v>1</v>
      </c>
      <c r="AY139" s="3">
        <f t="shared" si="112"/>
        <v>1</v>
      </c>
      <c r="AZ139" t="str">
        <f t="shared" si="113"/>
        <v>0, Superávit y no eliminé superávit</v>
      </c>
      <c r="BB139" s="3" t="s">
        <v>240</v>
      </c>
      <c r="BC139" s="3">
        <v>17</v>
      </c>
      <c r="BD139" s="18">
        <v>14</v>
      </c>
      <c r="BE139" s="3">
        <v>17</v>
      </c>
      <c r="BF139" s="3">
        <v>18</v>
      </c>
      <c r="BG139" s="3">
        <v>16</v>
      </c>
      <c r="BH139" s="13">
        <v>-1.196962071035268</v>
      </c>
      <c r="BI139" s="64" t="s">
        <v>406</v>
      </c>
      <c r="BJ139" s="13">
        <v>19</v>
      </c>
      <c r="BK139" s="3">
        <f t="shared" si="127"/>
        <v>1</v>
      </c>
      <c r="BL139" s="3">
        <f t="shared" si="115"/>
        <v>0</v>
      </c>
      <c r="BM139" t="str">
        <f t="shared" si="116"/>
        <v>-2, Superávit y resultado fue bueno</v>
      </c>
      <c r="BO139" s="3" t="s">
        <v>240</v>
      </c>
      <c r="BP139" s="3">
        <v>19</v>
      </c>
      <c r="BQ139" s="18">
        <v>15.666666666666666</v>
      </c>
      <c r="BR139" s="3">
        <v>12</v>
      </c>
      <c r="BS139" s="3">
        <v>13</v>
      </c>
      <c r="BT139" s="3">
        <v>16</v>
      </c>
      <c r="BU139" s="13">
        <v>-1.196962071035268</v>
      </c>
      <c r="BV139" s="64" t="s">
        <v>406</v>
      </c>
      <c r="BW139" s="13">
        <v>19</v>
      </c>
      <c r="BX139" s="3">
        <f t="shared" si="128"/>
        <v>0</v>
      </c>
      <c r="BY139" s="3">
        <f t="shared" si="118"/>
        <v>-7</v>
      </c>
      <c r="BZ139" t="str">
        <f t="shared" si="119"/>
        <v>-2, Superávit y resultado fue bueno</v>
      </c>
      <c r="CB139" s="3" t="s">
        <v>240</v>
      </c>
      <c r="CC139" s="3">
        <v>18</v>
      </c>
      <c r="CD139" s="18">
        <v>14.777777777777779</v>
      </c>
      <c r="CE139" s="3">
        <v>18</v>
      </c>
      <c r="CF139" s="3">
        <v>18</v>
      </c>
      <c r="CG139" s="3">
        <v>13</v>
      </c>
      <c r="CH139" s="13">
        <v>-1.196962071035268</v>
      </c>
      <c r="CI139" s="64" t="s">
        <v>406</v>
      </c>
      <c r="CJ139" s="13">
        <v>19</v>
      </c>
      <c r="CK139" s="3">
        <f t="shared" si="120"/>
        <v>1</v>
      </c>
      <c r="CL139" s="3">
        <f t="shared" si="121"/>
        <v>0</v>
      </c>
      <c r="CM139" t="str">
        <f t="shared" si="122"/>
        <v>-2, Superávit y resultado fue bueno</v>
      </c>
    </row>
    <row r="140" spans="1:91" ht="14.25" customHeight="1" x14ac:dyDescent="0.3">
      <c r="A140" s="3" t="s">
        <v>241</v>
      </c>
      <c r="B140" s="3">
        <v>10</v>
      </c>
      <c r="C140" s="18">
        <v>11.222222222222221</v>
      </c>
      <c r="D140" s="3">
        <v>15</v>
      </c>
      <c r="E140" s="3">
        <v>15</v>
      </c>
      <c r="F140" s="3">
        <v>13</v>
      </c>
      <c r="G140" s="13">
        <v>-1.2097705883740471</v>
      </c>
      <c r="H140" s="64" t="s">
        <v>401</v>
      </c>
      <c r="I140" s="13">
        <v>15</v>
      </c>
      <c r="J140" s="3">
        <f t="shared" si="123"/>
        <v>1</v>
      </c>
      <c r="K140" s="3">
        <f t="shared" si="103"/>
        <v>5</v>
      </c>
      <c r="L140" t="str">
        <f t="shared" si="104"/>
        <v>0, Superávit y no eliminé superávit</v>
      </c>
      <c r="M140" s="98"/>
      <c r="N140" s="3" t="s">
        <v>241</v>
      </c>
      <c r="O140" s="3">
        <v>12</v>
      </c>
      <c r="P140" s="18">
        <v>8.6666666666666661</v>
      </c>
      <c r="Q140" s="3">
        <v>1</v>
      </c>
      <c r="R140" s="3">
        <v>5</v>
      </c>
      <c r="S140" s="3">
        <v>12</v>
      </c>
      <c r="T140" s="13">
        <v>-1.2097705883740471</v>
      </c>
      <c r="U140" s="64" t="s">
        <v>401</v>
      </c>
      <c r="V140" s="13">
        <v>15</v>
      </c>
      <c r="W140" s="3">
        <f t="shared" si="124"/>
        <v>0</v>
      </c>
      <c r="X140" s="3">
        <f t="shared" si="106"/>
        <v>-11</v>
      </c>
      <c r="Y140" t="str">
        <f t="shared" si="107"/>
        <v>0, Superávit y no eliminé superávit</v>
      </c>
      <c r="AB140" s="3" t="s">
        <v>241</v>
      </c>
      <c r="AC140" s="3">
        <v>11</v>
      </c>
      <c r="AD140" s="18">
        <v>7.333333333333333</v>
      </c>
      <c r="AE140" s="3">
        <v>14</v>
      </c>
      <c r="AF140" s="3">
        <v>14</v>
      </c>
      <c r="AG140" s="3">
        <v>11</v>
      </c>
      <c r="AH140" s="13">
        <v>-1.2097705883740471</v>
      </c>
      <c r="AI140" s="64" t="s">
        <v>401</v>
      </c>
      <c r="AJ140" s="13">
        <v>15</v>
      </c>
      <c r="AK140" s="3">
        <f t="shared" si="125"/>
        <v>1</v>
      </c>
      <c r="AL140" s="3">
        <f t="shared" si="109"/>
        <v>3</v>
      </c>
      <c r="AM140" t="str">
        <f t="shared" si="110"/>
        <v>0, Superávit y no eliminé superávit</v>
      </c>
      <c r="AO140" s="3" t="s">
        <v>241</v>
      </c>
      <c r="AP140" s="3">
        <v>14</v>
      </c>
      <c r="AQ140" s="18">
        <v>10.888888888888889</v>
      </c>
      <c r="AR140" s="3">
        <v>14</v>
      </c>
      <c r="AS140" s="3">
        <v>13</v>
      </c>
      <c r="AT140" s="3">
        <v>13</v>
      </c>
      <c r="AU140" s="13">
        <v>-1.2097705883740471</v>
      </c>
      <c r="AV140" s="64" t="s">
        <v>401</v>
      </c>
      <c r="AW140" s="13">
        <v>15</v>
      </c>
      <c r="AX140" s="3">
        <f t="shared" si="126"/>
        <v>1</v>
      </c>
      <c r="AY140" s="3">
        <f t="shared" si="112"/>
        <v>0</v>
      </c>
      <c r="AZ140" t="str">
        <f t="shared" si="113"/>
        <v>-2, Superávit y resultado fue bueno</v>
      </c>
      <c r="BB140" s="3" t="s">
        <v>241</v>
      </c>
      <c r="BC140" s="3">
        <v>10</v>
      </c>
      <c r="BD140" s="18">
        <v>10.888888888888889</v>
      </c>
      <c r="BE140" s="3">
        <v>10</v>
      </c>
      <c r="BF140" s="3">
        <v>10</v>
      </c>
      <c r="BG140" s="3">
        <v>11</v>
      </c>
      <c r="BH140" s="13">
        <v>-1.2097705883740471</v>
      </c>
      <c r="BI140" s="64" t="s">
        <v>401</v>
      </c>
      <c r="BJ140" s="13">
        <v>15</v>
      </c>
      <c r="BK140" s="3">
        <f t="shared" si="127"/>
        <v>1</v>
      </c>
      <c r="BL140" s="3">
        <f t="shared" si="115"/>
        <v>0</v>
      </c>
      <c r="BM140" t="str">
        <f t="shared" si="116"/>
        <v>0, Superávit y no eliminé superávit</v>
      </c>
      <c r="BO140" s="3" t="s">
        <v>241</v>
      </c>
      <c r="BP140" s="3">
        <v>11</v>
      </c>
      <c r="BQ140" s="18">
        <v>12.111111111111111</v>
      </c>
      <c r="BR140" s="3">
        <v>13</v>
      </c>
      <c r="BS140" s="3">
        <v>10</v>
      </c>
      <c r="BT140" s="3">
        <v>11</v>
      </c>
      <c r="BU140" s="13">
        <v>-1.2097705883740471</v>
      </c>
      <c r="BV140" s="64" t="s">
        <v>401</v>
      </c>
      <c r="BW140" s="13">
        <v>15</v>
      </c>
      <c r="BX140" s="3">
        <f t="shared" si="128"/>
        <v>1</v>
      </c>
      <c r="BY140" s="3">
        <f t="shared" si="118"/>
        <v>2</v>
      </c>
      <c r="BZ140" t="str">
        <f t="shared" si="119"/>
        <v>0, Superávit y no eliminé superávit</v>
      </c>
      <c r="CB140" s="3" t="s">
        <v>241</v>
      </c>
      <c r="CC140" s="3">
        <v>15</v>
      </c>
      <c r="CD140" s="18">
        <v>11.777777777777779</v>
      </c>
      <c r="CE140" s="3">
        <v>14</v>
      </c>
      <c r="CF140" s="3">
        <v>13</v>
      </c>
      <c r="CG140" s="3">
        <v>13</v>
      </c>
      <c r="CH140" s="13">
        <v>-1.2097705883740471</v>
      </c>
      <c r="CI140" s="64" t="s">
        <v>401</v>
      </c>
      <c r="CJ140" s="13">
        <v>15</v>
      </c>
      <c r="CK140" s="3">
        <f t="shared" si="120"/>
        <v>1</v>
      </c>
      <c r="CL140" s="3">
        <f t="shared" si="121"/>
        <v>-1</v>
      </c>
      <c r="CM140" t="str">
        <f t="shared" si="122"/>
        <v>-2, Superávit y resultado fue bueno</v>
      </c>
    </row>
    <row r="141" spans="1:91" ht="14.25" customHeight="1" x14ac:dyDescent="0.3">
      <c r="A141" s="3" t="s">
        <v>242</v>
      </c>
      <c r="B141" s="3">
        <v>17</v>
      </c>
      <c r="C141" s="18">
        <v>13.444444444444445</v>
      </c>
      <c r="D141" s="3">
        <v>17</v>
      </c>
      <c r="E141" s="3">
        <v>17</v>
      </c>
      <c r="F141" s="3">
        <v>9</v>
      </c>
      <c r="G141" s="13">
        <v>-1.3367165560614409</v>
      </c>
      <c r="H141" s="64" t="s">
        <v>403</v>
      </c>
      <c r="I141" s="13">
        <v>17</v>
      </c>
      <c r="J141" s="3">
        <f t="shared" si="123"/>
        <v>1</v>
      </c>
      <c r="K141" s="3">
        <f t="shared" si="103"/>
        <v>0</v>
      </c>
      <c r="L141" t="str">
        <f t="shared" si="104"/>
        <v>-2, Superávit y resultado fue bueno</v>
      </c>
      <c r="M141" s="98"/>
      <c r="N141" s="3" t="s">
        <v>242</v>
      </c>
      <c r="O141" s="3">
        <v>13</v>
      </c>
      <c r="P141" s="18">
        <v>13.555555555555555</v>
      </c>
      <c r="Q141" s="3">
        <v>13</v>
      </c>
      <c r="R141" s="3">
        <v>7</v>
      </c>
      <c r="S141" s="3">
        <v>3</v>
      </c>
      <c r="T141" s="13">
        <v>-1.3367165560614409</v>
      </c>
      <c r="U141" s="64" t="s">
        <v>403</v>
      </c>
      <c r="V141" s="13">
        <v>17</v>
      </c>
      <c r="W141" s="3">
        <f t="shared" si="124"/>
        <v>1</v>
      </c>
      <c r="X141" s="3">
        <f t="shared" si="106"/>
        <v>0</v>
      </c>
      <c r="Y141" t="str">
        <f t="shared" si="107"/>
        <v>1, Superávit y eliminé superávit</v>
      </c>
      <c r="AB141" s="3" t="s">
        <v>242</v>
      </c>
      <c r="AC141" s="3">
        <v>3</v>
      </c>
      <c r="AD141" s="18">
        <v>11.111111111111111</v>
      </c>
      <c r="AE141" s="3">
        <v>4</v>
      </c>
      <c r="AF141" s="3">
        <v>3</v>
      </c>
      <c r="AG141" s="3">
        <v>3</v>
      </c>
      <c r="AH141" s="13">
        <v>-1.3367165560614409</v>
      </c>
      <c r="AI141" s="64" t="s">
        <v>403</v>
      </c>
      <c r="AJ141" s="13">
        <v>17</v>
      </c>
      <c r="AK141" s="3">
        <f t="shared" si="125"/>
        <v>1</v>
      </c>
      <c r="AL141" s="3">
        <f t="shared" si="109"/>
        <v>1</v>
      </c>
      <c r="AM141" t="str">
        <f t="shared" si="110"/>
        <v>-2, no había superávit y resultado fue bueno</v>
      </c>
      <c r="AO141" s="3" t="s">
        <v>242</v>
      </c>
      <c r="AP141" s="3">
        <v>14</v>
      </c>
      <c r="AQ141" s="18">
        <v>13</v>
      </c>
      <c r="AR141" s="3">
        <v>16</v>
      </c>
      <c r="AS141" s="3">
        <v>17</v>
      </c>
      <c r="AT141" s="3">
        <v>7</v>
      </c>
      <c r="AU141" s="13">
        <v>-1.3367165560614409</v>
      </c>
      <c r="AV141" s="64" t="s">
        <v>403</v>
      </c>
      <c r="AW141" s="13">
        <v>17</v>
      </c>
      <c r="AX141" s="3">
        <f t="shared" si="126"/>
        <v>1</v>
      </c>
      <c r="AY141" s="3">
        <f t="shared" si="112"/>
        <v>2</v>
      </c>
      <c r="AZ141" t="str">
        <f t="shared" si="113"/>
        <v>1, Superávit y eliminé superávit</v>
      </c>
      <c r="BB141" s="3" t="s">
        <v>242</v>
      </c>
      <c r="BC141" s="3">
        <v>14</v>
      </c>
      <c r="BD141" s="18">
        <v>12.555555555555555</v>
      </c>
      <c r="BE141" s="3">
        <v>13</v>
      </c>
      <c r="BF141" s="3">
        <v>12</v>
      </c>
      <c r="BG141" s="3">
        <v>3</v>
      </c>
      <c r="BH141" s="13">
        <v>-1.3367165560614409</v>
      </c>
      <c r="BI141" s="64" t="s">
        <v>403</v>
      </c>
      <c r="BJ141" s="13">
        <v>17</v>
      </c>
      <c r="BK141" s="3">
        <f t="shared" si="127"/>
        <v>0</v>
      </c>
      <c r="BL141" s="3">
        <f t="shared" si="115"/>
        <v>-1</v>
      </c>
      <c r="BM141" t="str">
        <f t="shared" si="116"/>
        <v>1, Superávit y eliminé superávit</v>
      </c>
      <c r="BO141" s="3" t="s">
        <v>242</v>
      </c>
      <c r="BP141" s="3">
        <v>10</v>
      </c>
      <c r="BQ141" s="18">
        <v>12</v>
      </c>
      <c r="BR141" s="3">
        <v>10</v>
      </c>
      <c r="BS141" s="3">
        <v>11</v>
      </c>
      <c r="BT141" s="3">
        <v>10</v>
      </c>
      <c r="BU141" s="13">
        <v>-1.3367165560614409</v>
      </c>
      <c r="BV141" s="64" t="s">
        <v>403</v>
      </c>
      <c r="BW141" s="13">
        <v>17</v>
      </c>
      <c r="BX141" s="3">
        <f t="shared" si="128"/>
        <v>1</v>
      </c>
      <c r="BY141" s="3">
        <f t="shared" si="118"/>
        <v>0</v>
      </c>
      <c r="BZ141" t="str">
        <f t="shared" si="119"/>
        <v>0, Superávit y no eliminé superávit</v>
      </c>
      <c r="CB141" s="3" t="s">
        <v>242</v>
      </c>
      <c r="CC141" s="3">
        <v>5</v>
      </c>
      <c r="CD141" s="18">
        <v>11.666666666666666</v>
      </c>
      <c r="CE141" s="3">
        <v>8</v>
      </c>
      <c r="CF141" s="3">
        <v>10</v>
      </c>
      <c r="CG141" s="3">
        <v>5</v>
      </c>
      <c r="CH141" s="13">
        <v>-1.3367165560614409</v>
      </c>
      <c r="CI141" s="64" t="s">
        <v>403</v>
      </c>
      <c r="CJ141" s="13">
        <v>17</v>
      </c>
      <c r="CK141" s="3">
        <f t="shared" si="120"/>
        <v>0</v>
      </c>
      <c r="CL141" s="3">
        <f t="shared" si="121"/>
        <v>3</v>
      </c>
      <c r="CM141" t="str">
        <f t="shared" si="122"/>
        <v>-2, no había superávit y resultado fue bueno</v>
      </c>
    </row>
    <row r="142" spans="1:91" ht="14.25" customHeight="1" x14ac:dyDescent="0.3">
      <c r="A142" s="3" t="s">
        <v>243</v>
      </c>
      <c r="B142" s="3">
        <v>24</v>
      </c>
      <c r="C142" s="18">
        <v>23.111111111111111</v>
      </c>
      <c r="D142" s="3">
        <v>26</v>
      </c>
      <c r="E142" s="3">
        <v>27</v>
      </c>
      <c r="F142" s="3">
        <v>24</v>
      </c>
      <c r="G142" s="13">
        <v>-1.679865001322572</v>
      </c>
      <c r="H142" s="64" t="s">
        <v>407</v>
      </c>
      <c r="I142" s="13">
        <v>27</v>
      </c>
      <c r="J142" s="3">
        <f t="shared" si="123"/>
        <v>1</v>
      </c>
      <c r="K142" s="3">
        <f t="shared" si="103"/>
        <v>2</v>
      </c>
      <c r="L142" t="str">
        <f t="shared" si="104"/>
        <v>0, Superávit y no eliminé superávit</v>
      </c>
      <c r="M142" s="98"/>
      <c r="N142" s="3" t="s">
        <v>243</v>
      </c>
      <c r="O142" s="3">
        <v>22</v>
      </c>
      <c r="P142" s="18">
        <v>23.888888888888889</v>
      </c>
      <c r="Q142" s="3">
        <v>24</v>
      </c>
      <c r="R142" s="3">
        <v>24</v>
      </c>
      <c r="S142" s="3">
        <v>22</v>
      </c>
      <c r="T142" s="13">
        <v>-1.679865001322572</v>
      </c>
      <c r="U142" s="64" t="s">
        <v>407</v>
      </c>
      <c r="V142" s="13">
        <v>27</v>
      </c>
      <c r="W142" s="3">
        <f t="shared" si="124"/>
        <v>1</v>
      </c>
      <c r="X142" s="3">
        <f t="shared" si="106"/>
        <v>2</v>
      </c>
      <c r="Y142" t="str">
        <f t="shared" si="107"/>
        <v>0, Superávit y no eliminé superávit</v>
      </c>
      <c r="AB142" s="3" t="s">
        <v>243</v>
      </c>
      <c r="AC142" s="3">
        <v>21</v>
      </c>
      <c r="AD142" s="18">
        <v>24.111111111111111</v>
      </c>
      <c r="AE142" s="3">
        <v>22</v>
      </c>
      <c r="AF142" s="3">
        <v>22</v>
      </c>
      <c r="AG142" s="3">
        <v>9</v>
      </c>
      <c r="AH142" s="13">
        <v>-1.679865001322572</v>
      </c>
      <c r="AI142" s="64" t="s">
        <v>407</v>
      </c>
      <c r="AJ142" s="13">
        <v>27</v>
      </c>
      <c r="AK142" s="3">
        <f t="shared" si="125"/>
        <v>1</v>
      </c>
      <c r="AL142" s="3">
        <f t="shared" si="109"/>
        <v>1</v>
      </c>
      <c r="AM142" t="str">
        <f t="shared" si="110"/>
        <v>1, Superávit y eliminé superávit</v>
      </c>
      <c r="AO142" s="3" t="s">
        <v>243</v>
      </c>
      <c r="AP142" s="3">
        <v>26</v>
      </c>
      <c r="AQ142" s="18">
        <v>24</v>
      </c>
      <c r="AR142" s="3">
        <v>27</v>
      </c>
      <c r="AS142" s="3">
        <v>27</v>
      </c>
      <c r="AT142" s="3">
        <v>22</v>
      </c>
      <c r="AU142" s="13">
        <v>-1.679865001322572</v>
      </c>
      <c r="AV142" s="64" t="s">
        <v>407</v>
      </c>
      <c r="AW142" s="13">
        <v>27</v>
      </c>
      <c r="AX142" s="3">
        <f t="shared" si="126"/>
        <v>1</v>
      </c>
      <c r="AY142" s="3">
        <f t="shared" si="112"/>
        <v>1</v>
      </c>
      <c r="AZ142" t="str">
        <f t="shared" si="113"/>
        <v>-2, Superávit y resultado fue bueno</v>
      </c>
      <c r="BB142" s="3" t="s">
        <v>243</v>
      </c>
      <c r="BC142" s="3">
        <v>21</v>
      </c>
      <c r="BD142" s="18">
        <v>24</v>
      </c>
      <c r="BE142" s="3">
        <v>20</v>
      </c>
      <c r="BF142" s="3">
        <v>23</v>
      </c>
      <c r="BG142" s="3">
        <v>21</v>
      </c>
      <c r="BH142" s="13">
        <v>-1.679865001322572</v>
      </c>
      <c r="BI142" s="64" t="s">
        <v>407</v>
      </c>
      <c r="BJ142" s="13">
        <v>27</v>
      </c>
      <c r="BK142" s="3">
        <f t="shared" si="127"/>
        <v>0</v>
      </c>
      <c r="BL142" s="3">
        <f t="shared" si="115"/>
        <v>-1</v>
      </c>
      <c r="BM142" t="str">
        <f t="shared" si="116"/>
        <v>0, Superávit y no eliminé superávit</v>
      </c>
      <c r="BO142" s="3" t="s">
        <v>243</v>
      </c>
      <c r="BP142" s="3">
        <v>25</v>
      </c>
      <c r="BQ142" s="18">
        <v>18.777777777777779</v>
      </c>
      <c r="BR142" s="3">
        <v>21</v>
      </c>
      <c r="BS142" s="3">
        <v>22</v>
      </c>
      <c r="BT142" s="3">
        <v>21</v>
      </c>
      <c r="BU142" s="13">
        <v>-1.679865001322572</v>
      </c>
      <c r="BV142" s="64" t="s">
        <v>407</v>
      </c>
      <c r="BW142" s="13">
        <v>27</v>
      </c>
      <c r="BX142" s="3">
        <f t="shared" si="128"/>
        <v>0</v>
      </c>
      <c r="BY142" s="3">
        <f t="shared" si="118"/>
        <v>-4</v>
      </c>
      <c r="BZ142" t="str">
        <f t="shared" si="119"/>
        <v>-2, Superávit y resultado fue bueno</v>
      </c>
      <c r="CB142" s="3" t="s">
        <v>243</v>
      </c>
      <c r="CC142" s="3">
        <v>26</v>
      </c>
      <c r="CD142" s="18">
        <v>21.333333333333332</v>
      </c>
      <c r="CE142" s="3">
        <v>27</v>
      </c>
      <c r="CF142" s="3">
        <v>27</v>
      </c>
      <c r="CG142" s="3">
        <v>7</v>
      </c>
      <c r="CH142" s="13">
        <v>-1.679865001322572</v>
      </c>
      <c r="CI142" s="64" t="s">
        <v>407</v>
      </c>
      <c r="CJ142" s="13">
        <v>27</v>
      </c>
      <c r="CK142" s="3">
        <f t="shared" si="120"/>
        <v>0</v>
      </c>
      <c r="CL142" s="3">
        <f t="shared" si="121"/>
        <v>1</v>
      </c>
      <c r="CM142" t="str">
        <f t="shared" si="122"/>
        <v>1, Superávit y eliminé superávit</v>
      </c>
    </row>
    <row r="143" spans="1:91" ht="14.25" customHeight="1" x14ac:dyDescent="0.3">
      <c r="A143" s="13" t="s">
        <v>245</v>
      </c>
      <c r="B143" s="13">
        <f t="shared" ref="B143:F143" si="129">AVERAGE(B123:B132)</f>
        <v>6</v>
      </c>
      <c r="C143" s="25">
        <f t="shared" si="129"/>
        <v>5.0111111111111111</v>
      </c>
      <c r="D143" s="13">
        <f t="shared" si="129"/>
        <v>4.8</v>
      </c>
      <c r="E143" s="13">
        <f t="shared" si="129"/>
        <v>4.7</v>
      </c>
      <c r="F143" s="13">
        <f t="shared" si="129"/>
        <v>6.8</v>
      </c>
      <c r="K143" s="12"/>
      <c r="L143" s="12"/>
      <c r="M143" s="96"/>
      <c r="N143" s="29" t="s">
        <v>245</v>
      </c>
      <c r="O143" s="13">
        <f>AVERAGE(O123:O132)</f>
        <v>4.0999999999999996</v>
      </c>
      <c r="P143" s="25">
        <f>AVERAGE(P123:P132)</f>
        <v>4.7111111111111112</v>
      </c>
      <c r="Q143" s="13">
        <f>AVERAGE(Q123:Q132)</f>
        <v>5.9</v>
      </c>
      <c r="R143" s="13">
        <f>AVERAGE(R123:R132)</f>
        <v>5.5</v>
      </c>
      <c r="S143" s="13">
        <f>AVERAGE(S123:S132)</f>
        <v>7.1</v>
      </c>
      <c r="W143" s="12"/>
      <c r="X143" s="12"/>
      <c r="Y143" s="12"/>
      <c r="Z143" s="12"/>
      <c r="AA143" s="12"/>
      <c r="AB143" s="13" t="s">
        <v>245</v>
      </c>
      <c r="AC143" s="13">
        <f>AVERAGE(AC123:AC132)</f>
        <v>4.9000000000000004</v>
      </c>
      <c r="AD143" s="25">
        <f>AVERAGE(AD123:AD132)</f>
        <v>4.4000000000000004</v>
      </c>
      <c r="AE143" s="13">
        <f>AVERAGE(AE123:AE132)</f>
        <v>5.2</v>
      </c>
      <c r="AF143" s="13">
        <f>AVERAGE(AF123:AF132)</f>
        <v>4.8</v>
      </c>
      <c r="AG143" s="13">
        <f>AVERAGE(AG123:AG132)</f>
        <v>6.9</v>
      </c>
      <c r="AL143" s="12"/>
      <c r="AM143" s="12"/>
      <c r="AN143" s="12"/>
      <c r="AO143" s="29" t="s">
        <v>245</v>
      </c>
      <c r="AP143" s="13">
        <f>AVERAGE(AP123:AP132)</f>
        <v>3.8</v>
      </c>
      <c r="AQ143" s="25">
        <f>AVERAGE(AQ123:AQ132)</f>
        <v>5.1444444444444448</v>
      </c>
      <c r="AR143" s="13">
        <f>AVERAGE(AR123:AR132)</f>
        <v>2.6</v>
      </c>
      <c r="AS143" s="13">
        <f>AVERAGE(AS123:AS132)</f>
        <v>2.5</v>
      </c>
      <c r="AT143" s="13">
        <f>AVERAGE(AT123:AT132)</f>
        <v>6.8</v>
      </c>
      <c r="AZ143" s="12"/>
      <c r="BA143" s="12"/>
      <c r="BB143" s="13" t="s">
        <v>245</v>
      </c>
      <c r="BC143" s="13">
        <f>AVERAGE(BC123:BC132)</f>
        <v>3.7</v>
      </c>
      <c r="BD143" s="25">
        <f>AVERAGE(BD123:BD132)</f>
        <v>3.6888888888888887</v>
      </c>
      <c r="BE143" s="13">
        <f>AVERAGE(BE123:BE132)</f>
        <v>2.2000000000000002</v>
      </c>
      <c r="BF143" s="13">
        <f>AVERAGE(BF123:BF132)</f>
        <v>3.1</v>
      </c>
      <c r="BG143" s="13">
        <f>AVERAGE(BG123:BG132)</f>
        <v>7.3</v>
      </c>
      <c r="BO143" s="29" t="s">
        <v>245</v>
      </c>
      <c r="BP143" s="13">
        <f>AVERAGE(BP123:BP132)</f>
        <v>4.7</v>
      </c>
      <c r="BQ143" s="25">
        <f>AVERAGE(BQ123:BQ132)</f>
        <v>4.2555555555555555</v>
      </c>
      <c r="BR143" s="13">
        <f>AVERAGE(BR123:BR132)</f>
        <v>3.9</v>
      </c>
      <c r="BS143" s="13">
        <f>AVERAGE(BS123:BS132)</f>
        <v>3.6</v>
      </c>
      <c r="BT143" s="13">
        <f>AVERAGE(BT123:BT132)</f>
        <v>6.5</v>
      </c>
      <c r="BY143" s="12"/>
      <c r="BZ143" s="12"/>
      <c r="CA143" s="12"/>
      <c r="CB143" s="13" t="s">
        <v>245</v>
      </c>
      <c r="CC143" s="13">
        <f>AVERAGE(CC123:CC132)</f>
        <v>2.8</v>
      </c>
      <c r="CD143" s="25">
        <f>AVERAGE(CD123:CD132)</f>
        <v>3.4222222222222221</v>
      </c>
      <c r="CE143" s="13">
        <f>AVERAGE(CE123:CE132)</f>
        <v>1.7</v>
      </c>
      <c r="CF143" s="13">
        <f>AVERAGE(CF123:CF132)</f>
        <v>1.7</v>
      </c>
      <c r="CG143" s="13">
        <f>AVERAGE(CG123:CG132)</f>
        <v>7.3</v>
      </c>
    </row>
    <row r="144" spans="1:91" ht="14.25" customHeight="1" x14ac:dyDescent="0.3">
      <c r="A144" s="13" t="s">
        <v>249</v>
      </c>
      <c r="B144" s="13">
        <f t="shared" ref="B144:F144" si="130">AVERAGE(B133:B142)</f>
        <v>11.6</v>
      </c>
      <c r="C144" s="25">
        <f t="shared" si="130"/>
        <v>11.544444444444444</v>
      </c>
      <c r="D144" s="13">
        <f t="shared" si="130"/>
        <v>10.5</v>
      </c>
      <c r="E144" s="13">
        <f t="shared" si="130"/>
        <v>11.1</v>
      </c>
      <c r="F144" s="13">
        <f t="shared" si="130"/>
        <v>10.8</v>
      </c>
      <c r="K144" s="12"/>
      <c r="L144" s="12"/>
      <c r="M144" s="96"/>
      <c r="N144" s="29" t="s">
        <v>249</v>
      </c>
      <c r="O144" s="13">
        <f>AVERAGE(O133:O142)</f>
        <v>12.9</v>
      </c>
      <c r="P144" s="25">
        <f>AVERAGE(P133:P142)</f>
        <v>11.044444444444444</v>
      </c>
      <c r="Q144" s="13">
        <f>AVERAGE(Q133:Q142)</f>
        <v>10.6</v>
      </c>
      <c r="R144" s="13">
        <f>AVERAGE(R133:R142)</f>
        <v>10.5</v>
      </c>
      <c r="S144" s="13">
        <f>AVERAGE(S133:S142)</f>
        <v>9.9</v>
      </c>
      <c r="W144" s="12"/>
      <c r="X144" s="12"/>
      <c r="Y144" s="12"/>
      <c r="Z144" s="12"/>
      <c r="AA144" s="12"/>
      <c r="AB144" s="13" t="s">
        <v>249</v>
      </c>
      <c r="AC144" s="13">
        <f>AVERAGE(AC133:AC142)</f>
        <v>8.9</v>
      </c>
      <c r="AD144" s="25">
        <f>AVERAGE(AD133:AD142)</f>
        <v>10.288888888888888</v>
      </c>
      <c r="AE144" s="13">
        <f>AVERAGE(AE133:AE142)</f>
        <v>10.8</v>
      </c>
      <c r="AF144" s="13">
        <f>AVERAGE(AF133:AF142)</f>
        <v>11.6</v>
      </c>
      <c r="AG144" s="13">
        <f>AVERAGE(AG133:AG142)</f>
        <v>6.9</v>
      </c>
      <c r="AL144" s="12"/>
      <c r="AM144" s="12"/>
      <c r="AN144" s="12"/>
      <c r="AO144" s="29" t="s">
        <v>249</v>
      </c>
      <c r="AP144" s="13">
        <f>AVERAGE(AP133:AP142)</f>
        <v>12.9</v>
      </c>
      <c r="AQ144" s="25">
        <f>AVERAGE(AQ133:AQ142)</f>
        <v>11.422222222222222</v>
      </c>
      <c r="AR144" s="13">
        <f>AVERAGE(AR133:AR142)</f>
        <v>13.8</v>
      </c>
      <c r="AS144" s="13">
        <f>AVERAGE(AS133:AS142)</f>
        <v>14.7</v>
      </c>
      <c r="AT144" s="13">
        <f>AVERAGE(AT133:AT142)</f>
        <v>9.9</v>
      </c>
      <c r="AZ144" s="12"/>
      <c r="BA144" s="12"/>
      <c r="BB144" s="13" t="s">
        <v>249</v>
      </c>
      <c r="BC144" s="13">
        <f>AVERAGE(BC133:BC142)</f>
        <v>11.2</v>
      </c>
      <c r="BD144" s="25">
        <f>AVERAGE(BD133:BD142)</f>
        <v>12.233333333333333</v>
      </c>
      <c r="BE144" s="13">
        <f>AVERAGE(BE133:BE142)</f>
        <v>11.7</v>
      </c>
      <c r="BF144" s="13">
        <f>AVERAGE(BF133:BF142)</f>
        <v>11.8</v>
      </c>
      <c r="BG144" s="13">
        <f>AVERAGE(BG133:BG142)</f>
        <v>7.6</v>
      </c>
      <c r="BO144" s="29" t="s">
        <v>249</v>
      </c>
      <c r="BP144" s="13">
        <f>AVERAGE(BP133:BP142)</f>
        <v>12.7</v>
      </c>
      <c r="BQ144" s="25">
        <f>AVERAGE(BQ133:BQ142)</f>
        <v>12.111111111111111</v>
      </c>
      <c r="BR144" s="13">
        <f>AVERAGE(BR133:BR142)</f>
        <v>11.7</v>
      </c>
      <c r="BS144" s="13">
        <f>AVERAGE(BS133:BS142)</f>
        <v>11.5</v>
      </c>
      <c r="BT144" s="13">
        <f>AVERAGE(BT133:BT142)</f>
        <v>10.9</v>
      </c>
      <c r="BY144" s="12"/>
      <c r="BZ144" s="12"/>
      <c r="CA144" s="12"/>
      <c r="CB144" s="13" t="s">
        <v>249</v>
      </c>
      <c r="CC144" s="13">
        <f>AVERAGE(CC133:CC142)</f>
        <v>12.6</v>
      </c>
      <c r="CD144" s="25">
        <f>AVERAGE(CD133:CD142)</f>
        <v>12.244444444444444</v>
      </c>
      <c r="CE144" s="13">
        <f>AVERAGE(CE133:CE142)</f>
        <v>13</v>
      </c>
      <c r="CF144" s="13">
        <f>AVERAGE(CF133:CF142)</f>
        <v>13</v>
      </c>
      <c r="CG144" s="13">
        <f>AVERAGE(CG133:CG142)</f>
        <v>8.1</v>
      </c>
    </row>
    <row r="145" spans="1:85" ht="14.25" customHeight="1" x14ac:dyDescent="0.3">
      <c r="A145" s="13" t="s">
        <v>252</v>
      </c>
      <c r="B145" s="13">
        <f>SKEW(B123:B126,B130,B132,B134,B140:B142)</f>
        <v>1.0054085720278503</v>
      </c>
      <c r="C145" s="13"/>
      <c r="D145" s="13"/>
      <c r="E145" s="13"/>
      <c r="F145" s="13">
        <f>SKEW(F123:F126,F130,F132,F134,F140:F142)</f>
        <v>2.1299530493053407</v>
      </c>
      <c r="K145" s="12"/>
      <c r="L145" s="12"/>
      <c r="M145" s="96"/>
      <c r="N145" s="29" t="s">
        <v>252</v>
      </c>
      <c r="O145" s="13">
        <f>SKEW(O123:O126,O130,O132,O134,O140:O142)</f>
        <v>1.0456050128836727</v>
      </c>
      <c r="P145" s="13"/>
      <c r="Q145" s="13"/>
      <c r="R145" s="13"/>
      <c r="S145" s="13">
        <f>SKEW(S123:S126,S130,S132,S134,S140:S142)</f>
        <v>1.9904958914220354</v>
      </c>
      <c r="W145" s="12"/>
      <c r="X145" s="12"/>
      <c r="Y145" s="12"/>
      <c r="Z145" s="12"/>
      <c r="AA145" s="12"/>
      <c r="AB145" s="13" t="s">
        <v>252</v>
      </c>
      <c r="AC145" s="13">
        <f>SKEW(AC123:AC126,AC130,AC132,AC134,AC140:AC142)</f>
        <v>0.74332137092350181</v>
      </c>
      <c r="AD145" s="13"/>
      <c r="AE145" s="13"/>
      <c r="AF145" s="13"/>
      <c r="AG145" s="13">
        <f>SKEW(AG123:AG126,AG130,AG132,AG134,AG140:AG142)</f>
        <v>0.66848439848962316</v>
      </c>
      <c r="AL145" s="12"/>
      <c r="AM145" s="12"/>
      <c r="AN145" s="12"/>
      <c r="AO145" s="29" t="s">
        <v>252</v>
      </c>
      <c r="AP145" s="13">
        <f>SKEW(AP123:AP126,AP130,AP132,AP134,AP140:AP142)</f>
        <v>0.91289010853982921</v>
      </c>
      <c r="AQ145" s="13"/>
      <c r="AR145" s="13"/>
      <c r="AS145" s="13"/>
      <c r="AT145" s="13">
        <f>SKEW(AT123:AT126,AT130,AT132,AT134,AT140:AT142)</f>
        <v>1.4391259922422821</v>
      </c>
      <c r="AZ145" s="12"/>
      <c r="BA145" s="12"/>
      <c r="BB145" s="13" t="s">
        <v>252</v>
      </c>
      <c r="BC145" s="13">
        <f>SKEW(BC123:BC126,BC130,BC132,BC134,BC140:BC142)</f>
        <v>0.63298944926456169</v>
      </c>
      <c r="BD145" s="13"/>
      <c r="BE145" s="13"/>
      <c r="BF145" s="13"/>
      <c r="BG145" s="13">
        <f>SKEW(BG123:BG126,BG130,BG132,BG134,BG140:BG142)</f>
        <v>1.9944810149385828</v>
      </c>
      <c r="BO145" s="29" t="s">
        <v>252</v>
      </c>
      <c r="BP145" s="13">
        <f>SKEW(BP123:BP126,BP130,BP132,BP134,BP140:BP142)</f>
        <v>1.4190799389975834</v>
      </c>
      <c r="BQ145" s="13"/>
      <c r="BR145" s="13"/>
      <c r="BS145" s="13"/>
      <c r="BT145" s="13">
        <f>SKEW(BT123:BT126,BT130,BT132,BT134,BT140:BT142)</f>
        <v>1.6091580319030487</v>
      </c>
      <c r="BY145" s="12"/>
      <c r="BZ145" s="12"/>
      <c r="CA145" s="12"/>
      <c r="CB145" s="13" t="s">
        <v>252</v>
      </c>
      <c r="CC145" s="13">
        <f>SKEW(CC123:CC126,CC130,CC132,CC134,CC140:CC142)</f>
        <v>1.5197546980565515</v>
      </c>
      <c r="CD145" s="13"/>
      <c r="CE145" s="13"/>
      <c r="CF145" s="13"/>
      <c r="CG145" s="13">
        <f>SKEW(CG123:CG126,CG130,CG132,CG134,CG140:CG142)</f>
        <v>1.4267422818059023</v>
      </c>
    </row>
    <row r="146" spans="1:85" ht="14.25" customHeight="1" x14ac:dyDescent="0.3">
      <c r="A146" s="13" t="s">
        <v>254</v>
      </c>
      <c r="B146" s="13">
        <f>SKEW(B127:B129,B131,B133,B135:B139)</f>
        <v>0.91625767816188186</v>
      </c>
      <c r="C146" s="13"/>
      <c r="D146" s="13"/>
      <c r="E146" s="13"/>
      <c r="F146" s="13">
        <f>SKEW(F127:F129,F131,F133,F135:F139)</f>
        <v>0.2904877885369761</v>
      </c>
      <c r="K146" s="12"/>
      <c r="L146" s="12"/>
      <c r="M146" s="96"/>
      <c r="N146" s="29" t="s">
        <v>254</v>
      </c>
      <c r="O146" s="13">
        <f>SKEW(O127:O129,O131,O133,O135:O139)</f>
        <v>-0.1569381096004194</v>
      </c>
      <c r="P146" s="13"/>
      <c r="Q146" s="13"/>
      <c r="R146" s="13"/>
      <c r="S146" s="13">
        <f>SKEW(S127:S129,S131,S133,S135:S139)</f>
        <v>-0.310208888937411</v>
      </c>
      <c r="W146" s="12"/>
      <c r="X146" s="12"/>
      <c r="Y146" s="12"/>
      <c r="Z146" s="12"/>
      <c r="AA146" s="12"/>
      <c r="AB146" s="13" t="s">
        <v>254</v>
      </c>
      <c r="AC146" s="13">
        <f>SKEW(AC127:AC129,AC131,AC133,AC135:AC139)</f>
        <v>-0.41935676048085485</v>
      </c>
      <c r="AD146" s="13"/>
      <c r="AE146" s="13"/>
      <c r="AF146" s="13"/>
      <c r="AG146" s="13">
        <f>SKEW(AG127:AG129,AG131,AG133,AG135:AG139)</f>
        <v>0.74850335820448533</v>
      </c>
      <c r="AL146" s="12"/>
      <c r="AM146" s="12"/>
      <c r="AN146" s="12"/>
      <c r="AO146" s="29" t="s">
        <v>254</v>
      </c>
      <c r="AP146" s="13">
        <f>SKEW(AP127:AP129,AP131,AP133,AP135:AP139)</f>
        <v>-6.7716180655309266E-2</v>
      </c>
      <c r="AQ146" s="13"/>
      <c r="AR146" s="13"/>
      <c r="AS146" s="13"/>
      <c r="AT146" s="13">
        <f>SKEW(AT127:AT129,AT131,AT133,AT135:AT139)</f>
        <v>0.17827573391986493</v>
      </c>
      <c r="AZ146" s="12"/>
      <c r="BA146" s="12"/>
      <c r="BB146" s="13" t="s">
        <v>254</v>
      </c>
      <c r="BC146" s="13">
        <f>SKEW(BC127:BC129,BC131,BC133,BC135:BC139)</f>
        <v>0.84018148621298117</v>
      </c>
      <c r="BD146" s="13"/>
      <c r="BE146" s="13"/>
      <c r="BF146" s="13"/>
      <c r="BG146" s="13">
        <f>SKEW(BG127:BG129,BG131,BG133,BG135:BG139)</f>
        <v>1.0240631141706245</v>
      </c>
      <c r="BO146" s="29" t="s">
        <v>254</v>
      </c>
      <c r="BP146" s="13">
        <f>SKEW(BP127:BP129,BP131,BP133,BP135:BP139)</f>
        <v>0.59180496127242199</v>
      </c>
      <c r="BQ146" s="13"/>
      <c r="BR146" s="13"/>
      <c r="BS146" s="13"/>
      <c r="BT146" s="13">
        <f>SKEW(BT127:BT129,BT131,BT133,BT135:BT139)</f>
        <v>0.48390256365361151</v>
      </c>
      <c r="BY146" s="12"/>
      <c r="BZ146" s="12"/>
      <c r="CA146" s="12"/>
      <c r="CB146" s="13" t="s">
        <v>254</v>
      </c>
      <c r="CC146" s="13">
        <f>SKEW(CC127:CC129,CC131,CC133,CC135:CC139)</f>
        <v>0.46619669000068287</v>
      </c>
      <c r="CD146" s="13"/>
      <c r="CE146" s="13"/>
      <c r="CF146" s="13"/>
      <c r="CG146" s="13">
        <f>SKEW(CG127:CG129,CG131,CG133,CG135:CG139)</f>
        <v>1.0095636583464471</v>
      </c>
    </row>
    <row r="147" spans="1:85" ht="14.25" customHeight="1" x14ac:dyDescent="0.3">
      <c r="A147" s="13" t="s">
        <v>256</v>
      </c>
      <c r="B147" s="3">
        <v>12.79318576213983</v>
      </c>
      <c r="K147" s="12"/>
      <c r="L147" s="12"/>
      <c r="M147" s="96"/>
      <c r="N147" s="29" t="s">
        <v>256</v>
      </c>
      <c r="O147" s="3">
        <v>19.648496572327211</v>
      </c>
      <c r="W147" s="12"/>
      <c r="X147" s="12"/>
      <c r="Y147" s="12"/>
      <c r="Z147" s="12"/>
      <c r="AA147" s="12"/>
      <c r="AB147" s="13" t="s">
        <v>256</v>
      </c>
      <c r="AC147" s="3">
        <v>18.054153001387739</v>
      </c>
      <c r="AL147" s="12"/>
      <c r="AM147" s="12"/>
      <c r="AN147" s="12"/>
      <c r="AO147" s="29" t="s">
        <v>256</v>
      </c>
      <c r="AP147" s="3">
        <v>23.09805152665016</v>
      </c>
      <c r="AZ147" s="12"/>
      <c r="BA147" s="12"/>
      <c r="BB147" s="13" t="s">
        <v>256</v>
      </c>
      <c r="BC147" s="3">
        <v>28.44660427759413</v>
      </c>
      <c r="BO147" s="29" t="s">
        <v>256</v>
      </c>
      <c r="BP147" s="3">
        <v>20.120591880110041</v>
      </c>
      <c r="BY147" s="12"/>
      <c r="BZ147" s="12"/>
      <c r="CA147" s="12"/>
      <c r="CB147" s="13" t="s">
        <v>256</v>
      </c>
      <c r="CC147" s="3">
        <v>30.18614631376985</v>
      </c>
    </row>
    <row r="148" spans="1:85" ht="14.25" customHeight="1" x14ac:dyDescent="0.3">
      <c r="A148" s="13" t="s">
        <v>257</v>
      </c>
      <c r="B148" s="13">
        <v>8</v>
      </c>
      <c r="K148" s="12"/>
      <c r="L148" s="12"/>
      <c r="M148" s="96"/>
      <c r="N148" s="29" t="s">
        <v>257</v>
      </c>
      <c r="O148" s="13">
        <v>11</v>
      </c>
      <c r="W148" s="12"/>
      <c r="X148" s="12"/>
      <c r="Y148" s="12"/>
      <c r="Z148" s="12"/>
      <c r="AA148" s="12"/>
      <c r="AB148" s="13" t="s">
        <v>257</v>
      </c>
      <c r="AC148" s="13">
        <v>9</v>
      </c>
      <c r="AL148" s="12"/>
      <c r="AM148" s="12"/>
      <c r="AN148" s="12"/>
      <c r="AO148" s="29" t="s">
        <v>257</v>
      </c>
      <c r="AP148" s="13">
        <v>9</v>
      </c>
      <c r="AZ148" s="12"/>
      <c r="BA148" s="12"/>
      <c r="BB148" s="13" t="s">
        <v>257</v>
      </c>
      <c r="BC148" s="13">
        <v>13</v>
      </c>
      <c r="BO148" s="29" t="s">
        <v>257</v>
      </c>
      <c r="BP148" s="13">
        <v>12</v>
      </c>
      <c r="BY148" s="12"/>
      <c r="BZ148" s="12"/>
      <c r="CA148" s="12"/>
      <c r="CB148" s="13" t="s">
        <v>257</v>
      </c>
      <c r="CC148" s="13">
        <v>12</v>
      </c>
    </row>
    <row r="149" spans="1:85" ht="14.25" customHeight="1" x14ac:dyDescent="0.3">
      <c r="A149" s="28" t="s">
        <v>258</v>
      </c>
      <c r="B149" s="13">
        <f>B148*2</f>
        <v>16</v>
      </c>
      <c r="K149" s="27"/>
      <c r="L149" s="27"/>
      <c r="M149" s="97"/>
      <c r="N149" s="83" t="s">
        <v>258</v>
      </c>
      <c r="O149" s="13">
        <f>O148*2</f>
        <v>22</v>
      </c>
      <c r="W149" s="27"/>
      <c r="X149" s="27"/>
      <c r="Y149" s="27"/>
      <c r="Z149" s="27"/>
      <c r="AA149" s="27"/>
      <c r="AB149" s="28" t="s">
        <v>258</v>
      </c>
      <c r="AC149" s="13">
        <f>AC148*2</f>
        <v>18</v>
      </c>
      <c r="AL149" s="27"/>
      <c r="AM149" s="27"/>
      <c r="AN149" s="27"/>
      <c r="AO149" s="83" t="s">
        <v>258</v>
      </c>
      <c r="AP149" s="13">
        <f>AP148*2</f>
        <v>18</v>
      </c>
      <c r="AZ149" s="27"/>
      <c r="BA149" s="27"/>
      <c r="BB149" s="28" t="s">
        <v>258</v>
      </c>
      <c r="BC149" s="13">
        <f>BC148*2</f>
        <v>26</v>
      </c>
      <c r="BO149" s="83" t="s">
        <v>258</v>
      </c>
      <c r="BP149" s="13">
        <f>BP148*2</f>
        <v>24</v>
      </c>
      <c r="BY149" s="27"/>
      <c r="BZ149" s="27"/>
      <c r="CA149" s="27"/>
      <c r="CB149" s="28" t="s">
        <v>258</v>
      </c>
      <c r="CC149" s="13">
        <f>CC148*2</f>
        <v>24</v>
      </c>
    </row>
    <row r="150" spans="1:85" ht="14.25" customHeight="1" x14ac:dyDescent="0.3"/>
    <row r="151" spans="1:85" ht="14.25" customHeight="1" x14ac:dyDescent="0.3"/>
    <row r="152" spans="1:85" ht="14.25" customHeight="1" x14ac:dyDescent="0.3">
      <c r="A152" s="101" t="s">
        <v>201</v>
      </c>
      <c r="B152" s="101" t="s">
        <v>192</v>
      </c>
      <c r="C152" s="102"/>
      <c r="D152" s="103" t="s">
        <v>375</v>
      </c>
      <c r="E152" s="103" t="s">
        <v>374</v>
      </c>
    </row>
    <row r="153" spans="1:85" ht="14.25" customHeight="1" x14ac:dyDescent="0.3">
      <c r="A153" s="104" t="s">
        <v>213</v>
      </c>
      <c r="B153" s="105">
        <v>1.247177188019948</v>
      </c>
      <c r="C153" s="106"/>
      <c r="D153" s="107">
        <f t="shared" ref="D153:D172" si="131">J8+W8+AK8+AX8+BK8+BX8+CK8+CX8+J58+W58+AK58+AX58+BK58+BX58+CK58+CX58+J91+W91+AK91+AX91+BK91+BX91+CK91+CX91+J123+W123+AK123+AX123+BK123+BX123+CK123</f>
        <v>24</v>
      </c>
      <c r="E153" s="108">
        <f t="shared" ref="E153:E172" si="132">AVERAGE(K8,X8,AL8,AY8,BL8,BY8,CL8,CY8,K58,X58,AL58,AY58,BL58,BY58,CL58,CY58,K91,X91,AL91,AY91,BL91,BY91,CL91,CY91,K123,X123,AL123,AY123,BL123,BY123,CL123)</f>
        <v>-0.67741935483870963</v>
      </c>
    </row>
    <row r="154" spans="1:85" ht="14.25" customHeight="1" x14ac:dyDescent="0.3">
      <c r="A154" s="104" t="s">
        <v>215</v>
      </c>
      <c r="B154" s="105">
        <v>1.1425292918330761</v>
      </c>
      <c r="C154" s="106"/>
      <c r="D154" s="107">
        <f t="shared" si="131"/>
        <v>25</v>
      </c>
      <c r="E154" s="108">
        <f t="shared" si="132"/>
        <v>-0.4838709677419355</v>
      </c>
    </row>
    <row r="155" spans="1:85" ht="14.25" customHeight="1" x14ac:dyDescent="0.3">
      <c r="A155" s="104" t="s">
        <v>216</v>
      </c>
      <c r="B155" s="105">
        <v>1.123713972805261</v>
      </c>
      <c r="C155" s="106"/>
      <c r="D155" s="107">
        <f t="shared" si="131"/>
        <v>26</v>
      </c>
      <c r="E155" s="108">
        <f t="shared" si="132"/>
        <v>-0.77419354838709675</v>
      </c>
    </row>
    <row r="156" spans="1:85" ht="14.25" customHeight="1" x14ac:dyDescent="0.3">
      <c r="A156" s="104" t="s">
        <v>217</v>
      </c>
      <c r="B156" s="105">
        <v>1.1139196755889551</v>
      </c>
      <c r="C156" s="106"/>
      <c r="D156" s="107">
        <f t="shared" si="131"/>
        <v>29</v>
      </c>
      <c r="E156" s="108">
        <f t="shared" si="132"/>
        <v>-1.6774193548387097</v>
      </c>
    </row>
    <row r="157" spans="1:85" ht="14.25" customHeight="1" x14ac:dyDescent="0.3">
      <c r="A157" s="104" t="s">
        <v>218</v>
      </c>
      <c r="B157" s="105">
        <v>1.0416402811862899</v>
      </c>
      <c r="C157" s="106"/>
      <c r="D157" s="107">
        <f t="shared" si="131"/>
        <v>27</v>
      </c>
      <c r="E157" s="108">
        <f t="shared" si="132"/>
        <v>-0.74193548387096775</v>
      </c>
    </row>
    <row r="158" spans="1:85" ht="14.25" customHeight="1" x14ac:dyDescent="0.3">
      <c r="A158" s="104" t="s">
        <v>220</v>
      </c>
      <c r="B158" s="105">
        <v>0.99583449612816577</v>
      </c>
      <c r="C158" s="106"/>
      <c r="D158" s="107">
        <f t="shared" si="131"/>
        <v>25</v>
      </c>
      <c r="E158" s="108">
        <f t="shared" si="132"/>
        <v>-0.967741935483871</v>
      </c>
    </row>
    <row r="159" spans="1:85" ht="14.25" customHeight="1" x14ac:dyDescent="0.3">
      <c r="A159" s="104" t="s">
        <v>223</v>
      </c>
      <c r="B159" s="105">
        <v>0.9957863323050703</v>
      </c>
      <c r="C159" s="106"/>
      <c r="D159" s="107">
        <f t="shared" si="131"/>
        <v>23</v>
      </c>
      <c r="E159" s="108">
        <f t="shared" si="132"/>
        <v>-0.70967741935483875</v>
      </c>
    </row>
    <row r="160" spans="1:85" ht="14.25" customHeight="1" x14ac:dyDescent="0.3">
      <c r="A160" s="104" t="s">
        <v>224</v>
      </c>
      <c r="B160" s="105">
        <v>0.98995442105744402</v>
      </c>
      <c r="C160" s="106"/>
      <c r="D160" s="107">
        <f t="shared" si="131"/>
        <v>29</v>
      </c>
      <c r="E160" s="108">
        <f t="shared" si="132"/>
        <v>-0.70967741935483875</v>
      </c>
    </row>
    <row r="161" spans="1:5" ht="14.25" customHeight="1" x14ac:dyDescent="0.3">
      <c r="A161" s="104" t="s">
        <v>225</v>
      </c>
      <c r="B161" s="105">
        <v>0.8928339600558084</v>
      </c>
      <c r="C161" s="106"/>
      <c r="D161" s="107">
        <f t="shared" si="131"/>
        <v>26</v>
      </c>
      <c r="E161" s="108">
        <f t="shared" si="132"/>
        <v>-0.80645161290322576</v>
      </c>
    </row>
    <row r="162" spans="1:5" ht="14.25" customHeight="1" x14ac:dyDescent="0.3">
      <c r="A162" s="104" t="s">
        <v>227</v>
      </c>
      <c r="B162" s="105">
        <v>0.88597893866063815</v>
      </c>
      <c r="C162" s="106"/>
      <c r="D162" s="107">
        <f t="shared" si="131"/>
        <v>20</v>
      </c>
      <c r="E162" s="108">
        <f t="shared" si="132"/>
        <v>0.32258064516129031</v>
      </c>
    </row>
    <row r="163" spans="1:5" ht="14.25" customHeight="1" x14ac:dyDescent="0.3">
      <c r="A163" s="104" t="s">
        <v>229</v>
      </c>
      <c r="B163" s="105">
        <v>-1.0923718971587979</v>
      </c>
      <c r="C163" s="106"/>
      <c r="D163" s="107">
        <f t="shared" si="131"/>
        <v>26</v>
      </c>
      <c r="E163" s="108">
        <f t="shared" si="132"/>
        <v>0.93548387096774188</v>
      </c>
    </row>
    <row r="164" spans="1:5" ht="14.25" customHeight="1" x14ac:dyDescent="0.3">
      <c r="A164" s="104" t="s">
        <v>232</v>
      </c>
      <c r="B164" s="105">
        <v>-1.1154133211974251</v>
      </c>
      <c r="C164" s="106"/>
      <c r="D164" s="107">
        <f t="shared" si="131"/>
        <v>19</v>
      </c>
      <c r="E164" s="108">
        <f t="shared" si="132"/>
        <v>3.2258064516129031E-2</v>
      </c>
    </row>
    <row r="165" spans="1:5" ht="14.25" customHeight="1" x14ac:dyDescent="0.3">
      <c r="A165" s="104" t="s">
        <v>234</v>
      </c>
      <c r="B165" s="105">
        <v>-1.12017317951397</v>
      </c>
      <c r="C165" s="106"/>
      <c r="D165" s="107">
        <f t="shared" si="131"/>
        <v>15</v>
      </c>
      <c r="E165" s="108">
        <f t="shared" si="132"/>
        <v>-0.967741935483871</v>
      </c>
    </row>
    <row r="166" spans="1:5" ht="14.25" customHeight="1" x14ac:dyDescent="0.3">
      <c r="A166" s="104" t="s">
        <v>236</v>
      </c>
      <c r="B166" s="105">
        <v>-1.1339562965442611</v>
      </c>
      <c r="C166" s="106"/>
      <c r="D166" s="107">
        <f t="shared" si="131"/>
        <v>28</v>
      </c>
      <c r="E166" s="108">
        <f t="shared" si="132"/>
        <v>1.6129032258064515</v>
      </c>
    </row>
    <row r="167" spans="1:5" ht="14.25" customHeight="1" x14ac:dyDescent="0.3">
      <c r="A167" s="104" t="s">
        <v>238</v>
      </c>
      <c r="B167" s="105">
        <v>-1.1428327832816429</v>
      </c>
      <c r="C167" s="106"/>
      <c r="D167" s="107">
        <f t="shared" si="131"/>
        <v>27</v>
      </c>
      <c r="E167" s="108">
        <f t="shared" si="132"/>
        <v>6.4516129032258063E-2</v>
      </c>
    </row>
    <row r="168" spans="1:5" ht="14.25" customHeight="1" x14ac:dyDescent="0.3">
      <c r="A168" s="104" t="s">
        <v>239</v>
      </c>
      <c r="B168" s="105">
        <v>-1.1920893573654381</v>
      </c>
      <c r="C168" s="106"/>
      <c r="D168" s="107">
        <f t="shared" si="131"/>
        <v>24</v>
      </c>
      <c r="E168" s="108">
        <f t="shared" si="132"/>
        <v>0.19354838709677419</v>
      </c>
    </row>
    <row r="169" spans="1:5" ht="14.25" customHeight="1" x14ac:dyDescent="0.3">
      <c r="A169" s="104" t="s">
        <v>240</v>
      </c>
      <c r="B169" s="105">
        <v>-1.196962071035268</v>
      </c>
      <c r="C169" s="106"/>
      <c r="D169" s="107">
        <f t="shared" si="131"/>
        <v>27</v>
      </c>
      <c r="E169" s="108">
        <f t="shared" si="132"/>
        <v>1.1290322580645162</v>
      </c>
    </row>
    <row r="170" spans="1:5" ht="14.25" customHeight="1" x14ac:dyDescent="0.3">
      <c r="A170" s="104" t="s">
        <v>241</v>
      </c>
      <c r="B170" s="105">
        <v>-1.2097705883740471</v>
      </c>
      <c r="C170" s="106"/>
      <c r="D170" s="107">
        <f t="shared" si="131"/>
        <v>21</v>
      </c>
      <c r="E170" s="108">
        <f t="shared" si="132"/>
        <v>0.12903225806451613</v>
      </c>
    </row>
    <row r="171" spans="1:5" ht="14.25" customHeight="1" x14ac:dyDescent="0.3">
      <c r="A171" s="104" t="s">
        <v>242</v>
      </c>
      <c r="B171" s="105">
        <v>-1.3367165560614409</v>
      </c>
      <c r="C171" s="106"/>
      <c r="D171" s="107">
        <f t="shared" si="131"/>
        <v>23</v>
      </c>
      <c r="E171" s="108">
        <f t="shared" si="132"/>
        <v>0.32258064516129031</v>
      </c>
    </row>
    <row r="172" spans="1:5" ht="14.25" customHeight="1" x14ac:dyDescent="0.3">
      <c r="A172" s="109" t="s">
        <v>243</v>
      </c>
      <c r="B172" s="110">
        <v>-1.679865001322572</v>
      </c>
      <c r="C172" s="111"/>
      <c r="D172" s="112">
        <f t="shared" si="131"/>
        <v>23</v>
      </c>
      <c r="E172" s="113">
        <f t="shared" si="132"/>
        <v>0.19354838709677419</v>
      </c>
    </row>
    <row r="173" spans="1:5" ht="14.25" customHeight="1" x14ac:dyDescent="0.3">
      <c r="B173" s="114" t="s">
        <v>408</v>
      </c>
      <c r="C173" s="115"/>
      <c r="D173" s="116">
        <f>AVERAGE(D153:D172)</f>
        <v>24.35</v>
      </c>
      <c r="E173" s="117">
        <f>AVERAGE(E153:E172)</f>
        <v>-0.17903225806451617</v>
      </c>
    </row>
    <row r="174" spans="1:5" ht="14.25" customHeight="1" x14ac:dyDescent="0.3"/>
    <row r="175" spans="1:5" ht="14.25" customHeight="1" x14ac:dyDescent="0.3"/>
    <row r="176" spans="1:5" ht="14.25" customHeight="1" x14ac:dyDescent="0.3"/>
    <row r="177" spans="2:72" ht="14.25" customHeight="1" x14ac:dyDescent="0.3"/>
    <row r="178" spans="2:72" ht="14.25" customHeight="1" x14ac:dyDescent="0.3"/>
    <row r="179" spans="2:72" ht="14.25" customHeight="1" x14ac:dyDescent="0.3"/>
    <row r="180" spans="2:72" ht="14.25" customHeight="1" x14ac:dyDescent="0.3"/>
    <row r="181" spans="2:72" ht="14.25" customHeight="1" x14ac:dyDescent="0.3"/>
    <row r="182" spans="2:72" ht="14.25" customHeight="1" x14ac:dyDescent="0.3"/>
    <row r="183" spans="2:72" ht="14.25" customHeight="1" x14ac:dyDescent="0.3"/>
    <row r="184" spans="2:72" ht="14.25" customHeight="1" x14ac:dyDescent="0.3">
      <c r="B184" s="3" t="s">
        <v>284</v>
      </c>
      <c r="J184" s="3" t="s">
        <v>171</v>
      </c>
      <c r="U184" s="3" t="s">
        <v>285</v>
      </c>
      <c r="AG184" s="3" t="s">
        <v>173</v>
      </c>
      <c r="AO184" s="3" t="s">
        <v>174</v>
      </c>
      <c r="BH184" s="3" t="s">
        <v>176</v>
      </c>
    </row>
    <row r="185" spans="2:72" ht="14.25" customHeight="1" x14ac:dyDescent="0.3">
      <c r="B185" s="13" t="s">
        <v>201</v>
      </c>
      <c r="C185" s="13"/>
      <c r="D185" s="13"/>
      <c r="E185" s="13"/>
      <c r="F185" s="28" t="s">
        <v>286</v>
      </c>
      <c r="G185" s="13" t="s">
        <v>192</v>
      </c>
      <c r="H185" s="13" t="s">
        <v>193</v>
      </c>
      <c r="J185" s="13" t="s">
        <v>201</v>
      </c>
      <c r="K185" s="28"/>
      <c r="L185" s="95"/>
      <c r="M185" s="97"/>
      <c r="N185" s="83" t="s">
        <v>286</v>
      </c>
      <c r="O185" s="13" t="s">
        <v>192</v>
      </c>
      <c r="P185" s="13"/>
      <c r="Q185" s="13"/>
      <c r="R185" s="13"/>
      <c r="S185" s="13" t="s">
        <v>193</v>
      </c>
      <c r="U185" s="13" t="s">
        <v>201</v>
      </c>
      <c r="V185" s="28" t="s">
        <v>286</v>
      </c>
      <c r="W185" s="13" t="s">
        <v>193</v>
      </c>
      <c r="X185" s="13"/>
      <c r="Y185" s="13"/>
      <c r="Z185" s="13"/>
      <c r="AA185" s="13"/>
      <c r="AG185" s="13" t="s">
        <v>201</v>
      </c>
      <c r="AH185" s="28" t="s">
        <v>286</v>
      </c>
      <c r="AI185" s="13" t="s">
        <v>192</v>
      </c>
      <c r="AJ185" s="13" t="s">
        <v>193</v>
      </c>
      <c r="AL185" s="12"/>
      <c r="AM185" s="12"/>
      <c r="AN185" s="12"/>
      <c r="AO185" s="29" t="s">
        <v>201</v>
      </c>
      <c r="AP185" s="28" t="s">
        <v>286</v>
      </c>
      <c r="AQ185" s="28"/>
      <c r="AR185" s="28"/>
      <c r="AS185" s="28"/>
      <c r="AT185" s="13" t="s">
        <v>192</v>
      </c>
      <c r="AU185" s="13" t="s">
        <v>193</v>
      </c>
      <c r="AW185" s="27"/>
      <c r="AX185" s="27"/>
      <c r="AY185" s="28" t="s">
        <v>286</v>
      </c>
      <c r="AZ185" s="13"/>
      <c r="BA185" s="13"/>
      <c r="BB185" s="13" t="s">
        <v>192</v>
      </c>
      <c r="BC185" s="13" t="s">
        <v>193</v>
      </c>
      <c r="BH185" s="13" t="s">
        <v>201</v>
      </c>
      <c r="BI185" s="28" t="s">
        <v>286</v>
      </c>
      <c r="BJ185" s="13" t="s">
        <v>192</v>
      </c>
      <c r="BK185" s="13"/>
      <c r="BL185" s="13" t="s">
        <v>193</v>
      </c>
      <c r="BM185" s="12"/>
      <c r="BN185" s="12"/>
    </row>
    <row r="186" spans="2:72" ht="14.25" customHeight="1" x14ac:dyDescent="0.3">
      <c r="B186" s="3" t="s">
        <v>213</v>
      </c>
      <c r="F186" s="13">
        <f t="shared" ref="F186:F205" si="133">AVERAGE(AT8,AG58,S91,F123)</f>
        <v>8</v>
      </c>
      <c r="G186" s="13">
        <v>1.247177188019948</v>
      </c>
      <c r="H186" s="13">
        <v>17</v>
      </c>
      <c r="J186" s="3" t="s">
        <v>213</v>
      </c>
      <c r="K186" s="12"/>
      <c r="L186" s="12"/>
      <c r="M186" s="96"/>
      <c r="N186" s="29">
        <f t="shared" ref="N186:N205" si="134">AVERAGE(BG8,AT58,AG91,S123)</f>
        <v>8</v>
      </c>
      <c r="O186" s="13">
        <v>1.247177188019948</v>
      </c>
      <c r="P186" s="13"/>
      <c r="Q186" s="13"/>
      <c r="R186" s="13"/>
      <c r="S186" s="13">
        <v>17</v>
      </c>
      <c r="U186" s="3" t="s">
        <v>213</v>
      </c>
      <c r="V186" s="13">
        <f t="shared" ref="V186:V205" si="135">AVERAGE(BT8,BG58,AT91,AG123)</f>
        <v>8.25</v>
      </c>
      <c r="W186" s="13">
        <v>17</v>
      </c>
      <c r="X186" s="13"/>
      <c r="Y186" s="13"/>
      <c r="Z186" s="13"/>
      <c r="AA186" s="13"/>
      <c r="AG186" s="3" t="s">
        <v>213</v>
      </c>
      <c r="AH186" s="13">
        <f t="shared" ref="AH186:AH205" si="136">AVERAGE(CG8,BT58,BG91,AT123)</f>
        <v>8</v>
      </c>
      <c r="AI186" s="13">
        <v>1.247177188019948</v>
      </c>
      <c r="AJ186" s="13">
        <v>17</v>
      </c>
      <c r="AO186" s="3" t="s">
        <v>213</v>
      </c>
      <c r="AP186" s="13">
        <f t="shared" ref="AP186:AP205" si="137">AVERAGE(F8,CT8,CG58,BT91,BG123)</f>
        <v>8.4</v>
      </c>
      <c r="AQ186" s="13"/>
      <c r="AR186" s="13"/>
      <c r="AS186" s="13"/>
      <c r="AT186" s="13">
        <v>1.247177188019948</v>
      </c>
      <c r="AU186" s="13">
        <v>17</v>
      </c>
      <c r="AW186" s="12"/>
      <c r="AX186" s="12"/>
      <c r="AY186" s="13">
        <f t="shared" ref="AY186:AY205" si="138">AVERAGE(S8,F58,CT58,CG91,BT123)</f>
        <v>8</v>
      </c>
      <c r="AZ186" s="13"/>
      <c r="BA186" s="13"/>
      <c r="BB186" s="13">
        <v>1.247177188019948</v>
      </c>
      <c r="BC186" s="13">
        <v>17</v>
      </c>
      <c r="BH186" s="3" t="s">
        <v>213</v>
      </c>
      <c r="BI186" s="13">
        <f t="shared" ref="BI186:BI205" si="139">AVERAGE(AG8,S58,F91,CT91,CG123)</f>
        <v>8</v>
      </c>
      <c r="BJ186" s="13">
        <v>1.247177188019948</v>
      </c>
      <c r="BK186" s="13"/>
      <c r="BL186" s="13">
        <v>17</v>
      </c>
      <c r="BM186" s="12"/>
      <c r="BN186" s="12"/>
      <c r="BP186" s="13" t="s">
        <v>287</v>
      </c>
      <c r="BQ186" s="13"/>
      <c r="BR186" s="13"/>
      <c r="BS186" s="13"/>
      <c r="BT186" s="13">
        <f>F206+N206+V206+AH206+AP206+AY206+BI206</f>
        <v>131.51186548092915</v>
      </c>
    </row>
    <row r="187" spans="2:72" ht="14.25" customHeight="1" x14ac:dyDescent="0.3">
      <c r="B187" s="3" t="s">
        <v>217</v>
      </c>
      <c r="F187" s="13">
        <f t="shared" si="133"/>
        <v>7</v>
      </c>
      <c r="G187" s="13">
        <v>1.1139196755889551</v>
      </c>
      <c r="H187" s="13">
        <v>11</v>
      </c>
      <c r="J187" s="3" t="s">
        <v>217</v>
      </c>
      <c r="K187" s="12"/>
      <c r="L187" s="12"/>
      <c r="M187" s="96"/>
      <c r="N187" s="29">
        <f t="shared" si="134"/>
        <v>9</v>
      </c>
      <c r="O187" s="13">
        <v>1.1139196755889551</v>
      </c>
      <c r="P187" s="13"/>
      <c r="Q187" s="13"/>
      <c r="R187" s="13"/>
      <c r="S187" s="13">
        <v>11</v>
      </c>
      <c r="U187" s="3" t="s">
        <v>217</v>
      </c>
      <c r="V187" s="13">
        <f t="shared" si="135"/>
        <v>7</v>
      </c>
      <c r="W187" s="13">
        <v>11</v>
      </c>
      <c r="X187" s="13"/>
      <c r="Y187" s="13"/>
      <c r="Z187" s="13"/>
      <c r="AA187" s="13"/>
      <c r="AG187" s="3" t="s">
        <v>217</v>
      </c>
      <c r="AH187" s="13">
        <f t="shared" si="136"/>
        <v>7.25</v>
      </c>
      <c r="AI187" s="13">
        <v>1.1139196755889551</v>
      </c>
      <c r="AJ187" s="13">
        <v>11</v>
      </c>
      <c r="AO187" s="3" t="s">
        <v>217</v>
      </c>
      <c r="AP187" s="13">
        <f t="shared" si="137"/>
        <v>7.6</v>
      </c>
      <c r="AQ187" s="13"/>
      <c r="AR187" s="13"/>
      <c r="AS187" s="13"/>
      <c r="AT187" s="13">
        <v>1.1139196755889551</v>
      </c>
      <c r="AU187" s="13">
        <v>11</v>
      </c>
      <c r="AW187" s="12"/>
      <c r="AX187" s="12"/>
      <c r="AY187" s="13">
        <f t="shared" si="138"/>
        <v>7</v>
      </c>
      <c r="AZ187" s="13"/>
      <c r="BA187" s="13"/>
      <c r="BB187" s="13">
        <v>1.1139196755889551</v>
      </c>
      <c r="BC187" s="13">
        <v>11</v>
      </c>
      <c r="BH187" s="3" t="s">
        <v>217</v>
      </c>
      <c r="BI187" s="13">
        <f t="shared" si="139"/>
        <v>7.6</v>
      </c>
      <c r="BJ187" s="13">
        <v>1.1139196755889551</v>
      </c>
      <c r="BK187" s="13"/>
      <c r="BL187" s="13">
        <v>11</v>
      </c>
      <c r="BM187" s="12"/>
      <c r="BN187" s="12"/>
      <c r="BP187" s="13" t="s">
        <v>288</v>
      </c>
      <c r="BQ187" s="13"/>
      <c r="BR187" s="13"/>
      <c r="BS187" s="13"/>
      <c r="BT187" s="13">
        <f>F207+N207+V207+AH207+AP207+AY207+BI207</f>
        <v>67.8</v>
      </c>
    </row>
    <row r="188" spans="2:72" ht="14.25" customHeight="1" x14ac:dyDescent="0.3">
      <c r="B188" s="3" t="s">
        <v>215</v>
      </c>
      <c r="F188" s="13">
        <f t="shared" si="133"/>
        <v>5.25</v>
      </c>
      <c r="G188" s="13">
        <v>1.1425292918330761</v>
      </c>
      <c r="H188" s="13">
        <v>15</v>
      </c>
      <c r="J188" s="3" t="s">
        <v>215</v>
      </c>
      <c r="K188" s="12"/>
      <c r="L188" s="12"/>
      <c r="M188" s="96"/>
      <c r="N188" s="29">
        <f t="shared" si="134"/>
        <v>5.75</v>
      </c>
      <c r="O188" s="13">
        <v>1.1425292918330761</v>
      </c>
      <c r="P188" s="13"/>
      <c r="Q188" s="13"/>
      <c r="R188" s="13"/>
      <c r="S188" s="13">
        <v>15</v>
      </c>
      <c r="U188" s="3" t="s">
        <v>215</v>
      </c>
      <c r="V188" s="13">
        <f t="shared" si="135"/>
        <v>5</v>
      </c>
      <c r="W188" s="13">
        <v>15</v>
      </c>
      <c r="X188" s="13"/>
      <c r="Y188" s="13"/>
      <c r="Z188" s="13"/>
      <c r="AA188" s="13"/>
      <c r="AG188" s="3" t="s">
        <v>215</v>
      </c>
      <c r="AH188" s="13">
        <f t="shared" si="136"/>
        <v>5</v>
      </c>
      <c r="AI188" s="13">
        <v>1.1425292918330761</v>
      </c>
      <c r="AJ188" s="13">
        <v>15</v>
      </c>
      <c r="AO188" s="3" t="s">
        <v>215</v>
      </c>
      <c r="AP188" s="13">
        <f t="shared" si="137"/>
        <v>5</v>
      </c>
      <c r="AQ188" s="13"/>
      <c r="AR188" s="13"/>
      <c r="AS188" s="13"/>
      <c r="AT188" s="13">
        <v>1.1425292918330761</v>
      </c>
      <c r="AU188" s="13">
        <v>15</v>
      </c>
      <c r="AW188" s="12"/>
      <c r="AX188" s="12"/>
      <c r="AY188" s="13">
        <f t="shared" si="138"/>
        <v>5.2</v>
      </c>
      <c r="AZ188" s="13"/>
      <c r="BA188" s="13"/>
      <c r="BB188" s="13">
        <v>1.1425292918330761</v>
      </c>
      <c r="BC188" s="13">
        <v>15</v>
      </c>
      <c r="BH188" s="3" t="s">
        <v>215</v>
      </c>
      <c r="BI188" s="13">
        <f t="shared" si="139"/>
        <v>5.2</v>
      </c>
      <c r="BJ188" s="13">
        <v>1.1425292918330761</v>
      </c>
      <c r="BK188" s="13"/>
      <c r="BL188" s="13">
        <v>15</v>
      </c>
      <c r="BM188" s="12"/>
      <c r="BN188" s="12"/>
    </row>
    <row r="189" spans="2:72" ht="14.25" customHeight="1" x14ac:dyDescent="0.3">
      <c r="B189" s="3" t="s">
        <v>216</v>
      </c>
      <c r="F189" s="13">
        <f t="shared" si="133"/>
        <v>5</v>
      </c>
      <c r="G189" s="13">
        <v>1.123713972805261</v>
      </c>
      <c r="H189" s="13">
        <v>11</v>
      </c>
      <c r="J189" s="3" t="s">
        <v>216</v>
      </c>
      <c r="K189" s="12"/>
      <c r="L189" s="12"/>
      <c r="M189" s="96"/>
      <c r="N189" s="29">
        <f t="shared" si="134"/>
        <v>5</v>
      </c>
      <c r="O189" s="13">
        <v>1.123713972805261</v>
      </c>
      <c r="P189" s="13"/>
      <c r="Q189" s="13"/>
      <c r="R189" s="13"/>
      <c r="S189" s="13">
        <v>11</v>
      </c>
      <c r="U189" s="3" t="s">
        <v>216</v>
      </c>
      <c r="V189" s="13">
        <f t="shared" si="135"/>
        <v>5.5</v>
      </c>
      <c r="W189" s="13">
        <v>11</v>
      </c>
      <c r="X189" s="13"/>
      <c r="Y189" s="13"/>
      <c r="Z189" s="13"/>
      <c r="AA189" s="13"/>
      <c r="AG189" s="3" t="s">
        <v>216</v>
      </c>
      <c r="AH189" s="13">
        <f t="shared" si="136"/>
        <v>5</v>
      </c>
      <c r="AI189" s="13">
        <v>1.123713972805261</v>
      </c>
      <c r="AJ189" s="13">
        <v>11</v>
      </c>
      <c r="AO189" s="3" t="s">
        <v>216</v>
      </c>
      <c r="AP189" s="13">
        <f t="shared" si="137"/>
        <v>5</v>
      </c>
      <c r="AQ189" s="13"/>
      <c r="AR189" s="13"/>
      <c r="AS189" s="13"/>
      <c r="AT189" s="13">
        <v>1.123713972805261</v>
      </c>
      <c r="AU189" s="13">
        <v>11</v>
      </c>
      <c r="AW189" s="12"/>
      <c r="AX189" s="12"/>
      <c r="AY189" s="13">
        <f t="shared" si="138"/>
        <v>5.6</v>
      </c>
      <c r="AZ189" s="13"/>
      <c r="BA189" s="13"/>
      <c r="BB189" s="13">
        <v>1.123713972805261</v>
      </c>
      <c r="BC189" s="13">
        <v>11</v>
      </c>
      <c r="BH189" s="3" t="s">
        <v>216</v>
      </c>
      <c r="BI189" s="13">
        <f t="shared" si="139"/>
        <v>5</v>
      </c>
      <c r="BJ189" s="13">
        <v>1.123713972805261</v>
      </c>
      <c r="BK189" s="13"/>
      <c r="BL189" s="13">
        <v>11</v>
      </c>
      <c r="BM189" s="12"/>
      <c r="BN189" s="12"/>
      <c r="BP189" s="3" t="s">
        <v>289</v>
      </c>
    </row>
    <row r="190" spans="2:72" ht="14.25" customHeight="1" x14ac:dyDescent="0.3">
      <c r="B190" s="3" t="s">
        <v>238</v>
      </c>
      <c r="F190" s="13">
        <f t="shared" si="133"/>
        <v>5</v>
      </c>
      <c r="G190" s="13">
        <v>-1.1428327832816429</v>
      </c>
      <c r="H190" s="13">
        <v>7</v>
      </c>
      <c r="J190" s="3" t="s">
        <v>238</v>
      </c>
      <c r="K190" s="12"/>
      <c r="L190" s="12"/>
      <c r="M190" s="96"/>
      <c r="N190" s="29">
        <f t="shared" si="134"/>
        <v>5</v>
      </c>
      <c r="O190" s="13">
        <v>-1.1428327832816429</v>
      </c>
      <c r="P190" s="13"/>
      <c r="Q190" s="13"/>
      <c r="R190" s="13"/>
      <c r="S190" s="13">
        <v>7</v>
      </c>
      <c r="U190" s="3" t="s">
        <v>238</v>
      </c>
      <c r="V190" s="13">
        <f t="shared" si="135"/>
        <v>5</v>
      </c>
      <c r="W190" s="13">
        <v>7</v>
      </c>
      <c r="X190" s="13"/>
      <c r="Y190" s="13"/>
      <c r="Z190" s="13"/>
      <c r="AA190" s="13"/>
      <c r="AG190" s="3" t="s">
        <v>238</v>
      </c>
      <c r="AH190" s="13">
        <f t="shared" si="136"/>
        <v>5</v>
      </c>
      <c r="AI190" s="13">
        <v>-1.1428327832816429</v>
      </c>
      <c r="AJ190" s="13">
        <v>7</v>
      </c>
      <c r="AO190" s="3" t="s">
        <v>238</v>
      </c>
      <c r="AP190" s="13">
        <f t="shared" si="137"/>
        <v>5</v>
      </c>
      <c r="AQ190" s="13"/>
      <c r="AR190" s="13"/>
      <c r="AS190" s="13"/>
      <c r="AT190" s="13">
        <v>-1.1428327832816429</v>
      </c>
      <c r="AU190" s="13">
        <v>7</v>
      </c>
      <c r="AW190" s="12"/>
      <c r="AX190" s="12"/>
      <c r="AY190" s="13">
        <f t="shared" si="138"/>
        <v>5</v>
      </c>
      <c r="AZ190" s="13"/>
      <c r="BA190" s="13"/>
      <c r="BB190" s="13">
        <v>-1.1428327832816429</v>
      </c>
      <c r="BC190" s="13">
        <v>7</v>
      </c>
      <c r="BH190" s="3" t="s">
        <v>238</v>
      </c>
      <c r="BI190" s="13">
        <f t="shared" si="139"/>
        <v>5.2</v>
      </c>
      <c r="BJ190" s="13">
        <v>-1.1428327832816429</v>
      </c>
      <c r="BK190" s="13"/>
      <c r="BL190" s="13">
        <v>7</v>
      </c>
      <c r="BM190" s="12"/>
      <c r="BN190" s="12"/>
      <c r="BP190" s="3" t="s">
        <v>290</v>
      </c>
    </row>
    <row r="191" spans="2:72" ht="14.25" customHeight="1" x14ac:dyDescent="0.3">
      <c r="B191" s="3" t="s">
        <v>239</v>
      </c>
      <c r="F191" s="13">
        <f t="shared" si="133"/>
        <v>11</v>
      </c>
      <c r="G191" s="13">
        <v>-1.1920893573654381</v>
      </c>
      <c r="H191" s="13">
        <v>15</v>
      </c>
      <c r="J191" s="3" t="s">
        <v>239</v>
      </c>
      <c r="K191" s="12"/>
      <c r="L191" s="12"/>
      <c r="M191" s="96"/>
      <c r="N191" s="29">
        <f t="shared" si="134"/>
        <v>11</v>
      </c>
      <c r="O191" s="13">
        <v>-1.1920893573654381</v>
      </c>
      <c r="P191" s="13"/>
      <c r="Q191" s="13"/>
      <c r="R191" s="13"/>
      <c r="S191" s="13">
        <v>15</v>
      </c>
      <c r="U191" s="3" t="s">
        <v>239</v>
      </c>
      <c r="V191" s="13">
        <f t="shared" si="135"/>
        <v>14</v>
      </c>
      <c r="W191" s="13">
        <v>15</v>
      </c>
      <c r="X191" s="13"/>
      <c r="Y191" s="13"/>
      <c r="Z191" s="13"/>
      <c r="AA191" s="13"/>
      <c r="AG191" s="3" t="s">
        <v>239</v>
      </c>
      <c r="AH191" s="13">
        <f t="shared" si="136"/>
        <v>14.25</v>
      </c>
      <c r="AI191" s="13">
        <v>-1.1920893573654381</v>
      </c>
      <c r="AJ191" s="13">
        <v>15</v>
      </c>
      <c r="AO191" s="3" t="s">
        <v>239</v>
      </c>
      <c r="AP191" s="13">
        <f t="shared" si="137"/>
        <v>12.8</v>
      </c>
      <c r="AQ191" s="13"/>
      <c r="AR191" s="13"/>
      <c r="AS191" s="13"/>
      <c r="AT191" s="13">
        <v>-1.1920893573654381</v>
      </c>
      <c r="AU191" s="13">
        <v>15</v>
      </c>
      <c r="AW191" s="12"/>
      <c r="AX191" s="12"/>
      <c r="AY191" s="13">
        <f t="shared" si="138"/>
        <v>12.6</v>
      </c>
      <c r="AZ191" s="13"/>
      <c r="BA191" s="13"/>
      <c r="BB191" s="13">
        <v>-1.1920893573654381</v>
      </c>
      <c r="BC191" s="13">
        <v>15</v>
      </c>
      <c r="BH191" s="3" t="s">
        <v>239</v>
      </c>
      <c r="BI191" s="13">
        <f t="shared" si="139"/>
        <v>12.6</v>
      </c>
      <c r="BJ191" s="13">
        <v>-1.1920893573654381</v>
      </c>
      <c r="BK191" s="13"/>
      <c r="BL191" s="13">
        <v>15</v>
      </c>
      <c r="BM191" s="12"/>
      <c r="BN191" s="12"/>
      <c r="BP191" s="3" t="s">
        <v>291</v>
      </c>
    </row>
    <row r="192" spans="2:72" ht="14.25" customHeight="1" x14ac:dyDescent="0.3">
      <c r="B192" s="3" t="s">
        <v>229</v>
      </c>
      <c r="F192" s="13">
        <f t="shared" si="133"/>
        <v>7</v>
      </c>
      <c r="G192" s="13">
        <v>-1.0923718971587979</v>
      </c>
      <c r="H192" s="13">
        <v>15</v>
      </c>
      <c r="J192" s="3" t="s">
        <v>229</v>
      </c>
      <c r="K192" s="12"/>
      <c r="L192" s="12"/>
      <c r="M192" s="96"/>
      <c r="N192" s="29">
        <f t="shared" si="134"/>
        <v>7</v>
      </c>
      <c r="O192" s="13">
        <v>-1.0923718971587979</v>
      </c>
      <c r="P192" s="13"/>
      <c r="Q192" s="13"/>
      <c r="R192" s="13"/>
      <c r="S192" s="13">
        <v>15</v>
      </c>
      <c r="U192" s="3" t="s">
        <v>229</v>
      </c>
      <c r="V192" s="13">
        <f t="shared" si="135"/>
        <v>7</v>
      </c>
      <c r="W192" s="13">
        <v>15</v>
      </c>
      <c r="X192" s="13"/>
      <c r="Y192" s="13"/>
      <c r="Z192" s="13"/>
      <c r="AA192" s="13"/>
      <c r="AG192" s="3" t="s">
        <v>229</v>
      </c>
      <c r="AH192" s="13">
        <f t="shared" si="136"/>
        <v>7.5</v>
      </c>
      <c r="AI192" s="13">
        <v>-1.0923718971587979</v>
      </c>
      <c r="AJ192" s="13">
        <v>15</v>
      </c>
      <c r="AO192" s="3" t="s">
        <v>229</v>
      </c>
      <c r="AP192" s="13">
        <f t="shared" si="137"/>
        <v>7.4</v>
      </c>
      <c r="AQ192" s="13"/>
      <c r="AR192" s="13"/>
      <c r="AS192" s="13"/>
      <c r="AT192" s="13">
        <v>-1.0923718971587979</v>
      </c>
      <c r="AU192" s="13">
        <v>15</v>
      </c>
      <c r="AW192" s="12"/>
      <c r="AX192" s="12"/>
      <c r="AY192" s="13">
        <f t="shared" si="138"/>
        <v>7</v>
      </c>
      <c r="AZ192" s="13"/>
      <c r="BA192" s="13"/>
      <c r="BB192" s="13">
        <v>-1.0923718971587979</v>
      </c>
      <c r="BC192" s="13">
        <v>15</v>
      </c>
      <c r="BH192" s="3" t="s">
        <v>229</v>
      </c>
      <c r="BI192" s="13">
        <f t="shared" si="139"/>
        <v>7.2</v>
      </c>
      <c r="BJ192" s="13">
        <v>-1.0923718971587979</v>
      </c>
      <c r="BK192" s="13"/>
      <c r="BL192" s="13">
        <v>15</v>
      </c>
      <c r="BM192" s="12"/>
      <c r="BN192" s="12"/>
    </row>
    <row r="193" spans="2:66" ht="14.25" customHeight="1" x14ac:dyDescent="0.3">
      <c r="B193" s="3" t="s">
        <v>223</v>
      </c>
      <c r="F193" s="13">
        <f t="shared" si="133"/>
        <v>5</v>
      </c>
      <c r="G193" s="13">
        <v>0.9957863323050703</v>
      </c>
      <c r="H193" s="13">
        <v>15</v>
      </c>
      <c r="J193" s="3" t="s">
        <v>223</v>
      </c>
      <c r="K193" s="12"/>
      <c r="L193" s="12"/>
      <c r="M193" s="96"/>
      <c r="N193" s="29">
        <f t="shared" si="134"/>
        <v>5</v>
      </c>
      <c r="O193" s="13">
        <v>0.9957863323050703</v>
      </c>
      <c r="P193" s="13"/>
      <c r="Q193" s="13"/>
      <c r="R193" s="13"/>
      <c r="S193" s="13">
        <v>15</v>
      </c>
      <c r="U193" s="3" t="s">
        <v>223</v>
      </c>
      <c r="V193" s="13">
        <f t="shared" si="135"/>
        <v>5.25</v>
      </c>
      <c r="W193" s="13">
        <v>15</v>
      </c>
      <c r="X193" s="13"/>
      <c r="Y193" s="13"/>
      <c r="Z193" s="13"/>
      <c r="AA193" s="13"/>
      <c r="AG193" s="3" t="s">
        <v>223</v>
      </c>
      <c r="AH193" s="13">
        <f t="shared" si="136"/>
        <v>5</v>
      </c>
      <c r="AI193" s="13">
        <v>0.9957863323050703</v>
      </c>
      <c r="AJ193" s="13">
        <v>15</v>
      </c>
      <c r="AO193" s="3" t="s">
        <v>223</v>
      </c>
      <c r="AP193" s="13">
        <f t="shared" si="137"/>
        <v>5</v>
      </c>
      <c r="AQ193" s="13"/>
      <c r="AR193" s="13"/>
      <c r="AS193" s="13"/>
      <c r="AT193" s="13">
        <v>0.9957863323050703</v>
      </c>
      <c r="AU193" s="13">
        <v>15</v>
      </c>
      <c r="AW193" s="12"/>
      <c r="AX193" s="12"/>
      <c r="AY193" s="13">
        <f t="shared" si="138"/>
        <v>5</v>
      </c>
      <c r="AZ193" s="13"/>
      <c r="BA193" s="13"/>
      <c r="BB193" s="13">
        <v>0.9957863323050703</v>
      </c>
      <c r="BC193" s="13">
        <v>15</v>
      </c>
      <c r="BH193" s="3" t="s">
        <v>223</v>
      </c>
      <c r="BI193" s="13">
        <f t="shared" si="139"/>
        <v>5</v>
      </c>
      <c r="BJ193" s="13">
        <v>0.9957863323050703</v>
      </c>
      <c r="BK193" s="13"/>
      <c r="BL193" s="13">
        <v>15</v>
      </c>
      <c r="BM193" s="12"/>
      <c r="BN193" s="12"/>
    </row>
    <row r="194" spans="2:66" ht="14.25" customHeight="1" x14ac:dyDescent="0.3">
      <c r="B194" s="3" t="s">
        <v>242</v>
      </c>
      <c r="F194" s="13">
        <f t="shared" si="133"/>
        <v>7</v>
      </c>
      <c r="G194" s="13">
        <v>-1.3367165560614409</v>
      </c>
      <c r="H194" s="13">
        <v>17</v>
      </c>
      <c r="J194" s="3" t="s">
        <v>242</v>
      </c>
      <c r="K194" s="12"/>
      <c r="L194" s="12"/>
      <c r="M194" s="96"/>
      <c r="N194" s="29">
        <f t="shared" si="134"/>
        <v>7.5</v>
      </c>
      <c r="O194" s="13">
        <v>-1.3367165560614409</v>
      </c>
      <c r="P194" s="13"/>
      <c r="Q194" s="13"/>
      <c r="R194" s="13"/>
      <c r="S194" s="13">
        <v>17</v>
      </c>
      <c r="U194" s="3" t="s">
        <v>242</v>
      </c>
      <c r="V194" s="13">
        <f t="shared" si="135"/>
        <v>7</v>
      </c>
      <c r="W194" s="13">
        <v>17</v>
      </c>
      <c r="X194" s="13"/>
      <c r="Y194" s="13"/>
      <c r="Z194" s="13"/>
      <c r="AA194" s="13"/>
      <c r="AG194" s="3" t="s">
        <v>242</v>
      </c>
      <c r="AH194" s="13">
        <f t="shared" si="136"/>
        <v>7</v>
      </c>
      <c r="AI194" s="13">
        <v>-1.3367165560614409</v>
      </c>
      <c r="AJ194" s="13">
        <v>17</v>
      </c>
      <c r="AO194" s="3" t="s">
        <v>242</v>
      </c>
      <c r="AP194" s="13">
        <f t="shared" si="137"/>
        <v>7</v>
      </c>
      <c r="AQ194" s="13"/>
      <c r="AR194" s="13"/>
      <c r="AS194" s="13"/>
      <c r="AT194" s="13">
        <v>-1.3367165560614409</v>
      </c>
      <c r="AU194" s="13">
        <v>17</v>
      </c>
      <c r="AW194" s="12"/>
      <c r="AX194" s="12"/>
      <c r="AY194" s="13">
        <f t="shared" si="138"/>
        <v>7.4</v>
      </c>
      <c r="AZ194" s="13"/>
      <c r="BA194" s="13"/>
      <c r="BB194" s="13">
        <v>-1.3367165560614409</v>
      </c>
      <c r="BC194" s="13">
        <v>17</v>
      </c>
      <c r="BH194" s="3" t="s">
        <v>242</v>
      </c>
      <c r="BI194" s="13">
        <f t="shared" si="139"/>
        <v>7.8</v>
      </c>
      <c r="BJ194" s="13">
        <v>-1.3367165560614409</v>
      </c>
      <c r="BK194" s="13"/>
      <c r="BL194" s="13">
        <v>17</v>
      </c>
      <c r="BM194" s="12"/>
      <c r="BN194" s="12"/>
    </row>
    <row r="195" spans="2:66" ht="14.25" customHeight="1" x14ac:dyDescent="0.3">
      <c r="B195" s="3" t="s">
        <v>220</v>
      </c>
      <c r="F195" s="13">
        <f t="shared" si="133"/>
        <v>6</v>
      </c>
      <c r="G195" s="13">
        <v>0.99583449612816577</v>
      </c>
      <c r="H195" s="13">
        <v>29</v>
      </c>
      <c r="J195" s="3" t="s">
        <v>220</v>
      </c>
      <c r="K195" s="12"/>
      <c r="L195" s="12"/>
      <c r="M195" s="96"/>
      <c r="N195" s="29">
        <f t="shared" si="134"/>
        <v>5</v>
      </c>
      <c r="O195" s="13">
        <v>0.99583449612816577</v>
      </c>
      <c r="P195" s="13"/>
      <c r="Q195" s="13"/>
      <c r="R195" s="13"/>
      <c r="S195" s="13">
        <v>29</v>
      </c>
      <c r="U195" s="3" t="s">
        <v>220</v>
      </c>
      <c r="V195" s="13">
        <f t="shared" si="135"/>
        <v>5</v>
      </c>
      <c r="W195" s="13">
        <v>29</v>
      </c>
      <c r="X195" s="13"/>
      <c r="Y195" s="13"/>
      <c r="Z195" s="13"/>
      <c r="AA195" s="13"/>
      <c r="AG195" s="3" t="s">
        <v>220</v>
      </c>
      <c r="AH195" s="13">
        <f t="shared" si="136"/>
        <v>5.75</v>
      </c>
      <c r="AI195" s="13">
        <v>0.99583449612816577</v>
      </c>
      <c r="AJ195" s="13">
        <v>29</v>
      </c>
      <c r="AO195" s="3" t="s">
        <v>220</v>
      </c>
      <c r="AP195" s="13">
        <f t="shared" si="137"/>
        <v>5.6</v>
      </c>
      <c r="AQ195" s="13"/>
      <c r="AR195" s="13"/>
      <c r="AS195" s="13"/>
      <c r="AT195" s="13">
        <v>0.99583449612816577</v>
      </c>
      <c r="AU195" s="13">
        <v>29</v>
      </c>
      <c r="AW195" s="12"/>
      <c r="AX195" s="12"/>
      <c r="AY195" s="13">
        <f t="shared" si="138"/>
        <v>5.4</v>
      </c>
      <c r="AZ195" s="13"/>
      <c r="BA195" s="13"/>
      <c r="BB195" s="13">
        <v>0.99583449612816577</v>
      </c>
      <c r="BC195" s="13">
        <v>29</v>
      </c>
      <c r="BH195" s="3" t="s">
        <v>220</v>
      </c>
      <c r="BI195" s="13">
        <f t="shared" si="139"/>
        <v>5</v>
      </c>
      <c r="BJ195" s="13">
        <v>0.99583449612816577</v>
      </c>
      <c r="BK195" s="13"/>
      <c r="BL195" s="13">
        <v>29</v>
      </c>
      <c r="BM195" s="12"/>
      <c r="BN195" s="12"/>
    </row>
    <row r="196" spans="2:66" ht="14.25" customHeight="1" x14ac:dyDescent="0.3">
      <c r="B196" s="3" t="s">
        <v>236</v>
      </c>
      <c r="F196" s="13">
        <f t="shared" si="133"/>
        <v>7.75</v>
      </c>
      <c r="G196" s="13">
        <v>-1.1339562965442611</v>
      </c>
      <c r="H196" s="13">
        <v>15</v>
      </c>
      <c r="J196" s="3" t="s">
        <v>236</v>
      </c>
      <c r="K196" s="12"/>
      <c r="L196" s="12"/>
      <c r="M196" s="96"/>
      <c r="N196" s="29">
        <f t="shared" si="134"/>
        <v>5</v>
      </c>
      <c r="O196" s="13">
        <v>-1.1339562965442611</v>
      </c>
      <c r="P196" s="13"/>
      <c r="Q196" s="13"/>
      <c r="R196" s="13"/>
      <c r="S196" s="13">
        <v>15</v>
      </c>
      <c r="U196" s="3" t="s">
        <v>236</v>
      </c>
      <c r="V196" s="13">
        <f t="shared" si="135"/>
        <v>3.75</v>
      </c>
      <c r="W196" s="13">
        <v>15</v>
      </c>
      <c r="X196" s="13"/>
      <c r="Y196" s="13"/>
      <c r="Z196" s="13"/>
      <c r="AA196" s="13"/>
      <c r="AG196" s="3" t="s">
        <v>236</v>
      </c>
      <c r="AH196" s="13">
        <f t="shared" si="136"/>
        <v>6</v>
      </c>
      <c r="AI196" s="13">
        <v>-1.1339562965442611</v>
      </c>
      <c r="AJ196" s="13">
        <v>15</v>
      </c>
      <c r="AO196" s="3" t="s">
        <v>236</v>
      </c>
      <c r="AP196" s="13">
        <f t="shared" si="137"/>
        <v>4.4000000000000004</v>
      </c>
      <c r="AQ196" s="13"/>
      <c r="AR196" s="13"/>
      <c r="AS196" s="13"/>
      <c r="AT196" s="13">
        <v>-1.1339562965442611</v>
      </c>
      <c r="AU196" s="13">
        <v>15</v>
      </c>
      <c r="AW196" s="12"/>
      <c r="AX196" s="12"/>
      <c r="AY196" s="13">
        <f t="shared" si="138"/>
        <v>4.8</v>
      </c>
      <c r="AZ196" s="13"/>
      <c r="BA196" s="13"/>
      <c r="BB196" s="13">
        <v>-1.1339562965442611</v>
      </c>
      <c r="BC196" s="13">
        <v>15</v>
      </c>
      <c r="BH196" s="3" t="s">
        <v>236</v>
      </c>
      <c r="BI196" s="13">
        <f t="shared" si="139"/>
        <v>3.6</v>
      </c>
      <c r="BJ196" s="13">
        <v>-1.1339562965442611</v>
      </c>
      <c r="BK196" s="13"/>
      <c r="BL196" s="13">
        <v>15</v>
      </c>
      <c r="BM196" s="12"/>
      <c r="BN196" s="12"/>
    </row>
    <row r="197" spans="2:66" ht="14.25" customHeight="1" x14ac:dyDescent="0.3">
      <c r="B197" s="3" t="s">
        <v>227</v>
      </c>
      <c r="F197" s="13">
        <f t="shared" si="133"/>
        <v>10.25</v>
      </c>
      <c r="G197" s="13">
        <v>0.88597893866063815</v>
      </c>
      <c r="H197" s="13">
        <v>11</v>
      </c>
      <c r="J197" s="3" t="s">
        <v>227</v>
      </c>
      <c r="K197" s="12"/>
      <c r="L197" s="12"/>
      <c r="M197" s="96"/>
      <c r="N197" s="29">
        <f t="shared" si="134"/>
        <v>9.25</v>
      </c>
      <c r="O197" s="13">
        <v>0.88597893866063815</v>
      </c>
      <c r="P197" s="13"/>
      <c r="Q197" s="13"/>
      <c r="R197" s="13"/>
      <c r="S197" s="13">
        <v>11</v>
      </c>
      <c r="U197" s="3" t="s">
        <v>227</v>
      </c>
      <c r="V197" s="13">
        <f t="shared" si="135"/>
        <v>5.5</v>
      </c>
      <c r="W197" s="13">
        <v>11</v>
      </c>
      <c r="X197" s="13"/>
      <c r="Y197" s="13"/>
      <c r="Z197" s="13"/>
      <c r="AA197" s="13"/>
      <c r="AG197" s="3" t="s">
        <v>227</v>
      </c>
      <c r="AH197" s="13">
        <f t="shared" si="136"/>
        <v>11.25</v>
      </c>
      <c r="AI197" s="13">
        <v>0.88597893866063815</v>
      </c>
      <c r="AJ197" s="13">
        <v>11</v>
      </c>
      <c r="AO197" s="3" t="s">
        <v>227</v>
      </c>
      <c r="AP197" s="13">
        <f t="shared" si="137"/>
        <v>9.4</v>
      </c>
      <c r="AQ197" s="13"/>
      <c r="AR197" s="13"/>
      <c r="AS197" s="13"/>
      <c r="AT197" s="13">
        <v>0.88597893866063815</v>
      </c>
      <c r="AU197" s="13">
        <v>11</v>
      </c>
      <c r="AW197" s="12"/>
      <c r="AX197" s="12"/>
      <c r="AY197" s="13">
        <f t="shared" si="138"/>
        <v>12.4</v>
      </c>
      <c r="AZ197" s="13"/>
      <c r="BA197" s="13"/>
      <c r="BB197" s="13">
        <v>0.88597893866063815</v>
      </c>
      <c r="BC197" s="13">
        <v>11</v>
      </c>
      <c r="BH197" s="3" t="s">
        <v>227</v>
      </c>
      <c r="BI197" s="13">
        <f t="shared" si="139"/>
        <v>11.8</v>
      </c>
      <c r="BJ197" s="13">
        <v>0.88597893866063815</v>
      </c>
      <c r="BK197" s="13"/>
      <c r="BL197" s="13">
        <v>11</v>
      </c>
      <c r="BM197" s="12"/>
      <c r="BN197" s="12"/>
    </row>
    <row r="198" spans="2:66" ht="14.25" customHeight="1" x14ac:dyDescent="0.3">
      <c r="B198" s="3" t="s">
        <v>234</v>
      </c>
      <c r="F198" s="13">
        <f t="shared" si="133"/>
        <v>10.75</v>
      </c>
      <c r="G198" s="13">
        <v>-1.12017317951397</v>
      </c>
      <c r="H198" s="13">
        <v>16</v>
      </c>
      <c r="J198" s="3" t="s">
        <v>234</v>
      </c>
      <c r="K198" s="12"/>
      <c r="L198" s="12"/>
      <c r="M198" s="96"/>
      <c r="N198" s="29">
        <f t="shared" si="134"/>
        <v>10</v>
      </c>
      <c r="O198" s="13">
        <v>-1.12017317951397</v>
      </c>
      <c r="P198" s="13"/>
      <c r="Q198" s="13"/>
      <c r="R198" s="13"/>
      <c r="S198" s="13">
        <v>16</v>
      </c>
      <c r="U198" s="3" t="s">
        <v>234</v>
      </c>
      <c r="V198" s="13">
        <f t="shared" si="135"/>
        <v>8.25</v>
      </c>
      <c r="W198" s="13">
        <v>16</v>
      </c>
      <c r="X198" s="13"/>
      <c r="Y198" s="13"/>
      <c r="Z198" s="13"/>
      <c r="AA198" s="13"/>
      <c r="AG198" s="3" t="s">
        <v>234</v>
      </c>
      <c r="AH198" s="13">
        <f t="shared" si="136"/>
        <v>7</v>
      </c>
      <c r="AI198" s="13">
        <v>-1.12017317951397</v>
      </c>
      <c r="AJ198" s="13">
        <v>16</v>
      </c>
      <c r="AO198" s="3" t="s">
        <v>234</v>
      </c>
      <c r="AP198" s="13">
        <f t="shared" si="137"/>
        <v>7.8</v>
      </c>
      <c r="AQ198" s="13"/>
      <c r="AR198" s="13"/>
      <c r="AS198" s="13"/>
      <c r="AT198" s="13">
        <v>-1.12017317951397</v>
      </c>
      <c r="AU198" s="13">
        <v>16</v>
      </c>
      <c r="AW198" s="12"/>
      <c r="AX198" s="12"/>
      <c r="AY198" s="13">
        <f t="shared" si="138"/>
        <v>9.4</v>
      </c>
      <c r="AZ198" s="13"/>
      <c r="BA198" s="13"/>
      <c r="BB198" s="13">
        <v>-1.12017317951397</v>
      </c>
      <c r="BC198" s="13">
        <v>16</v>
      </c>
      <c r="BH198" s="3" t="s">
        <v>234</v>
      </c>
      <c r="BI198" s="13">
        <f t="shared" si="139"/>
        <v>11.4</v>
      </c>
      <c r="BJ198" s="13">
        <v>-1.12017317951397</v>
      </c>
      <c r="BK198" s="13"/>
      <c r="BL198" s="13">
        <v>16</v>
      </c>
      <c r="BM198" s="12"/>
      <c r="BN198" s="12"/>
    </row>
    <row r="199" spans="2:66" ht="14.25" customHeight="1" x14ac:dyDescent="0.3">
      <c r="B199" s="3" t="s">
        <v>232</v>
      </c>
      <c r="F199" s="13">
        <f t="shared" si="133"/>
        <v>11.25</v>
      </c>
      <c r="G199" s="13">
        <v>-1.1154133211974251</v>
      </c>
      <c r="H199" s="13">
        <v>19</v>
      </c>
      <c r="J199" s="3" t="s">
        <v>232</v>
      </c>
      <c r="K199" s="12"/>
      <c r="L199" s="12"/>
      <c r="M199" s="96"/>
      <c r="N199" s="29">
        <f t="shared" si="134"/>
        <v>8.75</v>
      </c>
      <c r="O199" s="13">
        <v>-1.1154133211974251</v>
      </c>
      <c r="P199" s="13"/>
      <c r="Q199" s="13"/>
      <c r="R199" s="13"/>
      <c r="S199" s="13">
        <v>19</v>
      </c>
      <c r="U199" s="3" t="s">
        <v>232</v>
      </c>
      <c r="V199" s="13">
        <f t="shared" si="135"/>
        <v>6.25</v>
      </c>
      <c r="W199" s="13">
        <v>19</v>
      </c>
      <c r="X199" s="13"/>
      <c r="Y199" s="13"/>
      <c r="Z199" s="13"/>
      <c r="AA199" s="13"/>
      <c r="AG199" s="3" t="s">
        <v>232</v>
      </c>
      <c r="AH199" s="13">
        <f t="shared" si="136"/>
        <v>5.75</v>
      </c>
      <c r="AI199" s="13">
        <v>-1.1154133211974251</v>
      </c>
      <c r="AJ199" s="13">
        <v>19</v>
      </c>
      <c r="AO199" s="3" t="s">
        <v>232</v>
      </c>
      <c r="AP199" s="13">
        <f t="shared" si="137"/>
        <v>5.2</v>
      </c>
      <c r="AQ199" s="13"/>
      <c r="AR199" s="13"/>
      <c r="AS199" s="13"/>
      <c r="AT199" s="13">
        <v>-1.1154133211974251</v>
      </c>
      <c r="AU199" s="13">
        <v>19</v>
      </c>
      <c r="AW199" s="12"/>
      <c r="AX199" s="12"/>
      <c r="AY199" s="13">
        <f t="shared" si="138"/>
        <v>9.4</v>
      </c>
      <c r="AZ199" s="13"/>
      <c r="BA199" s="13"/>
      <c r="BB199" s="13">
        <v>-1.1154133211974251</v>
      </c>
      <c r="BC199" s="13">
        <v>19</v>
      </c>
      <c r="BH199" s="3" t="s">
        <v>232</v>
      </c>
      <c r="BI199" s="13">
        <f t="shared" si="139"/>
        <v>9</v>
      </c>
      <c r="BJ199" s="13">
        <v>-1.1154133211974251</v>
      </c>
      <c r="BK199" s="13"/>
      <c r="BL199" s="13">
        <v>19</v>
      </c>
      <c r="BM199" s="12"/>
      <c r="BN199" s="12"/>
    </row>
    <row r="200" spans="2:66" ht="14.25" customHeight="1" x14ac:dyDescent="0.3">
      <c r="B200" s="3" t="s">
        <v>243</v>
      </c>
      <c r="F200" s="13">
        <f t="shared" si="133"/>
        <v>3.5</v>
      </c>
      <c r="G200" s="13">
        <v>-1.679865001322572</v>
      </c>
      <c r="H200" s="13">
        <v>27</v>
      </c>
      <c r="J200" s="3" t="s">
        <v>243</v>
      </c>
      <c r="K200" s="12"/>
      <c r="L200" s="12"/>
      <c r="M200" s="96"/>
      <c r="N200" s="29">
        <f t="shared" si="134"/>
        <v>3</v>
      </c>
      <c r="O200" s="13">
        <v>-1.679865001322572</v>
      </c>
      <c r="P200" s="13"/>
      <c r="Q200" s="13"/>
      <c r="R200" s="13"/>
      <c r="S200" s="13">
        <v>27</v>
      </c>
      <c r="U200" s="3" t="s">
        <v>243</v>
      </c>
      <c r="V200" s="13">
        <f t="shared" si="135"/>
        <v>2.75</v>
      </c>
      <c r="W200" s="13">
        <v>27</v>
      </c>
      <c r="X200" s="13"/>
      <c r="Y200" s="13"/>
      <c r="Z200" s="13"/>
      <c r="AA200" s="13"/>
      <c r="AG200" s="3" t="s">
        <v>243</v>
      </c>
      <c r="AH200" s="13">
        <f t="shared" si="136"/>
        <v>2.75</v>
      </c>
      <c r="AI200" s="13">
        <v>-1.679865001322572</v>
      </c>
      <c r="AJ200" s="13">
        <v>27</v>
      </c>
      <c r="AO200" s="3" t="s">
        <v>243</v>
      </c>
      <c r="AP200" s="13">
        <f t="shared" si="137"/>
        <v>3.2</v>
      </c>
      <c r="AQ200" s="13"/>
      <c r="AR200" s="13"/>
      <c r="AS200" s="13"/>
      <c r="AT200" s="13">
        <v>-1.679865001322572</v>
      </c>
      <c r="AU200" s="13">
        <v>27</v>
      </c>
      <c r="AW200" s="12"/>
      <c r="AX200" s="12"/>
      <c r="AY200" s="13">
        <f t="shared" si="138"/>
        <v>2.6</v>
      </c>
      <c r="AZ200" s="13"/>
      <c r="BA200" s="13"/>
      <c r="BB200" s="13">
        <v>-1.679865001322572</v>
      </c>
      <c r="BC200" s="13">
        <v>27</v>
      </c>
      <c r="BH200" s="3" t="s">
        <v>243</v>
      </c>
      <c r="BI200" s="13">
        <f t="shared" si="139"/>
        <v>3</v>
      </c>
      <c r="BJ200" s="13">
        <v>-1.679865001322572</v>
      </c>
      <c r="BK200" s="13"/>
      <c r="BL200" s="13">
        <v>27</v>
      </c>
      <c r="BM200" s="12"/>
      <c r="BN200" s="12"/>
    </row>
    <row r="201" spans="2:66" ht="14.25" customHeight="1" x14ac:dyDescent="0.3">
      <c r="B201" s="3" t="s">
        <v>240</v>
      </c>
      <c r="F201" s="13">
        <f t="shared" si="133"/>
        <v>7.25</v>
      </c>
      <c r="G201" s="13">
        <v>-1.196962071035268</v>
      </c>
      <c r="H201" s="13">
        <v>19</v>
      </c>
      <c r="J201" s="3" t="s">
        <v>240</v>
      </c>
      <c r="K201" s="12"/>
      <c r="L201" s="12"/>
      <c r="M201" s="96"/>
      <c r="N201" s="29">
        <f t="shared" si="134"/>
        <v>7</v>
      </c>
      <c r="O201" s="13">
        <v>-1.196962071035268</v>
      </c>
      <c r="P201" s="13"/>
      <c r="Q201" s="13"/>
      <c r="R201" s="13"/>
      <c r="S201" s="13">
        <v>19</v>
      </c>
      <c r="U201" s="3" t="s">
        <v>240</v>
      </c>
      <c r="V201" s="13">
        <f t="shared" si="135"/>
        <v>6.75</v>
      </c>
      <c r="W201" s="13">
        <v>19</v>
      </c>
      <c r="X201" s="13"/>
      <c r="Y201" s="13"/>
      <c r="Z201" s="13"/>
      <c r="AA201" s="13"/>
      <c r="AG201" s="3" t="s">
        <v>240</v>
      </c>
      <c r="AH201" s="13">
        <f t="shared" si="136"/>
        <v>8.25</v>
      </c>
      <c r="AI201" s="13">
        <v>-1.196962071035268</v>
      </c>
      <c r="AJ201" s="13">
        <v>19</v>
      </c>
      <c r="AO201" s="3" t="s">
        <v>240</v>
      </c>
      <c r="AP201" s="13">
        <f t="shared" si="137"/>
        <v>8</v>
      </c>
      <c r="AQ201" s="13"/>
      <c r="AR201" s="13"/>
      <c r="AS201" s="13"/>
      <c r="AT201" s="13">
        <v>-1.196962071035268</v>
      </c>
      <c r="AU201" s="13">
        <v>19</v>
      </c>
      <c r="AW201" s="12"/>
      <c r="AX201" s="12"/>
      <c r="AY201" s="13">
        <f t="shared" si="138"/>
        <v>9.6</v>
      </c>
      <c r="AZ201" s="13"/>
      <c r="BA201" s="13"/>
      <c r="BB201" s="13">
        <v>-1.196962071035268</v>
      </c>
      <c r="BC201" s="13">
        <v>19</v>
      </c>
      <c r="BH201" s="3" t="s">
        <v>240</v>
      </c>
      <c r="BI201" s="13">
        <f t="shared" si="139"/>
        <v>10.8</v>
      </c>
      <c r="BJ201" s="13">
        <v>-1.196962071035268</v>
      </c>
      <c r="BK201" s="13"/>
      <c r="BL201" s="13">
        <v>19</v>
      </c>
      <c r="BM201" s="12"/>
      <c r="BN201" s="12"/>
    </row>
    <row r="202" spans="2:66" ht="14.25" customHeight="1" x14ac:dyDescent="0.3">
      <c r="B202" s="3" t="s">
        <v>241</v>
      </c>
      <c r="F202" s="13">
        <f t="shared" si="133"/>
        <v>12.75</v>
      </c>
      <c r="G202" s="13">
        <v>-1.2097705883740471</v>
      </c>
      <c r="H202" s="13">
        <v>15</v>
      </c>
      <c r="J202" s="3" t="s">
        <v>241</v>
      </c>
      <c r="K202" s="12"/>
      <c r="L202" s="12"/>
      <c r="M202" s="96"/>
      <c r="N202" s="29">
        <f t="shared" si="134"/>
        <v>11.75</v>
      </c>
      <c r="O202" s="13">
        <v>-1.2097705883740471</v>
      </c>
      <c r="P202" s="13"/>
      <c r="Q202" s="13"/>
      <c r="R202" s="13"/>
      <c r="S202" s="13">
        <v>15</v>
      </c>
      <c r="U202" s="3" t="s">
        <v>241</v>
      </c>
      <c r="V202" s="13">
        <f t="shared" si="135"/>
        <v>12.5</v>
      </c>
      <c r="W202" s="13">
        <v>15</v>
      </c>
      <c r="X202" s="13"/>
      <c r="Y202" s="13"/>
      <c r="Z202" s="13"/>
      <c r="AA202" s="13"/>
      <c r="AG202" s="3" t="s">
        <v>241</v>
      </c>
      <c r="AH202" s="13">
        <f t="shared" si="136"/>
        <v>12.25</v>
      </c>
      <c r="AI202" s="13">
        <v>-1.2097705883740471</v>
      </c>
      <c r="AJ202" s="13">
        <v>15</v>
      </c>
      <c r="AO202" s="3" t="s">
        <v>241</v>
      </c>
      <c r="AP202" s="13">
        <f t="shared" si="137"/>
        <v>14.2</v>
      </c>
      <c r="AQ202" s="13"/>
      <c r="AR202" s="13"/>
      <c r="AS202" s="13"/>
      <c r="AT202" s="13">
        <v>-1.2097705883740471</v>
      </c>
      <c r="AU202" s="13">
        <v>15</v>
      </c>
      <c r="AW202" s="12"/>
      <c r="AX202" s="12"/>
      <c r="AY202" s="13">
        <f t="shared" si="138"/>
        <v>13.8</v>
      </c>
      <c r="AZ202" s="13"/>
      <c r="BA202" s="13"/>
      <c r="BB202" s="13">
        <v>-1.2097705883740471</v>
      </c>
      <c r="BC202" s="13">
        <v>15</v>
      </c>
      <c r="BH202" s="3" t="s">
        <v>241</v>
      </c>
      <c r="BI202" s="13">
        <f t="shared" si="139"/>
        <v>13</v>
      </c>
      <c r="BJ202" s="13">
        <v>-1.2097705883740471</v>
      </c>
      <c r="BK202" s="13"/>
      <c r="BL202" s="13">
        <v>15</v>
      </c>
      <c r="BM202" s="12"/>
      <c r="BN202" s="12"/>
    </row>
    <row r="203" spans="2:66" ht="14.25" customHeight="1" x14ac:dyDescent="0.3">
      <c r="B203" s="3" t="s">
        <v>218</v>
      </c>
      <c r="F203" s="13">
        <f t="shared" si="133"/>
        <v>10.75</v>
      </c>
      <c r="G203" s="13">
        <v>1.0416402811862899</v>
      </c>
      <c r="H203" s="13">
        <v>11</v>
      </c>
      <c r="J203" s="3" t="s">
        <v>218</v>
      </c>
      <c r="K203" s="12"/>
      <c r="L203" s="12"/>
      <c r="M203" s="96"/>
      <c r="N203" s="29">
        <f t="shared" si="134"/>
        <v>10.25</v>
      </c>
      <c r="O203" s="13">
        <v>1.0416402811862899</v>
      </c>
      <c r="P203" s="13"/>
      <c r="Q203" s="13"/>
      <c r="R203" s="13"/>
      <c r="S203" s="13">
        <v>11</v>
      </c>
      <c r="U203" s="3" t="s">
        <v>218</v>
      </c>
      <c r="V203" s="13">
        <f t="shared" si="135"/>
        <v>8</v>
      </c>
      <c r="W203" s="13">
        <v>11</v>
      </c>
      <c r="X203" s="13"/>
      <c r="Y203" s="13"/>
      <c r="Z203" s="13"/>
      <c r="AA203" s="13"/>
      <c r="AG203" s="3" t="s">
        <v>218</v>
      </c>
      <c r="AH203" s="13">
        <f t="shared" si="136"/>
        <v>10.25</v>
      </c>
      <c r="AI203" s="13">
        <v>1.0416402811862899</v>
      </c>
      <c r="AJ203" s="13">
        <v>11</v>
      </c>
      <c r="AO203" s="3" t="s">
        <v>218</v>
      </c>
      <c r="AP203" s="13">
        <f t="shared" si="137"/>
        <v>10.199999999999999</v>
      </c>
      <c r="AQ203" s="13"/>
      <c r="AR203" s="13"/>
      <c r="AS203" s="13"/>
      <c r="AT203" s="13">
        <v>1.0416402811862899</v>
      </c>
      <c r="AU203" s="13">
        <v>11</v>
      </c>
      <c r="AW203" s="12"/>
      <c r="AX203" s="12"/>
      <c r="AY203" s="13">
        <f t="shared" si="138"/>
        <v>11.6</v>
      </c>
      <c r="AZ203" s="13"/>
      <c r="BA203" s="13"/>
      <c r="BB203" s="13">
        <v>1.0416402811862899</v>
      </c>
      <c r="BC203" s="13">
        <v>11</v>
      </c>
      <c r="BH203" s="3" t="s">
        <v>218</v>
      </c>
      <c r="BI203" s="13">
        <f t="shared" si="139"/>
        <v>11.4</v>
      </c>
      <c r="BJ203" s="13">
        <v>1.0416402811862899</v>
      </c>
      <c r="BK203" s="13"/>
      <c r="BL203" s="13">
        <v>11</v>
      </c>
      <c r="BM203" s="12"/>
      <c r="BN203" s="12"/>
    </row>
    <row r="204" spans="2:66" ht="14.25" customHeight="1" x14ac:dyDescent="0.3">
      <c r="B204" s="3" t="s">
        <v>224</v>
      </c>
      <c r="F204" s="13">
        <f t="shared" si="133"/>
        <v>8.25</v>
      </c>
      <c r="G204" s="13">
        <v>0.98995442105744402</v>
      </c>
      <c r="H204" s="13">
        <v>11</v>
      </c>
      <c r="J204" s="3" t="s">
        <v>224</v>
      </c>
      <c r="K204" s="12"/>
      <c r="L204" s="12"/>
      <c r="M204" s="96"/>
      <c r="N204" s="29">
        <f t="shared" si="134"/>
        <v>5.5</v>
      </c>
      <c r="O204" s="13">
        <v>0.98995442105744402</v>
      </c>
      <c r="P204" s="13"/>
      <c r="Q204" s="13"/>
      <c r="R204" s="13"/>
      <c r="S204" s="13">
        <v>11</v>
      </c>
      <c r="U204" s="3" t="s">
        <v>224</v>
      </c>
      <c r="V204" s="13">
        <f t="shared" si="135"/>
        <v>3.75</v>
      </c>
      <c r="W204" s="13">
        <v>11</v>
      </c>
      <c r="X204" s="13"/>
      <c r="Y204" s="13"/>
      <c r="Z204" s="13"/>
      <c r="AA204" s="13"/>
      <c r="AG204" s="3" t="s">
        <v>224</v>
      </c>
      <c r="AH204" s="13">
        <f t="shared" si="136"/>
        <v>9.5</v>
      </c>
      <c r="AI204" s="13">
        <v>0.98995442105744402</v>
      </c>
      <c r="AJ204" s="13">
        <v>11</v>
      </c>
      <c r="AO204" s="3" t="s">
        <v>224</v>
      </c>
      <c r="AP204" s="13">
        <f t="shared" si="137"/>
        <v>4.8</v>
      </c>
      <c r="AQ204" s="13"/>
      <c r="AR204" s="13"/>
      <c r="AS204" s="13"/>
      <c r="AT204" s="13">
        <v>0.98995442105744402</v>
      </c>
      <c r="AU204" s="13">
        <v>11</v>
      </c>
      <c r="AW204" s="12"/>
      <c r="AX204" s="12"/>
      <c r="AY204" s="13">
        <f t="shared" si="138"/>
        <v>7.8</v>
      </c>
      <c r="AZ204" s="13"/>
      <c r="BA204" s="13"/>
      <c r="BB204" s="13">
        <v>0.98995442105744402</v>
      </c>
      <c r="BC204" s="13">
        <v>11</v>
      </c>
      <c r="BH204" s="3" t="s">
        <v>224</v>
      </c>
      <c r="BI204" s="13">
        <f t="shared" si="139"/>
        <v>8.8000000000000007</v>
      </c>
      <c r="BJ204" s="13">
        <v>0.98995442105744402</v>
      </c>
      <c r="BK204" s="13"/>
      <c r="BL204" s="13">
        <v>11</v>
      </c>
      <c r="BM204" s="12"/>
      <c r="BN204" s="12"/>
    </row>
    <row r="205" spans="2:66" ht="14.25" customHeight="1" x14ac:dyDescent="0.3">
      <c r="B205" s="3" t="s">
        <v>225</v>
      </c>
      <c r="F205" s="13">
        <f t="shared" si="133"/>
        <v>21.25</v>
      </c>
      <c r="G205" s="13">
        <v>0.8928339600558084</v>
      </c>
      <c r="H205" s="13">
        <v>15</v>
      </c>
      <c r="J205" s="3" t="s">
        <v>225</v>
      </c>
      <c r="K205" s="12"/>
      <c r="L205" s="12"/>
      <c r="M205" s="96"/>
      <c r="N205" s="29">
        <f t="shared" si="134"/>
        <v>20.25</v>
      </c>
      <c r="O205" s="13">
        <v>0.8928339600558084</v>
      </c>
      <c r="P205" s="13"/>
      <c r="Q205" s="13"/>
      <c r="R205" s="13"/>
      <c r="S205" s="13">
        <v>15</v>
      </c>
      <c r="U205" s="3" t="s">
        <v>225</v>
      </c>
      <c r="V205" s="13">
        <f t="shared" si="135"/>
        <v>14.25</v>
      </c>
      <c r="W205" s="13">
        <v>15</v>
      </c>
      <c r="X205" s="13"/>
      <c r="Y205" s="13"/>
      <c r="Z205" s="13"/>
      <c r="AA205" s="13"/>
      <c r="AG205" s="3" t="s">
        <v>225</v>
      </c>
      <c r="AH205" s="13">
        <f t="shared" si="136"/>
        <v>19</v>
      </c>
      <c r="AI205" s="13">
        <v>0.8928339600558084</v>
      </c>
      <c r="AJ205" s="13">
        <v>15</v>
      </c>
      <c r="AO205" s="3" t="s">
        <v>225</v>
      </c>
      <c r="AP205" s="13">
        <f t="shared" si="137"/>
        <v>17.8</v>
      </c>
      <c r="AQ205" s="13"/>
      <c r="AR205" s="13"/>
      <c r="AS205" s="13"/>
      <c r="AT205" s="13">
        <v>0.8928339600558084</v>
      </c>
      <c r="AU205" s="13">
        <v>15</v>
      </c>
      <c r="AW205" s="12"/>
      <c r="AX205" s="12"/>
      <c r="AY205" s="13">
        <f t="shared" si="138"/>
        <v>18.399999999999999</v>
      </c>
      <c r="AZ205" s="13"/>
      <c r="BA205" s="13"/>
      <c r="BB205" s="13">
        <v>0.8928339600558084</v>
      </c>
      <c r="BC205" s="13">
        <v>15</v>
      </c>
      <c r="BH205" s="3" t="s">
        <v>225</v>
      </c>
      <c r="BI205" s="13">
        <f t="shared" si="139"/>
        <v>16.600000000000001</v>
      </c>
      <c r="BJ205" s="13">
        <v>0.8928339600558084</v>
      </c>
      <c r="BK205" s="13"/>
      <c r="BL205" s="13">
        <v>15</v>
      </c>
      <c r="BM205" s="12"/>
      <c r="BN205" s="12"/>
    </row>
    <row r="206" spans="2:66" ht="14.25" customHeight="1" x14ac:dyDescent="0.3">
      <c r="B206" s="13" t="s">
        <v>292</v>
      </c>
      <c r="C206" s="13"/>
      <c r="D206" s="13"/>
      <c r="E206" s="13"/>
      <c r="F206" s="13">
        <f>AVERAGE(AP32,AC82,O115,B147)</f>
        <v>15.067313879421894</v>
      </c>
      <c r="J206" s="13" t="s">
        <v>292</v>
      </c>
      <c r="K206" s="13"/>
      <c r="L206" s="72"/>
      <c r="M206" s="96"/>
      <c r="N206" s="29">
        <f>AVERAGE(BC32,AP82,AC115,O147)</f>
        <v>20.455358271911521</v>
      </c>
      <c r="O206" s="3">
        <f>MAX(O186:O205)</f>
        <v>1.247177188019948</v>
      </c>
      <c r="U206" s="13" t="s">
        <v>292</v>
      </c>
      <c r="V206" s="13">
        <f>AVERAGE(BP32,BC82,AP115,AC147)</f>
        <v>20.985342029423748</v>
      </c>
      <c r="AG206" s="13" t="s">
        <v>292</v>
      </c>
      <c r="AH206" s="13">
        <f t="shared" ref="AH206:AH207" si="140">AVERAGE(CC32,BP82,BC115,AP147)</f>
        <v>13.587627203134421</v>
      </c>
      <c r="AL206" s="12"/>
      <c r="AM206" s="12"/>
      <c r="AN206" s="12"/>
      <c r="AO206" s="29" t="s">
        <v>292</v>
      </c>
      <c r="AP206" s="13">
        <f>AVERAGE(B32,CP32,CC82,BP115,BC147)</f>
        <v>22.294679931444399</v>
      </c>
      <c r="AW206" s="12"/>
      <c r="AX206" s="12"/>
      <c r="AY206" s="13">
        <f>AVERAGE(O32,B82,CP82,CC115,BP147)</f>
        <v>17.542940543420364</v>
      </c>
      <c r="BH206" s="13" t="s">
        <v>292</v>
      </c>
      <c r="BI206" s="13">
        <f>AVERAGE(AC32,O82,B115,CP115,CC147)</f>
        <v>21.578603622172771</v>
      </c>
    </row>
    <row r="207" spans="2:66" ht="14.25" customHeight="1" x14ac:dyDescent="0.3">
      <c r="B207" s="13" t="s">
        <v>293</v>
      </c>
      <c r="C207" s="13"/>
      <c r="D207" s="13"/>
      <c r="E207" s="13"/>
      <c r="F207" s="13">
        <f>AVERAGE(AP33,AC83,O116,B148)</f>
        <v>10.25</v>
      </c>
      <c r="J207" s="13" t="s">
        <v>293</v>
      </c>
      <c r="K207" s="13"/>
      <c r="L207" s="72"/>
      <c r="M207" s="96"/>
      <c r="N207" s="29">
        <f>AVERAGE(BC33,AP83,AC116,O148)</f>
        <v>10.75</v>
      </c>
      <c r="O207" s="3">
        <f>MIN(O186:O205)</f>
        <v>-1.679865001322572</v>
      </c>
      <c r="U207" s="13" t="s">
        <v>293</v>
      </c>
      <c r="V207" s="13">
        <f>AVERAGE(BP33,BC83,AP116,AC148)</f>
        <v>10</v>
      </c>
      <c r="AG207" s="13" t="s">
        <v>293</v>
      </c>
      <c r="AH207" s="13">
        <f t="shared" si="140"/>
        <v>8</v>
      </c>
      <c r="AL207" s="12"/>
      <c r="AM207" s="12"/>
      <c r="AN207" s="12"/>
      <c r="AO207" s="29" t="s">
        <v>293</v>
      </c>
      <c r="AP207" s="13">
        <f>AVERAGE(B33,CP33,CC83,BP116,BC148)</f>
        <v>9.4</v>
      </c>
      <c r="AW207" s="12"/>
      <c r="AX207" s="12"/>
      <c r="AY207" s="13">
        <f>AVERAGE(O33,B83,CP83,CC116,BP148)</f>
        <v>9</v>
      </c>
      <c r="BH207" s="13" t="s">
        <v>293</v>
      </c>
      <c r="BI207" s="13">
        <f>AVERAGE(AC33,O83,B116,CP116,CC148)</f>
        <v>10.4</v>
      </c>
    </row>
    <row r="208" spans="2:66" ht="14.25" customHeight="1" x14ac:dyDescent="0.3"/>
    <row r="209" spans="2:15" ht="14.25" customHeight="1" x14ac:dyDescent="0.3"/>
    <row r="210" spans="2:15" ht="14.25" customHeight="1" x14ac:dyDescent="0.3">
      <c r="J210" s="13" t="s">
        <v>294</v>
      </c>
      <c r="K210" s="13"/>
      <c r="L210" s="72"/>
      <c r="M210" s="96"/>
      <c r="N210" s="29"/>
      <c r="O210" s="13">
        <f>SUM(F206,N206,V206,AH206,AP206,AY206,BI206)</f>
        <v>131.51186548092915</v>
      </c>
    </row>
    <row r="211" spans="2:15" ht="14.25" customHeight="1" x14ac:dyDescent="0.3">
      <c r="B211" s="3" t="s">
        <v>295</v>
      </c>
      <c r="F211" s="3">
        <v>60</v>
      </c>
      <c r="H211" s="3" t="s">
        <v>296</v>
      </c>
      <c r="J211" s="13" t="s">
        <v>297</v>
      </c>
      <c r="K211" s="13"/>
      <c r="L211" s="72"/>
      <c r="M211" s="96"/>
      <c r="N211" s="29"/>
      <c r="O211" s="13">
        <f>O210*4</f>
        <v>526.04746192371658</v>
      </c>
    </row>
    <row r="212" spans="2:15" ht="14.25" customHeight="1" x14ac:dyDescent="0.3">
      <c r="B212" s="3" t="s">
        <v>298</v>
      </c>
      <c r="J212" s="13" t="s">
        <v>299</v>
      </c>
      <c r="K212" s="13"/>
      <c r="L212" s="72"/>
      <c r="M212" s="96"/>
      <c r="N212" s="29"/>
      <c r="O212" s="13">
        <f>AVERAGE(F207,N207,V207,AH207,AP207,AY207,BI207)</f>
        <v>9.6857142857142851</v>
      </c>
    </row>
    <row r="213" spans="2:15" ht="14.25" customHeight="1" x14ac:dyDescent="0.3">
      <c r="B213" s="3" t="s">
        <v>300</v>
      </c>
      <c r="J213" s="13" t="s">
        <v>301</v>
      </c>
      <c r="K213" s="13"/>
      <c r="L213" s="72"/>
      <c r="M213" s="96"/>
      <c r="N213" s="29"/>
      <c r="O213" s="13">
        <f>O212*2</f>
        <v>19.37142857142857</v>
      </c>
    </row>
    <row r="214" spans="2:15" ht="14.25" customHeight="1" x14ac:dyDescent="0.3">
      <c r="B214" s="3" t="s">
        <v>302</v>
      </c>
    </row>
    <row r="215" spans="2:15" ht="14.25" customHeight="1" x14ac:dyDescent="0.3">
      <c r="B215" s="3" t="s">
        <v>303</v>
      </c>
    </row>
    <row r="216" spans="2:15" ht="14.25" customHeight="1" x14ac:dyDescent="0.3"/>
    <row r="217" spans="2:15" ht="14.25" customHeight="1" x14ac:dyDescent="0.3"/>
    <row r="218" spans="2:15" ht="14.25" customHeight="1" x14ac:dyDescent="0.3">
      <c r="B218" s="3" t="s">
        <v>304</v>
      </c>
    </row>
    <row r="219" spans="2:15" ht="14.25" customHeight="1" x14ac:dyDescent="0.3"/>
    <row r="220" spans="2:15" ht="14.25" customHeight="1" x14ac:dyDescent="0.3"/>
    <row r="221" spans="2:15" ht="14.25" customHeight="1" x14ac:dyDescent="0.3"/>
    <row r="222" spans="2:15" ht="14.25" customHeight="1" x14ac:dyDescent="0.3"/>
    <row r="223" spans="2:15" ht="14.25" customHeight="1" x14ac:dyDescent="0.3"/>
    <row r="224" spans="2:15"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row r="1001" ht="14.25" customHeight="1" x14ac:dyDescent="0.3"/>
    <row r="1002" ht="14.25" customHeight="1" x14ac:dyDescent="0.3"/>
    <row r="1003" ht="14.25" customHeight="1" x14ac:dyDescent="0.3"/>
    <row r="1004" ht="14.25" customHeight="1" x14ac:dyDescent="0.3"/>
    <row r="1005" ht="14.25" customHeight="1" x14ac:dyDescent="0.3"/>
    <row r="1006" ht="14.25" customHeight="1" x14ac:dyDescent="0.3"/>
    <row r="1007" ht="14.25" customHeight="1" x14ac:dyDescent="0.3"/>
    <row r="1008" ht="14.25" customHeight="1" x14ac:dyDescent="0.3"/>
    <row r="1009" ht="14.25" customHeight="1" x14ac:dyDescent="0.3"/>
    <row r="1010" ht="14.25" customHeight="1" x14ac:dyDescent="0.3"/>
    <row r="1011" ht="14.25" customHeight="1" x14ac:dyDescent="0.3"/>
    <row r="1012" ht="14.25" customHeight="1" x14ac:dyDescent="0.3"/>
    <row r="1013" ht="14.25" customHeight="1" x14ac:dyDescent="0.3"/>
    <row r="1014" ht="14.25" customHeight="1" x14ac:dyDescent="0.3"/>
    <row r="1015" ht="14.25" customHeight="1" x14ac:dyDescent="0.3"/>
    <row r="1016" ht="14.25" customHeight="1" x14ac:dyDescent="0.3"/>
    <row r="1017" ht="14.25" customHeight="1" x14ac:dyDescent="0.3"/>
    <row r="1018" ht="14.25" customHeight="1" x14ac:dyDescent="0.3"/>
    <row r="1019" ht="14.25" customHeight="1" x14ac:dyDescent="0.3"/>
    <row r="1020" ht="14.25" customHeight="1" x14ac:dyDescent="0.3"/>
    <row r="1021" ht="14.25" customHeight="1" x14ac:dyDescent="0.3"/>
    <row r="1022" ht="14.25" customHeight="1" x14ac:dyDescent="0.3"/>
    <row r="1023" ht="14.25" customHeight="1" x14ac:dyDescent="0.3"/>
    <row r="1024" ht="14.25" customHeight="1" x14ac:dyDescent="0.3"/>
    <row r="1025" ht="14.25" customHeight="1" x14ac:dyDescent="0.3"/>
    <row r="1026" ht="14.25" customHeight="1" x14ac:dyDescent="0.3"/>
    <row r="1027" ht="14.25" customHeight="1" x14ac:dyDescent="0.3"/>
    <row r="1028" ht="14.25" customHeight="1" x14ac:dyDescent="0.3"/>
    <row r="1029" ht="14.25" customHeight="1" x14ac:dyDescent="0.3"/>
  </sheetData>
  <pageMargins left="0.7" right="0.7" top="0.75" bottom="0.75" header="0" footer="0"/>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CP1000"/>
  <sheetViews>
    <sheetView topLeftCell="AT1" workbookViewId="0">
      <selection activeCell="BA8" sqref="BA8"/>
    </sheetView>
  </sheetViews>
  <sheetFormatPr baseColWidth="10" defaultColWidth="14.44140625" defaultRowHeight="15" customHeight="1" x14ac:dyDescent="0.3"/>
  <cols>
    <col min="1" max="1" width="30.5546875" customWidth="1"/>
    <col min="2" max="2" width="15.44140625" customWidth="1"/>
    <col min="3" max="5" width="15.44140625" hidden="1" customWidth="1"/>
    <col min="6" max="6" width="14.109375" customWidth="1"/>
    <col min="7" max="7" width="10.6640625" customWidth="1"/>
    <col min="8" max="8" width="15.6640625" customWidth="1"/>
    <col min="9" max="9" width="13.5546875" hidden="1" customWidth="1"/>
    <col min="10" max="10" width="31.44140625" hidden="1" customWidth="1"/>
    <col min="11" max="12" width="22.109375" hidden="1" customWidth="1"/>
    <col min="13" max="13" width="36.44140625" hidden="1" customWidth="1"/>
    <col min="14" max="14" width="35.5546875" customWidth="1"/>
    <col min="15" max="15" width="41.5546875" customWidth="1"/>
    <col min="16" max="16" width="33.88671875" customWidth="1"/>
    <col min="17" max="17" width="22.109375" customWidth="1"/>
    <col min="18" max="18" width="21.88671875" customWidth="1"/>
    <col min="19" max="21" width="21.88671875" hidden="1" customWidth="1"/>
    <col min="22" max="22" width="14.109375" customWidth="1"/>
    <col min="23" max="24" width="10.6640625" customWidth="1"/>
    <col min="25" max="25" width="13" customWidth="1"/>
    <col min="26" max="26" width="39.109375" customWidth="1"/>
    <col min="27" max="27" width="37.33203125" customWidth="1"/>
    <col min="28" max="28" width="32.109375" customWidth="1"/>
    <col min="29" max="29" width="38.88671875" hidden="1" customWidth="1"/>
    <col min="30" max="30" width="31" hidden="1" customWidth="1"/>
    <col min="31" max="31" width="48.44140625" customWidth="1"/>
    <col min="32" max="32" width="43" customWidth="1"/>
    <col min="33" max="33" width="53.44140625" customWidth="1"/>
    <col min="34" max="34" width="50" customWidth="1"/>
    <col min="35" max="36" width="10.6640625" customWidth="1"/>
    <col min="37" max="37" width="20.109375" customWidth="1"/>
    <col min="38" max="40" width="20.109375" hidden="1" customWidth="1"/>
    <col min="41" max="41" width="14.109375" customWidth="1"/>
    <col min="42" max="43" width="10.6640625" customWidth="1"/>
    <col min="44" max="44" width="11.5546875" customWidth="1"/>
    <col min="45" max="45" width="42.109375" customWidth="1"/>
    <col min="46" max="47" width="29.5546875" customWidth="1"/>
    <col min="48" max="48" width="20.109375" customWidth="1"/>
    <col min="49" max="50" width="20.109375" hidden="1" customWidth="1"/>
    <col min="51" max="51" width="20.109375" customWidth="1"/>
    <col min="52" max="52" width="14.109375" customWidth="1"/>
    <col min="53" max="57" width="10.6640625" customWidth="1"/>
    <col min="58" max="58" width="20.109375" customWidth="1"/>
    <col min="59" max="59" width="22.109375" customWidth="1"/>
    <col min="60" max="61" width="20.109375" customWidth="1"/>
    <col min="62" max="62" width="14.109375" customWidth="1"/>
    <col min="63" max="63" width="36.5546875" customWidth="1"/>
    <col min="64" max="67" width="10.6640625" customWidth="1"/>
    <col min="68" max="71" width="20.109375" customWidth="1"/>
    <col min="72" max="72" width="14.109375" customWidth="1"/>
    <col min="73" max="77" width="10.6640625" customWidth="1"/>
    <col min="78" max="81" width="20.109375" customWidth="1"/>
    <col min="82" max="82" width="14.109375" customWidth="1"/>
    <col min="83" max="87" width="10.6640625" customWidth="1"/>
    <col min="88" max="91" width="20.109375" customWidth="1"/>
    <col min="92" max="92" width="14.109375" customWidth="1"/>
    <col min="93" max="94" width="10.6640625" customWidth="1"/>
  </cols>
  <sheetData>
    <row r="1" spans="1:94" ht="14.25" customHeight="1" x14ac:dyDescent="0.3"/>
    <row r="2" spans="1:94" ht="14.25" customHeight="1" x14ac:dyDescent="0.3">
      <c r="AQ2" s="3" t="s">
        <v>177</v>
      </c>
    </row>
    <row r="3" spans="1:94" ht="14.25" customHeight="1" x14ac:dyDescent="0.3">
      <c r="AQ3" s="3" t="s">
        <v>178</v>
      </c>
    </row>
    <row r="4" spans="1:94" ht="14.25" customHeight="1" x14ac:dyDescent="0.3"/>
    <row r="5" spans="1:94" ht="14.25" customHeight="1" x14ac:dyDescent="0.3"/>
    <row r="6" spans="1:94" ht="14.25" customHeight="1" x14ac:dyDescent="0.3">
      <c r="A6" s="5" t="s">
        <v>179</v>
      </c>
      <c r="B6" s="6"/>
      <c r="C6" s="7"/>
      <c r="D6" s="7"/>
      <c r="E6" s="7"/>
      <c r="F6" s="7"/>
      <c r="G6" s="6"/>
      <c r="H6" s="8"/>
      <c r="R6" s="3" t="s">
        <v>180</v>
      </c>
      <c r="AK6" s="3" t="s">
        <v>181</v>
      </c>
      <c r="AT6" s="6"/>
      <c r="AU6" s="9" t="s">
        <v>182</v>
      </c>
      <c r="AV6" s="6"/>
      <c r="AW6" s="6"/>
      <c r="AX6" s="6"/>
      <c r="AY6" s="6"/>
      <c r="AZ6" s="6"/>
      <c r="BA6" s="6"/>
      <c r="BB6" s="6"/>
      <c r="BF6" s="3" t="s">
        <v>183</v>
      </c>
      <c r="BP6" s="3" t="s">
        <v>184</v>
      </c>
      <c r="BZ6" s="3" t="s">
        <v>185</v>
      </c>
      <c r="CJ6" s="3" t="s">
        <v>186</v>
      </c>
    </row>
    <row r="7" spans="1:94" ht="14.25" customHeight="1" x14ac:dyDescent="0.3">
      <c r="A7" s="5" t="s">
        <v>187</v>
      </c>
      <c r="B7" s="5" t="s">
        <v>5</v>
      </c>
      <c r="C7" s="5" t="s">
        <v>188</v>
      </c>
      <c r="D7" s="10" t="s">
        <v>189</v>
      </c>
      <c r="E7" s="5" t="s">
        <v>190</v>
      </c>
      <c r="F7" s="5" t="s">
        <v>191</v>
      </c>
      <c r="G7" s="5" t="s">
        <v>192</v>
      </c>
      <c r="H7" s="5" t="s">
        <v>193</v>
      </c>
      <c r="I7" s="11" t="s">
        <v>194</v>
      </c>
      <c r="J7" s="3" t="s">
        <v>195</v>
      </c>
      <c r="K7" s="12" t="s">
        <v>196</v>
      </c>
      <c r="L7" s="12"/>
      <c r="M7" s="12"/>
      <c r="N7" s="12" t="s">
        <v>199</v>
      </c>
      <c r="O7" s="12"/>
      <c r="P7" s="12" t="s">
        <v>200</v>
      </c>
      <c r="Q7" s="13" t="s">
        <v>201</v>
      </c>
      <c r="R7" s="13" t="s">
        <v>5</v>
      </c>
      <c r="S7" s="13" t="s">
        <v>202</v>
      </c>
      <c r="T7" s="14" t="s">
        <v>189</v>
      </c>
      <c r="U7" s="13" t="s">
        <v>190</v>
      </c>
      <c r="V7" s="13" t="s">
        <v>191</v>
      </c>
      <c r="W7" s="13" t="s">
        <v>192</v>
      </c>
      <c r="X7" s="13" t="s">
        <v>193</v>
      </c>
      <c r="Y7" s="11" t="s">
        <v>194</v>
      </c>
      <c r="Z7" s="12" t="s">
        <v>194</v>
      </c>
      <c r="AA7" s="12" t="s">
        <v>203</v>
      </c>
      <c r="AB7" s="12" t="s">
        <v>204</v>
      </c>
      <c r="AC7" s="12"/>
      <c r="AD7" s="12"/>
      <c r="AE7" s="12"/>
      <c r="AF7" s="12"/>
      <c r="AG7" s="12"/>
      <c r="AH7" s="12" t="s">
        <v>205</v>
      </c>
      <c r="AI7" s="12"/>
      <c r="AJ7" s="13" t="s">
        <v>201</v>
      </c>
      <c r="AK7" s="13" t="s">
        <v>5</v>
      </c>
      <c r="AL7" s="13" t="s">
        <v>206</v>
      </c>
      <c r="AM7" s="14" t="s">
        <v>189</v>
      </c>
      <c r="AN7" s="13" t="s">
        <v>190</v>
      </c>
      <c r="AO7" s="13" t="s">
        <v>191</v>
      </c>
      <c r="AP7" s="13" t="s">
        <v>192</v>
      </c>
      <c r="AQ7" s="13" t="s">
        <v>193</v>
      </c>
      <c r="AR7" s="11" t="s">
        <v>194</v>
      </c>
      <c r="AS7" s="15" t="s">
        <v>207</v>
      </c>
      <c r="AT7" s="7"/>
      <c r="AU7" s="5" t="s">
        <v>187</v>
      </c>
      <c r="AV7" s="5" t="s">
        <v>5</v>
      </c>
      <c r="AW7" s="5" t="s">
        <v>208</v>
      </c>
      <c r="AX7" s="10" t="s">
        <v>189</v>
      </c>
      <c r="AY7" s="5" t="s">
        <v>190</v>
      </c>
      <c r="AZ7" s="5" t="s">
        <v>191</v>
      </c>
      <c r="BA7" s="5" t="s">
        <v>192</v>
      </c>
      <c r="BB7" s="5" t="s">
        <v>193</v>
      </c>
      <c r="BC7" s="3" t="s">
        <v>194</v>
      </c>
      <c r="BE7" s="13" t="s">
        <v>201</v>
      </c>
      <c r="BF7" s="13" t="s">
        <v>5</v>
      </c>
      <c r="BG7" s="13" t="s">
        <v>209</v>
      </c>
      <c r="BH7" s="14" t="s">
        <v>189</v>
      </c>
      <c r="BI7" s="13" t="s">
        <v>190</v>
      </c>
      <c r="BJ7" s="13" t="s">
        <v>191</v>
      </c>
      <c r="BK7" s="3" t="s">
        <v>192</v>
      </c>
      <c r="BL7" s="3" t="s">
        <v>193</v>
      </c>
      <c r="BO7" s="13" t="s">
        <v>201</v>
      </c>
      <c r="BP7" s="13" t="s">
        <v>5</v>
      </c>
      <c r="BQ7" s="13" t="s">
        <v>211</v>
      </c>
      <c r="BR7" s="14" t="s">
        <v>189</v>
      </c>
      <c r="BS7" s="13" t="s">
        <v>190</v>
      </c>
      <c r="BT7" s="13" t="s">
        <v>191</v>
      </c>
      <c r="BU7" s="13" t="s">
        <v>192</v>
      </c>
      <c r="BV7" s="13" t="s">
        <v>193</v>
      </c>
      <c r="BW7" s="3" t="s">
        <v>305</v>
      </c>
      <c r="BY7" s="13" t="s">
        <v>201</v>
      </c>
      <c r="BZ7" s="13" t="s">
        <v>5</v>
      </c>
      <c r="CA7" s="13" t="s">
        <v>212</v>
      </c>
      <c r="CB7" s="14" t="s">
        <v>189</v>
      </c>
      <c r="CC7" s="13" t="s">
        <v>190</v>
      </c>
      <c r="CD7" s="13" t="s">
        <v>191</v>
      </c>
      <c r="CE7" s="13" t="s">
        <v>192</v>
      </c>
      <c r="CF7" s="13" t="s">
        <v>193</v>
      </c>
      <c r="CG7" s="3" t="s">
        <v>305</v>
      </c>
      <c r="CI7" s="13" t="s">
        <v>201</v>
      </c>
      <c r="CJ7" s="13" t="s">
        <v>5</v>
      </c>
      <c r="CK7" s="13" t="s">
        <v>188</v>
      </c>
      <c r="CL7" s="14" t="s">
        <v>189</v>
      </c>
      <c r="CM7" s="13" t="s">
        <v>190</v>
      </c>
      <c r="CN7" s="13" t="s">
        <v>191</v>
      </c>
      <c r="CO7" s="13" t="s">
        <v>192</v>
      </c>
      <c r="CP7" s="13" t="s">
        <v>193</v>
      </c>
    </row>
    <row r="8" spans="1:94" ht="14.25" customHeight="1" x14ac:dyDescent="0.3">
      <c r="A8" s="5" t="s">
        <v>213</v>
      </c>
      <c r="B8" s="5">
        <v>11</v>
      </c>
      <c r="C8" s="16">
        <v>6</v>
      </c>
      <c r="D8" s="9">
        <v>10</v>
      </c>
      <c r="E8" s="9">
        <v>4</v>
      </c>
      <c r="F8" s="5">
        <v>10</v>
      </c>
      <c r="G8" s="17">
        <v>1.247177188019948</v>
      </c>
      <c r="H8" s="5">
        <v>17</v>
      </c>
      <c r="I8" s="11" t="str">
        <f t="shared" ref="I8:I27" si="0">IF(G8&gt;0,IF(F8&lt;TRUNC(H8/2),"0",IF(F8=TRUNC(H8/2),"-1","1")),IF(F8&gt;TRUNC(H8/2),"0",IF(F8=TRUNC(H8/2),"-1","1")))</f>
        <v>1</v>
      </c>
      <c r="J8" s="3" t="str">
        <f t="shared" ref="J8:J27" si="1">IF(G8&gt;0,IF(F8&lt;TRUNC(H8/2)-2,"0",IF(F8=TRUNC(H8/2)-2,"-1","1")),IF(F8&gt;TRUNC(H8/2)+2,"0",IF(F8=TRUNC(H8/2)+2,"-1","1")))</f>
        <v>1</v>
      </c>
      <c r="K8" s="3" t="str">
        <f t="shared" ref="K8:K27" si="2">IF(G8&gt;0,
    IF(OR(B8&lt;=H8/2, B8=0),
        IF(F8=H8/2, "-1",
            IF(F8&lt;H8/2, "0", "1")
        ),
        IF(F8=H8/2, "-1",
            IF(F8&lt;H8/2, "0", "1")
        )
    ),
    IF(OR(B8&lt;=H8/2, B8=0),
        IF(F8=H8/2, "-1",
            IF(F8&lt;H8/2, "0", "1")
        ),
        IF(F8=H8/2, "-1",
            IF(F8&lt;H8/2, "0", "1")
        )
    )
)</f>
        <v>1</v>
      </c>
      <c r="M8" s="3" t="str">
        <f t="shared" ref="M8:M27" si="3">IF(G8&gt;0,
    IF(OR(B8&lt;=TRUNC(H8/2,0), B8=0),
        IF(F8=TRUNC(H8/2,0),
            "-1",
            IF(F8&lt;TRUNC(H8/2,0),
                "0",
                "1"
            )
        ),
        IF(F8=TRUNC(H8/2,0),
            "-1",
            IF(F8&lt;TRUNC(H8/2,0),
                "0",
                "1"
            )
        )
    ),
    IF(OR(B8&lt;=TRUNC(H8/2,0), B8=0),
        IF(F8=TRUNC(H8/2,0),
            "-1",
            IF(F8&lt;TRUNC(H8/2,0),
                "0",
                "1"
            )
        ),
        IF(F8=TRUNC(H8/2,0),
            "-1",
            IF(F8&lt;TRUNC(H8/2,0),
                "0",
                "1"
            )
        )
    )
)</f>
        <v>1</v>
      </c>
      <c r="N8" s="3" t="str">
        <f t="shared" ref="N8:N27" si="4">IF(G8&gt;0,
    IF(OR(B8&lt;=TRUNC(H8/2,0), B8=0),
        IF(F8&gt;=TRUNC(H8/2,0),
            "1, Había quiebre y supere quiebre",
            IF(F8&lt;TRUNC(H8/2,0),
                "0, Había quiebre y no supere quiebre",
                "")),
        IF(F8&gt;=TRUNC(H8/2,0),
            "1, no había quiebre, pero resultado fue bueno",
            IF(F8&lt;TRUNC(H8/2,0),
                "0, no había quiebre y la deje más llena",
                ""))
    ),
    IF(OR(B8&gt;TRUNC(H8/2,0), B8&gt;0),
        IF(F8&gt;=TRUNC(H8/2,0),
            "1, Había quiebre y supere quiebre",
            IF(F8&lt;TRUNC(H8/2,0),
                "0, Había quiebre y no supere quiebre",
                "")),
        IF(OR(B8&lt;=TRUNC(H8/2,0), B8=0),
            IF(F8&gt;=TRUNC(H8/2,0),
                "1, no había quiebre, pero resultado fue bueno",
                IF(F8&lt;TRUNC(H8/2,0),
                    "0, no había quiebre y la deje más llena",
                    "")),
        IF(OR(B8&gt;TRUNC(H8/2,0), B8&gt;0),
            IF(F8&gt;=TRUNC(H8/2,0),
                "1, Había quiebre y supere quiebre",
                IF(F8&lt;TRUNC(H8/2,0),
                    "0, Había quiebre y no supere quiebre",
                    ""))
    )
)
))</f>
        <v>1, no había quiebre, pero resultado fue bueno</v>
      </c>
      <c r="O8" s="3" t="str">
        <f t="shared" ref="O8:O27" si="5">IF(G8&gt;0,
    IF(OR(B8&lt;=TRUNC(H8/2,0), B8=0),
        IF(F8&gt;=TRUNC(H8/2,0),
            "1, Había quiebre y supere quiebre",
            IF(F8&lt;TRUNC(H8/2,0),
                "0, Había quiebre y no supere quiebre",
                "")),
        IF(F8&gt;=TRUNC(H8/2,0),
            "1, no había quiebre, pero resultado fue bueno",
            IF(F8&lt;TRUNC(H8/2,0),
                "0, no había quiebre y la deje con quiebre",
                ""))
    ),
    IF(G8&lt;0,
        IF(OR(B8&gt;TRUNC(H8/2,0), B8&gt;0),
            IF(F8&gt;=TRUNC(H8/2,0),
                "1, Había quiebre y no supere quiebre",
                IF(F8&lt;TRUNC(H8/2,0),
                    "0, Había quiebre y supere quiebre",
                    "")),
            IF(OR(B8&lt;=TRUNC(H8/2,0), B8=0),
                IF(F8&gt;=TRUNC(H8/2,0),
                    "1, no había quiebre,y la deje más llena",
                    IF(F8&lt;TRUNC(H8/2,0),
                        "0, no había quiebre, pero el resultado fue bueno",
                        ""))
        )
    )
)
)</f>
        <v>1, no había quiebre, pero resultado fue bueno</v>
      </c>
      <c r="P8" s="3" t="str">
        <f t="shared" ref="P8:P27" si="6">IF(G8&gt;0,
    IF(OR(B8&lt;=TRUNC(H8/2,0), B8=0),
        IF(F8&gt;TRUNC(H8/2,0),
            "1, Había quiebre y supere quiebre",
            IF(F8&lt;TRUNC(H8/2,0),
                "0, Había quiebre y no supere quiebre",
                "CM")),
        IF(F8&gt;TRUNC(H8/2,0),
            "1, no había quiebre, pero resultado fue bueno",
            IF(F8&lt;TRUNC(H8/2,0),
                "0, no había quiebre y la deje con quiebre",
                "CM"))
    ),
    IF(G8&lt;0,
        IF(OR(B8&gt;TRUNC(H8/2,0), B8&gt;0),
            IF(AND(F8&gt;TRUNC(H8/2,0),F8&lt;B8),
                "0, Había quiebre y no supere quiebre",
                IF(AND(F8&lt;TRUNC(H8/2,0),F8&lt;B8),
                    "1, Había quiebre y supere quiebre",
                    "Habia quiebre y deja la CM")),
            IF(OR(B8&lt;=TRUNC(H8/2,0), B8=0),
                IF(F8&gt;TRUNC(H8/2,0),
                    "0, no había quiebre,y la deje más llena",
                    IF(F8&lt;TRUNC(H8/2,0),
                        "1, no había quiebre, pero el resultado fue bueno",
                        "CM"))
        )
    )
)
)</f>
        <v>1, no había quiebre, pero resultado fue bueno</v>
      </c>
      <c r="Q8" s="3" t="s">
        <v>213</v>
      </c>
      <c r="R8" s="3">
        <v>2</v>
      </c>
      <c r="S8" s="18">
        <v>3.3333333333333335</v>
      </c>
      <c r="T8" s="18">
        <v>3</v>
      </c>
      <c r="U8" s="18">
        <v>3</v>
      </c>
      <c r="V8" s="3">
        <v>8</v>
      </c>
      <c r="W8" s="13">
        <v>1.247177188019948</v>
      </c>
      <c r="X8" s="13">
        <v>17</v>
      </c>
      <c r="Y8" s="11" t="str">
        <f t="shared" ref="Y8:Y27" si="7">IF(W8&gt;0,IF(V8&lt;TRUNC(X8/2),"0",IF(V8=TRUNC(X8/2),"-1","1")),IF(V8&gt;TRUNC(X8/2),"0",IF(V8=TRUNC(X8/2),"-1","1")))</f>
        <v>-1</v>
      </c>
      <c r="Z8" s="3" t="str">
        <f t="shared" ref="Z8:Z17" si="8">IF(W8&gt;0,
    IF(OR(R8&lt;=TRUNC(X8/2,0), R8=0),
        IF(AND(V8&gt;TRUNC(X8/2,0), V8&gt;R8),
            "1, Había quiebre y supere quiebre",
            IF(AND(V8&lt;TRUNC(X8/2,0), V8&lt;R8),
                "0, Había quiebre y no supere quiebre",
                "-1, había quiebre y deje CM")
        ),
        IF(AND(V8&gt;TRUNC(X8/2,0), V8&gt;R8),
            "1, no había quiebre, pero resultado fue mejor",
            IF(AND(V8&lt;TRUNC(X8/2,0), V8&lt;R8),
                "0, no había quiebre y la deje con quiebre",
                "-1, no había quiebre y deje CM")
        )
    ),
    IF(W8&lt;0,
        IF(R8&gt;TRUNC(X8/2,0),
            IF(AND(V8&gt;TRUNC(X8/2,0), V8&lt;R8),
                "0, Había quiebre y no supere quiebre",
                IF(AND(V8&lt;TRUNC(X8/2,0), V8&lt;R8),
                    "1, Había quiebre y supere quiebre",
                    "-1, había quiebre y deje CM"
                )
            ),
            IF(AND(R8&lt;=TRUNC(X8/2,0), R8&gt;0),
                IF(AND(V8&gt;TRUNC(X8/2,0), V8&gt;R8),
                    "0, no había quiebre, y la dejé más llena",
                    IF(OR(V8&lt;TRUNC(X8/2,0), V8&lt;R8),
                        "1, no había quiebre, pero el resultado fue mejor",
                        "-1, no había quiebre y deje CM"
                    )
                )
            )
        )
    )
)</f>
        <v>-1, había quiebre y deje CM</v>
      </c>
      <c r="AA8" s="3" t="s">
        <v>214</v>
      </c>
      <c r="AB8" s="3" t="s">
        <v>214</v>
      </c>
      <c r="AC8" s="3" t="str">
        <f>IF(W8&gt;0,
    IF(OR(R8&lt;=TRUNC(X8/2,0), R8=0),
        IF(AND(V8&gt;TRUNC(X8/2,0), V8&gt;R8),
            "1, Había quiebre y supere quiebre",
            IF(AND(V8&lt;TRUNC(X8/2,0), V8&lt;R8),
                "0, Había quiebre y no supere quiebre",
                "-1, había quiebre y deje CM")
        ),
        IF(AND(V8&gt;TRUNC(X8/2,0), V8&gt;R8),
            "1, no había quiebre, pero resultado fue mejor",
            IF(AND(V8&lt;TRUNC(X8/2,0), V8&lt;R8),
                "0, no había quiebre y la deje con quiebre",
                "-1, no había quiebre y deje CM")
        )
    ),
    IF(W8&lt;0,
        IF(R8&gt;TRUNC(X8/2,0),
            IF(AND(V8&gt;TRUNC(X8/2,0), V8&lt;R8),
                "0, Había quiebre y no supere quiebre",
                IF(AND(V8&lt;TRUNC(X8/2,0), V8&lt;R8),
                    "1, Había quiebre y supere quiebre",
                    "-1, había quiebre y deje CM"
                )
            ),
            IF(AND(R8&lt;=TRUNC(X8/2,0), R8&gt;0),
                IF(AND(V8&gt;TRUNC(X8/2,0), V8&gt;R8),
                    "0, no había quiebre, y la dejé más llena",
                    IF(AND(V8&lt;TRUNC(X8/2,0), V8&lt;R8),
                        "2, no había quiebre y el resultado fue mejor",
                        "-1, no había quiebre y deje CM"
                    )
                ),
                IF(V8=TRUNC(X8/2,0),
                    "-1, no había quiebre y deje la capacidad media",
                    "CM"
                )
            )
        )
    )
)</f>
        <v>-1, había quiebre y deje CM</v>
      </c>
      <c r="AD8" s="3" t="str">
        <f t="shared" ref="AD8:AD27" si="9">IF(W8&gt;0,
    IF(OR(R8&lt;=TRUNC(X8/2,0), R8=0),
        IF(AND(V8&gt;TRUNC(X8/2,0), V8&gt;R8),
            "1, Había quiebre y supere quiebre",
            IF(AND(V8&lt;TRUNC(X8/2,0), V8&lt;R8),
                "0, Había quiebre y no supere quiebre",
                "-1, había quiebre y deje CM")
        ),
        IF(AND(V8&gt;TRUNC(X8/2,0), V8&gt;R8),
            "1, no había quiebre, pero resultado fue mejor",
            IF(AND(V8&lt;TRUNC(X8/2,0), V8&lt;R8),
                "0, no había quiebre y la deje con quiebre",
                "-1, no había quiebre y deje CM")
        )
    ),
    IF(W8&lt;0,
        IF(R8&gt;TRUNC(X8/2,0),
            IF(AND(V8&gt;TRUNC(X8/2,0), V8&lt;R8),
                "0, Había quiebre y no supere quiebre",
                IF(AND(V8&lt;TRUNC(X8/2,0), V8&lt;R8),
                    "1, Había quiebre y supere quiebre",
                    "-1, había quiebre y deje CM"
                )
            ),
            IF(AND(R8&lt;=TRUNC(X8/2,0), R8&gt;0),
                IF(AND(V8&gt;TRUNC(X8/2,0), V8&gt;R8),
                    "0, no había quiebre, y la dejé más llena",
                    IF(AND(V8&lt;TRUNC(X8/2,0), V8&lt;R8),
                        "1, no había quiebre, pero el resultado fue mejor",
                        "-1, no había quiebre y deje CM"
                    )
                ),
                IF(V8=TRUNC(X8/2,0),
                    "-1, no había quiebre y deje la capacidad media",
                    "-1, no había quiebre y deje CM"
                )
            )
        )
    )
)</f>
        <v>-1, había quiebre y deje CM</v>
      </c>
      <c r="AE8" s="3" t="str">
        <f t="shared" ref="AE8:AE27" si="10">IF(W8&gt;0,
    IF(OR(R8&lt;=TRUNC(X8/2,0), R8=0),
        IF(AND(V8&gt;TRUNC(X8/2,0), V8&gt;R8),
            "1, Había quiebre y supere quiebre",
            IF(AND(V8&lt;TRUNC(X8/2,0), V8&lt;R8),
                "0, Había quiebre y no supere quiebre",
                "-1, había quiebre y deje CM")
        ),
        IF(AND(V8&gt;TRUNC(X8/2,0), V8&gt;R8),
            "1, no había quiebre, pero resultado fue mejor",
            IF(AND(V8&lt;TRUNC(X8/2,0), V8&lt;R8),
                "0, no había quiebre y la deje con quiebre",
                "-1, no había quiebre y deje CM")
        )
    ),
    IF(W8&lt;0,
        IF(R8&gt;TRUNC(X8/2,0),
            IF(AND(V8&gt;TRUNC(X8/2,0), V8&lt;R8),
                "0, Había quiebre y no supere quiebre",
                IF(AND(V8&lt;TRUNC(X8/2,0), V8&lt;R8),
                    "1, Había quiebre y supere quiebre",
                    "-1, había quiebre y deje CM"
                )
            ),
            IF(AND(R8&lt;=TRUNC(X8/2,0), R8&gt;0),
                IF(V8=TRUNC(X8/2,0),
                    "-1, no había quiebre y deje la capacidad media",
                    IF(AND(V8&gt;TRUNC(X8/2,0), V8&gt;R8),
                        "0, no había quiebre, y la dejé más llena",
                        IF(AND(V8&lt;TRUNC(X8/2,0), V8&lt;R8),
                            "1, no había quiebre, pero el resultado fue mejor",
                            "-2, no había quiebre y resultado fue bueno"
                        )
                    )
                )
            )
        )
    )
)</f>
        <v>-1, había quiebre y deje CM</v>
      </c>
      <c r="AF8" s="3" t="str">
        <f>IF(W8&gt;0,
    IF(OR(R8&lt;=TRUNC(X8/2,0), R8=0),
        IF(V8=TRUNC(X8/2,0),
            "-1, había quiebre y deje la capacidad media",
            IF(AND(V8&gt;TRUNC(X8/2,0), V8&gt;R8),
                "1, Había quiebre y supere quiebre",
                IF(AND(V8&lt;TRUNC(X8/2,0), V8&lt;R8),
                    "0, Había quiebre y no supere quiebre",
                    "-2,había quiebre y resultado fue bueno")
            )
        ),
        IF(AND(V8&gt;TRUNC(X8/2,0), V8&gt;R8),
            "1, no había quiebre, pero resultado fue mejor",
            IF(AND(V8&lt;TRUNC(X8/2,0), V8&lt;R8),
                "0, no había quiebre y la deje con quiebre",
                "-1, no había quiebre y deje CM")
        )
    ),
    IF(W8&lt;0,
        IF(R8&gt;TRUNC(X8/2,0),
            IF(V8=TRUNC(X8/2,0),
                "-1, no había quiebre y deje la capacidad media",
                IF(AND(V8&gt;TRUNC(X8/2,0), V8&lt;R8),
                    "0, Había quiebre y no supere quiebre",
                    IF(AND(V8&lt;TRUNC(X8/2,0), V8&lt;R8),
                        "1, Había quiebre y supere quiebre",
                        "-1, había quiebre y deje CM"
                    )
                )
            ),
            IF(AND(R8&lt;=TRUNC(X8/2,0), R8&gt;0),
                IF(V8=TRUNC(X8/2,0),
                    "-1, no había quiebre y deje la capacidad media",
                    IF(AND(V8&gt;TRUNC(X8/2,0), V8&gt;R8),
                        "0, no había quiebre, y la dejé más llena",
                        IF(AND(V8&lt;TRUNC(X8/2,0), V8&lt;R8),
                            "1, no había quiebre, pero el resultado fue mejor",
                            "-2, no había quiebre y resultado fue bueno"
                        )
                    )
                )
            )
        )
    )
)</f>
        <v>-1, había quiebre y deje la capacidad media</v>
      </c>
      <c r="AG8" s="3" t="str">
        <f t="shared" ref="AG8:AG27" si="11">IF(W8&gt;0,
    IF(OR(R8&lt;=TRUNC(X8/2,0), R8=0),
        IF(V8=TRUNC(X8/2,0),
            "-1, había quiebre y deje la capacidad media",
            IF(AND(V8&gt;TRUNC(X8/2,0), V8&gt;R8),
                "1, Había quiebre y supere quiebre",
                IF(AND(V8&lt;TRUNC(X8/2,0), V8&lt;R8),
                    "0, Había quiebre y no supere quiebre",
                    "-2,había quiebre y resultado fue bueno")
            )
        ),
        IF(OR(R8&gt;TRUNC(X8/2,0), R8&gt;0),
            IF(AND(V8&gt;TRUNC(X8/2,0), V8&gt;R8),
                "1, no había quiebre, pero resultado fue mejor",
                IF(AND(V8&lt;TRUNC(X8/2,0), V8&lt;R8),
                    "0, no había quiebre y la deje con quiebre",
                    "-1, no había quiebre y deje CM")
        )
    )
),
IF(W8&lt;0,
    IF(R8&gt;TRUNC(X8/2,0),
        IF(V8=TRUNC(X8/2,0),
            "-1, no había quiebre y deje la capacidad media",
            IF(AND(V8&gt;TRUNC(X8/2,0), V8&lt;R8),
                "0, Había quiebre y no supere quiebre",
                IF(AND(V8&lt;TRUNC(X8/2,0), V8&lt;R8),
                    "1, Había quiebre y supere quiebre",
                    "-1, había quiebre y deje CM"
                )
            )
        ),
        IF(AND(R8&lt;=TRUNC(X8/2,0), R8&gt;0),
            IF(V8=TRUNC(X8/2,0),
                "-1, no había quiebre y deje la capacidad media",
                IF(AND(V8&gt;TRUNC(X8/2,0), V8&gt;R8),
                    "0, no había quiebre, y la dejé más llena",
                    IF(AND(V8&lt;TRUNC(X8/2,0), V8&lt;R8),
                        "1, no había quiebre, pero el resultado fue mejor",
                        "-2, no había quiebre y resultado fue bueno"
                    )
                )
            )
        )
    )
)
)</f>
        <v>-1, había quiebre y deje la capacidad media</v>
      </c>
      <c r="AH8" s="3" t="str">
        <f t="shared" ref="AH8:AH27" si="12">IF(W8&gt;0,
    IF(OR(R8&lt;=TRUNC(X8/2,0), R8=0),
        IF(V8=TRUNC(X8/2,0),
            "-1, había quiebre y deje la capacidad media",
            IF(AND(V8&gt;TRUNC(X8/2,0), V8&gt;R8),
                "1, Había quiebre y supere quiebre",
                IF(AND(V8&lt;TRUNC(X8/2,0), V8&lt;R8),
                    "0, Había quiebre y no supere quiebre",
                    "-2,había quiebre y resultado fue bueno")
            )
        ),
        IF(AND(V8&gt;TRUNC(X8/2,0), V8&gt;R8),
            "1, no había quiebre, pero resultado fue mejor",
            IF(AND(V8&lt;TRUNC(X8/2,0), V8&lt;R8),
                "0, no había quiebre y la deje con quiebre",
                IF(V8=TRUNC(X8/2,0),
                    "-1, no había quiebre y deje la capacidad media",
                    "-2,no había quiebre y resultado fue bueno")
            )
        )
    ),
    IF(W8&lt;0,
        IF(R8&gt;TRUNC(X8/2,0),
            IF(V8=TRUNC(X8/2,0),
                "-1, no había quiebre y deje la capacidad media",
                IF(AND(V8&gt;TRUNC(X8/2,0), V8&gt;=R8),
                    "0, Había quiebre y no supere quiebre",
                    IF(AND(V8&lt;TRUNC(X8/2,0), V8&lt;R8),
                        "1, Había quiebre y supere quiebre",
                        "-2,había quiebre y resultado fue bueno"
                    )
                )
            ),
            IF(AND(R8&lt;=TRUNC(X8/2,0), R8&gt;0),
                IF(V8=TRUNC(X8/2,0),
                    "-1, no había quiebre y deje la capacidad media",
                    IF(AND(V8&gt;TRUNC(X8/2,0), V8&gt;=R8),
                        "0, no había quiebre, y la dejé más llena",
                        IF(AND(V8&lt;TRUNC(X8/2,0), V8&lt;R8),
                            "1, no había quiebre, pero el resultado fue mejor",
                            "-2, no había quiebre y resultado fue bueno"
                        )
                    )
                )
            )
        )
    )
)</f>
        <v>-1, había quiebre y deje la capacidad media</v>
      </c>
      <c r="AI8" s="3">
        <f t="shared" ref="AI8:AI27" si="13">IF(AF8=AG8,1,0)</f>
        <v>1</v>
      </c>
      <c r="AJ8" s="3" t="s">
        <v>213</v>
      </c>
      <c r="AK8" s="3">
        <v>4</v>
      </c>
      <c r="AL8" s="18">
        <v>3.1111111111111112</v>
      </c>
      <c r="AM8" s="3">
        <v>4</v>
      </c>
      <c r="AN8" s="3">
        <v>4</v>
      </c>
      <c r="AO8" s="3">
        <v>8</v>
      </c>
      <c r="AP8" s="13">
        <v>1.247177188019948</v>
      </c>
      <c r="AQ8" s="13">
        <v>17</v>
      </c>
      <c r="AR8" s="11" t="str">
        <f t="shared" ref="AR8:AR27" si="14">IF(AP8&gt;0,IF(AO8&lt;TRUNC(AQ8/2),"0",IF(AO8=TRUNC(AQ8/2),"-1","1")),IF(AO8&gt;TRUNC(AQ8/2),"0",IF(AO8=TRUNC(AQ8/2),"-1","1")))</f>
        <v>-1</v>
      </c>
      <c r="AS8" s="3" t="str">
        <f t="shared" ref="AS8:AS27" si="15">IF(AP8&gt;0,
    IF(OR(AK8&lt;=TRUNC(AQ8/2,0), AK8=0),
        IF(AO8=TRUNC(AQ8/2,0),
            "-1, había quiebre y deje la capacidad media",
            IF(AND(AO8&gt;TRUNC(AQ8/2,0), AO8&gt;AK8),
                "1, Había quiebre y supere quiebre",
                IF(AND(AO8&lt;TRUNC(AQ8/2,0), AO8&lt;AK8),
                    "0, Había quiebre y no supere quiebre",
                    "-2,había quiebre y resultado fue bueno")
            )
        ),
        IF(AND(AO8&gt;TRUNC(AQ8/2,0), AO8&gt;AK8),
            "1, no había quiebre, pero resultado fue mejor",
            IF(AND(AO8&lt;TRUNC(AQ8/2,0), AO8&lt;AK8),
                "0, no había quiebre y la deje con quiebre",
                IF(AO8=TRUNC(AQ8/2,0),
                    "-1, no había quiebre y deje la capacidad media",
                    "-2,no había quiebre y resultado fue bueno")
            )
        )
    ),
    IF(AP8&lt;0,
        IF(AK8&gt;TRUNC(AQ8/2,0),
            IF(AO8=TRUNC(AQ8/2,0),
                "-1,había quiebre y deje la capacidad media",
                IF(AND(AO8&gt;TRUNC(AQ8/2,0), AO8&gt;=AK8),
                    "0, Había quiebre y no supere quiebre",
                    IF(AND(AO8&lt;TRUNC(AQ8/2,0), AO8&lt;AK8),
                        "1, Había quiebre y supere quiebre",
                        "-2,había quiebre y resultado fue bueno"
                    )
                )
            ),
            IF(AND(AK8&lt;=TRUNC(AQ8/2,0), AK8&gt;0),
                IF(AO8=TRUNC(AQ8/2,0),
                    "-1, no había quiebre y deje la capacidad media",
                    IF(AND(AO8&gt;TRUNC(AQ8/2,0), AO8&gt;=AK8),
                        "0, no había quiebre, y la dejé más llena",
                        IF(AND(AO8&lt;TRUNC(AQ8/2,0), AO8&lt;AK8),
                            "1, no había quiebre, pero el resultado fue mejor",
                            "-2, no había quiebre y resultado fue bueno"
                        )
                    )
                )
            )
        )
    )
)</f>
        <v>-1, había quiebre y deje la capacidad media</v>
      </c>
      <c r="AT8" s="6" t="s">
        <v>306</v>
      </c>
      <c r="AU8" s="9" t="s">
        <v>213</v>
      </c>
      <c r="AV8" s="9">
        <v>8</v>
      </c>
      <c r="AW8" s="16">
        <v>7</v>
      </c>
      <c r="AX8" s="9">
        <v>5</v>
      </c>
      <c r="AY8" s="16">
        <v>5</v>
      </c>
      <c r="AZ8" s="9">
        <v>8</v>
      </c>
      <c r="BA8" s="19">
        <v>1.247177188019948</v>
      </c>
      <c r="BB8" s="5">
        <v>17</v>
      </c>
      <c r="BC8" s="3" t="str">
        <f t="shared" ref="BC8:BC27" si="16">IF(BA8&gt;0,IF(AZ8&lt;TRUNC(BB8/2),"0",IF(AZ8=TRUNC(BB8/2),"-1","1")),IF(AZ8&gt;TRUNC(BB8/2),"0",IF(AZ8=TRUNC(BB8/2),"-1","1")))</f>
        <v>-1</v>
      </c>
      <c r="BE8" s="3" t="s">
        <v>213</v>
      </c>
      <c r="BF8" s="3">
        <v>4</v>
      </c>
      <c r="BG8" s="18">
        <v>5.666666666666667</v>
      </c>
      <c r="BH8" s="3">
        <v>1</v>
      </c>
      <c r="BI8" s="3">
        <v>1</v>
      </c>
      <c r="BJ8" s="3">
        <v>8</v>
      </c>
      <c r="BK8" s="13">
        <v>1.247177188019948</v>
      </c>
      <c r="BL8" s="13">
        <v>17</v>
      </c>
      <c r="BO8" s="3" t="s">
        <v>213</v>
      </c>
      <c r="BP8" s="3">
        <v>4</v>
      </c>
      <c r="BQ8" s="18">
        <v>3.6666666666666665</v>
      </c>
      <c r="BR8" s="3">
        <v>1</v>
      </c>
      <c r="BS8" s="3">
        <v>1</v>
      </c>
      <c r="BT8" s="3">
        <v>8</v>
      </c>
      <c r="BU8" s="13">
        <v>1.247177188019948</v>
      </c>
      <c r="BV8" s="13">
        <v>17</v>
      </c>
      <c r="BY8" s="3" t="s">
        <v>213</v>
      </c>
      <c r="BZ8" s="3">
        <v>4</v>
      </c>
      <c r="CA8" s="18">
        <v>6.666666666666667</v>
      </c>
      <c r="CB8" s="3">
        <v>0</v>
      </c>
      <c r="CC8" s="3">
        <v>1</v>
      </c>
      <c r="CD8" s="3">
        <v>8</v>
      </c>
      <c r="CE8" s="13">
        <v>1.247177188019948</v>
      </c>
      <c r="CF8" s="13">
        <v>17</v>
      </c>
      <c r="CI8" s="3" t="s">
        <v>213</v>
      </c>
      <c r="CJ8" s="3">
        <v>6</v>
      </c>
      <c r="CK8" s="18">
        <v>6</v>
      </c>
      <c r="CL8" s="3">
        <v>6</v>
      </c>
      <c r="CM8" s="3">
        <v>6</v>
      </c>
      <c r="CN8" s="3">
        <v>8</v>
      </c>
      <c r="CO8" s="13">
        <v>1.247177188019948</v>
      </c>
      <c r="CP8" s="13">
        <v>17</v>
      </c>
    </row>
    <row r="9" spans="1:94" ht="14.25" customHeight="1" x14ac:dyDescent="0.3">
      <c r="A9" s="5" t="s">
        <v>215</v>
      </c>
      <c r="B9" s="5">
        <v>4</v>
      </c>
      <c r="C9" s="16">
        <v>4.1111111111111107</v>
      </c>
      <c r="D9" s="9">
        <v>4</v>
      </c>
      <c r="E9" s="9">
        <v>5</v>
      </c>
      <c r="F9" s="5">
        <v>7</v>
      </c>
      <c r="G9" s="17">
        <v>1.1425292918330761</v>
      </c>
      <c r="H9" s="5">
        <v>15</v>
      </c>
      <c r="I9" s="11" t="str">
        <f t="shared" si="0"/>
        <v>-1</v>
      </c>
      <c r="J9" s="3" t="str">
        <f t="shared" si="1"/>
        <v>1</v>
      </c>
      <c r="K9" s="3" t="str">
        <f t="shared" si="2"/>
        <v>0</v>
      </c>
      <c r="M9" s="3" t="str">
        <f t="shared" si="3"/>
        <v>-1</v>
      </c>
      <c r="N9" s="3" t="str">
        <f t="shared" si="4"/>
        <v>1, Había quiebre y supere quiebre</v>
      </c>
      <c r="O9" s="3" t="str">
        <f t="shared" si="5"/>
        <v>1, Había quiebre y supere quiebre</v>
      </c>
      <c r="P9" s="3" t="str">
        <f t="shared" si="6"/>
        <v>CM</v>
      </c>
      <c r="Q9" s="3" t="s">
        <v>215</v>
      </c>
      <c r="R9" s="3">
        <v>5</v>
      </c>
      <c r="S9" s="18">
        <v>5.5555555555555554</v>
      </c>
      <c r="T9" s="18">
        <v>5</v>
      </c>
      <c r="U9" s="18">
        <v>5</v>
      </c>
      <c r="V9" s="3">
        <v>7</v>
      </c>
      <c r="W9" s="13">
        <v>1.1425292918330761</v>
      </c>
      <c r="X9" s="13">
        <v>15</v>
      </c>
      <c r="Y9" s="11" t="str">
        <f t="shared" si="7"/>
        <v>-1</v>
      </c>
      <c r="Z9" s="3" t="str">
        <f t="shared" si="8"/>
        <v>-1, había quiebre y deje CM</v>
      </c>
      <c r="AA9" s="3" t="s">
        <v>214</v>
      </c>
      <c r="AB9" s="3" t="s">
        <v>214</v>
      </c>
      <c r="AC9" s="3" t="str">
        <f t="shared" ref="AC9:AC27" si="17">IF(W9&gt;0,
    IF(OR(R9&lt;=TRUNC(X9/2,0), R9=0),
        IF(AND(V9&gt;TRUNC(X9/2,0), V9&gt;R9),
            "1, Había quiebre y supere quiebre",
            IF(AND(V9&lt;TRUNC(X9/2,0), V9&lt;R9),
                "0, Había quiebre y no supere quiebre",
                "-1, había quiebre y deje CM")
        ),
        IF(AND(V9&gt;TRUNC(X9/2,0), V9&gt;R9),
            "1, no había quiebre, pero resultado fue mejor",
            IF(AND(V9&lt;TRUNC(X9/2,0), V9&lt;R9),
                "0, no había quiebre y la deje con quiebre",
                "-1, no había quiebre y deje CM")
        )
    ),
    IF(W9&lt;0,
        IF(R9&gt;TRUNC(X9/2,0),
            IF(AND(V9&gt;TRUNC(X9/2,0), V9&lt;R9),
                "0, Había quiebre y no supere quiebre",
                IF(AND(V9&lt;TRUNC(X9/2,0), V9&lt;R9),
                    "1, Había quiebre y supere quiebre",
                    "-1, había quiebre y deje CM"
                )
            ),
            IF(AND(R9&lt;=TRUNC(X9/2,0), R9&gt;0),
                IF(AND(V9&gt;TRUNC(X9/2,0), V9&gt;R9),
                    "0, no había quiebre, y la dejé más llena",
                    IF(OR(V9&lt;TRUNC(X9/2,0), V9&lt;R9),
                        "2, no había quiebre y el resultado fue mejor",
                        "-1, no había quiebre y deje CM"
                    )
                ),
                IF(V9=TRUNC(X9/2,0),
                    "-1, no había quiebre y deje la capacidad media",
                    "CM"
                )
            )
        )
    )
)</f>
        <v>-1, había quiebre y deje CM</v>
      </c>
      <c r="AD9" s="3" t="str">
        <f t="shared" si="9"/>
        <v>-1, había quiebre y deje CM</v>
      </c>
      <c r="AE9" s="3" t="str">
        <f t="shared" si="10"/>
        <v>-1, había quiebre y deje CM</v>
      </c>
      <c r="AF9" s="3" t="str">
        <f t="shared" ref="AF9:AF27" si="18">IF(W9&gt;0,
    IF(OR(R9&lt;=TRUNC(X9/2,0), R9=0),
        IF(V9=TRUNC(X9/2,0),
            "-1, había quiebre y deje la capacidad media",
            IF(AND(V9&gt;TRUNC(X9/2,0), V9&gt;R9),
                "1, Había quiebre y supere quiebre",
                IF(AND(V9&lt;TRUNC(X9/2,0), V9&lt;R9),
                    "0, Había quiebre y no supere quiebre",
                    "-1, había quiebre y deje CM")
            )
        ),
        IF(AND(V9&gt;TRUNC(X9/2,0), V9&gt;R9),
            "1, no había quiebre, pero resultado fue mejor",
            IF(AND(V9&lt;TRUNC(X9/2,0), V9&lt;R9),
                "0, no había quiebre y la deje con quiebre",
                "-1, no había quiebre y deje CM")
        )
    ),
    IF(W9&lt;0,
        IF(R9&gt;TRUNC(X9/2,0),
            IF(V9=TRUNC(X9/2,0),
                "-1, no había quiebre y deje la capacidad media",
                IF(AND(V9&gt;TRUNC(X9/2,0), V9&lt;R9),
                    "0, Había quiebre y no supere quiebre",
                    IF(AND(V9&lt;TRUNC(X9/2,0), V9&lt;R9),
                        "1, Había quiebre y supere quiebre",
                        "-1, había quiebre y deje CM"
                    )
                )
            ),
            IF(AND(R9&lt;=TRUNC(X9/2,0), R9&gt;0),
                IF(V9=TRUNC(X9/2,0),
                    "-1, no había quiebre y deje la capacidad media",
                    IF(AND(V9&gt;TRUNC(X9/2,0), V9&gt;R9),
                        "0, no había quiebre, y la dejé más llena",
                        IF(AND(V9&lt;TRUNC(X9/2,0), V9&lt;R9),
                            "1, no había quiebre, pero el resultado fue mejor",
                            "-2, no había quiebre y resultado fue bueno"
                        )
                    )
                )
            )
        )
    )
)</f>
        <v>-1, había quiebre y deje la capacidad media</v>
      </c>
      <c r="AG9" s="3" t="str">
        <f t="shared" si="11"/>
        <v>-1, había quiebre y deje la capacidad media</v>
      </c>
      <c r="AH9" s="3" t="str">
        <f t="shared" si="12"/>
        <v>-1, había quiebre y deje la capacidad media</v>
      </c>
      <c r="AI9" s="3">
        <f t="shared" si="13"/>
        <v>1</v>
      </c>
      <c r="AJ9" s="3" t="s">
        <v>215</v>
      </c>
      <c r="AK9" s="3">
        <v>5</v>
      </c>
      <c r="AL9" s="18">
        <v>4.666666666666667</v>
      </c>
      <c r="AM9" s="3">
        <v>5</v>
      </c>
      <c r="AN9" s="3">
        <v>5</v>
      </c>
      <c r="AO9" s="3">
        <v>10</v>
      </c>
      <c r="AP9" s="13">
        <v>1.1425292918330761</v>
      </c>
      <c r="AQ9" s="13">
        <v>15</v>
      </c>
      <c r="AR9" s="11" t="str">
        <f t="shared" si="14"/>
        <v>1</v>
      </c>
      <c r="AS9" s="3" t="str">
        <f t="shared" si="15"/>
        <v>1, Había quiebre y supere quiebre</v>
      </c>
      <c r="AT9" s="6" t="s">
        <v>228</v>
      </c>
      <c r="AU9" s="9" t="s">
        <v>215</v>
      </c>
      <c r="AV9" s="9">
        <v>6</v>
      </c>
      <c r="AW9" s="16">
        <v>6.1111111111111107</v>
      </c>
      <c r="AX9" s="9">
        <v>3</v>
      </c>
      <c r="AY9" s="16">
        <v>3</v>
      </c>
      <c r="AZ9" s="9">
        <v>7</v>
      </c>
      <c r="BA9" s="19">
        <v>1.1425292918330761</v>
      </c>
      <c r="BB9" s="5">
        <v>15</v>
      </c>
      <c r="BC9" s="3" t="str">
        <f t="shared" si="16"/>
        <v>-1</v>
      </c>
      <c r="BE9" s="3" t="s">
        <v>215</v>
      </c>
      <c r="BF9" s="3">
        <v>2</v>
      </c>
      <c r="BG9" s="18">
        <v>3.6666666666666665</v>
      </c>
      <c r="BH9" s="3">
        <v>1</v>
      </c>
      <c r="BI9" s="3">
        <v>1</v>
      </c>
      <c r="BJ9" s="3">
        <v>10</v>
      </c>
      <c r="BK9" s="13">
        <v>1.1425292918330761</v>
      </c>
      <c r="BL9" s="13">
        <v>15</v>
      </c>
      <c r="BO9" s="3" t="s">
        <v>215</v>
      </c>
      <c r="BP9" s="3">
        <v>10</v>
      </c>
      <c r="BQ9" s="18">
        <v>4.666666666666667</v>
      </c>
      <c r="BR9" s="3">
        <v>10</v>
      </c>
      <c r="BS9" s="3">
        <v>10</v>
      </c>
      <c r="BT9" s="3">
        <v>7</v>
      </c>
      <c r="BU9" s="13">
        <v>1.1425292918330761</v>
      </c>
      <c r="BV9" s="13">
        <v>15</v>
      </c>
      <c r="BY9" s="3" t="s">
        <v>215</v>
      </c>
      <c r="BZ9" s="3">
        <v>8</v>
      </c>
      <c r="CA9" s="18">
        <v>6.1111111111111107</v>
      </c>
      <c r="CB9" s="3">
        <v>6</v>
      </c>
      <c r="CC9" s="3">
        <v>5</v>
      </c>
      <c r="CD9" s="3">
        <v>8</v>
      </c>
      <c r="CE9" s="13">
        <v>1.1425292918330761</v>
      </c>
      <c r="CF9" s="13">
        <v>15</v>
      </c>
      <c r="CI9" s="3" t="s">
        <v>215</v>
      </c>
      <c r="CJ9" s="3">
        <v>7</v>
      </c>
      <c r="CK9" s="18">
        <v>4.1111111111111107</v>
      </c>
      <c r="CL9" s="3">
        <v>5</v>
      </c>
      <c r="CM9" s="3">
        <v>5</v>
      </c>
      <c r="CN9" s="3">
        <v>7</v>
      </c>
      <c r="CO9" s="13">
        <v>1.1425292918330761</v>
      </c>
      <c r="CP9" s="13">
        <v>15</v>
      </c>
    </row>
    <row r="10" spans="1:94" ht="14.25" customHeight="1" x14ac:dyDescent="0.3">
      <c r="A10" s="5" t="s">
        <v>216</v>
      </c>
      <c r="B10" s="5">
        <v>0</v>
      </c>
      <c r="C10" s="16">
        <v>2.7777777777777777</v>
      </c>
      <c r="D10" s="9">
        <v>0</v>
      </c>
      <c r="E10" s="9">
        <v>3</v>
      </c>
      <c r="F10" s="5">
        <v>5</v>
      </c>
      <c r="G10" s="17">
        <v>1.123713972805261</v>
      </c>
      <c r="H10" s="5">
        <v>11</v>
      </c>
      <c r="I10" s="11" t="str">
        <f t="shared" si="0"/>
        <v>-1</v>
      </c>
      <c r="J10" s="3" t="str">
        <f t="shared" si="1"/>
        <v>1</v>
      </c>
      <c r="K10" s="3" t="str">
        <f t="shared" si="2"/>
        <v>0</v>
      </c>
      <c r="M10" s="3" t="str">
        <f t="shared" si="3"/>
        <v>-1</v>
      </c>
      <c r="N10" s="3" t="str">
        <f t="shared" si="4"/>
        <v>1, Había quiebre y supere quiebre</v>
      </c>
      <c r="O10" s="3" t="str">
        <f t="shared" si="5"/>
        <v>1, Había quiebre y supere quiebre</v>
      </c>
      <c r="P10" s="3" t="str">
        <f t="shared" si="6"/>
        <v>CM</v>
      </c>
      <c r="Q10" s="3" t="s">
        <v>216</v>
      </c>
      <c r="R10" s="3">
        <v>5</v>
      </c>
      <c r="S10" s="18">
        <v>3.2222222222222223</v>
      </c>
      <c r="T10" s="18">
        <v>5</v>
      </c>
      <c r="U10" s="18">
        <v>5</v>
      </c>
      <c r="V10" s="3">
        <v>5</v>
      </c>
      <c r="W10" s="13">
        <v>1.123713972805261</v>
      </c>
      <c r="X10" s="13">
        <v>11</v>
      </c>
      <c r="Y10" s="11" t="str">
        <f t="shared" si="7"/>
        <v>-1</v>
      </c>
      <c r="Z10" s="3" t="str">
        <f t="shared" si="8"/>
        <v>-1, había quiebre y deje CM</v>
      </c>
      <c r="AA10" s="3" t="s">
        <v>214</v>
      </c>
      <c r="AB10" s="3" t="s">
        <v>214</v>
      </c>
      <c r="AC10" s="3" t="str">
        <f t="shared" si="17"/>
        <v>-1, había quiebre y deje CM</v>
      </c>
      <c r="AD10" s="3" t="str">
        <f t="shared" si="9"/>
        <v>-1, había quiebre y deje CM</v>
      </c>
      <c r="AE10" s="3" t="str">
        <f t="shared" si="10"/>
        <v>-1, había quiebre y deje CM</v>
      </c>
      <c r="AF10" s="3" t="str">
        <f t="shared" si="18"/>
        <v>-1, había quiebre y deje la capacidad media</v>
      </c>
      <c r="AG10" s="3" t="str">
        <f t="shared" si="11"/>
        <v>-1, había quiebre y deje la capacidad media</v>
      </c>
      <c r="AH10" s="3" t="str">
        <f t="shared" si="12"/>
        <v>-1, había quiebre y deje la capacidad media</v>
      </c>
      <c r="AI10" s="3">
        <f t="shared" si="13"/>
        <v>1</v>
      </c>
      <c r="AJ10" s="3" t="s">
        <v>216</v>
      </c>
      <c r="AK10" s="3">
        <v>3</v>
      </c>
      <c r="AL10" s="18">
        <v>3.2222222222222223</v>
      </c>
      <c r="AM10" s="3">
        <v>3</v>
      </c>
      <c r="AN10" s="3">
        <v>3</v>
      </c>
      <c r="AO10" s="3">
        <v>6</v>
      </c>
      <c r="AP10" s="13">
        <v>1.123713972805261</v>
      </c>
      <c r="AQ10" s="13">
        <v>11</v>
      </c>
      <c r="AR10" s="11" t="str">
        <f t="shared" si="14"/>
        <v>1</v>
      </c>
      <c r="AS10" s="3" t="str">
        <f t="shared" si="15"/>
        <v>1, Había quiebre y supere quiebre</v>
      </c>
      <c r="AT10" s="6" t="s">
        <v>228</v>
      </c>
      <c r="AU10" s="9" t="s">
        <v>216</v>
      </c>
      <c r="AV10" s="9">
        <v>3</v>
      </c>
      <c r="AW10" s="16">
        <v>5</v>
      </c>
      <c r="AX10" s="9">
        <v>2</v>
      </c>
      <c r="AY10" s="16">
        <v>1</v>
      </c>
      <c r="AZ10" s="9">
        <v>5</v>
      </c>
      <c r="BA10" s="19">
        <v>1.123713972805261</v>
      </c>
      <c r="BB10" s="5">
        <v>11</v>
      </c>
      <c r="BC10" s="3" t="str">
        <f t="shared" si="16"/>
        <v>-1</v>
      </c>
      <c r="BE10" s="3" t="s">
        <v>216</v>
      </c>
      <c r="BF10" s="3">
        <v>8</v>
      </c>
      <c r="BG10" s="18">
        <v>4.1111111111111107</v>
      </c>
      <c r="BH10" s="3">
        <v>5</v>
      </c>
      <c r="BI10" s="3">
        <v>2</v>
      </c>
      <c r="BJ10" s="3">
        <v>5</v>
      </c>
      <c r="BK10" s="13">
        <v>1.123713972805261</v>
      </c>
      <c r="BL10" s="13">
        <v>11</v>
      </c>
      <c r="BO10" s="3" t="s">
        <v>216</v>
      </c>
      <c r="BP10" s="3">
        <v>6</v>
      </c>
      <c r="BQ10" s="18">
        <v>3.7777777777777777</v>
      </c>
      <c r="BR10" s="3">
        <v>6</v>
      </c>
      <c r="BS10" s="3">
        <v>3</v>
      </c>
      <c r="BT10" s="3">
        <v>5</v>
      </c>
      <c r="BU10" s="13">
        <v>1.123713972805261</v>
      </c>
      <c r="BV10" s="13">
        <v>11</v>
      </c>
      <c r="BY10" s="3" t="s">
        <v>216</v>
      </c>
      <c r="BZ10" s="3">
        <v>9</v>
      </c>
      <c r="CA10" s="18">
        <v>6</v>
      </c>
      <c r="CB10" s="3">
        <v>6</v>
      </c>
      <c r="CC10" s="3">
        <v>5</v>
      </c>
      <c r="CD10" s="3">
        <v>5</v>
      </c>
      <c r="CE10" s="13">
        <v>1.123713972805261</v>
      </c>
      <c r="CF10" s="13">
        <v>11</v>
      </c>
      <c r="CI10" s="3" t="s">
        <v>216</v>
      </c>
      <c r="CJ10" s="3">
        <v>4</v>
      </c>
      <c r="CK10" s="18">
        <v>2.7777777777777777</v>
      </c>
      <c r="CL10" s="3">
        <v>4</v>
      </c>
      <c r="CM10" s="3">
        <v>4</v>
      </c>
      <c r="CN10" s="3">
        <v>5</v>
      </c>
      <c r="CO10" s="13">
        <v>1.123713972805261</v>
      </c>
      <c r="CP10" s="13">
        <v>11</v>
      </c>
    </row>
    <row r="11" spans="1:94" ht="14.25" customHeight="1" x14ac:dyDescent="0.3">
      <c r="A11" s="5" t="s">
        <v>217</v>
      </c>
      <c r="B11" s="5">
        <v>1</v>
      </c>
      <c r="C11" s="16">
        <v>2.7777777777777777</v>
      </c>
      <c r="D11" s="9">
        <v>1</v>
      </c>
      <c r="E11" s="9">
        <v>3</v>
      </c>
      <c r="F11" s="5">
        <v>5</v>
      </c>
      <c r="G11" s="17">
        <v>1.1139196755889551</v>
      </c>
      <c r="H11" s="5">
        <v>11</v>
      </c>
      <c r="I11" s="11" t="str">
        <f t="shared" si="0"/>
        <v>-1</v>
      </c>
      <c r="J11" s="3" t="str">
        <f t="shared" si="1"/>
        <v>1</v>
      </c>
      <c r="K11" s="3" t="str">
        <f t="shared" si="2"/>
        <v>0</v>
      </c>
      <c r="M11" s="3" t="str">
        <f t="shared" si="3"/>
        <v>-1</v>
      </c>
      <c r="N11" s="3" t="str">
        <f t="shared" si="4"/>
        <v>1, Había quiebre y supere quiebre</v>
      </c>
      <c r="O11" s="3" t="str">
        <f t="shared" si="5"/>
        <v>1, Había quiebre y supere quiebre</v>
      </c>
      <c r="P11" s="3" t="str">
        <f t="shared" si="6"/>
        <v>CM</v>
      </c>
      <c r="Q11" s="3" t="s">
        <v>217</v>
      </c>
      <c r="R11" s="3">
        <v>1</v>
      </c>
      <c r="S11" s="18">
        <v>2.7777777777777777</v>
      </c>
      <c r="T11" s="18">
        <v>1</v>
      </c>
      <c r="U11" s="18">
        <v>1</v>
      </c>
      <c r="V11" s="3">
        <v>5</v>
      </c>
      <c r="W11" s="13">
        <v>1.1139196755889551</v>
      </c>
      <c r="X11" s="13">
        <v>11</v>
      </c>
      <c r="Y11" s="11" t="str">
        <f t="shared" si="7"/>
        <v>-1</v>
      </c>
      <c r="Z11" s="3" t="str">
        <f t="shared" si="8"/>
        <v>-1, había quiebre y deje CM</v>
      </c>
      <c r="AA11" s="3" t="s">
        <v>214</v>
      </c>
      <c r="AB11" s="3" t="s">
        <v>214</v>
      </c>
      <c r="AC11" s="3" t="str">
        <f t="shared" si="17"/>
        <v>-1, había quiebre y deje CM</v>
      </c>
      <c r="AD11" s="3" t="str">
        <f t="shared" si="9"/>
        <v>-1, había quiebre y deje CM</v>
      </c>
      <c r="AE11" s="3" t="str">
        <f t="shared" si="10"/>
        <v>-1, había quiebre y deje CM</v>
      </c>
      <c r="AF11" s="3" t="str">
        <f t="shared" si="18"/>
        <v>-1, había quiebre y deje la capacidad media</v>
      </c>
      <c r="AG11" s="3" t="str">
        <f t="shared" si="11"/>
        <v>-1, había quiebre y deje la capacidad media</v>
      </c>
      <c r="AH11" s="3" t="str">
        <f t="shared" si="12"/>
        <v>-1, había quiebre y deje la capacidad media</v>
      </c>
      <c r="AI11" s="3">
        <f t="shared" si="13"/>
        <v>1</v>
      </c>
      <c r="AJ11" s="3" t="s">
        <v>217</v>
      </c>
      <c r="AK11" s="3">
        <v>3</v>
      </c>
      <c r="AL11" s="18">
        <v>2.8888888888888888</v>
      </c>
      <c r="AM11" s="3">
        <v>3</v>
      </c>
      <c r="AN11" s="3">
        <v>3</v>
      </c>
      <c r="AO11" s="3">
        <v>5</v>
      </c>
      <c r="AP11" s="13">
        <v>1.1139196755889551</v>
      </c>
      <c r="AQ11" s="13">
        <v>11</v>
      </c>
      <c r="AR11" s="11" t="str">
        <f t="shared" si="14"/>
        <v>-1</v>
      </c>
      <c r="AS11" s="3" t="str">
        <f t="shared" si="15"/>
        <v>-1, había quiebre y deje la capacidad media</v>
      </c>
      <c r="AT11" s="6" t="s">
        <v>306</v>
      </c>
      <c r="AU11" s="9" t="s">
        <v>217</v>
      </c>
      <c r="AV11" s="9">
        <v>3</v>
      </c>
      <c r="AW11" s="16">
        <v>4.4444444444444446</v>
      </c>
      <c r="AX11" s="9">
        <v>0</v>
      </c>
      <c r="AY11" s="16">
        <v>0</v>
      </c>
      <c r="AZ11" s="9">
        <v>5</v>
      </c>
      <c r="BA11" s="19">
        <v>1.1139196755889551</v>
      </c>
      <c r="BB11" s="5">
        <v>11</v>
      </c>
      <c r="BC11" s="3" t="str">
        <f t="shared" si="16"/>
        <v>-1</v>
      </c>
      <c r="BE11" s="3" t="s">
        <v>217</v>
      </c>
      <c r="BF11" s="3">
        <v>3</v>
      </c>
      <c r="BG11" s="18">
        <v>4.666666666666667</v>
      </c>
      <c r="BH11" s="3">
        <v>1</v>
      </c>
      <c r="BI11" s="3">
        <v>3</v>
      </c>
      <c r="BJ11" s="3">
        <v>5</v>
      </c>
      <c r="BK11" s="13">
        <v>1.1139196755889551</v>
      </c>
      <c r="BL11" s="13">
        <v>11</v>
      </c>
      <c r="BO11" s="3" t="s">
        <v>217</v>
      </c>
      <c r="BP11" s="3">
        <v>7</v>
      </c>
      <c r="BQ11" s="18">
        <v>5.7777777777777777</v>
      </c>
      <c r="BR11" s="3">
        <v>5</v>
      </c>
      <c r="BS11" s="3">
        <v>3</v>
      </c>
      <c r="BT11" s="3">
        <v>7</v>
      </c>
      <c r="BU11" s="13">
        <v>1.1139196755889551</v>
      </c>
      <c r="BV11" s="13">
        <v>11</v>
      </c>
      <c r="BY11" s="3" t="s">
        <v>217</v>
      </c>
      <c r="BZ11" s="3">
        <v>2</v>
      </c>
      <c r="CA11" s="18">
        <v>3.3333333333333335</v>
      </c>
      <c r="CB11" s="3">
        <v>0</v>
      </c>
      <c r="CC11" s="3">
        <v>0</v>
      </c>
      <c r="CD11" s="3">
        <v>5</v>
      </c>
      <c r="CE11" s="13">
        <v>1.1139196755889551</v>
      </c>
      <c r="CF11" s="13">
        <v>11</v>
      </c>
      <c r="CI11" s="3" t="s">
        <v>217</v>
      </c>
      <c r="CJ11" s="3">
        <v>4</v>
      </c>
      <c r="CK11" s="18">
        <v>2.7777777777777777</v>
      </c>
      <c r="CL11" s="3">
        <v>3</v>
      </c>
      <c r="CM11" s="3">
        <v>3</v>
      </c>
      <c r="CN11" s="3">
        <v>5</v>
      </c>
      <c r="CO11" s="13">
        <v>1.1139196755889551</v>
      </c>
      <c r="CP11" s="13">
        <v>11</v>
      </c>
    </row>
    <row r="12" spans="1:94" ht="14.25" customHeight="1" x14ac:dyDescent="0.3">
      <c r="A12" s="5" t="s">
        <v>218</v>
      </c>
      <c r="B12" s="5">
        <v>0</v>
      </c>
      <c r="C12" s="16">
        <v>1.7777777777777777</v>
      </c>
      <c r="D12" s="9">
        <v>0</v>
      </c>
      <c r="E12" s="9">
        <v>3</v>
      </c>
      <c r="F12" s="5">
        <v>5</v>
      </c>
      <c r="G12" s="17">
        <v>1.0416402811862899</v>
      </c>
      <c r="H12" s="5">
        <v>11</v>
      </c>
      <c r="I12" s="11" t="str">
        <f t="shared" si="0"/>
        <v>-1</v>
      </c>
      <c r="J12" s="3" t="str">
        <f t="shared" si="1"/>
        <v>1</v>
      </c>
      <c r="K12" s="3" t="str">
        <f t="shared" si="2"/>
        <v>0</v>
      </c>
      <c r="M12" s="3" t="str">
        <f t="shared" si="3"/>
        <v>-1</v>
      </c>
      <c r="N12" s="3" t="str">
        <f t="shared" si="4"/>
        <v>1, Había quiebre y supere quiebre</v>
      </c>
      <c r="O12" s="3" t="str">
        <f t="shared" si="5"/>
        <v>1, Había quiebre y supere quiebre</v>
      </c>
      <c r="P12" s="3" t="str">
        <f t="shared" si="6"/>
        <v>CM</v>
      </c>
      <c r="Q12" s="3" t="s">
        <v>218</v>
      </c>
      <c r="R12" s="3">
        <v>9</v>
      </c>
      <c r="S12" s="18">
        <v>3</v>
      </c>
      <c r="T12" s="18">
        <v>9</v>
      </c>
      <c r="U12" s="18">
        <v>9</v>
      </c>
      <c r="V12" s="3">
        <v>5</v>
      </c>
      <c r="W12" s="13">
        <v>1.0416402811862899</v>
      </c>
      <c r="X12" s="13">
        <v>11</v>
      </c>
      <c r="Y12" s="11" t="str">
        <f t="shared" si="7"/>
        <v>-1</v>
      </c>
      <c r="Z12" s="3" t="str">
        <f t="shared" si="8"/>
        <v>-1, no había quiebre y deje CM</v>
      </c>
      <c r="AA12" s="3" t="s">
        <v>219</v>
      </c>
      <c r="AB12" s="3" t="s">
        <v>219</v>
      </c>
      <c r="AC12" s="3" t="str">
        <f t="shared" si="17"/>
        <v>-1, no había quiebre y deje CM</v>
      </c>
      <c r="AD12" s="3" t="str">
        <f t="shared" si="9"/>
        <v>-1, no había quiebre y deje CM</v>
      </c>
      <c r="AE12" s="3" t="str">
        <f t="shared" si="10"/>
        <v>-1, no había quiebre y deje CM</v>
      </c>
      <c r="AF12" s="3" t="str">
        <f t="shared" si="18"/>
        <v>-1, no había quiebre y deje CM</v>
      </c>
      <c r="AG12" s="3" t="str">
        <f t="shared" si="11"/>
        <v>-1, no había quiebre y deje CM</v>
      </c>
      <c r="AH12" s="3" t="str">
        <f t="shared" si="12"/>
        <v>-1, no había quiebre y deje la capacidad media</v>
      </c>
      <c r="AI12" s="3">
        <f t="shared" si="13"/>
        <v>1</v>
      </c>
      <c r="AJ12" s="3" t="s">
        <v>218</v>
      </c>
      <c r="AK12" s="3">
        <v>3</v>
      </c>
      <c r="AL12" s="18">
        <v>2.8888888888888888</v>
      </c>
      <c r="AM12" s="3">
        <v>3</v>
      </c>
      <c r="AN12" s="3">
        <v>3</v>
      </c>
      <c r="AO12" s="3">
        <v>5</v>
      </c>
      <c r="AP12" s="13">
        <v>1.0416402811862899</v>
      </c>
      <c r="AQ12" s="13">
        <v>11</v>
      </c>
      <c r="AR12" s="11" t="str">
        <f t="shared" si="14"/>
        <v>-1</v>
      </c>
      <c r="AS12" s="3" t="str">
        <f t="shared" si="15"/>
        <v>-1, había quiebre y deje la capacidad media</v>
      </c>
      <c r="AT12" s="6" t="s">
        <v>306</v>
      </c>
      <c r="AU12" s="9" t="s">
        <v>218</v>
      </c>
      <c r="AV12" s="9">
        <v>6</v>
      </c>
      <c r="AW12" s="16">
        <v>3.5555555555555554</v>
      </c>
      <c r="AX12" s="9">
        <v>4</v>
      </c>
      <c r="AY12" s="16">
        <v>3</v>
      </c>
      <c r="AZ12" s="9">
        <v>5</v>
      </c>
      <c r="BA12" s="19">
        <v>1.0416402811862899</v>
      </c>
      <c r="BB12" s="5">
        <v>11</v>
      </c>
      <c r="BC12" s="3" t="str">
        <f t="shared" si="16"/>
        <v>-1</v>
      </c>
      <c r="BE12" s="3" t="s">
        <v>218</v>
      </c>
      <c r="BF12" s="3">
        <v>8</v>
      </c>
      <c r="BG12" s="18">
        <v>2.6666666666666665</v>
      </c>
      <c r="BH12" s="3">
        <v>7</v>
      </c>
      <c r="BI12" s="3">
        <v>7</v>
      </c>
      <c r="BJ12" s="3">
        <v>5</v>
      </c>
      <c r="BK12" s="13">
        <v>1.0416402811862899</v>
      </c>
      <c r="BL12" s="13">
        <v>11</v>
      </c>
      <c r="BO12" s="3" t="s">
        <v>218</v>
      </c>
      <c r="BP12" s="3">
        <v>1</v>
      </c>
      <c r="BQ12" s="18">
        <v>1.4444444444444444</v>
      </c>
      <c r="BR12" s="3">
        <v>1</v>
      </c>
      <c r="BS12" s="3">
        <v>2</v>
      </c>
      <c r="BT12" s="3">
        <v>5</v>
      </c>
      <c r="BU12" s="13">
        <v>1.0416402811862899</v>
      </c>
      <c r="BV12" s="13">
        <v>11</v>
      </c>
      <c r="BY12" s="3" t="s">
        <v>218</v>
      </c>
      <c r="BZ12" s="3">
        <v>2</v>
      </c>
      <c r="CA12" s="18">
        <v>4</v>
      </c>
      <c r="CB12" s="3">
        <v>1</v>
      </c>
      <c r="CC12" s="3">
        <v>1</v>
      </c>
      <c r="CD12" s="3">
        <v>5</v>
      </c>
      <c r="CE12" s="13">
        <v>1.0416402811862899</v>
      </c>
      <c r="CF12" s="13">
        <v>11</v>
      </c>
      <c r="CI12" s="3" t="s">
        <v>218</v>
      </c>
      <c r="CJ12" s="3">
        <v>3</v>
      </c>
      <c r="CK12" s="18">
        <v>1.7777777777777777</v>
      </c>
      <c r="CL12" s="3">
        <v>2</v>
      </c>
      <c r="CM12" s="3">
        <v>2</v>
      </c>
      <c r="CN12" s="3">
        <v>5</v>
      </c>
      <c r="CO12" s="13">
        <v>1.0416402811862899</v>
      </c>
      <c r="CP12" s="13">
        <v>11</v>
      </c>
    </row>
    <row r="13" spans="1:94" ht="14.25" customHeight="1" x14ac:dyDescent="0.3">
      <c r="A13" s="5" t="s">
        <v>220</v>
      </c>
      <c r="B13" s="5">
        <v>1</v>
      </c>
      <c r="C13" s="16">
        <v>5.333333333333333</v>
      </c>
      <c r="D13" s="9">
        <v>0</v>
      </c>
      <c r="E13" s="9">
        <v>9</v>
      </c>
      <c r="F13" s="5">
        <v>13</v>
      </c>
      <c r="G13" s="17">
        <v>0.99583449612816577</v>
      </c>
      <c r="H13" s="5">
        <v>29</v>
      </c>
      <c r="I13" s="11" t="str">
        <f t="shared" si="0"/>
        <v>0</v>
      </c>
      <c r="J13" s="3" t="str">
        <f t="shared" si="1"/>
        <v>1</v>
      </c>
      <c r="K13" s="3" t="str">
        <f t="shared" si="2"/>
        <v>0</v>
      </c>
      <c r="L13" s="3" t="s">
        <v>221</v>
      </c>
      <c r="M13" s="3" t="str">
        <f t="shared" si="3"/>
        <v>0</v>
      </c>
      <c r="N13" s="3" t="str">
        <f t="shared" si="4"/>
        <v>0, Había quiebre y no supere quiebre</v>
      </c>
      <c r="O13" s="3" t="str">
        <f t="shared" si="5"/>
        <v>0, Había quiebre y no supere quiebre</v>
      </c>
      <c r="P13" s="3" t="str">
        <f t="shared" si="6"/>
        <v>0, Había quiebre y no supere quiebre</v>
      </c>
      <c r="Q13" s="3" t="s">
        <v>220</v>
      </c>
      <c r="R13" s="3">
        <v>21</v>
      </c>
      <c r="S13" s="18">
        <v>8</v>
      </c>
      <c r="T13" s="18">
        <v>21</v>
      </c>
      <c r="U13" s="18">
        <v>20</v>
      </c>
      <c r="V13" s="3">
        <v>13</v>
      </c>
      <c r="W13" s="13">
        <v>0.99583449612816577</v>
      </c>
      <c r="X13" s="13">
        <v>29</v>
      </c>
      <c r="Y13" s="11" t="str">
        <f t="shared" si="7"/>
        <v>0</v>
      </c>
      <c r="Z13" s="3" t="str">
        <f t="shared" si="8"/>
        <v>0, no había quiebre y la deje con quiebre</v>
      </c>
      <c r="AA13" s="3" t="s">
        <v>222</v>
      </c>
      <c r="AB13" s="3" t="s">
        <v>222</v>
      </c>
      <c r="AC13" s="3" t="str">
        <f t="shared" si="17"/>
        <v>0, no había quiebre y la deje con quiebre</v>
      </c>
      <c r="AD13" s="3" t="str">
        <f t="shared" si="9"/>
        <v>0, no había quiebre y la deje con quiebre</v>
      </c>
      <c r="AE13" s="3" t="str">
        <f t="shared" si="10"/>
        <v>0, no había quiebre y la deje con quiebre</v>
      </c>
      <c r="AF13" s="3" t="str">
        <f t="shared" si="18"/>
        <v>0, no había quiebre y la deje con quiebre</v>
      </c>
      <c r="AG13" s="3" t="str">
        <f t="shared" si="11"/>
        <v>0, no había quiebre y la deje con quiebre</v>
      </c>
      <c r="AH13" s="3" t="str">
        <f t="shared" si="12"/>
        <v>0, no había quiebre y la deje con quiebre</v>
      </c>
      <c r="AI13" s="3">
        <f t="shared" si="13"/>
        <v>1</v>
      </c>
      <c r="AJ13" s="3" t="s">
        <v>220</v>
      </c>
      <c r="AK13" s="3">
        <v>9</v>
      </c>
      <c r="AL13" s="18">
        <v>5.4444444444444446</v>
      </c>
      <c r="AM13" s="3">
        <v>9</v>
      </c>
      <c r="AN13" s="3">
        <v>9</v>
      </c>
      <c r="AO13" s="3">
        <v>11</v>
      </c>
      <c r="AP13" s="13">
        <v>0.99583449612816577</v>
      </c>
      <c r="AQ13" s="13">
        <v>29</v>
      </c>
      <c r="AR13" s="11" t="str">
        <f t="shared" si="14"/>
        <v>0</v>
      </c>
      <c r="AS13" s="3" t="str">
        <f t="shared" si="15"/>
        <v>-2,había quiebre y resultado fue bueno</v>
      </c>
      <c r="AT13" s="6" t="s">
        <v>307</v>
      </c>
      <c r="AU13" s="9" t="s">
        <v>220</v>
      </c>
      <c r="AV13" s="9">
        <v>17</v>
      </c>
      <c r="AW13" s="16">
        <v>10.222222222222221</v>
      </c>
      <c r="AX13" s="9">
        <v>12</v>
      </c>
      <c r="AY13" s="16">
        <v>11</v>
      </c>
      <c r="AZ13" s="9">
        <v>11</v>
      </c>
      <c r="BA13" s="19">
        <v>0.99583449612816577</v>
      </c>
      <c r="BB13" s="5">
        <v>29</v>
      </c>
      <c r="BC13" s="3" t="str">
        <f t="shared" si="16"/>
        <v>0</v>
      </c>
      <c r="BE13" s="3" t="s">
        <v>220</v>
      </c>
      <c r="BF13" s="3">
        <v>7</v>
      </c>
      <c r="BG13" s="18">
        <v>10.333333333333334</v>
      </c>
      <c r="BH13" s="3">
        <v>5</v>
      </c>
      <c r="BI13" s="3">
        <v>4</v>
      </c>
      <c r="BJ13" s="3">
        <v>11</v>
      </c>
      <c r="BK13" s="13">
        <v>0.99583449612816577</v>
      </c>
      <c r="BL13" s="13">
        <v>29</v>
      </c>
      <c r="BO13" s="3" t="s">
        <v>220</v>
      </c>
      <c r="BP13" s="3">
        <v>2</v>
      </c>
      <c r="BQ13" s="18">
        <v>5.666666666666667</v>
      </c>
      <c r="BR13" s="3">
        <v>2</v>
      </c>
      <c r="BS13" s="3">
        <v>4</v>
      </c>
      <c r="BT13" s="3">
        <v>11</v>
      </c>
      <c r="BU13" s="13">
        <v>0.99583449612816577</v>
      </c>
      <c r="BV13" s="13">
        <v>29</v>
      </c>
      <c r="BY13" s="3" t="s">
        <v>220</v>
      </c>
      <c r="BZ13" s="3">
        <v>5</v>
      </c>
      <c r="CA13" s="18">
        <v>5.2222222222222223</v>
      </c>
      <c r="CB13" s="3">
        <v>5</v>
      </c>
      <c r="CC13" s="3">
        <v>6</v>
      </c>
      <c r="CD13" s="3">
        <v>11</v>
      </c>
      <c r="CE13" s="13">
        <v>0.99583449612816577</v>
      </c>
      <c r="CF13" s="13">
        <v>29</v>
      </c>
      <c r="CI13" s="3" t="s">
        <v>220</v>
      </c>
      <c r="CJ13" s="3">
        <v>2</v>
      </c>
      <c r="CK13" s="18">
        <v>5.333333333333333</v>
      </c>
      <c r="CL13" s="3">
        <v>14</v>
      </c>
      <c r="CM13" s="3">
        <v>14</v>
      </c>
      <c r="CN13" s="3">
        <v>11</v>
      </c>
      <c r="CO13" s="13">
        <v>0.99583449612816577</v>
      </c>
      <c r="CP13" s="13">
        <v>29</v>
      </c>
    </row>
    <row r="14" spans="1:94" ht="14.25" customHeight="1" x14ac:dyDescent="0.3">
      <c r="A14" s="5" t="s">
        <v>223</v>
      </c>
      <c r="B14" s="5">
        <v>0</v>
      </c>
      <c r="C14" s="16">
        <v>4.8888888888888893</v>
      </c>
      <c r="D14" s="9">
        <v>0</v>
      </c>
      <c r="E14" s="9">
        <v>4</v>
      </c>
      <c r="F14" s="5">
        <v>9</v>
      </c>
      <c r="G14" s="17">
        <v>0.9957863323050703</v>
      </c>
      <c r="H14" s="5">
        <v>15</v>
      </c>
      <c r="I14" s="11" t="str">
        <f t="shared" si="0"/>
        <v>1</v>
      </c>
      <c r="J14" s="3" t="str">
        <f t="shared" si="1"/>
        <v>1</v>
      </c>
      <c r="K14" s="3" t="str">
        <f t="shared" si="2"/>
        <v>1</v>
      </c>
      <c r="M14" s="3" t="str">
        <f t="shared" si="3"/>
        <v>1</v>
      </c>
      <c r="N14" s="3" t="str">
        <f t="shared" si="4"/>
        <v>1, Había quiebre y supere quiebre</v>
      </c>
      <c r="O14" s="3" t="str">
        <f t="shared" si="5"/>
        <v>1, Había quiebre y supere quiebre</v>
      </c>
      <c r="P14" s="3" t="str">
        <f t="shared" si="6"/>
        <v>1, Había quiebre y supere quiebre</v>
      </c>
      <c r="Q14" s="3" t="s">
        <v>223</v>
      </c>
      <c r="R14" s="3">
        <v>1</v>
      </c>
      <c r="S14" s="18">
        <v>4.4444444444444446</v>
      </c>
      <c r="T14" s="18">
        <v>1</v>
      </c>
      <c r="U14" s="18">
        <v>1</v>
      </c>
      <c r="V14" s="3">
        <v>7</v>
      </c>
      <c r="W14" s="13">
        <v>0.9957863323050703</v>
      </c>
      <c r="X14" s="13">
        <v>15</v>
      </c>
      <c r="Y14" s="11" t="str">
        <f t="shared" si="7"/>
        <v>-1</v>
      </c>
      <c r="Z14" s="3" t="str">
        <f t="shared" si="8"/>
        <v>-1, había quiebre y deje CM</v>
      </c>
      <c r="AA14" s="3" t="s">
        <v>214</v>
      </c>
      <c r="AB14" s="3" t="s">
        <v>214</v>
      </c>
      <c r="AC14" s="3" t="str">
        <f t="shared" si="17"/>
        <v>-1, había quiebre y deje CM</v>
      </c>
      <c r="AD14" s="3" t="str">
        <f t="shared" si="9"/>
        <v>-1, había quiebre y deje CM</v>
      </c>
      <c r="AE14" s="3" t="str">
        <f t="shared" si="10"/>
        <v>-1, había quiebre y deje CM</v>
      </c>
      <c r="AF14" s="3" t="str">
        <f t="shared" si="18"/>
        <v>-1, había quiebre y deje la capacidad media</v>
      </c>
      <c r="AG14" s="3" t="str">
        <f t="shared" si="11"/>
        <v>-1, había quiebre y deje la capacidad media</v>
      </c>
      <c r="AH14" s="3" t="str">
        <f t="shared" si="12"/>
        <v>-1, había quiebre y deje la capacidad media</v>
      </c>
      <c r="AI14" s="3">
        <f t="shared" si="13"/>
        <v>1</v>
      </c>
      <c r="AJ14" s="3" t="s">
        <v>223</v>
      </c>
      <c r="AK14" s="3">
        <v>4</v>
      </c>
      <c r="AL14" s="18">
        <v>3</v>
      </c>
      <c r="AM14" s="3">
        <v>4</v>
      </c>
      <c r="AN14" s="3">
        <v>4</v>
      </c>
      <c r="AO14" s="3">
        <v>7</v>
      </c>
      <c r="AP14" s="13">
        <v>0.9957863323050703</v>
      </c>
      <c r="AQ14" s="13">
        <v>15</v>
      </c>
      <c r="AR14" s="11" t="str">
        <f t="shared" si="14"/>
        <v>-1</v>
      </c>
      <c r="AS14" s="3" t="str">
        <f t="shared" si="15"/>
        <v>-1, había quiebre y deje la capacidad media</v>
      </c>
      <c r="AT14" s="6" t="s">
        <v>306</v>
      </c>
      <c r="AU14" s="9" t="s">
        <v>223</v>
      </c>
      <c r="AV14" s="9">
        <v>4</v>
      </c>
      <c r="AW14" s="16">
        <v>6.7777777777777777</v>
      </c>
      <c r="AX14" s="9">
        <v>2</v>
      </c>
      <c r="AY14" s="16">
        <v>0</v>
      </c>
      <c r="AZ14" s="9">
        <v>7</v>
      </c>
      <c r="BA14" s="19">
        <v>0.9957863323050703</v>
      </c>
      <c r="BB14" s="5">
        <v>15</v>
      </c>
      <c r="BC14" s="3" t="str">
        <f t="shared" si="16"/>
        <v>-1</v>
      </c>
      <c r="BE14" s="3" t="s">
        <v>223</v>
      </c>
      <c r="BF14" s="3">
        <v>4</v>
      </c>
      <c r="BG14" s="18">
        <v>6</v>
      </c>
      <c r="BH14" s="3">
        <v>5</v>
      </c>
      <c r="BI14" s="3">
        <v>3</v>
      </c>
      <c r="BJ14" s="3">
        <v>7</v>
      </c>
      <c r="BK14" s="13">
        <v>0.9957863323050703</v>
      </c>
      <c r="BL14" s="13">
        <v>15</v>
      </c>
      <c r="BO14" s="3" t="s">
        <v>223</v>
      </c>
      <c r="BP14" s="3">
        <v>3</v>
      </c>
      <c r="BQ14" s="18">
        <v>9</v>
      </c>
      <c r="BR14" s="3">
        <v>1</v>
      </c>
      <c r="BS14" s="3">
        <v>1</v>
      </c>
      <c r="BT14" s="3">
        <v>7</v>
      </c>
      <c r="BU14" s="13">
        <v>0.9957863323050703</v>
      </c>
      <c r="BV14" s="13">
        <v>15</v>
      </c>
      <c r="BY14" s="3" t="s">
        <v>223</v>
      </c>
      <c r="BZ14" s="3">
        <v>14</v>
      </c>
      <c r="CA14" s="18">
        <v>7.8888888888888893</v>
      </c>
      <c r="CB14" s="3">
        <v>13</v>
      </c>
      <c r="CC14" s="3">
        <v>13</v>
      </c>
      <c r="CD14" s="3">
        <v>7</v>
      </c>
      <c r="CE14" s="13">
        <v>0.9957863323050703</v>
      </c>
      <c r="CF14" s="13">
        <v>15</v>
      </c>
      <c r="CI14" s="3" t="s">
        <v>223</v>
      </c>
      <c r="CJ14" s="3">
        <v>6</v>
      </c>
      <c r="CK14" s="18">
        <v>4.8888888888888893</v>
      </c>
      <c r="CL14" s="3">
        <v>8</v>
      </c>
      <c r="CM14" s="3">
        <v>7</v>
      </c>
      <c r="CN14" s="3">
        <v>7</v>
      </c>
      <c r="CO14" s="13">
        <v>0.9957863323050703</v>
      </c>
      <c r="CP14" s="13">
        <v>15</v>
      </c>
    </row>
    <row r="15" spans="1:94" ht="14.25" customHeight="1" x14ac:dyDescent="0.3">
      <c r="A15" s="5" t="s">
        <v>224</v>
      </c>
      <c r="B15" s="5">
        <v>0</v>
      </c>
      <c r="C15" s="16">
        <v>2.3333333333333335</v>
      </c>
      <c r="D15" s="9">
        <v>0</v>
      </c>
      <c r="E15" s="9">
        <v>3</v>
      </c>
      <c r="F15" s="5">
        <v>5</v>
      </c>
      <c r="G15" s="17">
        <v>0.98995442105744402</v>
      </c>
      <c r="H15" s="5">
        <v>11</v>
      </c>
      <c r="I15" s="11" t="str">
        <f t="shared" si="0"/>
        <v>-1</v>
      </c>
      <c r="J15" s="3" t="str">
        <f t="shared" si="1"/>
        <v>1</v>
      </c>
      <c r="K15" s="3" t="str">
        <f t="shared" si="2"/>
        <v>0</v>
      </c>
      <c r="M15" s="3" t="str">
        <f t="shared" si="3"/>
        <v>-1</v>
      </c>
      <c r="N15" s="3" t="str">
        <f t="shared" si="4"/>
        <v>1, Había quiebre y supere quiebre</v>
      </c>
      <c r="O15" s="3" t="str">
        <f t="shared" si="5"/>
        <v>1, Había quiebre y supere quiebre</v>
      </c>
      <c r="P15" s="3" t="str">
        <f t="shared" si="6"/>
        <v>CM</v>
      </c>
      <c r="Q15" s="3" t="s">
        <v>224</v>
      </c>
      <c r="R15" s="3">
        <v>2</v>
      </c>
      <c r="S15" s="18">
        <v>3.7777777777777777</v>
      </c>
      <c r="T15" s="18">
        <v>2</v>
      </c>
      <c r="U15" s="18">
        <v>2</v>
      </c>
      <c r="V15" s="3">
        <v>5</v>
      </c>
      <c r="W15" s="13">
        <v>0.98995442105744402</v>
      </c>
      <c r="X15" s="13">
        <v>11</v>
      </c>
      <c r="Y15" s="11" t="str">
        <f t="shared" si="7"/>
        <v>-1</v>
      </c>
      <c r="Z15" s="3" t="str">
        <f t="shared" si="8"/>
        <v>-1, había quiebre y deje CM</v>
      </c>
      <c r="AA15" s="3" t="s">
        <v>214</v>
      </c>
      <c r="AB15" s="3" t="s">
        <v>214</v>
      </c>
      <c r="AC15" s="3" t="str">
        <f t="shared" si="17"/>
        <v>-1, había quiebre y deje CM</v>
      </c>
      <c r="AD15" s="3" t="str">
        <f t="shared" si="9"/>
        <v>-1, había quiebre y deje CM</v>
      </c>
      <c r="AE15" s="3" t="str">
        <f t="shared" si="10"/>
        <v>-1, había quiebre y deje CM</v>
      </c>
      <c r="AF15" s="3" t="str">
        <f t="shared" si="18"/>
        <v>-1, había quiebre y deje la capacidad media</v>
      </c>
      <c r="AG15" s="3" t="str">
        <f t="shared" si="11"/>
        <v>-1, había quiebre y deje la capacidad media</v>
      </c>
      <c r="AH15" s="3" t="str">
        <f t="shared" si="12"/>
        <v>-1, había quiebre y deje la capacidad media</v>
      </c>
      <c r="AI15" s="3">
        <f t="shared" si="13"/>
        <v>1</v>
      </c>
      <c r="AJ15" s="3" t="s">
        <v>224</v>
      </c>
      <c r="AK15" s="3">
        <v>3</v>
      </c>
      <c r="AL15" s="18">
        <v>1.8888888888888888</v>
      </c>
      <c r="AM15" s="3">
        <v>3</v>
      </c>
      <c r="AN15" s="3">
        <v>3</v>
      </c>
      <c r="AO15" s="3">
        <v>5</v>
      </c>
      <c r="AP15" s="13">
        <v>0.98995442105744402</v>
      </c>
      <c r="AQ15" s="13">
        <v>11</v>
      </c>
      <c r="AR15" s="11" t="str">
        <f t="shared" si="14"/>
        <v>-1</v>
      </c>
      <c r="AS15" s="3" t="str">
        <f t="shared" si="15"/>
        <v>-1, había quiebre y deje la capacidad media</v>
      </c>
      <c r="AT15" s="6" t="s">
        <v>306</v>
      </c>
      <c r="AU15" s="9" t="s">
        <v>224</v>
      </c>
      <c r="AV15" s="9">
        <v>8</v>
      </c>
      <c r="AW15" s="16">
        <v>1.8888888888888888</v>
      </c>
      <c r="AX15" s="9">
        <v>6</v>
      </c>
      <c r="AY15" s="16">
        <v>3</v>
      </c>
      <c r="AZ15" s="9">
        <v>5</v>
      </c>
      <c r="BA15" s="19">
        <v>0.98995442105744402</v>
      </c>
      <c r="BB15" s="5">
        <v>11</v>
      </c>
      <c r="BC15" s="3" t="str">
        <f t="shared" si="16"/>
        <v>-1</v>
      </c>
      <c r="BE15" s="3" t="s">
        <v>224</v>
      </c>
      <c r="BF15" s="3">
        <v>1</v>
      </c>
      <c r="BG15" s="18">
        <v>1.5555555555555556</v>
      </c>
      <c r="BH15" s="3">
        <v>0</v>
      </c>
      <c r="BI15" s="3">
        <v>0</v>
      </c>
      <c r="BJ15" s="3">
        <v>5</v>
      </c>
      <c r="BK15" s="13">
        <v>0.98995442105744402</v>
      </c>
      <c r="BL15" s="13">
        <v>11</v>
      </c>
      <c r="BO15" s="3" t="s">
        <v>224</v>
      </c>
      <c r="BP15" s="3">
        <v>0</v>
      </c>
      <c r="BQ15" s="18">
        <v>0.88888888888888884</v>
      </c>
      <c r="BR15" s="3">
        <v>1</v>
      </c>
      <c r="BS15" s="3">
        <v>0</v>
      </c>
      <c r="BT15" s="3">
        <v>6</v>
      </c>
      <c r="BU15" s="13">
        <v>0.98995442105744402</v>
      </c>
      <c r="BV15" s="13">
        <v>11</v>
      </c>
      <c r="BY15" s="3" t="s">
        <v>224</v>
      </c>
      <c r="BZ15" s="3">
        <v>4</v>
      </c>
      <c r="CA15" s="18">
        <v>3.1111111111111112</v>
      </c>
      <c r="CB15" s="3">
        <v>1</v>
      </c>
      <c r="CC15" s="3">
        <v>1</v>
      </c>
      <c r="CD15" s="3">
        <v>5</v>
      </c>
      <c r="CE15" s="13">
        <v>0.98995442105744402</v>
      </c>
      <c r="CF15" s="13">
        <v>11</v>
      </c>
      <c r="CI15" s="3" t="s">
        <v>224</v>
      </c>
      <c r="CJ15" s="3">
        <v>4</v>
      </c>
      <c r="CK15" s="18">
        <v>2.3333333333333335</v>
      </c>
      <c r="CL15" s="3">
        <v>2</v>
      </c>
      <c r="CM15" s="3">
        <v>1</v>
      </c>
      <c r="CN15" s="3">
        <v>5</v>
      </c>
      <c r="CO15" s="13">
        <v>0.98995442105744402</v>
      </c>
      <c r="CP15" s="13">
        <v>11</v>
      </c>
    </row>
    <row r="16" spans="1:94" ht="14.25" customHeight="1" x14ac:dyDescent="0.3">
      <c r="A16" s="5" t="s">
        <v>225</v>
      </c>
      <c r="B16" s="5">
        <v>0</v>
      </c>
      <c r="C16" s="16">
        <v>2.4444444444444446</v>
      </c>
      <c r="D16" s="9">
        <v>0</v>
      </c>
      <c r="E16" s="9">
        <v>4</v>
      </c>
      <c r="F16" s="5">
        <v>7</v>
      </c>
      <c r="G16" s="17">
        <v>0.8928339600558084</v>
      </c>
      <c r="H16" s="5">
        <v>15</v>
      </c>
      <c r="I16" s="11" t="str">
        <f t="shared" si="0"/>
        <v>-1</v>
      </c>
      <c r="J16" s="3" t="str">
        <f t="shared" si="1"/>
        <v>1</v>
      </c>
      <c r="K16" s="3" t="str">
        <f t="shared" si="2"/>
        <v>0</v>
      </c>
      <c r="L16" s="3" t="s">
        <v>226</v>
      </c>
      <c r="M16" s="3" t="str">
        <f t="shared" si="3"/>
        <v>-1</v>
      </c>
      <c r="N16" s="3" t="str">
        <f t="shared" si="4"/>
        <v>1, Había quiebre y supere quiebre</v>
      </c>
      <c r="O16" s="3" t="str">
        <f t="shared" si="5"/>
        <v>1, Había quiebre y supere quiebre</v>
      </c>
      <c r="P16" s="3" t="str">
        <f t="shared" si="6"/>
        <v>CM</v>
      </c>
      <c r="Q16" s="3" t="s">
        <v>225</v>
      </c>
      <c r="R16" s="3">
        <v>4</v>
      </c>
      <c r="S16" s="18">
        <v>5.8888888888888893</v>
      </c>
      <c r="T16" s="18">
        <v>4</v>
      </c>
      <c r="U16" s="18">
        <v>2</v>
      </c>
      <c r="V16" s="3">
        <v>7</v>
      </c>
      <c r="W16" s="13">
        <v>0.8928339600558084</v>
      </c>
      <c r="X16" s="13">
        <v>15</v>
      </c>
      <c r="Y16" s="11" t="str">
        <f t="shared" si="7"/>
        <v>-1</v>
      </c>
      <c r="Z16" s="3" t="str">
        <f t="shared" si="8"/>
        <v>-1, había quiebre y deje CM</v>
      </c>
      <c r="AA16" s="3" t="s">
        <v>214</v>
      </c>
      <c r="AB16" s="3" t="s">
        <v>214</v>
      </c>
      <c r="AC16" s="3" t="str">
        <f t="shared" si="17"/>
        <v>-1, había quiebre y deje CM</v>
      </c>
      <c r="AD16" s="3" t="str">
        <f t="shared" si="9"/>
        <v>-1, había quiebre y deje CM</v>
      </c>
      <c r="AE16" s="3" t="str">
        <f t="shared" si="10"/>
        <v>-1, había quiebre y deje CM</v>
      </c>
      <c r="AF16" s="3" t="str">
        <f t="shared" si="18"/>
        <v>-1, había quiebre y deje la capacidad media</v>
      </c>
      <c r="AG16" s="3" t="str">
        <f t="shared" si="11"/>
        <v>-1, había quiebre y deje la capacidad media</v>
      </c>
      <c r="AH16" s="3" t="str">
        <f t="shared" si="12"/>
        <v>-1, había quiebre y deje la capacidad media</v>
      </c>
      <c r="AI16" s="3">
        <f t="shared" si="13"/>
        <v>1</v>
      </c>
      <c r="AJ16" s="3" t="s">
        <v>225</v>
      </c>
      <c r="AK16" s="3">
        <v>4</v>
      </c>
      <c r="AL16" s="18">
        <v>3.3333333333333335</v>
      </c>
      <c r="AM16" s="3">
        <v>4</v>
      </c>
      <c r="AN16" s="3">
        <v>4</v>
      </c>
      <c r="AO16" s="3">
        <v>9</v>
      </c>
      <c r="AP16" s="13">
        <v>0.8928339600558084</v>
      </c>
      <c r="AQ16" s="13">
        <v>15</v>
      </c>
      <c r="AR16" s="11" t="str">
        <f t="shared" si="14"/>
        <v>1</v>
      </c>
      <c r="AS16" s="3" t="str">
        <f t="shared" si="15"/>
        <v>1, Había quiebre y supere quiebre</v>
      </c>
      <c r="AT16" s="6" t="s">
        <v>228</v>
      </c>
      <c r="AU16" s="9" t="s">
        <v>225</v>
      </c>
      <c r="AV16" s="9">
        <v>2</v>
      </c>
      <c r="AW16" s="16">
        <v>2.6666666666666665</v>
      </c>
      <c r="AX16" s="9">
        <v>1</v>
      </c>
      <c r="AY16" s="16">
        <v>1</v>
      </c>
      <c r="AZ16" s="9">
        <v>7</v>
      </c>
      <c r="BA16" s="19">
        <v>0.8928339600558084</v>
      </c>
      <c r="BB16" s="5">
        <v>15</v>
      </c>
      <c r="BC16" s="3" t="str">
        <f t="shared" si="16"/>
        <v>-1</v>
      </c>
      <c r="BE16" s="3" t="s">
        <v>225</v>
      </c>
      <c r="BF16" s="3">
        <v>5</v>
      </c>
      <c r="BG16" s="18">
        <v>5</v>
      </c>
      <c r="BH16" s="3">
        <v>2</v>
      </c>
      <c r="BI16" s="3">
        <v>2</v>
      </c>
      <c r="BJ16" s="3">
        <v>7</v>
      </c>
      <c r="BK16" s="13">
        <v>0.8928339600558084</v>
      </c>
      <c r="BL16" s="13">
        <v>15</v>
      </c>
      <c r="BO16" s="3" t="s">
        <v>225</v>
      </c>
      <c r="BP16" s="3">
        <v>0</v>
      </c>
      <c r="BQ16" s="18">
        <v>4.5555555555555554</v>
      </c>
      <c r="BR16" s="3">
        <v>0</v>
      </c>
      <c r="BS16" s="3">
        <v>3</v>
      </c>
      <c r="BT16" s="3">
        <v>7</v>
      </c>
      <c r="BU16" s="13">
        <v>0.8928339600558084</v>
      </c>
      <c r="BV16" s="13">
        <v>15</v>
      </c>
      <c r="BY16" s="3" t="s">
        <v>225</v>
      </c>
      <c r="BZ16" s="3">
        <v>11</v>
      </c>
      <c r="CA16" s="18">
        <v>4.333333333333333</v>
      </c>
      <c r="CB16" s="3">
        <v>9</v>
      </c>
      <c r="CC16" s="3">
        <v>7</v>
      </c>
      <c r="CD16" s="3">
        <v>7</v>
      </c>
      <c r="CE16" s="13">
        <v>0.8928339600558084</v>
      </c>
      <c r="CF16" s="13">
        <v>15</v>
      </c>
      <c r="CI16" s="3" t="s">
        <v>225</v>
      </c>
      <c r="CJ16" s="3">
        <v>3</v>
      </c>
      <c r="CK16" s="18">
        <v>2.4444444444444446</v>
      </c>
      <c r="CL16" s="3">
        <v>13</v>
      </c>
      <c r="CM16" s="3">
        <v>11</v>
      </c>
      <c r="CN16" s="3">
        <v>7</v>
      </c>
      <c r="CO16" s="13">
        <v>0.8928339600558084</v>
      </c>
      <c r="CP16" s="13">
        <v>15</v>
      </c>
    </row>
    <row r="17" spans="1:94" ht="14.25" customHeight="1" x14ac:dyDescent="0.3">
      <c r="A17" s="5" t="s">
        <v>227</v>
      </c>
      <c r="B17" s="5">
        <v>6</v>
      </c>
      <c r="C17" s="16">
        <v>4.4444444444444446</v>
      </c>
      <c r="D17" s="9">
        <v>4</v>
      </c>
      <c r="E17" s="9">
        <v>3</v>
      </c>
      <c r="F17" s="5">
        <v>6</v>
      </c>
      <c r="G17" s="17">
        <v>0.88597893866063815</v>
      </c>
      <c r="H17" s="5">
        <v>11</v>
      </c>
      <c r="I17" s="11" t="str">
        <f t="shared" si="0"/>
        <v>1</v>
      </c>
      <c r="J17" s="3" t="str">
        <f t="shared" si="1"/>
        <v>1</v>
      </c>
      <c r="K17" s="3" t="str">
        <f t="shared" si="2"/>
        <v>1</v>
      </c>
      <c r="M17" s="3" t="str">
        <f t="shared" si="3"/>
        <v>1</v>
      </c>
      <c r="N17" s="3" t="str">
        <f t="shared" si="4"/>
        <v>1, no había quiebre, pero resultado fue bueno</v>
      </c>
      <c r="O17" s="3" t="str">
        <f t="shared" si="5"/>
        <v>1, no había quiebre, pero resultado fue bueno</v>
      </c>
      <c r="P17" s="3" t="str">
        <f t="shared" si="6"/>
        <v>1, no había quiebre, pero resultado fue bueno</v>
      </c>
      <c r="Q17" s="3" t="s">
        <v>227</v>
      </c>
      <c r="R17" s="3">
        <v>1</v>
      </c>
      <c r="S17" s="18">
        <v>2.5555555555555554</v>
      </c>
      <c r="T17" s="18">
        <v>2</v>
      </c>
      <c r="U17" s="18">
        <v>1</v>
      </c>
      <c r="V17" s="3">
        <v>7</v>
      </c>
      <c r="W17" s="13">
        <v>0.88597893866063815</v>
      </c>
      <c r="X17" s="13">
        <v>11</v>
      </c>
      <c r="Y17" s="11" t="str">
        <f t="shared" si="7"/>
        <v>1</v>
      </c>
      <c r="Z17" s="3" t="str">
        <f t="shared" si="8"/>
        <v>1, Había quiebre y supere quiebre</v>
      </c>
      <c r="AA17" s="3" t="s">
        <v>228</v>
      </c>
      <c r="AB17" s="3" t="s">
        <v>228</v>
      </c>
      <c r="AC17" s="3" t="str">
        <f t="shared" si="17"/>
        <v>1, Había quiebre y supere quiebre</v>
      </c>
      <c r="AD17" s="3" t="str">
        <f t="shared" si="9"/>
        <v>1, Había quiebre y supere quiebre</v>
      </c>
      <c r="AE17" s="3" t="str">
        <f t="shared" si="10"/>
        <v>1, Había quiebre y supere quiebre</v>
      </c>
      <c r="AF17" s="3" t="str">
        <f t="shared" si="18"/>
        <v>1, Había quiebre y supere quiebre</v>
      </c>
      <c r="AG17" s="3" t="str">
        <f t="shared" si="11"/>
        <v>1, Había quiebre y supere quiebre</v>
      </c>
      <c r="AH17" s="3" t="str">
        <f t="shared" si="12"/>
        <v>1, Había quiebre y supere quiebre</v>
      </c>
      <c r="AI17" s="3">
        <f t="shared" si="13"/>
        <v>1</v>
      </c>
      <c r="AJ17" s="3" t="s">
        <v>227</v>
      </c>
      <c r="AK17" s="3">
        <v>3</v>
      </c>
      <c r="AL17" s="18">
        <v>3.7777777777777777</v>
      </c>
      <c r="AM17" s="3">
        <v>3</v>
      </c>
      <c r="AN17" s="3">
        <v>3</v>
      </c>
      <c r="AO17" s="3">
        <v>5</v>
      </c>
      <c r="AP17" s="13">
        <v>0.88597893866063815</v>
      </c>
      <c r="AQ17" s="13">
        <v>11</v>
      </c>
      <c r="AR17" s="11" t="str">
        <f t="shared" si="14"/>
        <v>-1</v>
      </c>
      <c r="AS17" s="3" t="str">
        <f t="shared" si="15"/>
        <v>-1, había quiebre y deje la capacidad media</v>
      </c>
      <c r="AT17" s="6" t="s">
        <v>306</v>
      </c>
      <c r="AU17" s="9" t="s">
        <v>227</v>
      </c>
      <c r="AV17" s="9">
        <v>1</v>
      </c>
      <c r="AW17" s="16">
        <v>2.4444444444444446</v>
      </c>
      <c r="AX17" s="9">
        <v>1</v>
      </c>
      <c r="AY17" s="16">
        <v>1</v>
      </c>
      <c r="AZ17" s="9">
        <v>5</v>
      </c>
      <c r="BA17" s="19">
        <v>0.88597893866063815</v>
      </c>
      <c r="BB17" s="5">
        <v>11</v>
      </c>
      <c r="BC17" s="3" t="str">
        <f t="shared" si="16"/>
        <v>-1</v>
      </c>
      <c r="BE17" s="3" t="s">
        <v>227</v>
      </c>
      <c r="BF17" s="3">
        <v>2</v>
      </c>
      <c r="BG17" s="18">
        <v>3.4444444444444446</v>
      </c>
      <c r="BH17" s="3">
        <v>3</v>
      </c>
      <c r="BI17" s="3">
        <v>3</v>
      </c>
      <c r="BJ17" s="3">
        <v>5</v>
      </c>
      <c r="BK17" s="13">
        <v>0.88597893866063815</v>
      </c>
      <c r="BL17" s="13">
        <v>11</v>
      </c>
      <c r="BO17" s="3" t="s">
        <v>227</v>
      </c>
      <c r="BP17" s="3">
        <v>11</v>
      </c>
      <c r="BQ17" s="18">
        <v>4.5555555555555554</v>
      </c>
      <c r="BR17" s="3">
        <v>11</v>
      </c>
      <c r="BS17" s="3">
        <v>11</v>
      </c>
      <c r="BT17" s="3">
        <v>5</v>
      </c>
      <c r="BU17" s="13">
        <v>0.88597893866063815</v>
      </c>
      <c r="BV17" s="13">
        <v>11</v>
      </c>
      <c r="BY17" s="3" t="s">
        <v>227</v>
      </c>
      <c r="BZ17" s="3">
        <v>7</v>
      </c>
      <c r="CA17" s="18">
        <v>4.7777777777777777</v>
      </c>
      <c r="CB17" s="3">
        <v>7</v>
      </c>
      <c r="CC17" s="3">
        <v>6</v>
      </c>
      <c r="CD17" s="3">
        <v>5</v>
      </c>
      <c r="CE17" s="13">
        <v>0.88597893866063815</v>
      </c>
      <c r="CF17" s="13">
        <v>11</v>
      </c>
      <c r="CI17" s="3" t="s">
        <v>227</v>
      </c>
      <c r="CJ17" s="3">
        <v>3</v>
      </c>
      <c r="CK17" s="18">
        <v>4.4444444444444446</v>
      </c>
      <c r="CL17" s="3">
        <v>1</v>
      </c>
      <c r="CM17" s="3">
        <v>1</v>
      </c>
      <c r="CN17" s="3">
        <v>5</v>
      </c>
      <c r="CO17" s="13">
        <v>0.88597893866063815</v>
      </c>
      <c r="CP17" s="13">
        <v>11</v>
      </c>
    </row>
    <row r="18" spans="1:94" ht="14.25" customHeight="1" x14ac:dyDescent="0.3">
      <c r="A18" s="5" t="s">
        <v>229</v>
      </c>
      <c r="B18" s="5">
        <v>6</v>
      </c>
      <c r="C18" s="16">
        <v>10.777777777777779</v>
      </c>
      <c r="D18" s="9">
        <v>5</v>
      </c>
      <c r="E18" s="9">
        <v>12</v>
      </c>
      <c r="F18" s="5">
        <v>6</v>
      </c>
      <c r="G18" s="17">
        <v>-1.0923718971587979</v>
      </c>
      <c r="H18" s="5">
        <v>15</v>
      </c>
      <c r="I18" s="11" t="str">
        <f t="shared" si="0"/>
        <v>1</v>
      </c>
      <c r="J18" s="3" t="str">
        <f t="shared" si="1"/>
        <v>1</v>
      </c>
      <c r="K18" s="3" t="str">
        <f t="shared" si="2"/>
        <v>0</v>
      </c>
      <c r="L18" s="3" t="s">
        <v>230</v>
      </c>
      <c r="M18" s="3" t="str">
        <f t="shared" si="3"/>
        <v>0</v>
      </c>
      <c r="N18" s="3" t="str">
        <f t="shared" si="4"/>
        <v>0, Había quiebre y no supere quiebre</v>
      </c>
      <c r="O18" s="3" t="str">
        <f t="shared" si="5"/>
        <v>0, Había quiebre y supere quiebre</v>
      </c>
      <c r="P18" s="3" t="str">
        <f t="shared" si="6"/>
        <v>Habia quiebre y deja la CM</v>
      </c>
      <c r="Q18" s="3" t="s">
        <v>229</v>
      </c>
      <c r="R18" s="20">
        <v>5</v>
      </c>
      <c r="S18" s="21">
        <v>10</v>
      </c>
      <c r="T18" s="21">
        <v>5</v>
      </c>
      <c r="U18" s="21">
        <v>5</v>
      </c>
      <c r="V18" s="20">
        <v>5</v>
      </c>
      <c r="W18" s="13">
        <v>-1.0923718971587979</v>
      </c>
      <c r="X18" s="13">
        <v>15</v>
      </c>
      <c r="Y18" s="11" t="str">
        <f t="shared" si="7"/>
        <v>1</v>
      </c>
      <c r="Z18" s="3" t="str">
        <f>IF(W18&gt;0,
    IF(OR(R18&lt;=TRUNC(X18/2,0), R18=0),
        IF(AND(V18&gt;TRUNC(X18/2,0), V18&gt;R18),
            "1, Había quiebre y supere quiebre",
            IF(AND(V18&lt;TRUNC(X18/2,0), V18&lt;R18),
                "0, Había quiebre y no supere quiebre",
                "-1, había quiebre y deje CM")
        ),
        IF(AND(V18&gt;TRUNC(X18/2,0), V18&gt;R18),
            "1, no había quiebre, pero resultado fue mejor",
            IF(AND(V18&lt;TRUNC(X18/2,0), V18&lt;R18),
                "0, no había quiebre y la deje con quiebre",
                "-1, no había quiebre y deje CM")
        )
    ),
    IF(W18&lt;0,
        IF(R18&gt;TRUNC(X18/2,0),
            IF(AND(V18&gt;TRUNC(X18/2,0), V18&lt;R18),
                "0, Había quiebre y no supere quiebre",
                IF(AND(V18&lt;TRUNC(X18/2,0), V18&lt;R18),
                    "1, Había quiebre y supere quiebre",
                    "-1, había quiebre y deje CM"
                )
            ),
            IF(AND(R18&lt;=TRUNC(X18/2,0), R18&gt;0),
                IF(AND(V18&gt;TRUNC(X18/2,0), V18&gt;R18),
                    "0, no había quiebre, y la dejé más llena",
                    IF(AND(V18&lt;TRUNC(X18/2,0), V18&lt;R18),
                        "1, no había quiebre, pero el resultado fue mejor",
                        "-1, no había quiebre y deje CM"
                    )
                )
            )
        )
    )
)</f>
        <v>-1, no había quiebre y deje CM</v>
      </c>
      <c r="AA18" s="20" t="s">
        <v>219</v>
      </c>
      <c r="AB18" s="20" t="s">
        <v>231</v>
      </c>
      <c r="AC18" s="3" t="str">
        <f t="shared" si="17"/>
        <v>2, no había quiebre y el resultado fue mejor</v>
      </c>
      <c r="AD18" s="3" t="str">
        <f t="shared" si="9"/>
        <v>-1, no había quiebre y deje CM</v>
      </c>
      <c r="AE18" s="3" t="str">
        <f t="shared" si="10"/>
        <v>-2, no había quiebre y resultado fue bueno</v>
      </c>
      <c r="AF18" s="3" t="str">
        <f t="shared" si="18"/>
        <v>-2, no había quiebre y resultado fue bueno</v>
      </c>
      <c r="AG18" s="3" t="str">
        <f t="shared" si="11"/>
        <v>-2, no había quiebre y resultado fue bueno</v>
      </c>
      <c r="AH18" s="3" t="str">
        <f t="shared" si="12"/>
        <v>-2, no había quiebre y resultado fue bueno</v>
      </c>
      <c r="AI18" s="3">
        <f t="shared" si="13"/>
        <v>1</v>
      </c>
      <c r="AJ18" s="3" t="s">
        <v>229</v>
      </c>
      <c r="AK18" s="3">
        <v>12</v>
      </c>
      <c r="AL18" s="18">
        <v>9.8888888888888893</v>
      </c>
      <c r="AM18" s="3">
        <v>12</v>
      </c>
      <c r="AN18" s="3">
        <v>12</v>
      </c>
      <c r="AO18" s="3">
        <v>2</v>
      </c>
      <c r="AP18" s="13">
        <v>-1.0923718971587979</v>
      </c>
      <c r="AQ18" s="13">
        <v>15</v>
      </c>
      <c r="AR18" s="11" t="str">
        <f t="shared" si="14"/>
        <v>1</v>
      </c>
      <c r="AS18" s="3" t="str">
        <f t="shared" si="15"/>
        <v>1, Había quiebre y supere quiebre</v>
      </c>
      <c r="AT18" s="6" t="s">
        <v>308</v>
      </c>
      <c r="AU18" s="9" t="s">
        <v>229</v>
      </c>
      <c r="AV18" s="9">
        <v>10</v>
      </c>
      <c r="AW18" s="16">
        <v>6.666666666666667</v>
      </c>
      <c r="AX18" s="9">
        <v>13</v>
      </c>
      <c r="AY18" s="16">
        <v>13</v>
      </c>
      <c r="AZ18" s="9">
        <v>3</v>
      </c>
      <c r="BA18" s="19">
        <v>-1.0923718971587979</v>
      </c>
      <c r="BB18" s="5">
        <v>15</v>
      </c>
      <c r="BC18" s="3" t="str">
        <f t="shared" si="16"/>
        <v>1</v>
      </c>
      <c r="BE18" s="3" t="s">
        <v>229</v>
      </c>
      <c r="BF18" s="3">
        <v>7</v>
      </c>
      <c r="BG18" s="18">
        <v>9</v>
      </c>
      <c r="BH18" s="3">
        <v>9</v>
      </c>
      <c r="BI18" s="3">
        <v>12</v>
      </c>
      <c r="BJ18" s="3">
        <v>7</v>
      </c>
      <c r="BK18" s="13">
        <v>-1.0923718971587979</v>
      </c>
      <c r="BL18" s="13">
        <v>15</v>
      </c>
      <c r="BO18" s="3" t="s">
        <v>229</v>
      </c>
      <c r="BP18" s="3">
        <v>7</v>
      </c>
      <c r="BQ18" s="18">
        <v>9.4444444444444446</v>
      </c>
      <c r="BR18" s="3">
        <v>9</v>
      </c>
      <c r="BS18" s="3">
        <v>12</v>
      </c>
      <c r="BT18" s="3">
        <v>7</v>
      </c>
      <c r="BU18" s="13">
        <v>-1.0923718971587979</v>
      </c>
      <c r="BV18" s="13">
        <v>15</v>
      </c>
      <c r="BY18" s="3" t="s">
        <v>229</v>
      </c>
      <c r="BZ18" s="3">
        <v>8</v>
      </c>
      <c r="CA18" s="18">
        <v>8.3333333333333339</v>
      </c>
      <c r="CB18" s="3">
        <v>8</v>
      </c>
      <c r="CC18" s="3">
        <v>10</v>
      </c>
      <c r="CD18" s="3">
        <v>8</v>
      </c>
      <c r="CE18" s="13">
        <v>-1.0923718971587979</v>
      </c>
      <c r="CF18" s="13">
        <v>15</v>
      </c>
      <c r="CI18" s="3" t="s">
        <v>229</v>
      </c>
      <c r="CJ18" s="3">
        <v>9</v>
      </c>
      <c r="CK18" s="18">
        <v>10.777777777777779</v>
      </c>
      <c r="CL18" s="3">
        <v>9</v>
      </c>
      <c r="CM18" s="3">
        <v>9</v>
      </c>
      <c r="CN18" s="3">
        <v>2</v>
      </c>
      <c r="CO18" s="13">
        <v>-1.0923718971587979</v>
      </c>
      <c r="CP18" s="13">
        <v>15</v>
      </c>
    </row>
    <row r="19" spans="1:94" ht="14.25" customHeight="1" x14ac:dyDescent="0.3">
      <c r="A19" s="5" t="s">
        <v>232</v>
      </c>
      <c r="B19" s="5">
        <v>17</v>
      </c>
      <c r="C19" s="16">
        <v>15.888888888888889</v>
      </c>
      <c r="D19" s="9">
        <v>16</v>
      </c>
      <c r="E19" s="9">
        <v>15</v>
      </c>
      <c r="F19" s="5">
        <v>12</v>
      </c>
      <c r="G19" s="17">
        <v>-1.1154133211974251</v>
      </c>
      <c r="H19" s="5">
        <v>19</v>
      </c>
      <c r="I19" s="11" t="str">
        <f t="shared" si="0"/>
        <v>0</v>
      </c>
      <c r="J19" s="3" t="str">
        <f t="shared" si="1"/>
        <v>0</v>
      </c>
      <c r="K19" s="3" t="str">
        <f t="shared" si="2"/>
        <v>1</v>
      </c>
      <c r="L19" s="22" t="s">
        <v>233</v>
      </c>
      <c r="M19" s="3" t="str">
        <f t="shared" si="3"/>
        <v>1</v>
      </c>
      <c r="N19" s="3" t="str">
        <f t="shared" si="4"/>
        <v>1, Había quiebre y supere quiebre</v>
      </c>
      <c r="O19" s="3" t="str">
        <f t="shared" si="5"/>
        <v>1, Había quiebre y no supere quiebre</v>
      </c>
      <c r="P19" s="3" t="str">
        <f t="shared" si="6"/>
        <v>0, Había quiebre y no supere quiebre</v>
      </c>
      <c r="Q19" s="3" t="s">
        <v>232</v>
      </c>
      <c r="R19" s="3">
        <v>16</v>
      </c>
      <c r="S19" s="18">
        <v>14.777777777777779</v>
      </c>
      <c r="T19" s="18">
        <v>16</v>
      </c>
      <c r="U19" s="18">
        <v>14</v>
      </c>
      <c r="V19" s="3">
        <v>16</v>
      </c>
      <c r="W19" s="13">
        <v>-1.1154133211974251</v>
      </c>
      <c r="X19" s="13">
        <v>19</v>
      </c>
      <c r="Y19" s="11" t="str">
        <f t="shared" si="7"/>
        <v>0</v>
      </c>
      <c r="Z19" s="3" t="str">
        <f t="shared" ref="Z19:Z27" si="19">IF(W19&gt;0,
    IF(OR(R19&lt;=TRUNC(X19/2,0), R19=0),
        IF(AND(V19&gt;TRUNC(X19/2,0), V19&gt;R19),
            "1, Había quiebre y supere quiebre",
            IF(AND(V19&lt;TRUNC(X19/2,0), V19&lt;R19),
                "0, Había quiebre y no supere quiebre",
                "-1, había quiebre y deje CM")
        ),
        IF(AND(V19&gt;TRUNC(X19/2,0), V19&gt;R19),
            "1, no había quiebre, pero resultado fue mejor",
            IF(AND(V19&lt;TRUNC(X19/2,0), V19&lt;R19),
                "0, no había quiebre y la deje con quiebre",
                "-1, no había quiebre y deje CM")
        )
    ),
    IF(W19&lt;0,
        IF(R19&gt;TRUNC(X19/2,0),
            IF(AND(V19&gt;TRUNC(X19/2,0), V19&lt;R19),
                "0, Había quiebre y no supere quiebre",
                IF(AND(V19&lt;TRUNC(X19/2,0), V19&lt;R19),
                    "1, Había quiebre y supere quiebre",
                    "-1, había quiebre y deje CM"
                )
            ),
            IF(AND(R19&lt;=TRUNC(X19/2,0), R19&gt;0),
                IF(AND(V19&gt;TRUNC(X19/2,0), V19&gt;R19),
                    "0, no había quiebre, y la dejé más llena",
                    IF(OR(V19&lt;TRUNC(X19/2,0), V19&lt;R19),
                        "1, no había quiebre, pero el resultado fue mejor",
                        "-1, no había quiebre y deje CM"
                    )
                )
            )
        )
    )
)</f>
        <v>-1, había quiebre y deje CM</v>
      </c>
      <c r="AA19" s="3" t="s">
        <v>214</v>
      </c>
      <c r="AB19" s="3" t="s">
        <v>214</v>
      </c>
      <c r="AC19" s="3" t="str">
        <f t="shared" si="17"/>
        <v>-1, había quiebre y deje CM</v>
      </c>
      <c r="AD19" s="3" t="str">
        <f t="shared" si="9"/>
        <v>-1, había quiebre y deje CM</v>
      </c>
      <c r="AE19" s="3" t="str">
        <f t="shared" si="10"/>
        <v>-1, había quiebre y deje CM</v>
      </c>
      <c r="AF19" s="3" t="str">
        <f t="shared" si="18"/>
        <v>-1, había quiebre y deje CM</v>
      </c>
      <c r="AG19" s="3" t="str">
        <f t="shared" si="11"/>
        <v>-1, había quiebre y deje CM</v>
      </c>
      <c r="AH19" s="3" t="str">
        <f t="shared" si="12"/>
        <v>0, Había quiebre y no supere quiebre</v>
      </c>
      <c r="AI19" s="3">
        <f t="shared" si="13"/>
        <v>1</v>
      </c>
      <c r="AJ19" s="3" t="s">
        <v>232</v>
      </c>
      <c r="AK19" s="3">
        <v>15</v>
      </c>
      <c r="AL19" s="18">
        <v>14.444444444444445</v>
      </c>
      <c r="AM19" s="3">
        <v>15</v>
      </c>
      <c r="AN19" s="3">
        <v>15</v>
      </c>
      <c r="AO19" s="3">
        <v>6</v>
      </c>
      <c r="AP19" s="13">
        <v>-1.1154133211974251</v>
      </c>
      <c r="AQ19" s="13">
        <v>19</v>
      </c>
      <c r="AR19" s="11" t="str">
        <f t="shared" si="14"/>
        <v>1</v>
      </c>
      <c r="AS19" s="3" t="str">
        <f t="shared" si="15"/>
        <v>1, Había quiebre y supere quiebre</v>
      </c>
      <c r="AT19" s="6" t="s">
        <v>307</v>
      </c>
      <c r="AU19" s="9" t="s">
        <v>232</v>
      </c>
      <c r="AV19" s="9">
        <v>6</v>
      </c>
      <c r="AW19" s="16">
        <v>10.333333333333334</v>
      </c>
      <c r="AX19" s="9">
        <v>11</v>
      </c>
      <c r="AY19" s="16">
        <v>14</v>
      </c>
      <c r="AZ19" s="9">
        <v>6</v>
      </c>
      <c r="BA19" s="19">
        <v>-1.1154133211974251</v>
      </c>
      <c r="BB19" s="5">
        <v>19</v>
      </c>
      <c r="BC19" s="3" t="str">
        <f t="shared" si="16"/>
        <v>1</v>
      </c>
      <c r="BE19" s="3" t="s">
        <v>232</v>
      </c>
      <c r="BF19" s="3">
        <v>1</v>
      </c>
      <c r="BG19" s="18">
        <v>13.111111111111111</v>
      </c>
      <c r="BH19" s="3">
        <v>4</v>
      </c>
      <c r="BI19" s="3">
        <v>4</v>
      </c>
      <c r="BJ19" s="3">
        <v>3</v>
      </c>
      <c r="BK19" s="13">
        <v>-1.1154133211974251</v>
      </c>
      <c r="BL19" s="13">
        <v>19</v>
      </c>
      <c r="BO19" s="3" t="s">
        <v>232</v>
      </c>
      <c r="BP19" s="3">
        <v>12</v>
      </c>
      <c r="BQ19" s="18">
        <v>13.111111111111111</v>
      </c>
      <c r="BR19" s="3">
        <v>6</v>
      </c>
      <c r="BS19" s="3">
        <v>9</v>
      </c>
      <c r="BT19" s="3">
        <v>5</v>
      </c>
      <c r="BU19" s="13">
        <v>-1.1154133211974251</v>
      </c>
      <c r="BV19" s="13">
        <v>19</v>
      </c>
      <c r="BY19" s="3" t="s">
        <v>232</v>
      </c>
      <c r="BZ19" s="3">
        <v>6</v>
      </c>
      <c r="CA19" s="18">
        <v>13.555555555555555</v>
      </c>
      <c r="CB19" s="3">
        <v>4</v>
      </c>
      <c r="CC19" s="3">
        <v>3</v>
      </c>
      <c r="CD19" s="3">
        <v>6</v>
      </c>
      <c r="CE19" s="13">
        <v>-1.1154133211974251</v>
      </c>
      <c r="CF19" s="13">
        <v>19</v>
      </c>
      <c r="CI19" s="3" t="s">
        <v>232</v>
      </c>
      <c r="CJ19" s="3">
        <v>11</v>
      </c>
      <c r="CK19" s="18">
        <v>15.888888888888889</v>
      </c>
      <c r="CL19" s="3">
        <v>11</v>
      </c>
      <c r="CM19" s="3">
        <v>11</v>
      </c>
      <c r="CN19" s="3">
        <v>11</v>
      </c>
      <c r="CO19" s="13">
        <v>-1.1154133211974251</v>
      </c>
      <c r="CP19" s="13">
        <v>19</v>
      </c>
    </row>
    <row r="20" spans="1:94" ht="14.25" customHeight="1" x14ac:dyDescent="0.3">
      <c r="A20" s="5" t="s">
        <v>234</v>
      </c>
      <c r="B20" s="5">
        <v>15</v>
      </c>
      <c r="C20" s="16">
        <v>10.444444444444445</v>
      </c>
      <c r="D20" s="9">
        <v>14</v>
      </c>
      <c r="E20" s="9">
        <v>12</v>
      </c>
      <c r="F20" s="5">
        <v>8</v>
      </c>
      <c r="G20" s="17">
        <v>-1.12017317951397</v>
      </c>
      <c r="H20" s="5">
        <v>16</v>
      </c>
      <c r="I20" s="11" t="str">
        <f t="shared" si="0"/>
        <v>-1</v>
      </c>
      <c r="J20" s="3" t="str">
        <f t="shared" si="1"/>
        <v>1</v>
      </c>
      <c r="K20" s="3" t="str">
        <f t="shared" si="2"/>
        <v>-1</v>
      </c>
      <c r="M20" s="3" t="str">
        <f t="shared" si="3"/>
        <v>-1</v>
      </c>
      <c r="N20" s="3" t="str">
        <f t="shared" si="4"/>
        <v>1, Había quiebre y supere quiebre</v>
      </c>
      <c r="O20" s="3" t="str">
        <f t="shared" si="5"/>
        <v>1, Había quiebre y no supere quiebre</v>
      </c>
      <c r="P20" s="3" t="str">
        <f t="shared" si="6"/>
        <v>Habia quiebre y deja la CM</v>
      </c>
      <c r="Q20" s="3" t="s">
        <v>234</v>
      </c>
      <c r="R20" s="3">
        <v>14</v>
      </c>
      <c r="S20" s="18">
        <v>12.777777777777779</v>
      </c>
      <c r="T20" s="18">
        <v>15</v>
      </c>
      <c r="U20" s="18">
        <v>15</v>
      </c>
      <c r="V20" s="3">
        <v>11</v>
      </c>
      <c r="W20" s="13">
        <v>-1.12017317951397</v>
      </c>
      <c r="X20" s="13">
        <v>16</v>
      </c>
      <c r="Y20" s="11" t="str">
        <f t="shared" si="7"/>
        <v>0</v>
      </c>
      <c r="Z20" s="3" t="str">
        <f t="shared" si="19"/>
        <v>0, Había quiebre y no supere quiebre</v>
      </c>
      <c r="AA20" s="3" t="s">
        <v>235</v>
      </c>
      <c r="AB20" s="3" t="s">
        <v>235</v>
      </c>
      <c r="AC20" s="3" t="str">
        <f t="shared" si="17"/>
        <v>0, Había quiebre y no supere quiebre</v>
      </c>
      <c r="AD20" s="3" t="str">
        <f t="shared" si="9"/>
        <v>0, Había quiebre y no supere quiebre</v>
      </c>
      <c r="AE20" s="3" t="str">
        <f t="shared" si="10"/>
        <v>0, Había quiebre y no supere quiebre</v>
      </c>
      <c r="AF20" s="3" t="str">
        <f t="shared" si="18"/>
        <v>0, Había quiebre y no supere quiebre</v>
      </c>
      <c r="AG20" s="3" t="str">
        <f t="shared" si="11"/>
        <v>0, Había quiebre y no supere quiebre</v>
      </c>
      <c r="AH20" s="3" t="str">
        <f t="shared" si="12"/>
        <v>-2,había quiebre y resultado fue bueno</v>
      </c>
      <c r="AI20" s="3">
        <f t="shared" si="13"/>
        <v>1</v>
      </c>
      <c r="AJ20" s="3" t="s">
        <v>234</v>
      </c>
      <c r="AK20" s="3">
        <v>12</v>
      </c>
      <c r="AL20" s="18">
        <v>11.666666666666666</v>
      </c>
      <c r="AM20" s="3">
        <v>12</v>
      </c>
      <c r="AN20" s="3">
        <v>12</v>
      </c>
      <c r="AO20" s="3">
        <v>12</v>
      </c>
      <c r="AP20" s="13">
        <v>-1.12017317951397</v>
      </c>
      <c r="AQ20" s="13">
        <v>16</v>
      </c>
      <c r="AR20" s="11" t="str">
        <f t="shared" si="14"/>
        <v>0</v>
      </c>
      <c r="AS20" s="3" t="str">
        <f t="shared" si="15"/>
        <v>0, Había quiebre y no supere quiebre</v>
      </c>
      <c r="AT20" s="6" t="s">
        <v>235</v>
      </c>
      <c r="AU20" s="9" t="s">
        <v>234</v>
      </c>
      <c r="AV20" s="9">
        <v>14</v>
      </c>
      <c r="AW20" s="16">
        <v>10.777777777777779</v>
      </c>
      <c r="AX20" s="9">
        <v>5</v>
      </c>
      <c r="AY20" s="16">
        <v>2</v>
      </c>
      <c r="AZ20" s="9">
        <v>11</v>
      </c>
      <c r="BA20" s="19">
        <v>-1.12017317951397</v>
      </c>
      <c r="BB20" s="5">
        <v>16</v>
      </c>
      <c r="BC20" s="3" t="str">
        <f t="shared" si="16"/>
        <v>0</v>
      </c>
      <c r="BE20" s="3" t="s">
        <v>234</v>
      </c>
      <c r="BF20" s="3">
        <v>5</v>
      </c>
      <c r="BG20" s="18">
        <v>9.1111111111111107</v>
      </c>
      <c r="BH20" s="3">
        <v>1</v>
      </c>
      <c r="BI20" s="3">
        <v>3</v>
      </c>
      <c r="BJ20" s="3">
        <v>5</v>
      </c>
      <c r="BK20" s="13">
        <v>-1.12017317951397</v>
      </c>
      <c r="BL20" s="13">
        <v>16</v>
      </c>
      <c r="BO20" s="3" t="s">
        <v>234</v>
      </c>
      <c r="BP20" s="3">
        <v>5</v>
      </c>
      <c r="BQ20" s="18">
        <v>7</v>
      </c>
      <c r="BR20" s="3">
        <v>2</v>
      </c>
      <c r="BS20" s="3">
        <v>1</v>
      </c>
      <c r="BT20" s="3">
        <v>5</v>
      </c>
      <c r="BU20" s="13">
        <v>-1.12017317951397</v>
      </c>
      <c r="BV20" s="13">
        <v>16</v>
      </c>
      <c r="BY20" s="3" t="s">
        <v>234</v>
      </c>
      <c r="BZ20" s="3">
        <v>8</v>
      </c>
      <c r="CA20" s="18">
        <v>8.8888888888888893</v>
      </c>
      <c r="CB20" s="3">
        <v>6</v>
      </c>
      <c r="CC20" s="3">
        <v>4</v>
      </c>
      <c r="CD20" s="3">
        <v>8</v>
      </c>
      <c r="CE20" s="13">
        <v>-1.12017317951397</v>
      </c>
      <c r="CF20" s="13">
        <v>16</v>
      </c>
      <c r="CI20" s="3" t="s">
        <v>234</v>
      </c>
      <c r="CJ20" s="3">
        <v>10</v>
      </c>
      <c r="CK20" s="18">
        <v>10.444444444444445</v>
      </c>
      <c r="CL20" s="3">
        <v>8</v>
      </c>
      <c r="CM20" s="3">
        <v>9</v>
      </c>
      <c r="CN20" s="3">
        <v>10</v>
      </c>
      <c r="CO20" s="13">
        <v>-1.12017317951397</v>
      </c>
      <c r="CP20" s="13">
        <v>16</v>
      </c>
    </row>
    <row r="21" spans="1:94" ht="14.25" customHeight="1" x14ac:dyDescent="0.3">
      <c r="A21" s="5" t="s">
        <v>236</v>
      </c>
      <c r="B21" s="5">
        <v>13</v>
      </c>
      <c r="C21" s="16">
        <v>9.2222222222222214</v>
      </c>
      <c r="D21" s="9">
        <v>15</v>
      </c>
      <c r="E21" s="9">
        <v>12</v>
      </c>
      <c r="F21" s="5">
        <v>4</v>
      </c>
      <c r="G21" s="17">
        <v>-1.1339562965442611</v>
      </c>
      <c r="H21" s="5">
        <v>15</v>
      </c>
      <c r="I21" s="11" t="str">
        <f t="shared" si="0"/>
        <v>1</v>
      </c>
      <c r="J21" s="3" t="str">
        <f t="shared" si="1"/>
        <v>1</v>
      </c>
      <c r="K21" s="3" t="str">
        <f t="shared" si="2"/>
        <v>0</v>
      </c>
      <c r="L21" s="3" t="s">
        <v>237</v>
      </c>
      <c r="M21" s="3" t="str">
        <f t="shared" si="3"/>
        <v>0</v>
      </c>
      <c r="N21" s="3" t="str">
        <f t="shared" si="4"/>
        <v>0, Había quiebre y no supere quiebre</v>
      </c>
      <c r="O21" s="3" t="str">
        <f t="shared" si="5"/>
        <v>0, Había quiebre y supere quiebre</v>
      </c>
      <c r="P21" s="3" t="str">
        <f t="shared" si="6"/>
        <v>1, Había quiebre y supere quiebre</v>
      </c>
      <c r="Q21" s="3" t="s">
        <v>236</v>
      </c>
      <c r="R21" s="3">
        <v>15</v>
      </c>
      <c r="S21" s="18">
        <v>12.111111111111111</v>
      </c>
      <c r="T21" s="18">
        <v>11</v>
      </c>
      <c r="U21" s="18">
        <v>11</v>
      </c>
      <c r="V21" s="3">
        <v>2</v>
      </c>
      <c r="W21" s="13">
        <v>-1.1339562965442611</v>
      </c>
      <c r="X21" s="13">
        <v>15</v>
      </c>
      <c r="Y21" s="11" t="str">
        <f t="shared" si="7"/>
        <v>1</v>
      </c>
      <c r="Z21" s="3" t="str">
        <f t="shared" si="19"/>
        <v>1, Había quiebre y supere quiebre</v>
      </c>
      <c r="AA21" s="3" t="s">
        <v>228</v>
      </c>
      <c r="AB21" s="3" t="s">
        <v>228</v>
      </c>
      <c r="AC21" s="3" t="str">
        <f t="shared" si="17"/>
        <v>1, Había quiebre y supere quiebre</v>
      </c>
      <c r="AD21" s="3" t="str">
        <f t="shared" si="9"/>
        <v>1, Había quiebre y supere quiebre</v>
      </c>
      <c r="AE21" s="3" t="str">
        <f t="shared" si="10"/>
        <v>1, Había quiebre y supere quiebre</v>
      </c>
      <c r="AF21" s="3" t="str">
        <f t="shared" si="18"/>
        <v>1, Había quiebre y supere quiebre</v>
      </c>
      <c r="AG21" s="3" t="str">
        <f t="shared" si="11"/>
        <v>1, Había quiebre y supere quiebre</v>
      </c>
      <c r="AH21" s="3" t="str">
        <f t="shared" si="12"/>
        <v>1, Había quiebre y supere quiebre</v>
      </c>
      <c r="AI21" s="3">
        <f t="shared" si="13"/>
        <v>1</v>
      </c>
      <c r="AJ21" s="3" t="s">
        <v>236</v>
      </c>
      <c r="AK21" s="3">
        <v>12</v>
      </c>
      <c r="AL21" s="18">
        <v>13</v>
      </c>
      <c r="AM21" s="3">
        <v>12</v>
      </c>
      <c r="AN21" s="3">
        <v>12</v>
      </c>
      <c r="AO21" s="3">
        <v>11</v>
      </c>
      <c r="AP21" s="13">
        <v>-1.1339562965442611</v>
      </c>
      <c r="AQ21" s="13">
        <v>15</v>
      </c>
      <c r="AR21" s="11" t="str">
        <f t="shared" si="14"/>
        <v>0</v>
      </c>
      <c r="AS21" s="3" t="str">
        <f t="shared" si="15"/>
        <v>-2,había quiebre y resultado fue bueno</v>
      </c>
      <c r="AT21" s="6" t="s">
        <v>228</v>
      </c>
      <c r="AU21" s="9" t="s">
        <v>236</v>
      </c>
      <c r="AV21" s="9">
        <v>7</v>
      </c>
      <c r="AW21" s="16">
        <v>11.777777777777779</v>
      </c>
      <c r="AX21" s="9">
        <v>13</v>
      </c>
      <c r="AY21" s="16">
        <v>15</v>
      </c>
      <c r="AZ21" s="9">
        <v>7</v>
      </c>
      <c r="BA21" s="19">
        <v>-1.1339562965442611</v>
      </c>
      <c r="BB21" s="5">
        <v>15</v>
      </c>
      <c r="BC21" s="3" t="str">
        <f t="shared" si="16"/>
        <v>-1</v>
      </c>
      <c r="BE21" s="3" t="s">
        <v>236</v>
      </c>
      <c r="BF21" s="3">
        <v>14</v>
      </c>
      <c r="BG21" s="18">
        <v>9.4444444444444446</v>
      </c>
      <c r="BH21" s="3">
        <v>15</v>
      </c>
      <c r="BI21" s="3">
        <v>15</v>
      </c>
      <c r="BJ21" s="3">
        <v>3</v>
      </c>
      <c r="BK21" s="13">
        <v>-1.1339562965442611</v>
      </c>
      <c r="BL21" s="13">
        <v>15</v>
      </c>
      <c r="BO21" s="3" t="s">
        <v>236</v>
      </c>
      <c r="BP21" s="3">
        <v>1</v>
      </c>
      <c r="BQ21" s="18">
        <v>6.4444444444444446</v>
      </c>
      <c r="BR21" s="3">
        <v>4</v>
      </c>
      <c r="BS21" s="3">
        <v>9</v>
      </c>
      <c r="BT21" s="3">
        <v>4</v>
      </c>
      <c r="BU21" s="13">
        <v>-1.1339562965442611</v>
      </c>
      <c r="BV21" s="13">
        <v>15</v>
      </c>
      <c r="BY21" s="3" t="s">
        <v>236</v>
      </c>
      <c r="BZ21" s="3">
        <v>10</v>
      </c>
      <c r="CA21" s="18">
        <v>10.555555555555555</v>
      </c>
      <c r="CB21" s="3">
        <v>11</v>
      </c>
      <c r="CC21" s="3">
        <v>13</v>
      </c>
      <c r="CD21" s="3">
        <v>12</v>
      </c>
      <c r="CE21" s="13">
        <v>-1.1339562965442611</v>
      </c>
      <c r="CF21" s="13">
        <v>15</v>
      </c>
      <c r="CI21" s="3" t="s">
        <v>236</v>
      </c>
      <c r="CJ21" s="3">
        <v>3</v>
      </c>
      <c r="CK21" s="18">
        <v>9.2222222222222214</v>
      </c>
      <c r="CL21" s="3">
        <v>6</v>
      </c>
      <c r="CM21" s="3">
        <v>6</v>
      </c>
      <c r="CN21" s="3">
        <v>3</v>
      </c>
      <c r="CO21" s="13">
        <v>-1.1339562965442611</v>
      </c>
      <c r="CP21" s="13">
        <v>15</v>
      </c>
    </row>
    <row r="22" spans="1:94" ht="14.25" customHeight="1" x14ac:dyDescent="0.3">
      <c r="A22" s="5" t="s">
        <v>238</v>
      </c>
      <c r="B22" s="5">
        <v>3</v>
      </c>
      <c r="C22" s="16">
        <v>3.1111111111111112</v>
      </c>
      <c r="D22" s="9">
        <v>2</v>
      </c>
      <c r="E22" s="9">
        <v>4</v>
      </c>
      <c r="F22" s="5">
        <v>3</v>
      </c>
      <c r="G22" s="17">
        <v>-1.1428327832816429</v>
      </c>
      <c r="H22" s="5">
        <v>7</v>
      </c>
      <c r="I22" s="11" t="str">
        <f t="shared" si="0"/>
        <v>-1</v>
      </c>
      <c r="J22" s="3" t="str">
        <f t="shared" si="1"/>
        <v>1</v>
      </c>
      <c r="K22" s="3" t="str">
        <f t="shared" si="2"/>
        <v>0</v>
      </c>
      <c r="M22" s="3" t="str">
        <f t="shared" si="3"/>
        <v>-1</v>
      </c>
      <c r="N22" s="3" t="str">
        <f t="shared" si="4"/>
        <v>1, Había quiebre y supere quiebre</v>
      </c>
      <c r="O22" s="3" t="str">
        <f t="shared" si="5"/>
        <v>1, Había quiebre y no supere quiebre</v>
      </c>
      <c r="P22" s="3" t="str">
        <f t="shared" si="6"/>
        <v>Habia quiebre y deja la CM</v>
      </c>
      <c r="Q22" s="3" t="s">
        <v>238</v>
      </c>
      <c r="R22" s="20">
        <v>1</v>
      </c>
      <c r="S22" s="21">
        <v>2.7777777777777777</v>
      </c>
      <c r="T22" s="21">
        <v>1</v>
      </c>
      <c r="U22" s="21">
        <v>1</v>
      </c>
      <c r="V22" s="20">
        <v>2</v>
      </c>
      <c r="W22" s="23">
        <v>-1.1428327832816429</v>
      </c>
      <c r="X22" s="23">
        <v>7</v>
      </c>
      <c r="Y22" s="24" t="str">
        <f t="shared" si="7"/>
        <v>1</v>
      </c>
      <c r="Z22" s="3" t="str">
        <f t="shared" si="19"/>
        <v>1, no había quiebre, pero el resultado fue mejor</v>
      </c>
      <c r="AA22" s="20" t="s">
        <v>219</v>
      </c>
      <c r="AB22" s="20" t="s">
        <v>231</v>
      </c>
      <c r="AC22" s="3" t="str">
        <f t="shared" si="17"/>
        <v>2, no había quiebre y el resultado fue mejor</v>
      </c>
      <c r="AD22" s="3" t="str">
        <f t="shared" si="9"/>
        <v>-1, no había quiebre y deje CM</v>
      </c>
      <c r="AE22" s="3" t="str">
        <f t="shared" si="10"/>
        <v>-2, no había quiebre y resultado fue bueno</v>
      </c>
      <c r="AF22" s="3" t="str">
        <f t="shared" si="18"/>
        <v>-2, no había quiebre y resultado fue bueno</v>
      </c>
      <c r="AG22" s="3" t="str">
        <f t="shared" si="11"/>
        <v>-2, no había quiebre y resultado fue bueno</v>
      </c>
      <c r="AH22" s="3" t="str">
        <f t="shared" si="12"/>
        <v>-2, no había quiebre y resultado fue bueno</v>
      </c>
      <c r="AI22" s="3">
        <f t="shared" si="13"/>
        <v>1</v>
      </c>
      <c r="AJ22" s="3" t="s">
        <v>238</v>
      </c>
      <c r="AK22" s="3">
        <v>4</v>
      </c>
      <c r="AL22" s="18">
        <v>2.4444444444444446</v>
      </c>
      <c r="AM22" s="3">
        <v>4</v>
      </c>
      <c r="AN22" s="3">
        <v>4</v>
      </c>
      <c r="AO22" s="3">
        <v>4</v>
      </c>
      <c r="AP22" s="13">
        <v>-1.1428327832816429</v>
      </c>
      <c r="AQ22" s="13">
        <v>7</v>
      </c>
      <c r="AR22" s="11" t="str">
        <f t="shared" si="14"/>
        <v>0</v>
      </c>
      <c r="AS22" s="3" t="str">
        <f t="shared" si="15"/>
        <v>0, Había quiebre y no supere quiebre</v>
      </c>
      <c r="AT22" s="6" t="s">
        <v>308</v>
      </c>
      <c r="AU22" s="9" t="s">
        <v>238</v>
      </c>
      <c r="AV22" s="9">
        <v>4</v>
      </c>
      <c r="AW22" s="16">
        <v>3.2222222222222223</v>
      </c>
      <c r="AX22" s="9">
        <v>4</v>
      </c>
      <c r="AY22" s="16">
        <v>4</v>
      </c>
      <c r="AZ22" s="9">
        <v>4</v>
      </c>
      <c r="BA22" s="19">
        <v>-1.1428327832816429</v>
      </c>
      <c r="BB22" s="5">
        <v>7</v>
      </c>
      <c r="BC22" s="3" t="str">
        <f t="shared" si="16"/>
        <v>0</v>
      </c>
      <c r="BE22" s="3" t="s">
        <v>238</v>
      </c>
      <c r="BF22" s="3">
        <v>4</v>
      </c>
      <c r="BG22" s="18">
        <v>3.1111111111111112</v>
      </c>
      <c r="BH22" s="3">
        <v>4</v>
      </c>
      <c r="BI22" s="3">
        <v>4</v>
      </c>
      <c r="BJ22" s="3">
        <v>4</v>
      </c>
      <c r="BK22" s="13">
        <v>-1.1428327832816429</v>
      </c>
      <c r="BL22" s="13">
        <v>7</v>
      </c>
      <c r="BO22" s="3" t="s">
        <v>238</v>
      </c>
      <c r="BP22" s="3">
        <v>2</v>
      </c>
      <c r="BQ22" s="18">
        <v>3</v>
      </c>
      <c r="BR22" s="3">
        <v>2</v>
      </c>
      <c r="BS22" s="3">
        <v>2</v>
      </c>
      <c r="BT22" s="3">
        <v>2</v>
      </c>
      <c r="BU22" s="13">
        <v>-1.1428327832816429</v>
      </c>
      <c r="BV22" s="13">
        <v>7</v>
      </c>
      <c r="BY22" s="3" t="s">
        <v>238</v>
      </c>
      <c r="BZ22" s="3">
        <v>2</v>
      </c>
      <c r="CA22" s="18">
        <v>3.1111111111111112</v>
      </c>
      <c r="CB22" s="3">
        <v>2</v>
      </c>
      <c r="CC22" s="3">
        <v>2</v>
      </c>
      <c r="CD22" s="3">
        <v>2</v>
      </c>
      <c r="CE22" s="13">
        <v>-1.1428327832816429</v>
      </c>
      <c r="CF22" s="13">
        <v>7</v>
      </c>
      <c r="CI22" s="3" t="s">
        <v>238</v>
      </c>
      <c r="CJ22" s="3">
        <v>2</v>
      </c>
      <c r="CK22" s="18">
        <v>3.1111111111111112</v>
      </c>
      <c r="CL22" s="3">
        <v>2</v>
      </c>
      <c r="CM22" s="3">
        <v>2</v>
      </c>
      <c r="CN22" s="3">
        <v>2</v>
      </c>
      <c r="CO22" s="13">
        <v>-1.1428327832816429</v>
      </c>
      <c r="CP22" s="13">
        <v>7</v>
      </c>
    </row>
    <row r="23" spans="1:94" ht="14.25" customHeight="1" x14ac:dyDescent="0.3">
      <c r="A23" s="5" t="s">
        <v>239</v>
      </c>
      <c r="B23" s="5">
        <v>15</v>
      </c>
      <c r="C23" s="16">
        <v>11.444444444444445</v>
      </c>
      <c r="D23" s="9">
        <v>15</v>
      </c>
      <c r="E23" s="9">
        <v>12</v>
      </c>
      <c r="F23" s="5">
        <v>8</v>
      </c>
      <c r="G23" s="17">
        <v>-1.1920893573654381</v>
      </c>
      <c r="H23" s="5">
        <v>15</v>
      </c>
      <c r="I23" s="11" t="str">
        <f t="shared" si="0"/>
        <v>0</v>
      </c>
      <c r="J23" s="3" t="str">
        <f t="shared" si="1"/>
        <v>1</v>
      </c>
      <c r="K23" s="3" t="str">
        <f t="shared" si="2"/>
        <v>1</v>
      </c>
      <c r="M23" s="3" t="str">
        <f t="shared" si="3"/>
        <v>1</v>
      </c>
      <c r="N23" s="3" t="str">
        <f t="shared" si="4"/>
        <v>1, Había quiebre y supere quiebre</v>
      </c>
      <c r="O23" s="3" t="str">
        <f t="shared" si="5"/>
        <v>1, Había quiebre y no supere quiebre</v>
      </c>
      <c r="P23" s="3" t="str">
        <f t="shared" si="6"/>
        <v>0, Había quiebre y no supere quiebre</v>
      </c>
      <c r="Q23" s="3" t="s">
        <v>239</v>
      </c>
      <c r="R23" s="3">
        <v>11</v>
      </c>
      <c r="S23" s="18">
        <v>10.111111111111111</v>
      </c>
      <c r="T23" s="18">
        <v>11</v>
      </c>
      <c r="U23" s="18">
        <v>11</v>
      </c>
      <c r="V23" s="3">
        <v>11</v>
      </c>
      <c r="W23" s="13">
        <v>-1.1920893573654381</v>
      </c>
      <c r="X23" s="13">
        <v>15</v>
      </c>
      <c r="Y23" s="11" t="str">
        <f t="shared" si="7"/>
        <v>0</v>
      </c>
      <c r="Z23" s="3" t="str">
        <f t="shared" si="19"/>
        <v>-1, había quiebre y deje CM</v>
      </c>
      <c r="AA23" s="3" t="s">
        <v>214</v>
      </c>
      <c r="AB23" s="3" t="s">
        <v>214</v>
      </c>
      <c r="AC23" s="3" t="str">
        <f t="shared" si="17"/>
        <v>-1, había quiebre y deje CM</v>
      </c>
      <c r="AD23" s="3" t="str">
        <f t="shared" si="9"/>
        <v>-1, había quiebre y deje CM</v>
      </c>
      <c r="AE23" s="3" t="str">
        <f t="shared" si="10"/>
        <v>-1, había quiebre y deje CM</v>
      </c>
      <c r="AF23" s="3" t="str">
        <f t="shared" si="18"/>
        <v>-1, había quiebre y deje CM</v>
      </c>
      <c r="AG23" s="3" t="str">
        <f t="shared" si="11"/>
        <v>-1, había quiebre y deje CM</v>
      </c>
      <c r="AH23" s="3" t="str">
        <f t="shared" si="12"/>
        <v>0, Había quiebre y no supere quiebre</v>
      </c>
      <c r="AI23" s="3">
        <f t="shared" si="13"/>
        <v>1</v>
      </c>
      <c r="AJ23" s="3" t="s">
        <v>239</v>
      </c>
      <c r="AK23" s="3">
        <v>12</v>
      </c>
      <c r="AL23" s="18">
        <v>11.444444444444445</v>
      </c>
      <c r="AM23" s="3">
        <v>12</v>
      </c>
      <c r="AN23" s="3">
        <v>12</v>
      </c>
      <c r="AO23" s="3">
        <v>12</v>
      </c>
      <c r="AP23" s="13">
        <v>-1.1920893573654381</v>
      </c>
      <c r="AQ23" s="13">
        <v>15</v>
      </c>
      <c r="AR23" s="11" t="str">
        <f t="shared" si="14"/>
        <v>0</v>
      </c>
      <c r="AS23" s="3" t="str">
        <f t="shared" si="15"/>
        <v>0, Había quiebre y no supere quiebre</v>
      </c>
      <c r="AT23" s="6" t="s">
        <v>307</v>
      </c>
      <c r="AU23" s="9" t="s">
        <v>239</v>
      </c>
      <c r="AV23" s="9">
        <v>12</v>
      </c>
      <c r="AW23" s="16">
        <v>11.777777777777779</v>
      </c>
      <c r="AX23" s="9">
        <v>14</v>
      </c>
      <c r="AY23" s="16">
        <v>14</v>
      </c>
      <c r="AZ23" s="9">
        <v>12</v>
      </c>
      <c r="BA23" s="19">
        <v>-1.1920893573654381</v>
      </c>
      <c r="BB23" s="5">
        <v>15</v>
      </c>
      <c r="BC23" s="3" t="str">
        <f t="shared" si="16"/>
        <v>0</v>
      </c>
      <c r="BE23" s="3" t="s">
        <v>239</v>
      </c>
      <c r="BF23" s="3">
        <v>6</v>
      </c>
      <c r="BG23" s="18">
        <v>10</v>
      </c>
      <c r="BH23" s="3">
        <v>7</v>
      </c>
      <c r="BI23" s="3">
        <v>9</v>
      </c>
      <c r="BJ23" s="3">
        <v>6</v>
      </c>
      <c r="BK23" s="13">
        <v>-1.1920893573654381</v>
      </c>
      <c r="BL23" s="13">
        <v>15</v>
      </c>
      <c r="BO23" s="3" t="s">
        <v>239</v>
      </c>
      <c r="BP23" s="3">
        <v>14</v>
      </c>
      <c r="BQ23" s="18">
        <v>10.222222222222221</v>
      </c>
      <c r="BR23" s="3">
        <v>14</v>
      </c>
      <c r="BS23" s="3">
        <v>13</v>
      </c>
      <c r="BT23" s="3">
        <v>3</v>
      </c>
      <c r="BU23" s="13">
        <v>-1.1920893573654381</v>
      </c>
      <c r="BV23" s="13">
        <v>15</v>
      </c>
      <c r="BY23" s="3" t="s">
        <v>239</v>
      </c>
      <c r="BZ23" s="3">
        <v>6</v>
      </c>
      <c r="CA23" s="18">
        <v>9.2222222222222214</v>
      </c>
      <c r="CB23" s="3">
        <v>9</v>
      </c>
      <c r="CC23" s="3">
        <v>9</v>
      </c>
      <c r="CD23" s="3">
        <v>6</v>
      </c>
      <c r="CE23" s="13">
        <v>-1.1920893573654381</v>
      </c>
      <c r="CF23" s="13">
        <v>15</v>
      </c>
      <c r="CI23" s="3" t="s">
        <v>239</v>
      </c>
      <c r="CJ23" s="3">
        <v>13</v>
      </c>
      <c r="CK23" s="18">
        <v>11.444444444444445</v>
      </c>
      <c r="CL23" s="3">
        <v>13</v>
      </c>
      <c r="CM23" s="3">
        <v>13</v>
      </c>
      <c r="CN23" s="3">
        <v>13</v>
      </c>
      <c r="CO23" s="13">
        <v>-1.1920893573654381</v>
      </c>
      <c r="CP23" s="13">
        <v>15</v>
      </c>
    </row>
    <row r="24" spans="1:94" ht="14.25" customHeight="1" x14ac:dyDescent="0.3">
      <c r="A24" s="5" t="s">
        <v>240</v>
      </c>
      <c r="B24" s="5">
        <v>11</v>
      </c>
      <c r="C24" s="16">
        <v>14</v>
      </c>
      <c r="D24" s="9">
        <v>12</v>
      </c>
      <c r="E24" s="9">
        <v>15</v>
      </c>
      <c r="F24" s="5">
        <v>11</v>
      </c>
      <c r="G24" s="17">
        <v>-1.196962071035268</v>
      </c>
      <c r="H24" s="5">
        <v>19</v>
      </c>
      <c r="I24" s="11" t="str">
        <f t="shared" si="0"/>
        <v>0</v>
      </c>
      <c r="J24" s="3" t="str">
        <f t="shared" si="1"/>
        <v>-1</v>
      </c>
      <c r="K24" s="3" t="str">
        <f t="shared" si="2"/>
        <v>1</v>
      </c>
      <c r="M24" s="3" t="str">
        <f t="shared" si="3"/>
        <v>1</v>
      </c>
      <c r="N24" s="3" t="str">
        <f t="shared" si="4"/>
        <v>1, Había quiebre y supere quiebre</v>
      </c>
      <c r="O24" s="3" t="str">
        <f t="shared" si="5"/>
        <v>1, Había quiebre y no supere quiebre</v>
      </c>
      <c r="P24" s="3" t="str">
        <f t="shared" si="6"/>
        <v>Habia quiebre y deja la CM</v>
      </c>
      <c r="Q24" s="3" t="s">
        <v>240</v>
      </c>
      <c r="R24" s="3">
        <v>19</v>
      </c>
      <c r="S24" s="18">
        <v>15.666666666666666</v>
      </c>
      <c r="T24" s="18">
        <v>19</v>
      </c>
      <c r="U24" s="18">
        <v>19</v>
      </c>
      <c r="V24" s="3">
        <v>16</v>
      </c>
      <c r="W24" s="13">
        <v>-1.196962071035268</v>
      </c>
      <c r="X24" s="13">
        <v>19</v>
      </c>
      <c r="Y24" s="11" t="str">
        <f t="shared" si="7"/>
        <v>0</v>
      </c>
      <c r="Z24" s="3" t="str">
        <f t="shared" si="19"/>
        <v>0, Había quiebre y no supere quiebre</v>
      </c>
      <c r="AA24" s="3" t="s">
        <v>235</v>
      </c>
      <c r="AB24" s="3" t="s">
        <v>235</v>
      </c>
      <c r="AC24" s="3" t="str">
        <f t="shared" si="17"/>
        <v>0, Había quiebre y no supere quiebre</v>
      </c>
      <c r="AD24" s="3" t="str">
        <f t="shared" si="9"/>
        <v>0, Había quiebre y no supere quiebre</v>
      </c>
      <c r="AE24" s="3" t="str">
        <f t="shared" si="10"/>
        <v>0, Había quiebre y no supere quiebre</v>
      </c>
      <c r="AF24" s="3" t="str">
        <f t="shared" si="18"/>
        <v>0, Había quiebre y no supere quiebre</v>
      </c>
      <c r="AG24" s="3" t="str">
        <f t="shared" si="11"/>
        <v>0, Había quiebre y no supere quiebre</v>
      </c>
      <c r="AH24" s="3" t="str">
        <f t="shared" si="12"/>
        <v>-2,había quiebre y resultado fue bueno</v>
      </c>
      <c r="AI24" s="3">
        <f t="shared" si="13"/>
        <v>1</v>
      </c>
      <c r="AJ24" s="3" t="s">
        <v>240</v>
      </c>
      <c r="AK24" s="3">
        <v>15</v>
      </c>
      <c r="AL24" s="18">
        <v>14.777777777777779</v>
      </c>
      <c r="AM24" s="3">
        <v>15</v>
      </c>
      <c r="AN24" s="3">
        <v>15</v>
      </c>
      <c r="AO24" s="3">
        <v>15</v>
      </c>
      <c r="AP24" s="13">
        <v>-1.196962071035268</v>
      </c>
      <c r="AQ24" s="13">
        <v>19</v>
      </c>
      <c r="AR24" s="11" t="str">
        <f t="shared" si="14"/>
        <v>0</v>
      </c>
      <c r="AS24" s="3" t="str">
        <f t="shared" si="15"/>
        <v>0, Había quiebre y no supere quiebre</v>
      </c>
      <c r="AT24" s="6" t="s">
        <v>235</v>
      </c>
      <c r="AU24" s="9" t="s">
        <v>240</v>
      </c>
      <c r="AV24" s="9">
        <v>16</v>
      </c>
      <c r="AW24" s="16">
        <v>13.111111111111111</v>
      </c>
      <c r="AX24" s="9">
        <v>18</v>
      </c>
      <c r="AY24" s="16">
        <v>19</v>
      </c>
      <c r="AZ24" s="9">
        <v>16</v>
      </c>
      <c r="BA24" s="19">
        <v>-1.196962071035268</v>
      </c>
      <c r="BB24" s="5">
        <v>19</v>
      </c>
      <c r="BC24" s="3" t="str">
        <f t="shared" si="16"/>
        <v>0</v>
      </c>
      <c r="BE24" s="3" t="s">
        <v>240</v>
      </c>
      <c r="BF24" s="3">
        <v>16</v>
      </c>
      <c r="BG24" s="18">
        <v>10.555555555555555</v>
      </c>
      <c r="BH24" s="3">
        <v>19</v>
      </c>
      <c r="BI24" s="3">
        <v>19</v>
      </c>
      <c r="BJ24" s="3">
        <v>16</v>
      </c>
      <c r="BK24" s="13">
        <v>-1.196962071035268</v>
      </c>
      <c r="BL24" s="13">
        <v>19</v>
      </c>
      <c r="BO24" s="3" t="s">
        <v>240</v>
      </c>
      <c r="BP24" s="3">
        <v>15</v>
      </c>
      <c r="BQ24" s="18">
        <v>11.111111111111111</v>
      </c>
      <c r="BR24" s="3">
        <v>17</v>
      </c>
      <c r="BS24" s="3">
        <v>17</v>
      </c>
      <c r="BT24" s="3">
        <v>15</v>
      </c>
      <c r="BU24" s="13">
        <v>-1.196962071035268</v>
      </c>
      <c r="BV24" s="13">
        <v>19</v>
      </c>
      <c r="BY24" s="3" t="s">
        <v>240</v>
      </c>
      <c r="BZ24" s="3">
        <v>14</v>
      </c>
      <c r="CA24" s="18">
        <v>12.666666666666666</v>
      </c>
      <c r="CB24" s="3">
        <v>17</v>
      </c>
      <c r="CC24" s="3">
        <v>16</v>
      </c>
      <c r="CD24" s="3">
        <v>14</v>
      </c>
      <c r="CE24" s="13">
        <v>-1.196962071035268</v>
      </c>
      <c r="CF24" s="13">
        <v>19</v>
      </c>
      <c r="CI24" s="3" t="s">
        <v>240</v>
      </c>
      <c r="CJ24" s="3">
        <v>13</v>
      </c>
      <c r="CK24" s="18">
        <v>14</v>
      </c>
      <c r="CL24" s="3">
        <v>14</v>
      </c>
      <c r="CM24" s="3">
        <v>17</v>
      </c>
      <c r="CN24" s="3">
        <v>13</v>
      </c>
      <c r="CO24" s="13">
        <v>-1.196962071035268</v>
      </c>
      <c r="CP24" s="13">
        <v>19</v>
      </c>
    </row>
    <row r="25" spans="1:94" ht="14.25" customHeight="1" x14ac:dyDescent="0.3">
      <c r="A25" s="5" t="s">
        <v>241</v>
      </c>
      <c r="B25" s="5">
        <v>13</v>
      </c>
      <c r="C25" s="16">
        <v>10.888888888888889</v>
      </c>
      <c r="D25" s="9">
        <v>8</v>
      </c>
      <c r="E25" s="9">
        <v>12</v>
      </c>
      <c r="F25" s="5">
        <v>13</v>
      </c>
      <c r="G25" s="17">
        <v>-1.2097705883740471</v>
      </c>
      <c r="H25" s="5">
        <v>15</v>
      </c>
      <c r="I25" s="11" t="str">
        <f t="shared" si="0"/>
        <v>0</v>
      </c>
      <c r="J25" s="3" t="str">
        <f t="shared" si="1"/>
        <v>0</v>
      </c>
      <c r="K25" s="3" t="str">
        <f t="shared" si="2"/>
        <v>1</v>
      </c>
      <c r="M25" s="3" t="str">
        <f t="shared" si="3"/>
        <v>1</v>
      </c>
      <c r="N25" s="3" t="str">
        <f t="shared" si="4"/>
        <v>1, Había quiebre y supere quiebre</v>
      </c>
      <c r="O25" s="3" t="str">
        <f t="shared" si="5"/>
        <v>1, Había quiebre y no supere quiebre</v>
      </c>
      <c r="P25" s="3" t="str">
        <f t="shared" si="6"/>
        <v>Habia quiebre y deja la CM</v>
      </c>
      <c r="Q25" s="3" t="s">
        <v>241</v>
      </c>
      <c r="R25" s="3">
        <v>12</v>
      </c>
      <c r="S25" s="18">
        <v>12.111111111111111</v>
      </c>
      <c r="T25" s="18">
        <v>11</v>
      </c>
      <c r="U25" s="18">
        <v>12</v>
      </c>
      <c r="V25" s="3">
        <v>12</v>
      </c>
      <c r="W25" s="13">
        <v>-1.2097705883740471</v>
      </c>
      <c r="X25" s="13">
        <v>15</v>
      </c>
      <c r="Y25" s="11" t="str">
        <f t="shared" si="7"/>
        <v>0</v>
      </c>
      <c r="Z25" s="3" t="str">
        <f t="shared" si="19"/>
        <v>-1, había quiebre y deje CM</v>
      </c>
      <c r="AA25" s="3" t="s">
        <v>214</v>
      </c>
      <c r="AB25" s="3" t="s">
        <v>214</v>
      </c>
      <c r="AC25" s="3" t="str">
        <f t="shared" si="17"/>
        <v>-1, había quiebre y deje CM</v>
      </c>
      <c r="AD25" s="3" t="str">
        <f t="shared" si="9"/>
        <v>-1, había quiebre y deje CM</v>
      </c>
      <c r="AE25" s="3" t="str">
        <f t="shared" si="10"/>
        <v>-1, había quiebre y deje CM</v>
      </c>
      <c r="AF25" s="3" t="str">
        <f t="shared" si="18"/>
        <v>-1, había quiebre y deje CM</v>
      </c>
      <c r="AG25" s="3" t="str">
        <f t="shared" si="11"/>
        <v>-1, había quiebre y deje CM</v>
      </c>
      <c r="AH25" s="3" t="str">
        <f t="shared" si="12"/>
        <v>0, Había quiebre y no supere quiebre</v>
      </c>
      <c r="AI25" s="3">
        <f t="shared" si="13"/>
        <v>1</v>
      </c>
      <c r="AJ25" s="3" t="s">
        <v>241</v>
      </c>
      <c r="AK25" s="3">
        <v>12</v>
      </c>
      <c r="AL25" s="18">
        <v>11.777777777777779</v>
      </c>
      <c r="AM25" s="3">
        <v>12</v>
      </c>
      <c r="AN25" s="3">
        <v>12</v>
      </c>
      <c r="AO25" s="3">
        <v>12</v>
      </c>
      <c r="AP25" s="13">
        <v>-1.2097705883740471</v>
      </c>
      <c r="AQ25" s="13">
        <v>15</v>
      </c>
      <c r="AR25" s="11" t="str">
        <f t="shared" si="14"/>
        <v>0</v>
      </c>
      <c r="AS25" s="3" t="str">
        <f t="shared" si="15"/>
        <v>0, Había quiebre y no supere quiebre</v>
      </c>
      <c r="AT25" s="6" t="s">
        <v>307</v>
      </c>
      <c r="AU25" s="9" t="s">
        <v>241</v>
      </c>
      <c r="AV25" s="9">
        <v>10</v>
      </c>
      <c r="AW25" s="16">
        <v>11.222222222222221</v>
      </c>
      <c r="AX25" s="9">
        <v>10</v>
      </c>
      <c r="AY25" s="16">
        <v>9</v>
      </c>
      <c r="AZ25" s="9">
        <v>13</v>
      </c>
      <c r="BA25" s="19">
        <v>-1.2097705883740471</v>
      </c>
      <c r="BB25" s="5">
        <v>15</v>
      </c>
      <c r="BC25" s="3" t="str">
        <f t="shared" si="16"/>
        <v>0</v>
      </c>
      <c r="BE25" s="3" t="s">
        <v>241</v>
      </c>
      <c r="BF25" s="3">
        <v>8</v>
      </c>
      <c r="BG25" s="18">
        <v>8.6666666666666661</v>
      </c>
      <c r="BH25" s="3">
        <v>8</v>
      </c>
      <c r="BI25" s="3">
        <v>7</v>
      </c>
      <c r="BJ25" s="3">
        <v>8</v>
      </c>
      <c r="BK25" s="13">
        <v>-1.2097705883740471</v>
      </c>
      <c r="BL25" s="13">
        <v>15</v>
      </c>
      <c r="BO25" s="3" t="s">
        <v>241</v>
      </c>
      <c r="BP25" s="3">
        <v>4</v>
      </c>
      <c r="BQ25" s="18">
        <v>7.333333333333333</v>
      </c>
      <c r="BR25" s="3">
        <v>6</v>
      </c>
      <c r="BS25" s="3">
        <v>9</v>
      </c>
      <c r="BT25" s="3">
        <v>4</v>
      </c>
      <c r="BU25" s="13">
        <v>-1.2097705883740471</v>
      </c>
      <c r="BV25" s="13">
        <v>15</v>
      </c>
      <c r="BY25" s="3" t="s">
        <v>241</v>
      </c>
      <c r="BZ25" s="3">
        <v>8</v>
      </c>
      <c r="CA25" s="18">
        <v>10.888888888888889</v>
      </c>
      <c r="CB25" s="3">
        <v>6</v>
      </c>
      <c r="CC25" s="3">
        <v>8</v>
      </c>
      <c r="CD25" s="3">
        <v>8</v>
      </c>
      <c r="CE25" s="13">
        <v>-1.2097705883740471</v>
      </c>
      <c r="CF25" s="13">
        <v>15</v>
      </c>
      <c r="CI25" s="3" t="s">
        <v>241</v>
      </c>
      <c r="CJ25" s="3">
        <v>13</v>
      </c>
      <c r="CK25" s="18">
        <v>10.888888888888889</v>
      </c>
      <c r="CL25" s="3">
        <v>14</v>
      </c>
      <c r="CM25" s="3">
        <v>13</v>
      </c>
      <c r="CN25" s="3">
        <v>13</v>
      </c>
      <c r="CO25" s="13">
        <v>-1.2097705883740471</v>
      </c>
      <c r="CP25" s="13">
        <v>15</v>
      </c>
    </row>
    <row r="26" spans="1:94" ht="14.25" customHeight="1" x14ac:dyDescent="0.3">
      <c r="A26" s="5" t="s">
        <v>242</v>
      </c>
      <c r="B26" s="5">
        <v>15</v>
      </c>
      <c r="C26" s="16">
        <v>12.555555555555555</v>
      </c>
      <c r="D26" s="9">
        <v>15</v>
      </c>
      <c r="E26" s="9">
        <v>13</v>
      </c>
      <c r="F26" s="5">
        <v>3</v>
      </c>
      <c r="G26" s="17">
        <v>-1.3367165560614409</v>
      </c>
      <c r="H26" s="5">
        <v>17</v>
      </c>
      <c r="I26" s="11" t="str">
        <f t="shared" si="0"/>
        <v>1</v>
      </c>
      <c r="J26" s="3" t="str">
        <f t="shared" si="1"/>
        <v>1</v>
      </c>
      <c r="K26" s="3" t="str">
        <f t="shared" si="2"/>
        <v>0</v>
      </c>
      <c r="M26" s="3" t="str">
        <f t="shared" si="3"/>
        <v>0</v>
      </c>
      <c r="N26" s="3" t="str">
        <f t="shared" si="4"/>
        <v>0, Había quiebre y no supere quiebre</v>
      </c>
      <c r="O26" s="3" t="str">
        <f t="shared" si="5"/>
        <v>0, Había quiebre y supere quiebre</v>
      </c>
      <c r="P26" s="3" t="str">
        <f t="shared" si="6"/>
        <v>1, Había quiebre y supere quiebre</v>
      </c>
      <c r="Q26" s="3" t="s">
        <v>242</v>
      </c>
      <c r="R26" s="3">
        <v>9</v>
      </c>
      <c r="S26" s="18">
        <v>12</v>
      </c>
      <c r="T26" s="18">
        <v>12</v>
      </c>
      <c r="U26" s="18">
        <v>12</v>
      </c>
      <c r="V26" s="3">
        <v>9</v>
      </c>
      <c r="W26" s="13">
        <v>-1.3367165560614409</v>
      </c>
      <c r="X26" s="13">
        <v>17</v>
      </c>
      <c r="Y26" s="11" t="str">
        <f t="shared" si="7"/>
        <v>0</v>
      </c>
      <c r="Z26" s="3" t="str">
        <f t="shared" si="19"/>
        <v>-1, había quiebre y deje CM</v>
      </c>
      <c r="AA26" s="3" t="s">
        <v>214</v>
      </c>
      <c r="AB26" s="3" t="s">
        <v>214</v>
      </c>
      <c r="AC26" s="3" t="str">
        <f t="shared" si="17"/>
        <v>-1, había quiebre y deje CM</v>
      </c>
      <c r="AD26" s="3" t="str">
        <f t="shared" si="9"/>
        <v>-1, había quiebre y deje CM</v>
      </c>
      <c r="AE26" s="3" t="str">
        <f t="shared" si="10"/>
        <v>-1, había quiebre y deje CM</v>
      </c>
      <c r="AF26" s="3" t="str">
        <f t="shared" si="18"/>
        <v>-1, había quiebre y deje CM</v>
      </c>
      <c r="AG26" s="3" t="str">
        <f t="shared" si="11"/>
        <v>-1, había quiebre y deje CM</v>
      </c>
      <c r="AH26" s="3" t="str">
        <f t="shared" si="12"/>
        <v>0, Había quiebre y no supere quiebre</v>
      </c>
      <c r="AI26" s="3">
        <f t="shared" si="13"/>
        <v>1</v>
      </c>
      <c r="AJ26" s="3" t="s">
        <v>242</v>
      </c>
      <c r="AK26" s="3">
        <v>13</v>
      </c>
      <c r="AL26" s="18">
        <v>11.666666666666666</v>
      </c>
      <c r="AM26" s="3">
        <v>13</v>
      </c>
      <c r="AN26" s="3">
        <v>13</v>
      </c>
      <c r="AO26" s="3">
        <v>3</v>
      </c>
      <c r="AP26" s="13">
        <v>-1.3367165560614409</v>
      </c>
      <c r="AQ26" s="13">
        <v>17</v>
      </c>
      <c r="AR26" s="11" t="str">
        <f t="shared" si="14"/>
        <v>1</v>
      </c>
      <c r="AS26" s="3" t="str">
        <f t="shared" si="15"/>
        <v>1, Había quiebre y supere quiebre</v>
      </c>
      <c r="AT26" s="6" t="s">
        <v>307</v>
      </c>
      <c r="AU26" s="9" t="s">
        <v>242</v>
      </c>
      <c r="AV26" s="9">
        <v>12</v>
      </c>
      <c r="AW26" s="16">
        <v>13.444444444444445</v>
      </c>
      <c r="AX26" s="9">
        <v>16</v>
      </c>
      <c r="AY26" s="16">
        <v>16</v>
      </c>
      <c r="AZ26" s="9">
        <v>12</v>
      </c>
      <c r="BA26" s="19">
        <v>-1.3367165560614409</v>
      </c>
      <c r="BB26" s="5">
        <v>17</v>
      </c>
      <c r="BC26" s="3" t="str">
        <f t="shared" si="16"/>
        <v>0</v>
      </c>
      <c r="BE26" s="3" t="s">
        <v>242</v>
      </c>
      <c r="BF26" s="3">
        <v>16</v>
      </c>
      <c r="BG26" s="18">
        <v>13.555555555555555</v>
      </c>
      <c r="BH26" s="3">
        <v>14</v>
      </c>
      <c r="BI26" s="3">
        <v>8</v>
      </c>
      <c r="BJ26" s="3">
        <v>3</v>
      </c>
      <c r="BK26" s="13">
        <v>-1.3367165560614409</v>
      </c>
      <c r="BL26" s="13">
        <v>17</v>
      </c>
      <c r="BO26" s="3" t="s">
        <v>242</v>
      </c>
      <c r="BP26" s="3">
        <v>9</v>
      </c>
      <c r="BQ26" s="18">
        <v>11.111111111111111</v>
      </c>
      <c r="BR26" s="3">
        <v>12</v>
      </c>
      <c r="BS26" s="3">
        <v>15</v>
      </c>
      <c r="BT26" s="3">
        <v>3</v>
      </c>
      <c r="BU26" s="13">
        <v>-1.3367165560614409</v>
      </c>
      <c r="BV26" s="13">
        <v>17</v>
      </c>
      <c r="BY26" s="3" t="s">
        <v>242</v>
      </c>
      <c r="BZ26" s="3">
        <v>12</v>
      </c>
      <c r="CA26" s="18">
        <v>13</v>
      </c>
      <c r="CB26" s="3">
        <v>13</v>
      </c>
      <c r="CC26" s="3">
        <v>12</v>
      </c>
      <c r="CD26" s="3">
        <v>12</v>
      </c>
      <c r="CE26" s="13">
        <v>-1.3367165560614409</v>
      </c>
      <c r="CF26" s="13">
        <v>17</v>
      </c>
      <c r="CI26" s="3" t="s">
        <v>242</v>
      </c>
      <c r="CJ26" s="3">
        <v>8</v>
      </c>
      <c r="CK26" s="18">
        <v>12.555555555555555</v>
      </c>
      <c r="CL26" s="3">
        <v>9</v>
      </c>
      <c r="CM26" s="3">
        <v>9</v>
      </c>
      <c r="CN26" s="3">
        <v>3</v>
      </c>
      <c r="CO26" s="13">
        <v>-1.3367165560614409</v>
      </c>
      <c r="CP26" s="13">
        <v>17</v>
      </c>
    </row>
    <row r="27" spans="1:94" ht="14.25" customHeight="1" x14ac:dyDescent="0.3">
      <c r="A27" s="5" t="s">
        <v>243</v>
      </c>
      <c r="B27" s="5">
        <v>25</v>
      </c>
      <c r="C27" s="16">
        <v>24</v>
      </c>
      <c r="D27" s="9">
        <v>25</v>
      </c>
      <c r="E27" s="9">
        <v>22</v>
      </c>
      <c r="F27" s="5">
        <v>16</v>
      </c>
      <c r="G27" s="17">
        <v>-1.679865001322572</v>
      </c>
      <c r="H27" s="5">
        <v>27</v>
      </c>
      <c r="I27" s="11" t="str">
        <f t="shared" si="0"/>
        <v>0</v>
      </c>
      <c r="J27" s="3" t="str">
        <f t="shared" si="1"/>
        <v>0</v>
      </c>
      <c r="K27" s="3" t="str">
        <f t="shared" si="2"/>
        <v>1</v>
      </c>
      <c r="M27" s="3" t="str">
        <f t="shared" si="3"/>
        <v>1</v>
      </c>
      <c r="N27" s="3" t="str">
        <f t="shared" si="4"/>
        <v>1, Había quiebre y supere quiebre</v>
      </c>
      <c r="O27" s="3" t="str">
        <f t="shared" si="5"/>
        <v>1, Había quiebre y no supere quiebre</v>
      </c>
      <c r="P27" s="3" t="str">
        <f t="shared" si="6"/>
        <v>0, Había quiebre y no supere quiebre</v>
      </c>
      <c r="Q27" s="3" t="s">
        <v>243</v>
      </c>
      <c r="R27" s="3">
        <v>18</v>
      </c>
      <c r="S27" s="18">
        <v>18.777777777777779</v>
      </c>
      <c r="T27" s="18">
        <v>17</v>
      </c>
      <c r="U27" s="18">
        <v>17</v>
      </c>
      <c r="V27" s="3">
        <v>18</v>
      </c>
      <c r="W27" s="13">
        <v>-1.679865001322572</v>
      </c>
      <c r="X27" s="13">
        <v>27</v>
      </c>
      <c r="Y27" s="11" t="str">
        <f t="shared" si="7"/>
        <v>0</v>
      </c>
      <c r="Z27" s="3" t="str">
        <f t="shared" si="19"/>
        <v>-1, había quiebre y deje CM</v>
      </c>
      <c r="AA27" s="3" t="s">
        <v>214</v>
      </c>
      <c r="AB27" s="3" t="s">
        <v>214</v>
      </c>
      <c r="AC27" s="3" t="str">
        <f t="shared" si="17"/>
        <v>-1, había quiebre y deje CM</v>
      </c>
      <c r="AD27" s="3" t="str">
        <f t="shared" si="9"/>
        <v>-1, había quiebre y deje CM</v>
      </c>
      <c r="AE27" s="3" t="str">
        <f t="shared" si="10"/>
        <v>-1, había quiebre y deje CM</v>
      </c>
      <c r="AF27" s="3" t="str">
        <f t="shared" si="18"/>
        <v>-1, había quiebre y deje CM</v>
      </c>
      <c r="AG27" s="3" t="str">
        <f t="shared" si="11"/>
        <v>-1, había quiebre y deje CM</v>
      </c>
      <c r="AH27" s="3" t="str">
        <f t="shared" si="12"/>
        <v>0, Había quiebre y no supere quiebre</v>
      </c>
      <c r="AI27" s="3">
        <f t="shared" si="13"/>
        <v>1</v>
      </c>
      <c r="AJ27" s="3" t="s">
        <v>243</v>
      </c>
      <c r="AK27" s="3">
        <v>22</v>
      </c>
      <c r="AL27" s="18">
        <v>21.333333333333332</v>
      </c>
      <c r="AM27" s="3">
        <v>22</v>
      </c>
      <c r="AN27" s="3">
        <v>22</v>
      </c>
      <c r="AO27" s="3">
        <v>22</v>
      </c>
      <c r="AP27" s="13">
        <v>-1.679865001322572</v>
      </c>
      <c r="AQ27" s="13">
        <v>27</v>
      </c>
      <c r="AR27" s="11" t="str">
        <f t="shared" si="14"/>
        <v>0</v>
      </c>
      <c r="AS27" s="3" t="str">
        <f t="shared" si="15"/>
        <v>0, Había quiebre y no supere quiebre</v>
      </c>
      <c r="AT27" s="6" t="s">
        <v>307</v>
      </c>
      <c r="AU27" s="9" t="s">
        <v>243</v>
      </c>
      <c r="AV27" s="9">
        <v>23</v>
      </c>
      <c r="AW27" s="16">
        <v>23.111111111111111</v>
      </c>
      <c r="AX27" s="9">
        <v>25</v>
      </c>
      <c r="AY27" s="16">
        <v>25</v>
      </c>
      <c r="AZ27" s="9">
        <v>23</v>
      </c>
      <c r="BA27" s="19">
        <v>-1.679865001322572</v>
      </c>
      <c r="BB27" s="5">
        <v>27</v>
      </c>
      <c r="BC27" s="3" t="str">
        <f t="shared" si="16"/>
        <v>0</v>
      </c>
      <c r="BE27" s="3" t="s">
        <v>243</v>
      </c>
      <c r="BF27" s="3">
        <v>26</v>
      </c>
      <c r="BG27" s="18">
        <v>23.888888888888889</v>
      </c>
      <c r="BH27" s="3">
        <v>26</v>
      </c>
      <c r="BI27" s="3">
        <v>26</v>
      </c>
      <c r="BJ27" s="3">
        <v>24</v>
      </c>
      <c r="BK27" s="13">
        <v>-1.679865001322572</v>
      </c>
      <c r="BL27" s="13">
        <v>27</v>
      </c>
      <c r="BO27" s="3" t="s">
        <v>243</v>
      </c>
      <c r="BP27" s="3">
        <v>27</v>
      </c>
      <c r="BQ27" s="18">
        <v>24.111111111111111</v>
      </c>
      <c r="BR27" s="3">
        <v>27</v>
      </c>
      <c r="BS27" s="3">
        <v>26</v>
      </c>
      <c r="BT27" s="3">
        <v>24</v>
      </c>
      <c r="BU27" s="13">
        <v>-1.679865001322572</v>
      </c>
      <c r="BV27" s="13">
        <v>27</v>
      </c>
      <c r="BY27" s="3" t="s">
        <v>243</v>
      </c>
      <c r="BZ27" s="3">
        <v>26</v>
      </c>
      <c r="CA27" s="18">
        <v>24</v>
      </c>
      <c r="CB27" s="3">
        <v>24</v>
      </c>
      <c r="CC27" s="3">
        <v>25</v>
      </c>
      <c r="CD27" s="3">
        <v>24</v>
      </c>
      <c r="CE27" s="13">
        <v>-1.679865001322572</v>
      </c>
      <c r="CF27" s="13">
        <v>27</v>
      </c>
      <c r="CI27" s="3" t="s">
        <v>243</v>
      </c>
      <c r="CJ27" s="3">
        <v>27</v>
      </c>
      <c r="CK27" s="18">
        <v>24</v>
      </c>
      <c r="CL27" s="3">
        <v>26</v>
      </c>
      <c r="CM27" s="3">
        <v>26</v>
      </c>
      <c r="CN27" s="3">
        <v>16</v>
      </c>
      <c r="CO27" s="13">
        <v>-1.679865001322572</v>
      </c>
      <c r="CP27" s="13">
        <v>27</v>
      </c>
    </row>
    <row r="28" spans="1:94" ht="14.25" customHeight="1" x14ac:dyDescent="0.3">
      <c r="A28" s="5" t="s">
        <v>244</v>
      </c>
      <c r="B28" s="5">
        <f t="shared" ref="B28:F28" si="20">AVERAGE(B8:B17)</f>
        <v>2.2999999999999998</v>
      </c>
      <c r="C28" s="16">
        <f t="shared" si="20"/>
        <v>3.6888888888888887</v>
      </c>
      <c r="D28" s="5">
        <f t="shared" si="20"/>
        <v>1.9</v>
      </c>
      <c r="E28" s="5">
        <f t="shared" si="20"/>
        <v>4.0999999999999996</v>
      </c>
      <c r="F28" s="5">
        <f t="shared" si="20"/>
        <v>7.2</v>
      </c>
      <c r="G28" s="6"/>
      <c r="H28" s="8"/>
      <c r="K28" s="12"/>
      <c r="L28" s="12"/>
      <c r="M28" s="12"/>
      <c r="N28" s="12"/>
      <c r="O28" s="12"/>
      <c r="P28" s="12"/>
      <c r="Q28" s="13" t="s">
        <v>245</v>
      </c>
      <c r="R28" s="13">
        <f t="shared" ref="R28:V28" si="21">AVERAGE(R8:R17)</f>
        <v>5.0999999999999996</v>
      </c>
      <c r="S28" s="25">
        <f t="shared" si="21"/>
        <v>4.2555555555555555</v>
      </c>
      <c r="T28" s="25">
        <f t="shared" si="21"/>
        <v>5.3</v>
      </c>
      <c r="U28" s="25">
        <f t="shared" si="21"/>
        <v>4.9000000000000004</v>
      </c>
      <c r="V28" s="13">
        <f t="shared" si="21"/>
        <v>6.9</v>
      </c>
      <c r="Z28" s="12"/>
      <c r="AA28" s="12"/>
      <c r="AB28" s="12"/>
      <c r="AC28" s="12"/>
      <c r="AD28" s="12"/>
      <c r="AE28" s="12"/>
      <c r="AF28" s="12"/>
      <c r="AG28" s="12"/>
      <c r="AH28" s="12"/>
      <c r="AI28" s="12"/>
      <c r="AJ28" s="13" t="s">
        <v>245</v>
      </c>
      <c r="AK28" s="13">
        <f t="shared" ref="AK28:AO28" si="22">AVERAGE(AK8:AK17)</f>
        <v>4.0999999999999996</v>
      </c>
      <c r="AL28" s="25">
        <f t="shared" si="22"/>
        <v>3.4222222222222221</v>
      </c>
      <c r="AM28" s="13">
        <f t="shared" si="22"/>
        <v>4.0999999999999996</v>
      </c>
      <c r="AN28" s="13">
        <f t="shared" si="22"/>
        <v>4.0999999999999996</v>
      </c>
      <c r="AO28" s="13">
        <f t="shared" si="22"/>
        <v>7.1</v>
      </c>
      <c r="AT28" s="7"/>
      <c r="AU28" s="5" t="s">
        <v>245</v>
      </c>
      <c r="AV28" s="5">
        <f t="shared" ref="AV28:AZ28" si="23">AVERAGE(AV8:AV17)</f>
        <v>5.8</v>
      </c>
      <c r="AW28" s="16">
        <f t="shared" si="23"/>
        <v>5.0111111111111111</v>
      </c>
      <c r="AX28" s="5">
        <f t="shared" si="23"/>
        <v>3.6</v>
      </c>
      <c r="AY28" s="16">
        <f t="shared" si="23"/>
        <v>2.8</v>
      </c>
      <c r="AZ28" s="5">
        <f t="shared" si="23"/>
        <v>6.5</v>
      </c>
      <c r="BA28" s="6"/>
      <c r="BB28" s="6"/>
      <c r="BE28" s="13" t="s">
        <v>245</v>
      </c>
      <c r="BF28" s="13">
        <f t="shared" ref="BF28:BJ28" si="24">AVERAGE(BF8:BF17)</f>
        <v>4.4000000000000004</v>
      </c>
      <c r="BG28" s="25">
        <f t="shared" si="24"/>
        <v>4.7111111111111112</v>
      </c>
      <c r="BH28" s="13">
        <f t="shared" si="24"/>
        <v>3</v>
      </c>
      <c r="BI28" s="13">
        <f t="shared" si="24"/>
        <v>2.6</v>
      </c>
      <c r="BJ28" s="13">
        <f t="shared" si="24"/>
        <v>6.8</v>
      </c>
      <c r="BO28" s="13" t="s">
        <v>245</v>
      </c>
      <c r="BP28" s="13">
        <f t="shared" ref="BP28:BQ28" si="25">AVERAGE(BP8:BP17)</f>
        <v>4.4000000000000004</v>
      </c>
      <c r="BQ28" s="25">
        <f t="shared" si="25"/>
        <v>4.4000000000000004</v>
      </c>
      <c r="BR28" s="25"/>
      <c r="BS28" s="25"/>
      <c r="BT28" s="13">
        <f>AVERAGE(BT8:BT17)</f>
        <v>6.8</v>
      </c>
      <c r="BY28" s="13" t="s">
        <v>245</v>
      </c>
      <c r="BZ28" s="13">
        <f t="shared" ref="BZ28:CD28" si="26">AVERAGE(BZ8:BZ17)</f>
        <v>6.6</v>
      </c>
      <c r="CA28" s="25">
        <f t="shared" si="26"/>
        <v>5.1444444444444448</v>
      </c>
      <c r="CB28" s="13">
        <f t="shared" si="26"/>
        <v>4.8</v>
      </c>
      <c r="CC28" s="13">
        <f t="shared" si="26"/>
        <v>4.5</v>
      </c>
      <c r="CD28" s="13">
        <f t="shared" si="26"/>
        <v>6.6</v>
      </c>
      <c r="CI28" s="13" t="s">
        <v>245</v>
      </c>
      <c r="CJ28" s="13">
        <f t="shared" ref="CJ28:CN28" si="27">AVERAGE(CJ8:CJ17)</f>
        <v>4.2</v>
      </c>
      <c r="CK28" s="25">
        <f t="shared" si="27"/>
        <v>3.6888888888888887</v>
      </c>
      <c r="CL28" s="13">
        <f t="shared" si="27"/>
        <v>5.8</v>
      </c>
      <c r="CM28" s="13">
        <f t="shared" si="27"/>
        <v>5.4</v>
      </c>
      <c r="CN28" s="13">
        <f t="shared" si="27"/>
        <v>6.5</v>
      </c>
    </row>
    <row r="29" spans="1:94" ht="14.25" customHeight="1" x14ac:dyDescent="0.3">
      <c r="A29" s="5" t="s">
        <v>248</v>
      </c>
      <c r="B29" s="5">
        <f t="shared" ref="B29:F29" si="28">AVERAGE(B18:B27)</f>
        <v>13.3</v>
      </c>
      <c r="C29" s="16">
        <f t="shared" si="28"/>
        <v>12.233333333333333</v>
      </c>
      <c r="D29" s="5">
        <f t="shared" si="28"/>
        <v>12.7</v>
      </c>
      <c r="E29" s="5">
        <f t="shared" si="28"/>
        <v>12.9</v>
      </c>
      <c r="F29" s="5">
        <f t="shared" si="28"/>
        <v>8.4</v>
      </c>
      <c r="G29" s="6"/>
      <c r="H29" s="8"/>
      <c r="K29" s="12"/>
      <c r="L29" s="12"/>
      <c r="M29" s="12"/>
      <c r="N29" s="12"/>
      <c r="O29" s="12"/>
      <c r="P29" s="12"/>
      <c r="Q29" s="13" t="s">
        <v>249</v>
      </c>
      <c r="R29" s="13">
        <f t="shared" ref="R29:V29" si="29">AVERAGE(R18:R27)</f>
        <v>12</v>
      </c>
      <c r="S29" s="25">
        <f t="shared" si="29"/>
        <v>12.111111111111111</v>
      </c>
      <c r="T29" s="25">
        <f t="shared" si="29"/>
        <v>11.8</v>
      </c>
      <c r="U29" s="25">
        <f t="shared" si="29"/>
        <v>11.7</v>
      </c>
      <c r="V29" s="13">
        <f t="shared" si="29"/>
        <v>10.199999999999999</v>
      </c>
      <c r="Z29" s="12"/>
      <c r="AA29" s="12"/>
      <c r="AB29" s="12"/>
      <c r="AC29" s="12"/>
      <c r="AD29" s="12"/>
      <c r="AE29" s="12"/>
      <c r="AF29" s="12"/>
      <c r="AG29" s="12"/>
      <c r="AH29" s="12"/>
      <c r="AI29" s="12"/>
      <c r="AJ29" s="13" t="s">
        <v>249</v>
      </c>
      <c r="AK29" s="13">
        <f t="shared" ref="AK29:AO29" si="30">AVERAGE(AK18:AK27)</f>
        <v>12.9</v>
      </c>
      <c r="AL29" s="25">
        <f t="shared" si="30"/>
        <v>12.244444444444444</v>
      </c>
      <c r="AM29" s="13">
        <f t="shared" si="30"/>
        <v>12.9</v>
      </c>
      <c r="AN29" s="13">
        <f t="shared" si="30"/>
        <v>12.9</v>
      </c>
      <c r="AO29" s="13">
        <f t="shared" si="30"/>
        <v>9.9</v>
      </c>
      <c r="AT29" s="7"/>
      <c r="AU29" s="5" t="s">
        <v>249</v>
      </c>
      <c r="AV29" s="5">
        <f t="shared" ref="AV29:AZ29" si="31">AVERAGE(AV18:AV27)</f>
        <v>11.4</v>
      </c>
      <c r="AW29" s="16">
        <f t="shared" si="31"/>
        <v>11.544444444444444</v>
      </c>
      <c r="AX29" s="5">
        <f t="shared" si="31"/>
        <v>12.9</v>
      </c>
      <c r="AY29" s="16">
        <f t="shared" si="31"/>
        <v>13.1</v>
      </c>
      <c r="AZ29" s="5">
        <f t="shared" si="31"/>
        <v>10.7</v>
      </c>
      <c r="BA29" s="6"/>
      <c r="BB29" s="6"/>
      <c r="BE29" s="13" t="s">
        <v>249</v>
      </c>
      <c r="BF29" s="13">
        <f t="shared" ref="BF29:BJ29" si="32">AVERAGE(BF18:BF27)</f>
        <v>10.3</v>
      </c>
      <c r="BG29" s="25">
        <f t="shared" si="32"/>
        <v>11.044444444444444</v>
      </c>
      <c r="BH29" s="13">
        <f t="shared" si="32"/>
        <v>10.7</v>
      </c>
      <c r="BI29" s="13">
        <f t="shared" si="32"/>
        <v>10.7</v>
      </c>
      <c r="BJ29" s="13">
        <f t="shared" si="32"/>
        <v>7.9</v>
      </c>
      <c r="BO29" s="13" t="s">
        <v>249</v>
      </c>
      <c r="BP29" s="13">
        <f t="shared" ref="BP29:BQ29" si="33">AVERAGE(BP18:BP27)</f>
        <v>9.6</v>
      </c>
      <c r="BQ29" s="25">
        <f t="shared" si="33"/>
        <v>10.288888888888888</v>
      </c>
      <c r="BR29" s="25"/>
      <c r="BS29" s="25"/>
      <c r="BT29" s="13">
        <f>AVERAGE(BT18:BT27)</f>
        <v>7.2</v>
      </c>
      <c r="BY29" s="13" t="s">
        <v>249</v>
      </c>
      <c r="BZ29" s="13">
        <f t="shared" ref="BZ29:CD29" si="34">AVERAGE(BZ18:BZ27)</f>
        <v>10</v>
      </c>
      <c r="CA29" s="25">
        <f t="shared" si="34"/>
        <v>11.422222222222222</v>
      </c>
      <c r="CB29" s="13">
        <f t="shared" si="34"/>
        <v>10</v>
      </c>
      <c r="CC29" s="13">
        <f t="shared" si="34"/>
        <v>10.199999999999999</v>
      </c>
      <c r="CD29" s="13">
        <f t="shared" si="34"/>
        <v>10</v>
      </c>
      <c r="CI29" s="13" t="s">
        <v>249</v>
      </c>
      <c r="CJ29" s="13">
        <f t="shared" ref="CJ29:CN29" si="35">AVERAGE(CJ18:CJ27)</f>
        <v>10.9</v>
      </c>
      <c r="CK29" s="25">
        <f t="shared" si="35"/>
        <v>12.233333333333333</v>
      </c>
      <c r="CL29" s="13">
        <f t="shared" si="35"/>
        <v>11.2</v>
      </c>
      <c r="CM29" s="13">
        <f t="shared" si="35"/>
        <v>11.5</v>
      </c>
      <c r="CN29" s="13">
        <f t="shared" si="35"/>
        <v>8.6</v>
      </c>
    </row>
    <row r="30" spans="1:94" ht="14.25" customHeight="1" x14ac:dyDescent="0.3">
      <c r="A30" s="5"/>
      <c r="B30" s="5"/>
      <c r="C30" s="5">
        <f>F28-B28</f>
        <v>4.9000000000000004</v>
      </c>
      <c r="D30" s="5">
        <f>F29-B29</f>
        <v>-4.9000000000000004</v>
      </c>
      <c r="E30" s="5"/>
      <c r="F30" s="5"/>
      <c r="G30" s="6"/>
      <c r="H30" s="8"/>
      <c r="K30" s="12"/>
      <c r="L30" s="12"/>
      <c r="M30" s="12"/>
      <c r="N30" s="12"/>
      <c r="O30" s="12"/>
      <c r="P30" s="12"/>
      <c r="Q30" s="13"/>
      <c r="R30" s="13"/>
      <c r="S30" s="13"/>
      <c r="T30" s="13"/>
      <c r="U30" s="13"/>
      <c r="V30" s="13"/>
      <c r="Z30" s="12"/>
      <c r="AA30" s="12"/>
      <c r="AB30" s="12"/>
      <c r="AC30" s="12"/>
      <c r="AD30" s="12"/>
      <c r="AE30" s="12"/>
      <c r="AF30" s="12"/>
      <c r="AG30" s="12"/>
      <c r="AH30" s="12"/>
      <c r="AI30" s="12"/>
      <c r="AJ30" s="13"/>
      <c r="AK30" s="13"/>
      <c r="AL30" s="13"/>
      <c r="AM30" s="13"/>
      <c r="AN30" s="13"/>
      <c r="AO30" s="13"/>
      <c r="AT30" s="12"/>
      <c r="AU30" s="13"/>
      <c r="AV30" s="13"/>
      <c r="AW30" s="13"/>
      <c r="AX30" s="13"/>
      <c r="AY30" s="13"/>
      <c r="AZ30" s="13"/>
      <c r="BE30" s="13"/>
      <c r="BF30" s="13"/>
      <c r="BG30" s="13"/>
      <c r="BH30" s="13"/>
      <c r="BI30" s="13"/>
      <c r="BJ30" s="13"/>
      <c r="BO30" s="13"/>
      <c r="BP30" s="13"/>
      <c r="BQ30" s="25"/>
      <c r="BR30" s="25"/>
      <c r="BS30" s="25"/>
      <c r="BT30" s="13"/>
      <c r="BY30" s="13"/>
      <c r="BZ30" s="13"/>
      <c r="CA30" s="13"/>
      <c r="CB30" s="13"/>
      <c r="CC30" s="13"/>
      <c r="CD30" s="13"/>
      <c r="CI30" s="13"/>
      <c r="CJ30" s="13"/>
      <c r="CK30" s="13"/>
      <c r="CL30" s="13"/>
      <c r="CM30" s="13"/>
      <c r="CN30" s="13"/>
    </row>
    <row r="31" spans="1:94" ht="14.25" customHeight="1" x14ac:dyDescent="0.3">
      <c r="A31" s="5" t="s">
        <v>252</v>
      </c>
      <c r="B31" s="5">
        <f>SKEW(B8:B17)</f>
        <v>1.8034137949907771</v>
      </c>
      <c r="C31" s="5"/>
      <c r="D31" s="5"/>
      <c r="E31" s="5"/>
      <c r="F31" s="5">
        <f>SKEW(F8:F17)</f>
        <v>1.2602586469446737</v>
      </c>
      <c r="G31" s="6"/>
      <c r="K31" s="12"/>
      <c r="L31" s="12"/>
      <c r="M31" s="12"/>
      <c r="N31" s="12"/>
      <c r="O31" s="12"/>
      <c r="P31" s="12"/>
      <c r="Q31" s="13" t="s">
        <v>252</v>
      </c>
      <c r="R31" s="13">
        <f>SKEW(R8:R11,R15,R17,R19,R25:R27)</f>
        <v>0.75847229863620391</v>
      </c>
      <c r="S31" s="13"/>
      <c r="T31" s="13"/>
      <c r="U31" s="13"/>
      <c r="V31" s="13">
        <f>SKEW(V8:V11,V15,V17,V19,V25:V27)</f>
        <v>1.0590347491353571</v>
      </c>
      <c r="Z31" s="12"/>
      <c r="AA31" s="12"/>
      <c r="AB31" s="12"/>
      <c r="AC31" s="12"/>
      <c r="AD31" s="12"/>
      <c r="AE31" s="12"/>
      <c r="AF31" s="12"/>
      <c r="AG31" s="12"/>
      <c r="AH31" s="12"/>
      <c r="AI31" s="12"/>
      <c r="AJ31" s="13" t="s">
        <v>252</v>
      </c>
      <c r="AK31" s="13">
        <f>SKEW(AK8:AK11,AK15,AK17,AK19,AK25:AK27)</f>
        <v>1.0456050128836727</v>
      </c>
      <c r="AL31" s="13"/>
      <c r="AM31" s="13"/>
      <c r="AN31" s="13"/>
      <c r="AO31" s="13">
        <f>SKEW(AO8:AO11,AO15,AO17,AO19,AO25:AO27)</f>
        <v>1.9904958914220354</v>
      </c>
      <c r="AT31" s="12"/>
      <c r="AU31" s="13" t="s">
        <v>252</v>
      </c>
      <c r="AV31" s="13">
        <f t="shared" ref="AV31:AZ31" si="36">SKEW(AV8:AV11,AV15,AV17,AV19,AV25:AV27)</f>
        <v>1.6114976021410399</v>
      </c>
      <c r="AW31" s="13">
        <f t="shared" si="36"/>
        <v>1.409454576305748</v>
      </c>
      <c r="AX31" s="13">
        <f t="shared" si="36"/>
        <v>1.2676763969086182</v>
      </c>
      <c r="AY31" s="13">
        <f t="shared" si="36"/>
        <v>1.1736447966043777</v>
      </c>
      <c r="AZ31" s="13">
        <f t="shared" si="36"/>
        <v>1.910471086485652</v>
      </c>
      <c r="BE31" s="13" t="s">
        <v>252</v>
      </c>
      <c r="BF31" s="13">
        <f>SKEW(BF8:BF11,BF15,BF17,BF19,BF25:BF27)</f>
        <v>1.7334449262253036</v>
      </c>
      <c r="BG31" s="13"/>
      <c r="BH31" s="13"/>
      <c r="BI31" s="13"/>
      <c r="BJ31" s="13">
        <f>SKEW(BJ8:BJ11,BJ15,BJ17,BJ19,BJ25:BJ27)</f>
        <v>2.4407400767348424</v>
      </c>
      <c r="BO31" s="13" t="s">
        <v>252</v>
      </c>
      <c r="BP31" s="13">
        <f>SKEW(BP8:BP11,BP15,BP17,BP19,BP25:BP27)</f>
        <v>1.720126879391811</v>
      </c>
      <c r="BQ31" s="13"/>
      <c r="BR31" s="13"/>
      <c r="BS31" s="13"/>
      <c r="BT31" s="13">
        <f>SKEW(BT8:BT11,BT15,BT17,BT19,BT25:BT27)</f>
        <v>2.8016829826274465</v>
      </c>
      <c r="BY31" s="13" t="s">
        <v>252</v>
      </c>
      <c r="BZ31" s="13">
        <f t="shared" ref="BZ31:CD31" si="37">SKEW(BZ8:BZ11,BZ15,BZ17,BZ19,BZ25:BZ27)</f>
        <v>2.1664250896551018</v>
      </c>
      <c r="CA31" s="13">
        <f t="shared" si="37"/>
        <v>1.4883122836582936</v>
      </c>
      <c r="CB31" s="13">
        <f t="shared" si="37"/>
        <v>1.6998934728258315</v>
      </c>
      <c r="CC31" s="13">
        <f t="shared" si="37"/>
        <v>1.9430208260039148</v>
      </c>
      <c r="CD31" s="13">
        <f t="shared" si="37"/>
        <v>2.4142196839330552</v>
      </c>
      <c r="CI31" s="13" t="s">
        <v>252</v>
      </c>
      <c r="CJ31" s="13">
        <f>SKEW(CJ8:CJ11,CJ15,CJ17,CJ19,CJ25:CJ27)</f>
        <v>2.1100290345641484</v>
      </c>
      <c r="CK31" s="13"/>
      <c r="CL31" s="13"/>
      <c r="CM31" s="13"/>
      <c r="CN31" s="13">
        <f>SKEW(CN8:CN11,CN15,CN17,CN19,CN25:CN27)</f>
        <v>0.9779925724716515</v>
      </c>
    </row>
    <row r="32" spans="1:94" ht="14.25" customHeight="1" x14ac:dyDescent="0.3">
      <c r="A32" s="5" t="s">
        <v>254</v>
      </c>
      <c r="B32" s="5">
        <f>SKEW(B18:B27)</f>
        <v>0.11121394019086135</v>
      </c>
      <c r="C32" s="5"/>
      <c r="D32" s="5"/>
      <c r="E32" s="5"/>
      <c r="F32" s="5">
        <f>SKEW(F18:F27)</f>
        <v>0.2838744313438411</v>
      </c>
      <c r="G32" s="6"/>
      <c r="H32" s="3" t="s">
        <v>16</v>
      </c>
      <c r="K32" s="12"/>
      <c r="L32" s="12"/>
      <c r="M32" s="12"/>
      <c r="N32" s="12"/>
      <c r="O32" s="12"/>
      <c r="P32" s="12"/>
      <c r="Q32" s="13" t="s">
        <v>254</v>
      </c>
      <c r="R32" s="13">
        <f>SKEW(R12:R14,R16,R18,R20:R24)</f>
        <v>0.16667674165421545</v>
      </c>
      <c r="S32" s="13"/>
      <c r="T32" s="13"/>
      <c r="U32" s="13"/>
      <c r="V32" s="13">
        <f>SKEW(V12:V14,V16,V18,V20:V24)</f>
        <v>0.35116085733688179</v>
      </c>
      <c r="Z32" s="12"/>
      <c r="AA32" s="12"/>
      <c r="AB32" s="12"/>
      <c r="AC32" s="12"/>
      <c r="AD32" s="12"/>
      <c r="AE32" s="12"/>
      <c r="AF32" s="12"/>
      <c r="AG32" s="12"/>
      <c r="AH32" s="12"/>
      <c r="AI32" s="12"/>
      <c r="AJ32" s="13" t="s">
        <v>254</v>
      </c>
      <c r="AK32" s="13">
        <f>SKEW(AK12:AK14,AK16,AK18,AK20:AK24)</f>
        <v>-0.1569381096004194</v>
      </c>
      <c r="AL32" s="13"/>
      <c r="AM32" s="13"/>
      <c r="AN32" s="13"/>
      <c r="AO32" s="13">
        <f>SKEW(AO12:AO14,AO16,AO18,AO20:AO24)</f>
        <v>-0.310208888937411</v>
      </c>
      <c r="AT32" s="12"/>
      <c r="AU32" s="13" t="s">
        <v>254</v>
      </c>
      <c r="AV32" s="13">
        <f t="shared" ref="AV32:AZ32" si="38">SKEW(AV12:AV14,AV16,AV18,AV20:AV24)</f>
        <v>0.2009705187283492</v>
      </c>
      <c r="AW32" s="13">
        <f t="shared" si="38"/>
        <v>-0.22836644580606927</v>
      </c>
      <c r="AX32" s="13">
        <f t="shared" si="38"/>
        <v>0.1475661511970279</v>
      </c>
      <c r="AY32" s="13">
        <f t="shared" si="38"/>
        <v>0.22074899468759637</v>
      </c>
      <c r="AZ32" s="13">
        <f t="shared" si="38"/>
        <v>0.56208561463213369</v>
      </c>
      <c r="BE32" s="13" t="s">
        <v>254</v>
      </c>
      <c r="BF32" s="13">
        <f>SKEW(BF12:BF14,BF16,BF18,BF20:BF24)</f>
        <v>1.411072725033121</v>
      </c>
      <c r="BG32" s="13"/>
      <c r="BH32" s="13"/>
      <c r="BI32" s="13"/>
      <c r="BJ32" s="13">
        <f>SKEW(BJ12:BJ14,BJ16,BJ18,BJ20:BJ24)</f>
        <v>1.616836243873264</v>
      </c>
      <c r="BO32" s="13" t="s">
        <v>254</v>
      </c>
      <c r="BP32" s="13">
        <f>SKEW(BP12:BP14,BP16,BP18,BP20:BP24)</f>
        <v>1.2431541205441135</v>
      </c>
      <c r="BQ32" s="13"/>
      <c r="BR32" s="13"/>
      <c r="BS32" s="13"/>
      <c r="BT32" s="13">
        <f>SKEW(BT12:BT14,BT16,BT18,BT20:BT24)</f>
        <v>1.1965942448652533</v>
      </c>
      <c r="BY32" s="13" t="s">
        <v>254</v>
      </c>
      <c r="BZ32" s="13">
        <f t="shared" ref="BZ32:CD32" si="39">SKEW(BZ12:BZ14,BZ16,BZ18,BZ20:BZ24)</f>
        <v>-6.1679056923619811E-17</v>
      </c>
      <c r="CA32" s="13">
        <f t="shared" si="39"/>
        <v>0.11058790223757997</v>
      </c>
      <c r="CB32" s="13">
        <f t="shared" si="39"/>
        <v>0.2672585932039474</v>
      </c>
      <c r="CC32" s="13">
        <f t="shared" si="39"/>
        <v>7.9519673891812165E-2</v>
      </c>
      <c r="CD32" s="13">
        <f t="shared" si="39"/>
        <v>0.17084331648296541</v>
      </c>
      <c r="CI32" s="13" t="s">
        <v>254</v>
      </c>
      <c r="CJ32" s="13">
        <f>SKEW(CJ12:CJ14,CJ16,CJ18,CJ20:CJ24)</f>
        <v>0.54304407832466595</v>
      </c>
      <c r="CK32" s="13"/>
      <c r="CL32" s="13"/>
      <c r="CM32" s="13"/>
      <c r="CN32" s="13">
        <f>SKEW(CN12:CN14,CN16,CN18,CN20:CN24)</f>
        <v>8.9760639927327274E-2</v>
      </c>
    </row>
    <row r="33" spans="1:88" ht="14.25" customHeight="1" x14ac:dyDescent="0.3">
      <c r="A33" s="5" t="s">
        <v>256</v>
      </c>
      <c r="B33" s="6">
        <v>35.583808440685459</v>
      </c>
      <c r="C33" s="6"/>
      <c r="D33" s="6"/>
      <c r="E33" s="6"/>
      <c r="F33" s="6"/>
      <c r="G33" s="6"/>
      <c r="K33" s="12"/>
      <c r="L33" s="12"/>
      <c r="M33" s="12"/>
      <c r="N33" s="12"/>
      <c r="O33" s="12"/>
      <c r="P33" s="12"/>
      <c r="Q33" s="13" t="s">
        <v>256</v>
      </c>
      <c r="R33" s="3">
        <v>18.919531259855241</v>
      </c>
      <c r="Z33" s="12"/>
      <c r="AA33" s="12"/>
      <c r="AB33" s="12"/>
      <c r="AC33" s="12"/>
      <c r="AD33" s="12"/>
      <c r="AE33" s="12"/>
      <c r="AF33" s="12"/>
      <c r="AG33" s="12"/>
      <c r="AH33" s="12"/>
      <c r="AI33" s="12"/>
      <c r="AJ33" s="13" t="s">
        <v>256</v>
      </c>
      <c r="AK33" s="3">
        <v>19.648496572327211</v>
      </c>
      <c r="AT33" s="12"/>
      <c r="AU33" s="13" t="s">
        <v>256</v>
      </c>
      <c r="AV33" s="3">
        <v>10.57860014381631</v>
      </c>
      <c r="BE33" s="13" t="s">
        <v>256</v>
      </c>
      <c r="BF33" s="3">
        <v>18.90454501617625</v>
      </c>
      <c r="BO33" s="13" t="s">
        <v>256</v>
      </c>
      <c r="BP33" s="3">
        <v>22.865874544097949</v>
      </c>
      <c r="BY33" s="13" t="s">
        <v>256</v>
      </c>
      <c r="BZ33" s="3">
        <v>6.622473411283436</v>
      </c>
      <c r="CI33" s="13" t="s">
        <v>256</v>
      </c>
      <c r="CJ33" s="3">
        <v>19.683918982455921</v>
      </c>
    </row>
    <row r="34" spans="1:88" ht="28.5" customHeight="1" x14ac:dyDescent="0.3">
      <c r="A34" s="5" t="s">
        <v>257</v>
      </c>
      <c r="B34" s="5">
        <v>9</v>
      </c>
      <c r="C34" s="6"/>
      <c r="D34" s="6"/>
      <c r="E34" s="6"/>
      <c r="F34" s="6"/>
      <c r="G34" s="6"/>
      <c r="K34" s="12"/>
      <c r="L34" s="12"/>
      <c r="M34" s="12"/>
      <c r="N34" s="12"/>
      <c r="O34" s="12"/>
      <c r="P34" s="12"/>
      <c r="Q34" s="13" t="s">
        <v>257</v>
      </c>
      <c r="R34" s="13">
        <v>11</v>
      </c>
      <c r="Z34" s="12"/>
      <c r="AA34" s="12"/>
      <c r="AB34" s="12"/>
      <c r="AC34" s="12"/>
      <c r="AD34" s="12"/>
      <c r="AE34" s="12"/>
      <c r="AF34" s="12"/>
      <c r="AG34" s="12"/>
      <c r="AH34" s="12"/>
      <c r="AI34" s="12"/>
      <c r="AJ34" s="13" t="s">
        <v>257</v>
      </c>
      <c r="AK34" s="13">
        <v>11</v>
      </c>
      <c r="AT34" s="12"/>
      <c r="AU34" s="13" t="s">
        <v>257</v>
      </c>
      <c r="AV34" s="13">
        <v>10</v>
      </c>
      <c r="BE34" s="13" t="s">
        <v>257</v>
      </c>
      <c r="BF34" s="13">
        <v>10</v>
      </c>
      <c r="BO34" s="13" t="s">
        <v>257</v>
      </c>
      <c r="BP34" s="13">
        <v>9</v>
      </c>
      <c r="BY34" s="13" t="s">
        <v>257</v>
      </c>
      <c r="BZ34" s="13">
        <v>8</v>
      </c>
      <c r="CI34" s="13" t="s">
        <v>257</v>
      </c>
      <c r="CJ34" s="13">
        <v>10</v>
      </c>
    </row>
    <row r="35" spans="1:88" ht="14.25" customHeight="1" x14ac:dyDescent="0.3">
      <c r="A35" s="26" t="s">
        <v>258</v>
      </c>
      <c r="B35" s="5">
        <f>B34*2</f>
        <v>18</v>
      </c>
      <c r="C35" s="6"/>
      <c r="D35" s="6"/>
      <c r="E35" s="6"/>
      <c r="F35" s="6"/>
      <c r="G35" s="6"/>
      <c r="K35" s="27"/>
      <c r="L35" s="27"/>
      <c r="M35" s="27"/>
      <c r="N35" s="27"/>
      <c r="O35" s="27"/>
      <c r="P35" s="27"/>
      <c r="Q35" s="28" t="s">
        <v>258</v>
      </c>
      <c r="R35" s="13">
        <f>R34*2</f>
        <v>22</v>
      </c>
      <c r="Z35" s="27"/>
      <c r="AA35" s="27"/>
      <c r="AB35" s="27"/>
      <c r="AC35" s="27"/>
      <c r="AD35" s="27"/>
      <c r="AE35" s="27"/>
      <c r="AF35" s="27"/>
      <c r="AG35" s="27"/>
      <c r="AH35" s="27"/>
      <c r="AI35" s="27"/>
      <c r="AJ35" s="28" t="s">
        <v>258</v>
      </c>
      <c r="AK35" s="13">
        <f>AK34*2</f>
        <v>22</v>
      </c>
      <c r="AT35" s="27"/>
      <c r="AU35" s="28" t="s">
        <v>258</v>
      </c>
      <c r="AV35" s="13">
        <f>AV34*2</f>
        <v>20</v>
      </c>
      <c r="BE35" s="28" t="s">
        <v>258</v>
      </c>
      <c r="BF35" s="13">
        <f>BF34*2</f>
        <v>20</v>
      </c>
      <c r="BO35" s="28" t="s">
        <v>258</v>
      </c>
      <c r="BP35" s="13">
        <f>BP34*2</f>
        <v>18</v>
      </c>
      <c r="BY35" s="28" t="s">
        <v>258</v>
      </c>
      <c r="BZ35" s="13">
        <f>BZ34*2</f>
        <v>16</v>
      </c>
      <c r="CI35" s="28" t="s">
        <v>258</v>
      </c>
      <c r="CJ35" s="13">
        <f>CJ34*2</f>
        <v>20</v>
      </c>
    </row>
    <row r="36" spans="1:88" ht="14.25" customHeight="1" x14ac:dyDescent="0.3"/>
    <row r="37" spans="1:88" ht="14.25" customHeight="1" x14ac:dyDescent="0.3"/>
    <row r="38" spans="1:88" ht="14.25" customHeight="1" x14ac:dyDescent="0.3"/>
    <row r="39" spans="1:88" ht="14.25" customHeight="1" x14ac:dyDescent="0.3"/>
    <row r="40" spans="1:88" ht="14.25" customHeight="1" x14ac:dyDescent="0.3"/>
    <row r="41" spans="1:88" ht="14.25" customHeight="1" x14ac:dyDescent="0.3"/>
    <row r="42" spans="1:88" ht="14.25" customHeight="1" x14ac:dyDescent="0.3"/>
    <row r="43" spans="1:88" ht="14.25" customHeight="1" x14ac:dyDescent="0.3"/>
    <row r="44" spans="1:88" ht="14.25" customHeight="1" x14ac:dyDescent="0.3"/>
    <row r="45" spans="1:88" ht="14.25" customHeight="1" x14ac:dyDescent="0.3"/>
    <row r="46" spans="1:88" ht="14.25" customHeight="1" x14ac:dyDescent="0.3"/>
    <row r="47" spans="1:88" ht="14.25" customHeight="1" x14ac:dyDescent="0.3"/>
    <row r="48" spans="1:88" ht="14.25" customHeight="1" x14ac:dyDescent="0.3"/>
    <row r="49" spans="1:94" ht="14.25" customHeight="1" x14ac:dyDescent="0.3"/>
    <row r="50" spans="1:94" ht="14.25" customHeight="1" x14ac:dyDescent="0.3"/>
    <row r="51" spans="1:94" ht="14.25" customHeight="1" x14ac:dyDescent="0.3"/>
    <row r="52" spans="1:94" ht="14.25" customHeight="1" x14ac:dyDescent="0.3"/>
    <row r="53" spans="1:94" ht="14.25" customHeight="1" x14ac:dyDescent="0.3"/>
    <row r="54" spans="1:94" ht="14.25" customHeight="1" x14ac:dyDescent="0.3">
      <c r="AV54" s="3">
        <f t="shared" ref="AV54:AZ54" si="40">_xlfn.VAR.S(AV59:AV78)</f>
        <v>47.502631578947366</v>
      </c>
      <c r="AW54" s="3">
        <f t="shared" si="40"/>
        <v>26.735412605588024</v>
      </c>
      <c r="AX54" s="3">
        <f t="shared" si="40"/>
        <v>61.094736842105263</v>
      </c>
      <c r="AY54" s="3">
        <f t="shared" si="40"/>
        <v>61.923684210526311</v>
      </c>
      <c r="AZ54" s="3">
        <f t="shared" si="40"/>
        <v>16.871052631578944</v>
      </c>
    </row>
    <row r="55" spans="1:94" ht="14.25" customHeight="1" x14ac:dyDescent="0.3"/>
    <row r="56" spans="1:94" ht="14.25" customHeight="1" x14ac:dyDescent="0.3"/>
    <row r="57" spans="1:94" ht="14.25" customHeight="1" x14ac:dyDescent="0.3">
      <c r="B57" s="13" t="s">
        <v>259</v>
      </c>
      <c r="C57" s="13"/>
      <c r="D57" s="13"/>
      <c r="E57" s="13"/>
      <c r="F57" s="13"/>
      <c r="R57" s="13" t="s">
        <v>260</v>
      </c>
      <c r="S57" s="13"/>
      <c r="T57" s="13"/>
      <c r="U57" s="13"/>
      <c r="V57" s="13"/>
      <c r="AK57" s="13" t="s">
        <v>261</v>
      </c>
      <c r="AL57" s="13"/>
      <c r="AM57" s="13"/>
      <c r="AN57" s="13"/>
      <c r="AO57" s="13"/>
      <c r="AV57" s="13" t="s">
        <v>262</v>
      </c>
      <c r="AW57" s="13"/>
      <c r="AX57" s="13"/>
      <c r="AY57" s="13"/>
      <c r="AZ57" s="13"/>
      <c r="BF57" s="13" t="s">
        <v>263</v>
      </c>
      <c r="BG57" s="13"/>
      <c r="BH57" s="13"/>
      <c r="BI57" s="13"/>
      <c r="BJ57" s="13"/>
      <c r="BP57" s="13" t="s">
        <v>264</v>
      </c>
      <c r="BQ57" s="13"/>
      <c r="BR57" s="13"/>
      <c r="BS57" s="13"/>
      <c r="BT57" s="13"/>
      <c r="BZ57" s="13" t="s">
        <v>265</v>
      </c>
      <c r="CA57" s="13"/>
      <c r="CB57" s="13"/>
      <c r="CC57" s="13"/>
      <c r="CD57" s="13"/>
      <c r="CJ57" s="13" t="s">
        <v>266</v>
      </c>
      <c r="CK57" s="13"/>
      <c r="CL57" s="13"/>
      <c r="CM57" s="13"/>
      <c r="CN57" s="13"/>
    </row>
    <row r="58" spans="1:94" ht="14.25" customHeight="1" x14ac:dyDescent="0.3">
      <c r="A58" s="13" t="s">
        <v>201</v>
      </c>
      <c r="B58" s="13" t="s">
        <v>5</v>
      </c>
      <c r="C58" s="13" t="s">
        <v>202</v>
      </c>
      <c r="D58" s="14" t="s">
        <v>189</v>
      </c>
      <c r="E58" s="13" t="s">
        <v>190</v>
      </c>
      <c r="F58" s="13" t="s">
        <v>191</v>
      </c>
      <c r="G58" s="13" t="s">
        <v>192</v>
      </c>
      <c r="H58" s="13" t="s">
        <v>193</v>
      </c>
      <c r="K58" s="12"/>
      <c r="L58" s="12"/>
      <c r="M58" s="12"/>
      <c r="N58" s="12"/>
      <c r="O58" s="12"/>
      <c r="P58" s="12"/>
      <c r="Q58" s="13" t="s">
        <v>201</v>
      </c>
      <c r="R58" s="13" t="s">
        <v>5</v>
      </c>
      <c r="S58" s="13" t="s">
        <v>206</v>
      </c>
      <c r="T58" s="14" t="s">
        <v>189</v>
      </c>
      <c r="U58" s="13" t="s">
        <v>190</v>
      </c>
      <c r="V58" s="13" t="s">
        <v>191</v>
      </c>
      <c r="W58" s="13" t="s">
        <v>192</v>
      </c>
      <c r="X58" s="13" t="s">
        <v>193</v>
      </c>
      <c r="Z58" s="12"/>
      <c r="AA58" s="12"/>
      <c r="AB58" s="12"/>
      <c r="AC58" s="12"/>
      <c r="AD58" s="12"/>
      <c r="AE58" s="12"/>
      <c r="AF58" s="12"/>
      <c r="AG58" s="12"/>
      <c r="AH58" s="12"/>
      <c r="AI58" s="12"/>
      <c r="AJ58" s="13" t="s">
        <v>201</v>
      </c>
      <c r="AK58" s="13" t="s">
        <v>5</v>
      </c>
      <c r="AL58" s="13" t="s">
        <v>208</v>
      </c>
      <c r="AM58" s="14" t="s">
        <v>189</v>
      </c>
      <c r="AN58" s="13" t="s">
        <v>190</v>
      </c>
      <c r="AO58" s="13" t="s">
        <v>191</v>
      </c>
      <c r="AP58" s="13" t="s">
        <v>192</v>
      </c>
      <c r="AQ58" s="13" t="s">
        <v>193</v>
      </c>
      <c r="AT58" s="12"/>
      <c r="AU58" s="13" t="s">
        <v>201</v>
      </c>
      <c r="AV58" s="13" t="s">
        <v>5</v>
      </c>
      <c r="AW58" s="13" t="s">
        <v>209</v>
      </c>
      <c r="AX58" s="14" t="s">
        <v>189</v>
      </c>
      <c r="AY58" s="13" t="s">
        <v>190</v>
      </c>
      <c r="AZ58" s="13" t="s">
        <v>191</v>
      </c>
      <c r="BA58" s="13" t="s">
        <v>192</v>
      </c>
      <c r="BB58" s="13" t="s">
        <v>193</v>
      </c>
      <c r="BE58" s="13" t="s">
        <v>201</v>
      </c>
      <c r="BF58" s="13" t="s">
        <v>5</v>
      </c>
      <c r="BG58" s="13" t="s">
        <v>211</v>
      </c>
      <c r="BH58" s="14" t="s">
        <v>189</v>
      </c>
      <c r="BI58" s="13" t="s">
        <v>190</v>
      </c>
      <c r="BJ58" s="13" t="s">
        <v>191</v>
      </c>
      <c r="BK58" s="13" t="s">
        <v>192</v>
      </c>
      <c r="BL58" s="13" t="s">
        <v>193</v>
      </c>
      <c r="BO58" s="13" t="s">
        <v>201</v>
      </c>
      <c r="BP58" s="13" t="s">
        <v>5</v>
      </c>
      <c r="BQ58" s="13" t="s">
        <v>212</v>
      </c>
      <c r="BR58" s="14" t="s">
        <v>189</v>
      </c>
      <c r="BS58" s="13" t="s">
        <v>190</v>
      </c>
      <c r="BT58" s="13" t="s">
        <v>191</v>
      </c>
      <c r="BU58" s="13" t="s">
        <v>192</v>
      </c>
      <c r="BV58" s="13" t="s">
        <v>193</v>
      </c>
      <c r="BY58" s="13" t="s">
        <v>201</v>
      </c>
      <c r="BZ58" s="13" t="s">
        <v>5</v>
      </c>
      <c r="CA58" s="13" t="s">
        <v>188</v>
      </c>
      <c r="CB58" s="14" t="s">
        <v>189</v>
      </c>
      <c r="CC58" s="13" t="s">
        <v>190</v>
      </c>
      <c r="CD58" s="13" t="s">
        <v>191</v>
      </c>
      <c r="CE58" s="13" t="s">
        <v>192</v>
      </c>
      <c r="CF58" s="13" t="s">
        <v>193</v>
      </c>
      <c r="CI58" s="13" t="s">
        <v>201</v>
      </c>
      <c r="CJ58" s="13" t="s">
        <v>5</v>
      </c>
      <c r="CK58" s="13" t="s">
        <v>202</v>
      </c>
      <c r="CL58" s="14" t="s">
        <v>189</v>
      </c>
      <c r="CM58" s="13" t="s">
        <v>190</v>
      </c>
      <c r="CN58" s="13" t="s">
        <v>191</v>
      </c>
      <c r="CO58" s="13" t="s">
        <v>192</v>
      </c>
      <c r="CP58" s="13" t="s">
        <v>193</v>
      </c>
    </row>
    <row r="59" spans="1:94" ht="14.25" customHeight="1" x14ac:dyDescent="0.3">
      <c r="A59" s="3" t="s">
        <v>213</v>
      </c>
      <c r="B59" s="3">
        <v>0</v>
      </c>
      <c r="C59" s="18">
        <v>3.3333333333333335</v>
      </c>
      <c r="D59" s="3">
        <v>0</v>
      </c>
      <c r="E59" s="3">
        <v>0</v>
      </c>
      <c r="F59" s="3">
        <v>8</v>
      </c>
      <c r="G59" s="13">
        <v>1.247177188019948</v>
      </c>
      <c r="H59" s="13">
        <v>17</v>
      </c>
      <c r="Q59" s="3" t="s">
        <v>213</v>
      </c>
      <c r="R59" s="3">
        <v>0</v>
      </c>
      <c r="S59" s="18">
        <v>3.1111111111111112</v>
      </c>
      <c r="T59" s="3">
        <v>0</v>
      </c>
      <c r="U59" s="3">
        <v>0</v>
      </c>
      <c r="V59" s="3">
        <v>8</v>
      </c>
      <c r="W59" s="13">
        <v>1.247177188019948</v>
      </c>
      <c r="X59" s="13">
        <v>17</v>
      </c>
      <c r="AJ59" s="3" t="s">
        <v>213</v>
      </c>
      <c r="AK59" s="3">
        <v>5</v>
      </c>
      <c r="AL59" s="18">
        <v>7</v>
      </c>
      <c r="AM59" s="3">
        <v>2</v>
      </c>
      <c r="AN59" s="3">
        <v>2</v>
      </c>
      <c r="AO59" s="3">
        <v>8</v>
      </c>
      <c r="AP59" s="13">
        <v>1.247177188019948</v>
      </c>
      <c r="AQ59" s="13">
        <v>17</v>
      </c>
      <c r="AU59" s="3" t="s">
        <v>213</v>
      </c>
      <c r="AV59" s="3">
        <v>4</v>
      </c>
      <c r="AW59" s="18">
        <v>5.666666666666667</v>
      </c>
      <c r="AX59" s="3">
        <v>0</v>
      </c>
      <c r="AY59" s="3">
        <v>1</v>
      </c>
      <c r="AZ59" s="3">
        <v>8</v>
      </c>
      <c r="BA59" s="13">
        <v>1.247177188019948</v>
      </c>
      <c r="BB59" s="13">
        <v>17</v>
      </c>
      <c r="BE59" s="3" t="s">
        <v>213</v>
      </c>
      <c r="BF59" s="3">
        <v>1</v>
      </c>
      <c r="BG59" s="18">
        <v>3.6666666666666665</v>
      </c>
      <c r="BH59" s="3">
        <v>0</v>
      </c>
      <c r="BI59" s="3">
        <v>1</v>
      </c>
      <c r="BJ59" s="3">
        <v>8</v>
      </c>
      <c r="BK59" s="13">
        <v>1.247177188019948</v>
      </c>
      <c r="BL59" s="13">
        <v>17</v>
      </c>
      <c r="BO59" s="3" t="s">
        <v>213</v>
      </c>
      <c r="BP59" s="3">
        <v>14</v>
      </c>
      <c r="BQ59" s="18">
        <v>6.666666666666667</v>
      </c>
      <c r="BR59" s="3">
        <v>9</v>
      </c>
      <c r="BS59" s="3">
        <v>8</v>
      </c>
      <c r="BT59" s="3">
        <v>8</v>
      </c>
      <c r="BU59" s="13">
        <v>1.247177188019948</v>
      </c>
      <c r="BV59" s="13">
        <v>17</v>
      </c>
      <c r="BY59" s="3" t="s">
        <v>213</v>
      </c>
      <c r="BZ59" s="3">
        <v>7</v>
      </c>
      <c r="CA59" s="18">
        <v>6</v>
      </c>
      <c r="CB59" s="3">
        <v>8</v>
      </c>
      <c r="CC59" s="3">
        <v>8</v>
      </c>
      <c r="CD59" s="3">
        <v>8</v>
      </c>
      <c r="CE59" s="13">
        <v>1.247177188019948</v>
      </c>
      <c r="CF59" s="13">
        <v>17</v>
      </c>
      <c r="CI59" s="3" t="s">
        <v>213</v>
      </c>
      <c r="CJ59" s="3">
        <v>7</v>
      </c>
      <c r="CK59" s="18">
        <v>3.3333333333333335</v>
      </c>
      <c r="CL59" s="3">
        <v>7</v>
      </c>
      <c r="CM59" s="3">
        <v>7</v>
      </c>
      <c r="CN59" s="3">
        <v>8</v>
      </c>
      <c r="CO59" s="13">
        <v>1.247177188019948</v>
      </c>
      <c r="CP59" s="13">
        <v>17</v>
      </c>
    </row>
    <row r="60" spans="1:94" ht="14.25" customHeight="1" x14ac:dyDescent="0.3">
      <c r="A60" s="3" t="s">
        <v>215</v>
      </c>
      <c r="B60" s="3">
        <v>7</v>
      </c>
      <c r="C60" s="18">
        <v>5.5555555555555554</v>
      </c>
      <c r="D60" s="3">
        <v>6</v>
      </c>
      <c r="E60" s="3">
        <v>6</v>
      </c>
      <c r="F60" s="3">
        <v>7</v>
      </c>
      <c r="G60" s="13">
        <v>1.1425292918330761</v>
      </c>
      <c r="H60" s="13">
        <v>15</v>
      </c>
      <c r="Q60" s="3" t="s">
        <v>215</v>
      </c>
      <c r="R60" s="3">
        <v>6</v>
      </c>
      <c r="S60" s="18">
        <v>4.666666666666667</v>
      </c>
      <c r="T60" s="3">
        <v>4</v>
      </c>
      <c r="U60" s="3">
        <v>4</v>
      </c>
      <c r="V60" s="3">
        <v>7</v>
      </c>
      <c r="W60" s="13">
        <v>1.1425292918330761</v>
      </c>
      <c r="X60" s="13">
        <v>15</v>
      </c>
      <c r="AJ60" s="3" t="s">
        <v>215</v>
      </c>
      <c r="AK60" s="3">
        <v>8</v>
      </c>
      <c r="AL60" s="18">
        <v>6.1111111111111107</v>
      </c>
      <c r="AM60" s="3">
        <v>7</v>
      </c>
      <c r="AN60" s="3">
        <v>3</v>
      </c>
      <c r="AO60" s="3">
        <v>7</v>
      </c>
      <c r="AP60" s="13">
        <v>1.1425292918330761</v>
      </c>
      <c r="AQ60" s="13">
        <v>15</v>
      </c>
      <c r="AU60" s="3" t="s">
        <v>215</v>
      </c>
      <c r="AV60" s="3">
        <v>0</v>
      </c>
      <c r="AW60" s="18">
        <v>3.6666666666666665</v>
      </c>
      <c r="AX60" s="3">
        <v>0</v>
      </c>
      <c r="AY60" s="3">
        <v>0</v>
      </c>
      <c r="AZ60" s="3">
        <v>7</v>
      </c>
      <c r="BA60" s="13">
        <v>1.1425292918330761</v>
      </c>
      <c r="BB60" s="13">
        <v>15</v>
      </c>
      <c r="BE60" s="3" t="s">
        <v>215</v>
      </c>
      <c r="BF60" s="3">
        <v>8</v>
      </c>
      <c r="BG60" s="18">
        <v>4.666666666666667</v>
      </c>
      <c r="BH60" s="3">
        <v>6</v>
      </c>
      <c r="BI60" s="3">
        <v>4</v>
      </c>
      <c r="BJ60" s="3">
        <v>7</v>
      </c>
      <c r="BK60" s="13">
        <v>1.1425292918330761</v>
      </c>
      <c r="BL60" s="13">
        <v>15</v>
      </c>
      <c r="BO60" s="3" t="s">
        <v>215</v>
      </c>
      <c r="BP60" s="3">
        <v>3</v>
      </c>
      <c r="BQ60" s="18">
        <v>6.1111111111111107</v>
      </c>
      <c r="BR60" s="3">
        <v>4</v>
      </c>
      <c r="BS60" s="3">
        <v>2</v>
      </c>
      <c r="BT60" s="3">
        <v>7</v>
      </c>
      <c r="BU60" s="13">
        <v>1.1425292918330761</v>
      </c>
      <c r="BV60" s="13">
        <v>15</v>
      </c>
      <c r="BY60" s="3" t="s">
        <v>215</v>
      </c>
      <c r="BZ60" s="3">
        <v>10</v>
      </c>
      <c r="CA60" s="18">
        <v>4.1111111111111107</v>
      </c>
      <c r="CB60" s="3">
        <v>10</v>
      </c>
      <c r="CC60" s="3">
        <v>10</v>
      </c>
      <c r="CD60" s="3">
        <v>8</v>
      </c>
      <c r="CE60" s="13">
        <v>1.1425292918330761</v>
      </c>
      <c r="CF60" s="13">
        <v>15</v>
      </c>
      <c r="CI60" s="3" t="s">
        <v>215</v>
      </c>
      <c r="CJ60" s="3">
        <v>7</v>
      </c>
      <c r="CK60" s="18">
        <v>5.5555555555555554</v>
      </c>
      <c r="CL60" s="3">
        <v>7</v>
      </c>
      <c r="CM60" s="3">
        <v>7</v>
      </c>
      <c r="CN60" s="3">
        <v>7</v>
      </c>
      <c r="CO60" s="13">
        <v>1.1425292918330761</v>
      </c>
      <c r="CP60" s="13">
        <v>15</v>
      </c>
    </row>
    <row r="61" spans="1:94" ht="14.25" customHeight="1" x14ac:dyDescent="0.3">
      <c r="A61" s="3" t="s">
        <v>216</v>
      </c>
      <c r="B61" s="3">
        <v>4</v>
      </c>
      <c r="C61" s="18">
        <v>3.2222222222222223</v>
      </c>
      <c r="D61" s="3">
        <v>4</v>
      </c>
      <c r="E61" s="3">
        <v>4</v>
      </c>
      <c r="F61" s="3">
        <v>5</v>
      </c>
      <c r="G61" s="13">
        <v>1.123713972805261</v>
      </c>
      <c r="H61" s="13">
        <v>11</v>
      </c>
      <c r="Q61" s="3" t="s">
        <v>216</v>
      </c>
      <c r="R61" s="3">
        <v>5</v>
      </c>
      <c r="S61" s="18">
        <v>3.2222222222222223</v>
      </c>
      <c r="T61" s="3">
        <v>5</v>
      </c>
      <c r="U61" s="3">
        <v>5</v>
      </c>
      <c r="V61" s="3">
        <v>5</v>
      </c>
      <c r="W61" s="13">
        <v>1.123713972805261</v>
      </c>
      <c r="X61" s="13">
        <v>11</v>
      </c>
      <c r="AJ61" s="3" t="s">
        <v>216</v>
      </c>
      <c r="AK61" s="3">
        <v>6</v>
      </c>
      <c r="AL61" s="18">
        <v>5</v>
      </c>
      <c r="AM61" s="3">
        <v>4</v>
      </c>
      <c r="AN61" s="3">
        <v>2</v>
      </c>
      <c r="AO61" s="3">
        <v>5</v>
      </c>
      <c r="AP61" s="13">
        <v>1.123713972805261</v>
      </c>
      <c r="AQ61" s="13">
        <v>11</v>
      </c>
      <c r="AU61" s="3" t="s">
        <v>216</v>
      </c>
      <c r="AV61" s="3">
        <v>6</v>
      </c>
      <c r="AW61" s="18">
        <v>4.1111111111111107</v>
      </c>
      <c r="AX61" s="3">
        <v>1</v>
      </c>
      <c r="AY61" s="3">
        <v>2</v>
      </c>
      <c r="AZ61" s="3">
        <v>5</v>
      </c>
      <c r="BA61" s="13">
        <v>1.123713972805261</v>
      </c>
      <c r="BB61" s="13">
        <v>11</v>
      </c>
      <c r="BE61" s="3" t="s">
        <v>216</v>
      </c>
      <c r="BF61" s="3">
        <v>5</v>
      </c>
      <c r="BG61" s="18">
        <v>3.7777777777777777</v>
      </c>
      <c r="BH61" s="3">
        <v>3</v>
      </c>
      <c r="BI61" s="3">
        <v>2</v>
      </c>
      <c r="BJ61" s="3">
        <v>5</v>
      </c>
      <c r="BK61" s="13">
        <v>1.123713972805261</v>
      </c>
      <c r="BL61" s="13">
        <v>11</v>
      </c>
      <c r="BO61" s="3" t="s">
        <v>216</v>
      </c>
      <c r="BP61" s="3">
        <v>6</v>
      </c>
      <c r="BQ61" s="18">
        <v>6</v>
      </c>
      <c r="BR61" s="3">
        <v>6</v>
      </c>
      <c r="BS61" s="3">
        <v>6</v>
      </c>
      <c r="BT61" s="3">
        <v>5</v>
      </c>
      <c r="BU61" s="13">
        <v>1.123713972805261</v>
      </c>
      <c r="BV61" s="13">
        <v>11</v>
      </c>
      <c r="BY61" s="3" t="s">
        <v>216</v>
      </c>
      <c r="BZ61" s="3">
        <v>5</v>
      </c>
      <c r="CA61" s="18">
        <v>2.7777777777777777</v>
      </c>
      <c r="CB61" s="3">
        <v>6</v>
      </c>
      <c r="CC61" s="3">
        <v>6</v>
      </c>
      <c r="CD61" s="3">
        <v>5</v>
      </c>
      <c r="CE61" s="13">
        <v>1.123713972805261</v>
      </c>
      <c r="CF61" s="13">
        <v>11</v>
      </c>
      <c r="CI61" s="3" t="s">
        <v>216</v>
      </c>
      <c r="CJ61" s="3">
        <v>4</v>
      </c>
      <c r="CK61" s="18">
        <v>3.2222222222222223</v>
      </c>
      <c r="CL61" s="3">
        <v>4</v>
      </c>
      <c r="CM61" s="3">
        <v>4</v>
      </c>
      <c r="CN61" s="3">
        <v>5</v>
      </c>
      <c r="CO61" s="13">
        <v>1.123713972805261</v>
      </c>
      <c r="CP61" s="13">
        <v>11</v>
      </c>
    </row>
    <row r="62" spans="1:94" ht="14.25" customHeight="1" x14ac:dyDescent="0.3">
      <c r="A62" s="3" t="s">
        <v>217</v>
      </c>
      <c r="B62" s="3">
        <v>8</v>
      </c>
      <c r="C62" s="18">
        <v>2.7777777777777777</v>
      </c>
      <c r="D62" s="3">
        <v>8</v>
      </c>
      <c r="E62" s="3">
        <v>8</v>
      </c>
      <c r="F62" s="3">
        <v>7</v>
      </c>
      <c r="G62" s="13">
        <v>1.1139196755889551</v>
      </c>
      <c r="H62" s="13">
        <v>11</v>
      </c>
      <c r="Q62" s="3" t="s">
        <v>217</v>
      </c>
      <c r="R62" s="3">
        <v>4</v>
      </c>
      <c r="S62" s="18">
        <v>2.8888888888888888</v>
      </c>
      <c r="T62" s="3">
        <v>4</v>
      </c>
      <c r="U62" s="3">
        <v>4</v>
      </c>
      <c r="V62" s="3">
        <v>5</v>
      </c>
      <c r="W62" s="13">
        <v>1.1139196755889551</v>
      </c>
      <c r="X62" s="13">
        <v>11</v>
      </c>
      <c r="AJ62" s="3" t="s">
        <v>217</v>
      </c>
      <c r="AK62" s="3">
        <v>1</v>
      </c>
      <c r="AL62" s="18">
        <v>4.4444444444444446</v>
      </c>
      <c r="AM62" s="3">
        <v>0</v>
      </c>
      <c r="AN62" s="3">
        <v>0</v>
      </c>
      <c r="AO62" s="3">
        <v>5</v>
      </c>
      <c r="AP62" s="13">
        <v>1.1139196755889551</v>
      </c>
      <c r="AQ62" s="13">
        <v>11</v>
      </c>
      <c r="AU62" s="3" t="s">
        <v>217</v>
      </c>
      <c r="AV62" s="3">
        <v>8</v>
      </c>
      <c r="AW62" s="18">
        <v>4.666666666666667</v>
      </c>
      <c r="AX62" s="3">
        <v>0</v>
      </c>
      <c r="AY62" s="3">
        <v>0</v>
      </c>
      <c r="AZ62" s="3">
        <v>5</v>
      </c>
      <c r="BA62" s="13">
        <v>1.1139196755889551</v>
      </c>
      <c r="BB62" s="13">
        <v>11</v>
      </c>
      <c r="BE62" s="3" t="s">
        <v>217</v>
      </c>
      <c r="BF62" s="3">
        <v>5</v>
      </c>
      <c r="BG62" s="18">
        <v>5.7777777777777777</v>
      </c>
      <c r="BH62" s="3">
        <v>2</v>
      </c>
      <c r="BI62" s="3">
        <v>1</v>
      </c>
      <c r="BJ62" s="3">
        <v>5</v>
      </c>
      <c r="BK62" s="13">
        <v>1.1139196755889551</v>
      </c>
      <c r="BL62" s="13">
        <v>11</v>
      </c>
      <c r="BO62" s="3" t="s">
        <v>217</v>
      </c>
      <c r="BP62" s="3">
        <v>9</v>
      </c>
      <c r="BQ62" s="18">
        <v>3.3333333333333335</v>
      </c>
      <c r="BR62" s="3">
        <v>5</v>
      </c>
      <c r="BS62" s="3">
        <v>3</v>
      </c>
      <c r="BT62" s="3">
        <v>5</v>
      </c>
      <c r="BU62" s="13">
        <v>1.1139196755889551</v>
      </c>
      <c r="BV62" s="13">
        <v>11</v>
      </c>
      <c r="BY62" s="3" t="s">
        <v>217</v>
      </c>
      <c r="BZ62" s="3">
        <v>3</v>
      </c>
      <c r="CA62" s="18">
        <v>2.7777777777777777</v>
      </c>
      <c r="CB62" s="3">
        <v>3</v>
      </c>
      <c r="CC62" s="3">
        <v>3</v>
      </c>
      <c r="CD62" s="3">
        <v>5</v>
      </c>
      <c r="CE62" s="13">
        <v>1.1139196755889551</v>
      </c>
      <c r="CF62" s="13">
        <v>11</v>
      </c>
      <c r="CI62" s="3" t="s">
        <v>217</v>
      </c>
      <c r="CJ62" s="3">
        <v>0</v>
      </c>
      <c r="CK62" s="18">
        <v>2.7777777777777777</v>
      </c>
      <c r="CL62" s="3">
        <v>0</v>
      </c>
      <c r="CM62" s="3">
        <v>0</v>
      </c>
      <c r="CN62" s="3">
        <v>6</v>
      </c>
      <c r="CO62" s="13">
        <v>1.1139196755889551</v>
      </c>
      <c r="CP62" s="13">
        <v>11</v>
      </c>
    </row>
    <row r="63" spans="1:94" ht="14.25" customHeight="1" x14ac:dyDescent="0.3">
      <c r="A63" s="3" t="s">
        <v>218</v>
      </c>
      <c r="B63" s="3">
        <v>5</v>
      </c>
      <c r="C63" s="18">
        <v>3</v>
      </c>
      <c r="D63" s="3">
        <v>6</v>
      </c>
      <c r="E63" s="3">
        <v>6</v>
      </c>
      <c r="F63" s="3">
        <v>5</v>
      </c>
      <c r="G63" s="13">
        <v>1.0416402811862899</v>
      </c>
      <c r="H63" s="13">
        <v>11</v>
      </c>
      <c r="Q63" s="3" t="s">
        <v>218</v>
      </c>
      <c r="R63" s="3">
        <v>6</v>
      </c>
      <c r="S63" s="18">
        <v>2.8888888888888888</v>
      </c>
      <c r="T63" s="3">
        <v>6</v>
      </c>
      <c r="U63" s="3">
        <v>7</v>
      </c>
      <c r="V63" s="3">
        <v>5</v>
      </c>
      <c r="W63" s="13">
        <v>1.0416402811862899</v>
      </c>
      <c r="X63" s="13">
        <v>11</v>
      </c>
      <c r="AJ63" s="3" t="s">
        <v>218</v>
      </c>
      <c r="AK63" s="3">
        <v>5</v>
      </c>
      <c r="AL63" s="18">
        <v>3.5555555555555554</v>
      </c>
      <c r="AM63" s="3">
        <v>1</v>
      </c>
      <c r="AN63" s="3">
        <v>1</v>
      </c>
      <c r="AO63" s="3">
        <v>5</v>
      </c>
      <c r="AP63" s="13">
        <v>1.0416402811862899</v>
      </c>
      <c r="AQ63" s="13">
        <v>11</v>
      </c>
      <c r="AU63" s="3" t="s">
        <v>218</v>
      </c>
      <c r="AV63" s="3">
        <v>2</v>
      </c>
      <c r="AW63" s="18">
        <v>2.6666666666666665</v>
      </c>
      <c r="AX63" s="3">
        <v>1</v>
      </c>
      <c r="AY63" s="3">
        <v>0</v>
      </c>
      <c r="AZ63" s="3">
        <v>5</v>
      </c>
      <c r="BA63" s="13">
        <v>1.0416402811862899</v>
      </c>
      <c r="BB63" s="13">
        <v>11</v>
      </c>
      <c r="BE63" s="3" t="s">
        <v>218</v>
      </c>
      <c r="BF63" s="3">
        <v>0</v>
      </c>
      <c r="BG63" s="18">
        <v>1.4444444444444444</v>
      </c>
      <c r="BH63" s="3">
        <v>4</v>
      </c>
      <c r="BI63" s="3">
        <v>3</v>
      </c>
      <c r="BJ63" s="3">
        <v>5</v>
      </c>
      <c r="BK63" s="13">
        <v>1.0416402811862899</v>
      </c>
      <c r="BL63" s="13">
        <v>11</v>
      </c>
      <c r="BO63" s="3" t="s">
        <v>218</v>
      </c>
      <c r="BP63" s="3">
        <v>10</v>
      </c>
      <c r="BQ63" s="18">
        <v>4</v>
      </c>
      <c r="BR63" s="3">
        <v>4</v>
      </c>
      <c r="BS63" s="3">
        <v>2</v>
      </c>
      <c r="BT63" s="3">
        <v>5</v>
      </c>
      <c r="BU63" s="13">
        <v>1.0416402811862899</v>
      </c>
      <c r="BV63" s="13">
        <v>11</v>
      </c>
      <c r="BY63" s="3" t="s">
        <v>218</v>
      </c>
      <c r="BZ63" s="3">
        <v>5</v>
      </c>
      <c r="CA63" s="18">
        <v>1.7777777777777777</v>
      </c>
      <c r="CB63" s="3">
        <v>5</v>
      </c>
      <c r="CC63" s="3">
        <v>6</v>
      </c>
      <c r="CD63" s="3">
        <v>5</v>
      </c>
      <c r="CE63" s="13">
        <v>1.0416402811862899</v>
      </c>
      <c r="CF63" s="13">
        <v>11</v>
      </c>
      <c r="CI63" s="3" t="s">
        <v>218</v>
      </c>
      <c r="CJ63" s="3">
        <v>0</v>
      </c>
      <c r="CK63" s="18">
        <v>3</v>
      </c>
      <c r="CL63" s="3">
        <v>0</v>
      </c>
      <c r="CM63" s="3">
        <v>0</v>
      </c>
      <c r="CN63" s="3">
        <v>5</v>
      </c>
      <c r="CO63" s="13">
        <v>1.0416402811862899</v>
      </c>
      <c r="CP63" s="13">
        <v>11</v>
      </c>
    </row>
    <row r="64" spans="1:94" ht="14.25" customHeight="1" x14ac:dyDescent="0.3">
      <c r="A64" s="3" t="s">
        <v>220</v>
      </c>
      <c r="B64" s="3">
        <v>2</v>
      </c>
      <c r="C64" s="18">
        <v>8</v>
      </c>
      <c r="D64" s="3">
        <v>2</v>
      </c>
      <c r="E64" s="3">
        <v>2</v>
      </c>
      <c r="F64" s="3">
        <v>12</v>
      </c>
      <c r="G64" s="13">
        <v>0.99583449612816577</v>
      </c>
      <c r="H64" s="13">
        <v>29</v>
      </c>
      <c r="Q64" s="3" t="s">
        <v>220</v>
      </c>
      <c r="R64" s="3">
        <v>0</v>
      </c>
      <c r="S64" s="18">
        <v>5.4444444444444446</v>
      </c>
      <c r="T64" s="3">
        <v>0</v>
      </c>
      <c r="U64" s="3">
        <v>1</v>
      </c>
      <c r="V64" s="3">
        <v>11</v>
      </c>
      <c r="W64" s="13">
        <v>0.99583449612816577</v>
      </c>
      <c r="X64" s="13">
        <v>29</v>
      </c>
      <c r="AJ64" s="3" t="s">
        <v>220</v>
      </c>
      <c r="AK64" s="3">
        <v>17</v>
      </c>
      <c r="AL64" s="18">
        <v>10.222222222222221</v>
      </c>
      <c r="AM64" s="3">
        <v>8</v>
      </c>
      <c r="AN64" s="3">
        <v>6</v>
      </c>
      <c r="AO64" s="3">
        <v>11</v>
      </c>
      <c r="AP64" s="13">
        <v>0.99583449612816577</v>
      </c>
      <c r="AQ64" s="13">
        <v>29</v>
      </c>
      <c r="AU64" s="3" t="s">
        <v>220</v>
      </c>
      <c r="AV64" s="3">
        <v>13</v>
      </c>
      <c r="AW64" s="18">
        <v>10.333333333333334</v>
      </c>
      <c r="AX64" s="3">
        <v>10</v>
      </c>
      <c r="AY64" s="3">
        <v>6</v>
      </c>
      <c r="AZ64" s="3">
        <v>11</v>
      </c>
      <c r="BA64" s="13">
        <v>0.99583449612816577</v>
      </c>
      <c r="BB64" s="13">
        <v>29</v>
      </c>
      <c r="BE64" s="3" t="s">
        <v>220</v>
      </c>
      <c r="BF64" s="3">
        <v>8</v>
      </c>
      <c r="BG64" s="18">
        <v>5.666666666666667</v>
      </c>
      <c r="BH64" s="3">
        <v>0</v>
      </c>
      <c r="BI64" s="3">
        <v>0</v>
      </c>
      <c r="BJ64" s="3">
        <v>11</v>
      </c>
      <c r="BK64" s="13">
        <v>0.99583449612816577</v>
      </c>
      <c r="BL64" s="13">
        <v>29</v>
      </c>
      <c r="BO64" s="3" t="s">
        <v>220</v>
      </c>
      <c r="BP64" s="3">
        <v>8</v>
      </c>
      <c r="BQ64" s="18">
        <v>5.2222222222222223</v>
      </c>
      <c r="BR64" s="3">
        <v>4</v>
      </c>
      <c r="BS64" s="3">
        <v>4</v>
      </c>
      <c r="BT64" s="3">
        <v>14</v>
      </c>
      <c r="BU64" s="13">
        <v>0.99583449612816577</v>
      </c>
      <c r="BV64" s="13">
        <v>29</v>
      </c>
      <c r="BY64" s="3" t="s">
        <v>220</v>
      </c>
      <c r="BZ64" s="3">
        <v>4</v>
      </c>
      <c r="CA64" s="18">
        <v>5.333333333333333</v>
      </c>
      <c r="CB64" s="3">
        <v>3</v>
      </c>
      <c r="CC64" s="3">
        <v>3</v>
      </c>
      <c r="CD64" s="3">
        <v>12</v>
      </c>
      <c r="CE64" s="13">
        <v>0.99583449612816577</v>
      </c>
      <c r="CF64" s="13">
        <v>29</v>
      </c>
      <c r="CI64" s="3" t="s">
        <v>220</v>
      </c>
      <c r="CJ64" s="3">
        <v>17</v>
      </c>
      <c r="CK64" s="18">
        <v>8</v>
      </c>
      <c r="CL64" s="3">
        <v>16</v>
      </c>
      <c r="CM64" s="3">
        <v>17</v>
      </c>
      <c r="CN64" s="3">
        <v>11</v>
      </c>
      <c r="CO64" s="13">
        <v>0.99583449612816577</v>
      </c>
      <c r="CP64" s="13">
        <v>29</v>
      </c>
    </row>
    <row r="65" spans="1:94" ht="14.25" customHeight="1" x14ac:dyDescent="0.3">
      <c r="A65" s="3" t="s">
        <v>223</v>
      </c>
      <c r="B65" s="3">
        <v>3</v>
      </c>
      <c r="C65" s="18">
        <v>4.4444444444444446</v>
      </c>
      <c r="D65" s="3">
        <v>3</v>
      </c>
      <c r="E65" s="3">
        <v>2</v>
      </c>
      <c r="F65" s="3">
        <v>7</v>
      </c>
      <c r="G65" s="13">
        <v>0.9957863323050703</v>
      </c>
      <c r="H65" s="13">
        <v>15</v>
      </c>
      <c r="Q65" s="3" t="s">
        <v>223</v>
      </c>
      <c r="R65" s="3">
        <v>1</v>
      </c>
      <c r="S65" s="18">
        <v>3</v>
      </c>
      <c r="T65" s="3">
        <v>0</v>
      </c>
      <c r="U65" s="3">
        <v>1</v>
      </c>
      <c r="V65" s="3">
        <v>7</v>
      </c>
      <c r="W65" s="13">
        <v>0.9957863323050703</v>
      </c>
      <c r="X65" s="13">
        <v>15</v>
      </c>
      <c r="AJ65" s="3" t="s">
        <v>223</v>
      </c>
      <c r="AK65" s="3">
        <v>1</v>
      </c>
      <c r="AL65" s="18">
        <v>6.7777777777777777</v>
      </c>
      <c r="AM65" s="3">
        <v>0</v>
      </c>
      <c r="AN65" s="3">
        <v>0</v>
      </c>
      <c r="AO65" s="3">
        <v>7</v>
      </c>
      <c r="AP65" s="13">
        <v>0.9957863323050703</v>
      </c>
      <c r="AQ65" s="13">
        <v>15</v>
      </c>
      <c r="AU65" s="3" t="s">
        <v>223</v>
      </c>
      <c r="AV65" s="3">
        <v>9</v>
      </c>
      <c r="AW65" s="18">
        <v>6</v>
      </c>
      <c r="AX65" s="3">
        <v>6</v>
      </c>
      <c r="AY65" s="3">
        <v>7</v>
      </c>
      <c r="AZ65" s="3">
        <v>7</v>
      </c>
      <c r="BA65" s="13">
        <v>0.9957863323050703</v>
      </c>
      <c r="BB65" s="13">
        <v>15</v>
      </c>
      <c r="BE65" s="3" t="s">
        <v>223</v>
      </c>
      <c r="BF65" s="3">
        <v>8</v>
      </c>
      <c r="BG65" s="18">
        <v>9</v>
      </c>
      <c r="BH65" s="3">
        <v>8</v>
      </c>
      <c r="BI65" s="3">
        <v>4</v>
      </c>
      <c r="BJ65" s="3">
        <v>7</v>
      </c>
      <c r="BK65" s="13">
        <v>0.9957863323050703</v>
      </c>
      <c r="BL65" s="13">
        <v>15</v>
      </c>
      <c r="BO65" s="3" t="s">
        <v>223</v>
      </c>
      <c r="BP65" s="3">
        <v>8</v>
      </c>
      <c r="BQ65" s="18">
        <v>7.8888888888888893</v>
      </c>
      <c r="BR65" s="3">
        <v>9</v>
      </c>
      <c r="BS65" s="3">
        <v>10</v>
      </c>
      <c r="BT65" s="3">
        <v>8</v>
      </c>
      <c r="BU65" s="13">
        <v>0.9957863323050703</v>
      </c>
      <c r="BV65" s="13">
        <v>15</v>
      </c>
      <c r="BY65" s="3" t="s">
        <v>223</v>
      </c>
      <c r="BZ65" s="3">
        <v>0</v>
      </c>
      <c r="CA65" s="18">
        <v>4.8888888888888893</v>
      </c>
      <c r="CB65" s="3">
        <v>1</v>
      </c>
      <c r="CC65" s="3">
        <v>4</v>
      </c>
      <c r="CD65" s="3">
        <v>7</v>
      </c>
      <c r="CE65" s="13">
        <v>0.9957863323050703</v>
      </c>
      <c r="CF65" s="13">
        <v>15</v>
      </c>
      <c r="CI65" s="3" t="s">
        <v>223</v>
      </c>
      <c r="CJ65" s="3">
        <v>0</v>
      </c>
      <c r="CK65" s="18">
        <v>4.4444444444444446</v>
      </c>
      <c r="CL65" s="3">
        <v>0</v>
      </c>
      <c r="CM65" s="3">
        <v>10</v>
      </c>
      <c r="CN65" s="3">
        <v>7</v>
      </c>
      <c r="CO65" s="13">
        <v>0.9957863323050703</v>
      </c>
      <c r="CP65" s="13">
        <v>15</v>
      </c>
    </row>
    <row r="66" spans="1:94" ht="14.25" customHeight="1" x14ac:dyDescent="0.3">
      <c r="A66" s="3" t="s">
        <v>224</v>
      </c>
      <c r="B66" s="3">
        <v>5</v>
      </c>
      <c r="C66" s="18">
        <v>3.7777777777777777</v>
      </c>
      <c r="D66" s="3">
        <v>5</v>
      </c>
      <c r="E66" s="3">
        <v>4</v>
      </c>
      <c r="F66" s="3">
        <v>5</v>
      </c>
      <c r="G66" s="13">
        <v>0.98995442105744402</v>
      </c>
      <c r="H66" s="13">
        <v>11</v>
      </c>
      <c r="Q66" s="3" t="s">
        <v>224</v>
      </c>
      <c r="R66" s="3">
        <v>4</v>
      </c>
      <c r="S66" s="18">
        <v>1.8888888888888888</v>
      </c>
      <c r="T66" s="3">
        <v>2</v>
      </c>
      <c r="U66" s="3">
        <v>1</v>
      </c>
      <c r="V66" s="3">
        <v>5</v>
      </c>
      <c r="W66" s="13">
        <v>0.98995442105744402</v>
      </c>
      <c r="X66" s="13">
        <v>11</v>
      </c>
      <c r="AJ66" s="3" t="s">
        <v>224</v>
      </c>
      <c r="AK66" s="3">
        <v>1</v>
      </c>
      <c r="AL66" s="18">
        <v>1.8888888888888888</v>
      </c>
      <c r="AM66" s="3">
        <v>1</v>
      </c>
      <c r="AN66" s="3">
        <v>1</v>
      </c>
      <c r="AO66" s="3">
        <v>5</v>
      </c>
      <c r="AP66" s="13">
        <v>0.98995442105744402</v>
      </c>
      <c r="AQ66" s="13">
        <v>11</v>
      </c>
      <c r="AU66" s="3" t="s">
        <v>224</v>
      </c>
      <c r="AV66" s="3">
        <v>2</v>
      </c>
      <c r="AW66" s="18">
        <v>1.5555555555555556</v>
      </c>
      <c r="AX66" s="3">
        <v>2</v>
      </c>
      <c r="AY66" s="3">
        <v>2</v>
      </c>
      <c r="AZ66" s="3">
        <v>5</v>
      </c>
      <c r="BA66" s="13">
        <v>0.98995442105744402</v>
      </c>
      <c r="BB66" s="13">
        <v>11</v>
      </c>
      <c r="BE66" s="3" t="s">
        <v>224</v>
      </c>
      <c r="BF66" s="3">
        <v>1</v>
      </c>
      <c r="BG66" s="18">
        <v>0.88888888888888884</v>
      </c>
      <c r="BH66" s="3">
        <v>0</v>
      </c>
      <c r="BI66" s="3">
        <v>0</v>
      </c>
      <c r="BJ66" s="3">
        <v>5</v>
      </c>
      <c r="BK66" s="13">
        <v>0.98995442105744402</v>
      </c>
      <c r="BL66" s="13">
        <v>11</v>
      </c>
      <c r="BO66" s="3" t="s">
        <v>224</v>
      </c>
      <c r="BP66" s="3">
        <v>0</v>
      </c>
      <c r="BQ66" s="18">
        <v>3.1111111111111112</v>
      </c>
      <c r="BR66" s="3">
        <v>0</v>
      </c>
      <c r="BS66" s="3">
        <v>0</v>
      </c>
      <c r="BT66" s="3">
        <v>5</v>
      </c>
      <c r="BU66" s="13">
        <v>0.98995442105744402</v>
      </c>
      <c r="BV66" s="13">
        <v>11</v>
      </c>
      <c r="BY66" s="3" t="s">
        <v>224</v>
      </c>
      <c r="BZ66" s="3">
        <v>0</v>
      </c>
      <c r="CA66" s="18">
        <v>2.3333333333333335</v>
      </c>
      <c r="CB66" s="3">
        <v>0</v>
      </c>
      <c r="CC66" s="3">
        <v>8</v>
      </c>
      <c r="CD66" s="3">
        <v>5</v>
      </c>
      <c r="CE66" s="13">
        <v>0.98995442105744402</v>
      </c>
      <c r="CF66" s="13">
        <v>11</v>
      </c>
      <c r="CI66" s="3" t="s">
        <v>224</v>
      </c>
      <c r="CJ66" s="3">
        <v>3</v>
      </c>
      <c r="CK66" s="18">
        <v>3.7777777777777777</v>
      </c>
      <c r="CL66" s="3">
        <v>1</v>
      </c>
      <c r="CM66" s="3">
        <v>2</v>
      </c>
      <c r="CN66" s="3">
        <v>5</v>
      </c>
      <c r="CO66" s="13">
        <v>0.98995442105744402</v>
      </c>
      <c r="CP66" s="13">
        <v>11</v>
      </c>
    </row>
    <row r="67" spans="1:94" ht="14.25" customHeight="1" x14ac:dyDescent="0.3">
      <c r="A67" s="3" t="s">
        <v>225</v>
      </c>
      <c r="B67" s="3">
        <v>4</v>
      </c>
      <c r="C67" s="18">
        <v>5.8888888888888893</v>
      </c>
      <c r="D67" s="3">
        <v>2</v>
      </c>
      <c r="E67" s="3">
        <v>2</v>
      </c>
      <c r="F67" s="3">
        <v>7</v>
      </c>
      <c r="G67" s="13">
        <v>0.8928339600558084</v>
      </c>
      <c r="H67" s="13">
        <v>15</v>
      </c>
      <c r="Q67" s="3" t="s">
        <v>225</v>
      </c>
      <c r="R67" s="3">
        <v>5</v>
      </c>
      <c r="S67" s="18">
        <v>3.3333333333333335</v>
      </c>
      <c r="T67" s="3">
        <v>6</v>
      </c>
      <c r="U67" s="3">
        <v>6</v>
      </c>
      <c r="V67" s="3">
        <v>9</v>
      </c>
      <c r="W67" s="13">
        <v>0.8928339600558084</v>
      </c>
      <c r="X67" s="13">
        <v>15</v>
      </c>
      <c r="AJ67" s="3" t="s">
        <v>225</v>
      </c>
      <c r="AK67" s="3">
        <v>7</v>
      </c>
      <c r="AL67" s="18">
        <v>2.6666666666666665</v>
      </c>
      <c r="AM67" s="3">
        <v>5</v>
      </c>
      <c r="AN67" s="3">
        <v>5</v>
      </c>
      <c r="AO67" s="3">
        <v>7</v>
      </c>
      <c r="AP67" s="13">
        <v>0.8928339600558084</v>
      </c>
      <c r="AQ67" s="13">
        <v>15</v>
      </c>
      <c r="AU67" s="3" t="s">
        <v>225</v>
      </c>
      <c r="AV67" s="3">
        <v>0</v>
      </c>
      <c r="AW67" s="18">
        <v>5</v>
      </c>
      <c r="AX67" s="3">
        <v>0</v>
      </c>
      <c r="AY67" s="3">
        <v>0</v>
      </c>
      <c r="AZ67" s="3">
        <v>7</v>
      </c>
      <c r="BA67" s="13">
        <v>0.8928339600558084</v>
      </c>
      <c r="BB67" s="13">
        <v>15</v>
      </c>
      <c r="BE67" s="3" t="s">
        <v>225</v>
      </c>
      <c r="BF67" s="3">
        <v>9</v>
      </c>
      <c r="BG67" s="18">
        <v>4.5555555555555554</v>
      </c>
      <c r="BH67" s="3">
        <v>8</v>
      </c>
      <c r="BI67" s="3">
        <v>8</v>
      </c>
      <c r="BJ67" s="3">
        <v>7</v>
      </c>
      <c r="BK67" s="13">
        <v>0.8928339600558084</v>
      </c>
      <c r="BL67" s="13">
        <v>15</v>
      </c>
      <c r="BO67" s="3" t="s">
        <v>225</v>
      </c>
      <c r="BP67" s="3">
        <v>6</v>
      </c>
      <c r="BQ67" s="18">
        <v>4.333333333333333</v>
      </c>
      <c r="BR67" s="3">
        <v>4</v>
      </c>
      <c r="BS67" s="3">
        <v>4</v>
      </c>
      <c r="BT67" s="3">
        <v>7</v>
      </c>
      <c r="BU67" s="13">
        <v>0.8928339600558084</v>
      </c>
      <c r="BV67" s="13">
        <v>15</v>
      </c>
      <c r="BY67" s="3" t="s">
        <v>225</v>
      </c>
      <c r="BZ67" s="3">
        <v>4</v>
      </c>
      <c r="CA67" s="18">
        <v>2.4444444444444446</v>
      </c>
      <c r="CB67" s="3">
        <v>1</v>
      </c>
      <c r="CC67" s="3">
        <v>1</v>
      </c>
      <c r="CD67" s="3">
        <v>7</v>
      </c>
      <c r="CE67" s="13">
        <v>0.8928339600558084</v>
      </c>
      <c r="CF67" s="13">
        <v>15</v>
      </c>
      <c r="CI67" s="3" t="s">
        <v>225</v>
      </c>
      <c r="CJ67" s="3">
        <v>9</v>
      </c>
      <c r="CK67" s="18">
        <v>5.8888888888888893</v>
      </c>
      <c r="CL67" s="3">
        <v>9</v>
      </c>
      <c r="CM67" s="3">
        <v>9</v>
      </c>
      <c r="CN67" s="3">
        <v>7</v>
      </c>
      <c r="CO67" s="13">
        <v>0.8928339600558084</v>
      </c>
      <c r="CP67" s="13">
        <v>15</v>
      </c>
    </row>
    <row r="68" spans="1:94" ht="14.25" customHeight="1" x14ac:dyDescent="0.3">
      <c r="A68" s="3" t="s">
        <v>227</v>
      </c>
      <c r="B68" s="3">
        <v>1</v>
      </c>
      <c r="C68" s="18">
        <v>2.5555555555555554</v>
      </c>
      <c r="D68" s="3">
        <v>6</v>
      </c>
      <c r="E68" s="3">
        <v>6</v>
      </c>
      <c r="F68" s="3">
        <v>5</v>
      </c>
      <c r="G68" s="13">
        <v>0.88597893866063815</v>
      </c>
      <c r="H68" s="13">
        <v>11</v>
      </c>
      <c r="Q68" s="3" t="s">
        <v>227</v>
      </c>
      <c r="R68" s="3">
        <v>2</v>
      </c>
      <c r="S68" s="18">
        <v>3.7777777777777777</v>
      </c>
      <c r="T68" s="3">
        <v>3</v>
      </c>
      <c r="U68" s="3">
        <v>3</v>
      </c>
      <c r="V68" s="3">
        <v>5</v>
      </c>
      <c r="W68" s="13">
        <v>0.88597893866063815</v>
      </c>
      <c r="X68" s="13">
        <v>11</v>
      </c>
      <c r="AJ68" s="3" t="s">
        <v>227</v>
      </c>
      <c r="AK68" s="3">
        <v>3</v>
      </c>
      <c r="AL68" s="18">
        <v>2.4444444444444446</v>
      </c>
      <c r="AM68" s="3">
        <v>4</v>
      </c>
      <c r="AN68" s="3">
        <v>4</v>
      </c>
      <c r="AO68" s="3">
        <v>5</v>
      </c>
      <c r="AP68" s="13">
        <v>0.88597893866063815</v>
      </c>
      <c r="AQ68" s="13">
        <v>11</v>
      </c>
      <c r="AU68" s="3" t="s">
        <v>227</v>
      </c>
      <c r="AV68" s="3">
        <v>3</v>
      </c>
      <c r="AW68" s="18">
        <v>3.4444444444444446</v>
      </c>
      <c r="AX68" s="3">
        <v>2</v>
      </c>
      <c r="AY68" s="3">
        <v>2</v>
      </c>
      <c r="AZ68" s="3">
        <v>5</v>
      </c>
      <c r="BA68" s="13">
        <v>0.88597893866063815</v>
      </c>
      <c r="BB68" s="13">
        <v>11</v>
      </c>
      <c r="BE68" s="3" t="s">
        <v>227</v>
      </c>
      <c r="BF68" s="3">
        <v>0</v>
      </c>
      <c r="BG68" s="18">
        <v>4.5555555555555554</v>
      </c>
      <c r="BH68" s="3">
        <v>0</v>
      </c>
      <c r="BI68" s="3">
        <v>0</v>
      </c>
      <c r="BJ68" s="3">
        <v>5</v>
      </c>
      <c r="BK68" s="13">
        <v>0.88597893866063815</v>
      </c>
      <c r="BL68" s="13">
        <v>11</v>
      </c>
      <c r="BO68" s="3" t="s">
        <v>227</v>
      </c>
      <c r="BP68" s="3">
        <v>6</v>
      </c>
      <c r="BQ68" s="18">
        <v>4.7777777777777777</v>
      </c>
      <c r="BR68" s="3">
        <v>5</v>
      </c>
      <c r="BS68" s="3">
        <v>5</v>
      </c>
      <c r="BT68" s="3">
        <v>6</v>
      </c>
      <c r="BU68" s="13">
        <v>0.88597893866063815</v>
      </c>
      <c r="BV68" s="13">
        <v>11</v>
      </c>
      <c r="BY68" s="3" t="s">
        <v>227</v>
      </c>
      <c r="BZ68" s="3">
        <v>10</v>
      </c>
      <c r="CA68" s="18">
        <v>4.4444444444444446</v>
      </c>
      <c r="CB68" s="3">
        <v>7</v>
      </c>
      <c r="CC68" s="3">
        <v>7</v>
      </c>
      <c r="CD68" s="3">
        <v>5</v>
      </c>
      <c r="CE68" s="13">
        <v>0.88597893866063815</v>
      </c>
      <c r="CF68" s="13">
        <v>11</v>
      </c>
      <c r="CI68" s="3" t="s">
        <v>227</v>
      </c>
      <c r="CJ68" s="3">
        <v>1</v>
      </c>
      <c r="CK68" s="18">
        <v>2.5555555555555554</v>
      </c>
      <c r="CL68" s="3">
        <v>9</v>
      </c>
      <c r="CM68" s="3">
        <v>7</v>
      </c>
      <c r="CN68" s="3">
        <v>5</v>
      </c>
      <c r="CO68" s="13">
        <v>0.88597893866063815</v>
      </c>
      <c r="CP68" s="13">
        <v>11</v>
      </c>
    </row>
    <row r="69" spans="1:94" ht="14.25" customHeight="1" x14ac:dyDescent="0.3">
      <c r="A69" s="3" t="s">
        <v>229</v>
      </c>
      <c r="B69" s="3">
        <v>12</v>
      </c>
      <c r="C69" s="18">
        <v>10</v>
      </c>
      <c r="D69" s="3">
        <v>12</v>
      </c>
      <c r="E69" s="3">
        <v>12</v>
      </c>
      <c r="F69" s="3">
        <v>4</v>
      </c>
      <c r="G69" s="13">
        <v>-1.0923718971587979</v>
      </c>
      <c r="H69" s="13">
        <v>15</v>
      </c>
      <c r="Q69" s="3" t="s">
        <v>229</v>
      </c>
      <c r="R69" s="3">
        <v>11</v>
      </c>
      <c r="S69" s="18">
        <v>9.8888888888888893</v>
      </c>
      <c r="T69" s="3">
        <v>10</v>
      </c>
      <c r="U69" s="3">
        <v>10</v>
      </c>
      <c r="V69" s="3">
        <v>3</v>
      </c>
      <c r="W69" s="13">
        <v>-1.0923718971587979</v>
      </c>
      <c r="X69" s="13">
        <v>15</v>
      </c>
      <c r="AJ69" s="3" t="s">
        <v>229</v>
      </c>
      <c r="AK69" s="3">
        <v>1</v>
      </c>
      <c r="AL69" s="18">
        <v>6.666666666666667</v>
      </c>
      <c r="AM69" s="3">
        <v>5</v>
      </c>
      <c r="AN69" s="3">
        <v>5</v>
      </c>
      <c r="AO69" s="3">
        <v>11</v>
      </c>
      <c r="AP69" s="13">
        <v>-1.0923718971587979</v>
      </c>
      <c r="AQ69" s="13">
        <v>15</v>
      </c>
      <c r="AU69" s="3" t="s">
        <v>229</v>
      </c>
      <c r="AV69" s="3">
        <v>9</v>
      </c>
      <c r="AW69" s="18">
        <v>9</v>
      </c>
      <c r="AX69" s="3">
        <v>10</v>
      </c>
      <c r="AY69" s="3">
        <v>11</v>
      </c>
      <c r="AZ69" s="3">
        <v>9</v>
      </c>
      <c r="BA69" s="13">
        <v>-1.0923718971587979</v>
      </c>
      <c r="BB69" s="13">
        <v>15</v>
      </c>
      <c r="BE69" s="3" t="s">
        <v>229</v>
      </c>
      <c r="BF69" s="3">
        <v>8</v>
      </c>
      <c r="BG69" s="18">
        <v>9.4444444444444446</v>
      </c>
      <c r="BH69" s="3">
        <v>13</v>
      </c>
      <c r="BI69" s="3">
        <v>13</v>
      </c>
      <c r="BJ69" s="3">
        <v>2</v>
      </c>
      <c r="BK69" s="13">
        <v>-1.0923718971587979</v>
      </c>
      <c r="BL69" s="13">
        <v>15</v>
      </c>
      <c r="BO69" s="3" t="s">
        <v>229</v>
      </c>
      <c r="BP69" s="3">
        <v>12</v>
      </c>
      <c r="BQ69" s="18">
        <v>8.3333333333333339</v>
      </c>
      <c r="BR69" s="3">
        <v>11</v>
      </c>
      <c r="BS69" s="3">
        <v>13</v>
      </c>
      <c r="BT69" s="3">
        <v>12</v>
      </c>
      <c r="BU69" s="13">
        <v>-1.0923718971587979</v>
      </c>
      <c r="BV69" s="13">
        <v>15</v>
      </c>
      <c r="BY69" s="3" t="s">
        <v>229</v>
      </c>
      <c r="BZ69" s="3">
        <v>8</v>
      </c>
      <c r="CA69" s="18">
        <v>10.777777777777779</v>
      </c>
      <c r="CB69" s="3">
        <v>9</v>
      </c>
      <c r="CC69" s="3">
        <v>8</v>
      </c>
      <c r="CD69" s="3">
        <v>8</v>
      </c>
      <c r="CE69" s="13">
        <v>-1.0923718971587979</v>
      </c>
      <c r="CF69" s="13">
        <v>15</v>
      </c>
      <c r="CI69" s="3" t="s">
        <v>229</v>
      </c>
      <c r="CJ69" s="3">
        <v>7</v>
      </c>
      <c r="CK69" s="18">
        <v>10</v>
      </c>
      <c r="CL69" s="3">
        <v>8</v>
      </c>
      <c r="CM69" s="3">
        <v>11</v>
      </c>
      <c r="CN69" s="3">
        <v>7</v>
      </c>
      <c r="CO69" s="13">
        <v>-1.0923718971587979</v>
      </c>
      <c r="CP69" s="13">
        <v>15</v>
      </c>
    </row>
    <row r="70" spans="1:94" ht="14.25" customHeight="1" x14ac:dyDescent="0.3">
      <c r="A70" s="3" t="s">
        <v>232</v>
      </c>
      <c r="B70" s="3">
        <v>7</v>
      </c>
      <c r="C70" s="18">
        <v>14.777777777777779</v>
      </c>
      <c r="D70" s="3">
        <v>9</v>
      </c>
      <c r="E70" s="3">
        <v>11</v>
      </c>
      <c r="F70" s="3">
        <v>7</v>
      </c>
      <c r="G70" s="13">
        <v>-1.1154133211974251</v>
      </c>
      <c r="H70" s="13">
        <v>19</v>
      </c>
      <c r="Q70" s="3" t="s">
        <v>232</v>
      </c>
      <c r="R70" s="3">
        <v>12</v>
      </c>
      <c r="S70" s="18">
        <v>14.444444444444445</v>
      </c>
      <c r="T70" s="3">
        <v>15</v>
      </c>
      <c r="U70" s="3">
        <v>15</v>
      </c>
      <c r="V70" s="3">
        <v>12</v>
      </c>
      <c r="W70" s="13">
        <v>-1.1154133211974251</v>
      </c>
      <c r="X70" s="13">
        <v>19</v>
      </c>
      <c r="AJ70" s="3" t="s">
        <v>232</v>
      </c>
      <c r="AK70" s="3">
        <v>16</v>
      </c>
      <c r="AL70" s="18">
        <v>10.333333333333334</v>
      </c>
      <c r="AM70" s="3">
        <v>15</v>
      </c>
      <c r="AN70" s="3">
        <v>17</v>
      </c>
      <c r="AO70" s="3">
        <v>16</v>
      </c>
      <c r="AP70" s="13">
        <v>-1.1154133211974251</v>
      </c>
      <c r="AQ70" s="13">
        <v>19</v>
      </c>
      <c r="AU70" s="3" t="s">
        <v>232</v>
      </c>
      <c r="AV70" s="3">
        <v>14</v>
      </c>
      <c r="AW70" s="18">
        <v>13.111111111111111</v>
      </c>
      <c r="AX70" s="3">
        <v>16</v>
      </c>
      <c r="AY70" s="3">
        <v>16</v>
      </c>
      <c r="AZ70" s="3">
        <v>14</v>
      </c>
      <c r="BA70" s="13">
        <v>-1.1154133211974251</v>
      </c>
      <c r="BB70" s="13">
        <v>19</v>
      </c>
      <c r="BE70" s="3" t="s">
        <v>232</v>
      </c>
      <c r="BF70" s="3">
        <v>12</v>
      </c>
      <c r="BG70" s="18">
        <v>13.111111111111111</v>
      </c>
      <c r="BH70" s="3">
        <v>10</v>
      </c>
      <c r="BI70" s="3">
        <v>14</v>
      </c>
      <c r="BJ70" s="3">
        <v>7</v>
      </c>
      <c r="BK70" s="13">
        <v>-1.1154133211974251</v>
      </c>
      <c r="BL70" s="13">
        <v>19</v>
      </c>
      <c r="BO70" s="3" t="s">
        <v>232</v>
      </c>
      <c r="BP70" s="3">
        <v>12</v>
      </c>
      <c r="BQ70" s="18">
        <v>13.555555555555555</v>
      </c>
      <c r="BR70" s="3">
        <v>14</v>
      </c>
      <c r="BS70" s="3">
        <v>15</v>
      </c>
      <c r="BT70" s="3">
        <v>12</v>
      </c>
      <c r="BU70" s="13">
        <v>-1.1154133211974251</v>
      </c>
      <c r="BV70" s="13">
        <v>19</v>
      </c>
      <c r="BY70" s="3" t="s">
        <v>232</v>
      </c>
      <c r="BZ70" s="3">
        <v>12</v>
      </c>
      <c r="CA70" s="18">
        <v>15.888888888888889</v>
      </c>
      <c r="CB70" s="3">
        <v>14</v>
      </c>
      <c r="CC70" s="3">
        <v>15</v>
      </c>
      <c r="CD70" s="3">
        <v>12</v>
      </c>
      <c r="CE70" s="13">
        <v>-1.1154133211974251</v>
      </c>
      <c r="CF70" s="13">
        <v>19</v>
      </c>
      <c r="CI70" s="3" t="s">
        <v>232</v>
      </c>
      <c r="CJ70" s="3">
        <v>19</v>
      </c>
      <c r="CK70" s="18">
        <v>14.777777777777779</v>
      </c>
      <c r="CL70" s="3">
        <v>15</v>
      </c>
      <c r="CM70" s="3">
        <v>15</v>
      </c>
      <c r="CN70" s="3">
        <v>12</v>
      </c>
      <c r="CO70" s="13">
        <v>-1.1154133211974251</v>
      </c>
      <c r="CP70" s="13">
        <v>19</v>
      </c>
    </row>
    <row r="71" spans="1:94" ht="14.25" customHeight="1" x14ac:dyDescent="0.3">
      <c r="A71" s="3" t="s">
        <v>234</v>
      </c>
      <c r="B71" s="3">
        <v>13</v>
      </c>
      <c r="C71" s="18">
        <v>12.777777777777779</v>
      </c>
      <c r="D71" s="3">
        <v>10</v>
      </c>
      <c r="E71" s="3">
        <v>12</v>
      </c>
      <c r="F71" s="3">
        <v>13</v>
      </c>
      <c r="G71" s="13">
        <v>-1.12017317951397</v>
      </c>
      <c r="H71" s="13">
        <v>16</v>
      </c>
      <c r="Q71" s="3" t="s">
        <v>234</v>
      </c>
      <c r="R71" s="3">
        <v>14</v>
      </c>
      <c r="S71" s="18">
        <v>11.666666666666666</v>
      </c>
      <c r="T71" s="3">
        <v>15</v>
      </c>
      <c r="U71" s="3">
        <v>15</v>
      </c>
      <c r="V71" s="3">
        <v>13</v>
      </c>
      <c r="W71" s="13">
        <v>-1.12017317951397</v>
      </c>
      <c r="X71" s="13">
        <v>16</v>
      </c>
      <c r="AJ71" s="3" t="s">
        <v>234</v>
      </c>
      <c r="AK71" s="3">
        <v>14</v>
      </c>
      <c r="AL71" s="18">
        <v>10.777777777777779</v>
      </c>
      <c r="AM71" s="3">
        <v>9</v>
      </c>
      <c r="AN71" s="3">
        <v>7</v>
      </c>
      <c r="AO71" s="3">
        <v>13</v>
      </c>
      <c r="AP71" s="13">
        <v>-1.12017317951397</v>
      </c>
      <c r="AQ71" s="13">
        <v>16</v>
      </c>
      <c r="AU71" s="3" t="s">
        <v>234</v>
      </c>
      <c r="AV71" s="3">
        <v>14</v>
      </c>
      <c r="AW71" s="18">
        <v>9.1111111111111107</v>
      </c>
      <c r="AX71" s="3">
        <v>14</v>
      </c>
      <c r="AY71" s="3">
        <v>13</v>
      </c>
      <c r="AZ71" s="3">
        <v>13</v>
      </c>
      <c r="BA71" s="13">
        <v>-1.12017317951397</v>
      </c>
      <c r="BB71" s="13">
        <v>16</v>
      </c>
      <c r="BE71" s="3" t="s">
        <v>234</v>
      </c>
      <c r="BF71" s="3">
        <v>10</v>
      </c>
      <c r="BG71" s="18">
        <v>7</v>
      </c>
      <c r="BH71" s="3">
        <v>14</v>
      </c>
      <c r="BI71" s="3">
        <v>12</v>
      </c>
      <c r="BJ71" s="3">
        <v>13</v>
      </c>
      <c r="BK71" s="13">
        <v>-1.12017317951397</v>
      </c>
      <c r="BL71" s="13">
        <v>16</v>
      </c>
      <c r="BO71" s="3" t="s">
        <v>234</v>
      </c>
      <c r="BP71" s="3">
        <v>1</v>
      </c>
      <c r="BQ71" s="18">
        <v>8.8888888888888893</v>
      </c>
      <c r="BR71" s="3">
        <v>1</v>
      </c>
      <c r="BS71" s="3">
        <v>3</v>
      </c>
      <c r="BT71" s="3">
        <v>3</v>
      </c>
      <c r="BU71" s="13">
        <v>-1.12017317951397</v>
      </c>
      <c r="BV71" s="13">
        <v>16</v>
      </c>
      <c r="BY71" s="3" t="s">
        <v>234</v>
      </c>
      <c r="BZ71" s="3">
        <v>4</v>
      </c>
      <c r="CA71" s="18">
        <v>10.444444444444445</v>
      </c>
      <c r="CB71" s="3">
        <v>1</v>
      </c>
      <c r="CC71" s="3">
        <v>1</v>
      </c>
      <c r="CD71" s="3">
        <v>4</v>
      </c>
      <c r="CE71" s="13">
        <v>-1.12017317951397</v>
      </c>
      <c r="CF71" s="13">
        <v>16</v>
      </c>
      <c r="CI71" s="3" t="s">
        <v>234</v>
      </c>
      <c r="CJ71" s="3">
        <v>9</v>
      </c>
      <c r="CK71" s="18">
        <v>12.777777777777779</v>
      </c>
      <c r="CL71" s="3">
        <v>10</v>
      </c>
      <c r="CM71" s="3">
        <v>11</v>
      </c>
      <c r="CN71" s="3">
        <v>12</v>
      </c>
      <c r="CO71" s="13">
        <v>-1.12017317951397</v>
      </c>
      <c r="CP71" s="13">
        <v>16</v>
      </c>
    </row>
    <row r="72" spans="1:94" ht="14.25" customHeight="1" x14ac:dyDescent="0.3">
      <c r="A72" s="3" t="s">
        <v>236</v>
      </c>
      <c r="B72" s="3">
        <v>11</v>
      </c>
      <c r="C72" s="18">
        <v>12.111111111111111</v>
      </c>
      <c r="D72" s="3">
        <v>13</v>
      </c>
      <c r="E72" s="3">
        <v>13</v>
      </c>
      <c r="F72" s="3">
        <v>11</v>
      </c>
      <c r="G72" s="13">
        <v>-1.1339562965442611</v>
      </c>
      <c r="H72" s="13">
        <v>15</v>
      </c>
      <c r="Q72" s="3" t="s">
        <v>236</v>
      </c>
      <c r="R72" s="3">
        <v>13</v>
      </c>
      <c r="S72" s="18">
        <v>13</v>
      </c>
      <c r="T72" s="3">
        <v>14</v>
      </c>
      <c r="U72" s="3">
        <v>15</v>
      </c>
      <c r="V72" s="3">
        <v>2</v>
      </c>
      <c r="W72" s="13">
        <v>-1.1339562965442611</v>
      </c>
      <c r="X72" s="13">
        <v>15</v>
      </c>
      <c r="AJ72" s="3" t="s">
        <v>236</v>
      </c>
      <c r="AK72" s="3">
        <v>15</v>
      </c>
      <c r="AL72" s="18">
        <v>11.777777777777779</v>
      </c>
      <c r="AM72" s="3">
        <v>9</v>
      </c>
      <c r="AN72" s="3">
        <v>12</v>
      </c>
      <c r="AO72" s="3">
        <v>13</v>
      </c>
      <c r="AP72" s="13">
        <v>-1.1339562965442611</v>
      </c>
      <c r="AQ72" s="13">
        <v>15</v>
      </c>
      <c r="AU72" s="3" t="s">
        <v>236</v>
      </c>
      <c r="AV72" s="3">
        <v>3</v>
      </c>
      <c r="AW72" s="18">
        <v>9.4444444444444446</v>
      </c>
      <c r="AX72" s="3">
        <v>5</v>
      </c>
      <c r="AY72" s="3">
        <v>6</v>
      </c>
      <c r="AZ72" s="3">
        <v>13</v>
      </c>
      <c r="BA72" s="13">
        <v>-1.1339562965442611</v>
      </c>
      <c r="BB72" s="13">
        <v>15</v>
      </c>
      <c r="BE72" s="3" t="s">
        <v>236</v>
      </c>
      <c r="BF72" s="3">
        <v>4</v>
      </c>
      <c r="BG72" s="18">
        <v>6.4444444444444446</v>
      </c>
      <c r="BH72" s="3">
        <v>7</v>
      </c>
      <c r="BI72" s="3">
        <v>7</v>
      </c>
      <c r="BJ72" s="3">
        <v>4</v>
      </c>
      <c r="BK72" s="13">
        <v>-1.1339562965442611</v>
      </c>
      <c r="BL72" s="13">
        <v>15</v>
      </c>
      <c r="BO72" s="3" t="s">
        <v>236</v>
      </c>
      <c r="BP72" s="3">
        <v>3</v>
      </c>
      <c r="BQ72" s="18">
        <v>10.555555555555555</v>
      </c>
      <c r="BR72" s="3">
        <v>4</v>
      </c>
      <c r="BS72" s="3">
        <v>5</v>
      </c>
      <c r="BT72" s="3">
        <v>3</v>
      </c>
      <c r="BU72" s="13">
        <v>-1.1339562965442611</v>
      </c>
      <c r="BV72" s="13">
        <v>15</v>
      </c>
      <c r="BY72" s="3" t="s">
        <v>236</v>
      </c>
      <c r="BZ72" s="3">
        <v>12</v>
      </c>
      <c r="CA72" s="18">
        <v>9.2222222222222214</v>
      </c>
      <c r="CB72" s="3">
        <v>12</v>
      </c>
      <c r="CC72" s="3">
        <v>14</v>
      </c>
      <c r="CD72" s="3">
        <v>12</v>
      </c>
      <c r="CE72" s="13">
        <v>-1.1339562965442611</v>
      </c>
      <c r="CF72" s="13">
        <v>15</v>
      </c>
      <c r="CI72" s="3" t="s">
        <v>236</v>
      </c>
      <c r="CJ72" s="3">
        <v>8</v>
      </c>
      <c r="CK72" s="18">
        <v>12.111111111111111</v>
      </c>
      <c r="CL72" s="3">
        <v>9</v>
      </c>
      <c r="CM72" s="3">
        <v>9</v>
      </c>
      <c r="CN72" s="3">
        <v>8</v>
      </c>
      <c r="CO72" s="13">
        <v>-1.1339562965442611</v>
      </c>
      <c r="CP72" s="13">
        <v>15</v>
      </c>
    </row>
    <row r="73" spans="1:94" ht="14.25" customHeight="1" x14ac:dyDescent="0.3">
      <c r="A73" s="3" t="s">
        <v>238</v>
      </c>
      <c r="B73" s="3">
        <v>2</v>
      </c>
      <c r="C73" s="18">
        <v>2.7777777777777777</v>
      </c>
      <c r="D73" s="3">
        <v>2</v>
      </c>
      <c r="E73" s="3">
        <v>2</v>
      </c>
      <c r="F73" s="3">
        <v>2</v>
      </c>
      <c r="G73" s="13">
        <v>-1.1428327832816429</v>
      </c>
      <c r="H73" s="13">
        <v>7</v>
      </c>
      <c r="I73" s="27"/>
      <c r="Q73" s="3" t="s">
        <v>238</v>
      </c>
      <c r="R73" s="3">
        <v>2</v>
      </c>
      <c r="S73" s="18">
        <v>2.4444444444444446</v>
      </c>
      <c r="T73" s="3">
        <v>2</v>
      </c>
      <c r="U73" s="3">
        <v>2</v>
      </c>
      <c r="V73" s="3">
        <v>2</v>
      </c>
      <c r="W73" s="13">
        <v>-1.1428327832816429</v>
      </c>
      <c r="X73" s="13">
        <v>7</v>
      </c>
      <c r="AJ73" s="3" t="s">
        <v>238</v>
      </c>
      <c r="AK73" s="3">
        <v>2</v>
      </c>
      <c r="AL73" s="18">
        <v>3.2222222222222223</v>
      </c>
      <c r="AM73" s="3">
        <v>2</v>
      </c>
      <c r="AN73" s="3">
        <v>2</v>
      </c>
      <c r="AO73" s="3">
        <v>2</v>
      </c>
      <c r="AP73" s="13">
        <v>-1.1428327832816429</v>
      </c>
      <c r="AQ73" s="13">
        <v>7</v>
      </c>
      <c r="AU73" s="3" t="s">
        <v>238</v>
      </c>
      <c r="AV73" s="3">
        <v>2</v>
      </c>
      <c r="AW73" s="18">
        <v>3.1111111111111112</v>
      </c>
      <c r="AX73" s="3">
        <v>2</v>
      </c>
      <c r="AY73" s="3">
        <v>2</v>
      </c>
      <c r="AZ73" s="3">
        <v>2</v>
      </c>
      <c r="BA73" s="13">
        <v>-1.1428327832816429</v>
      </c>
      <c r="BB73" s="13">
        <v>7</v>
      </c>
      <c r="BE73" s="3" t="s">
        <v>238</v>
      </c>
      <c r="BF73" s="3">
        <v>1</v>
      </c>
      <c r="BG73" s="18">
        <v>3</v>
      </c>
      <c r="BH73" s="3">
        <v>1</v>
      </c>
      <c r="BI73" s="3">
        <v>1</v>
      </c>
      <c r="BJ73" s="3">
        <v>2</v>
      </c>
      <c r="BK73" s="13">
        <v>-1.1428327832816429</v>
      </c>
      <c r="BL73" s="13">
        <v>7</v>
      </c>
      <c r="BO73" s="3" t="s">
        <v>238</v>
      </c>
      <c r="BP73" s="3">
        <v>4</v>
      </c>
      <c r="BQ73" s="18">
        <v>3.1111111111111112</v>
      </c>
      <c r="BR73" s="3">
        <v>5</v>
      </c>
      <c r="BS73" s="3">
        <v>5</v>
      </c>
      <c r="BT73" s="3">
        <v>4</v>
      </c>
      <c r="BU73" s="13">
        <v>-1.1428327832816429</v>
      </c>
      <c r="BV73" s="13">
        <v>7</v>
      </c>
      <c r="BY73" s="3" t="s">
        <v>238</v>
      </c>
      <c r="BZ73" s="3">
        <v>4</v>
      </c>
      <c r="CA73" s="18">
        <v>3.1111111111111112</v>
      </c>
      <c r="CB73" s="3">
        <v>3</v>
      </c>
      <c r="CC73" s="3">
        <v>3</v>
      </c>
      <c r="CD73" s="3">
        <v>4</v>
      </c>
      <c r="CE73" s="13">
        <v>-1.1428327832816429</v>
      </c>
      <c r="CF73" s="13">
        <v>7</v>
      </c>
      <c r="CI73" s="3" t="s">
        <v>238</v>
      </c>
      <c r="CJ73" s="3">
        <v>3</v>
      </c>
      <c r="CK73" s="18">
        <v>2.7777777777777777</v>
      </c>
      <c r="CL73" s="3">
        <v>3</v>
      </c>
      <c r="CM73" s="3">
        <v>3</v>
      </c>
      <c r="CN73" s="3">
        <v>3</v>
      </c>
      <c r="CO73" s="13">
        <v>-1.1428327832816429</v>
      </c>
      <c r="CP73" s="13">
        <v>7</v>
      </c>
    </row>
    <row r="74" spans="1:94" ht="14.25" customHeight="1" x14ac:dyDescent="0.3">
      <c r="A74" s="3" t="s">
        <v>239</v>
      </c>
      <c r="B74" s="3">
        <v>11</v>
      </c>
      <c r="C74" s="18">
        <v>10.111111111111111</v>
      </c>
      <c r="D74" s="3">
        <v>9</v>
      </c>
      <c r="E74" s="3">
        <v>10</v>
      </c>
      <c r="F74" s="3">
        <v>11</v>
      </c>
      <c r="G74" s="13">
        <v>-1.1920893573654381</v>
      </c>
      <c r="H74" s="13">
        <v>15</v>
      </c>
      <c r="Q74" s="3" t="s">
        <v>239</v>
      </c>
      <c r="R74" s="3">
        <v>11</v>
      </c>
      <c r="S74" s="18">
        <v>11.444444444444445</v>
      </c>
      <c r="T74" s="3">
        <v>11</v>
      </c>
      <c r="U74" s="3">
        <v>11</v>
      </c>
      <c r="V74" s="3">
        <v>11</v>
      </c>
      <c r="W74" s="13">
        <v>-1.1920893573654381</v>
      </c>
      <c r="X74" s="13">
        <v>15</v>
      </c>
      <c r="AJ74" s="3" t="s">
        <v>239</v>
      </c>
      <c r="AK74" s="3">
        <v>12</v>
      </c>
      <c r="AL74" s="18">
        <v>11.777777777777779</v>
      </c>
      <c r="AM74" s="3">
        <v>12</v>
      </c>
      <c r="AN74" s="3">
        <v>12</v>
      </c>
      <c r="AO74" s="3">
        <v>2</v>
      </c>
      <c r="AP74" s="13">
        <v>-1.1920893573654381</v>
      </c>
      <c r="AQ74" s="13">
        <v>15</v>
      </c>
      <c r="AU74" s="3" t="s">
        <v>239</v>
      </c>
      <c r="AV74" s="3">
        <v>6</v>
      </c>
      <c r="AW74" s="18">
        <v>10</v>
      </c>
      <c r="AX74" s="3">
        <v>7</v>
      </c>
      <c r="AY74" s="3">
        <v>11</v>
      </c>
      <c r="AZ74" s="3">
        <v>6</v>
      </c>
      <c r="BA74" s="13">
        <v>-1.1920893573654381</v>
      </c>
      <c r="BB74" s="13">
        <v>15</v>
      </c>
      <c r="BE74" s="3" t="s">
        <v>239</v>
      </c>
      <c r="BF74" s="3">
        <v>8</v>
      </c>
      <c r="BG74" s="18">
        <v>10.222222222222221</v>
      </c>
      <c r="BH74" s="3">
        <v>7</v>
      </c>
      <c r="BI74" s="3">
        <v>8</v>
      </c>
      <c r="BJ74" s="3">
        <v>8</v>
      </c>
      <c r="BK74" s="13">
        <v>-1.1920893573654381</v>
      </c>
      <c r="BL74" s="13">
        <v>15</v>
      </c>
      <c r="BO74" s="3" t="s">
        <v>239</v>
      </c>
      <c r="BP74" s="3">
        <v>6</v>
      </c>
      <c r="BQ74" s="18">
        <v>9.2222222222222214</v>
      </c>
      <c r="BR74" s="3">
        <v>6</v>
      </c>
      <c r="BS74" s="3">
        <v>6</v>
      </c>
      <c r="BT74" s="3">
        <v>6</v>
      </c>
      <c r="BU74" s="13">
        <v>-1.1920893573654381</v>
      </c>
      <c r="BV74" s="13">
        <v>15</v>
      </c>
      <c r="BY74" s="3" t="s">
        <v>239</v>
      </c>
      <c r="BZ74" s="3">
        <v>8</v>
      </c>
      <c r="CA74" s="18">
        <v>11.444444444444445</v>
      </c>
      <c r="CB74" s="3">
        <v>9</v>
      </c>
      <c r="CC74" s="3">
        <v>9</v>
      </c>
      <c r="CD74" s="3">
        <v>8</v>
      </c>
      <c r="CE74" s="13">
        <v>-1.1920893573654381</v>
      </c>
      <c r="CF74" s="13">
        <v>15</v>
      </c>
      <c r="CI74" s="3" t="s">
        <v>239</v>
      </c>
      <c r="CJ74" s="3">
        <v>8</v>
      </c>
      <c r="CK74" s="18">
        <v>10.111111111111111</v>
      </c>
      <c r="CL74" s="3">
        <v>8</v>
      </c>
      <c r="CM74" s="3">
        <v>8</v>
      </c>
      <c r="CN74" s="3">
        <v>8</v>
      </c>
      <c r="CO74" s="13">
        <v>-1.1920893573654381</v>
      </c>
      <c r="CP74" s="13">
        <v>15</v>
      </c>
    </row>
    <row r="75" spans="1:94" ht="14.25" customHeight="1" x14ac:dyDescent="0.3">
      <c r="A75" s="3" t="s">
        <v>240</v>
      </c>
      <c r="B75" s="3">
        <v>6</v>
      </c>
      <c r="C75" s="18">
        <v>15.666666666666666</v>
      </c>
      <c r="D75" s="3">
        <v>6</v>
      </c>
      <c r="E75" s="3">
        <v>7</v>
      </c>
      <c r="F75" s="3">
        <v>6</v>
      </c>
      <c r="G75" s="13">
        <v>-1.196962071035268</v>
      </c>
      <c r="H75" s="13">
        <v>19</v>
      </c>
      <c r="Q75" s="3" t="s">
        <v>240</v>
      </c>
      <c r="R75" s="3">
        <v>10</v>
      </c>
      <c r="S75" s="18">
        <v>14.777777777777779</v>
      </c>
      <c r="T75" s="3">
        <v>10</v>
      </c>
      <c r="U75" s="3">
        <v>10</v>
      </c>
      <c r="V75" s="3">
        <v>10</v>
      </c>
      <c r="W75" s="13">
        <v>-1.196962071035268</v>
      </c>
      <c r="X75" s="13">
        <v>19</v>
      </c>
      <c r="AJ75" s="3" t="s">
        <v>240</v>
      </c>
      <c r="AK75" s="3">
        <v>12</v>
      </c>
      <c r="AL75" s="18">
        <v>13.111111111111111</v>
      </c>
      <c r="AM75" s="3">
        <v>14</v>
      </c>
      <c r="AN75" s="3">
        <v>15</v>
      </c>
      <c r="AO75" s="3">
        <v>12</v>
      </c>
      <c r="AP75" s="13">
        <v>-1.196962071035268</v>
      </c>
      <c r="AQ75" s="13">
        <v>19</v>
      </c>
      <c r="AU75" s="3" t="s">
        <v>240</v>
      </c>
      <c r="AV75" s="3">
        <v>18</v>
      </c>
      <c r="AW75" s="18">
        <v>10.555555555555555</v>
      </c>
      <c r="AX75" s="3">
        <v>19</v>
      </c>
      <c r="AY75" s="3">
        <v>19</v>
      </c>
      <c r="AZ75" s="3">
        <v>13</v>
      </c>
      <c r="BA75" s="13">
        <v>-1.196962071035268</v>
      </c>
      <c r="BB75" s="13">
        <v>19</v>
      </c>
      <c r="BE75" s="3" t="s">
        <v>240</v>
      </c>
      <c r="BF75" s="3">
        <v>17</v>
      </c>
      <c r="BG75" s="18">
        <v>11.111111111111111</v>
      </c>
      <c r="BH75" s="3">
        <v>19</v>
      </c>
      <c r="BI75" s="3">
        <v>19</v>
      </c>
      <c r="BJ75" s="3">
        <v>15</v>
      </c>
      <c r="BK75" s="13">
        <v>-1.196962071035268</v>
      </c>
      <c r="BL75" s="13">
        <v>19</v>
      </c>
      <c r="BO75" s="3" t="s">
        <v>240</v>
      </c>
      <c r="BP75" s="3">
        <v>15</v>
      </c>
      <c r="BQ75" s="18">
        <v>12.666666666666666</v>
      </c>
      <c r="BR75" s="3">
        <v>19</v>
      </c>
      <c r="BS75" s="3">
        <v>18</v>
      </c>
      <c r="BT75" s="3">
        <v>15</v>
      </c>
      <c r="BU75" s="13">
        <v>-1.196962071035268</v>
      </c>
      <c r="BV75" s="13">
        <v>19</v>
      </c>
      <c r="BY75" s="3" t="s">
        <v>240</v>
      </c>
      <c r="BZ75" s="3">
        <v>19</v>
      </c>
      <c r="CA75" s="18">
        <v>14</v>
      </c>
      <c r="CB75" s="3">
        <v>19</v>
      </c>
      <c r="CC75" s="3">
        <v>19</v>
      </c>
      <c r="CD75" s="3">
        <v>16</v>
      </c>
      <c r="CE75" s="13">
        <v>-1.196962071035268</v>
      </c>
      <c r="CF75" s="13">
        <v>19</v>
      </c>
      <c r="CI75" s="3" t="s">
        <v>240</v>
      </c>
      <c r="CJ75" s="3">
        <v>19</v>
      </c>
      <c r="CK75" s="18">
        <v>15.666666666666666</v>
      </c>
      <c r="CL75" s="3">
        <v>18</v>
      </c>
      <c r="CM75" s="3">
        <v>18</v>
      </c>
      <c r="CN75" s="3">
        <v>16</v>
      </c>
      <c r="CO75" s="13">
        <v>-1.196962071035268</v>
      </c>
      <c r="CP75" s="13">
        <v>19</v>
      </c>
    </row>
    <row r="76" spans="1:94" ht="14.25" customHeight="1" x14ac:dyDescent="0.3">
      <c r="A76" s="3" t="s">
        <v>241</v>
      </c>
      <c r="B76" s="3">
        <v>12</v>
      </c>
      <c r="C76" s="18">
        <v>12.111111111111111</v>
      </c>
      <c r="D76" s="3">
        <v>12</v>
      </c>
      <c r="E76" s="3">
        <v>12</v>
      </c>
      <c r="F76" s="3">
        <v>12</v>
      </c>
      <c r="G76" s="13">
        <v>-1.2097705883740471</v>
      </c>
      <c r="H76" s="13">
        <v>15</v>
      </c>
      <c r="Q76" s="3" t="s">
        <v>241</v>
      </c>
      <c r="R76" s="3">
        <v>14</v>
      </c>
      <c r="S76" s="18">
        <v>11.777777777777779</v>
      </c>
      <c r="T76" s="3">
        <v>14</v>
      </c>
      <c r="U76" s="3">
        <v>15</v>
      </c>
      <c r="V76" s="3">
        <v>6</v>
      </c>
      <c r="W76" s="13">
        <v>-1.2097705883740471</v>
      </c>
      <c r="X76" s="13">
        <v>15</v>
      </c>
      <c r="AJ76" s="3" t="s">
        <v>241</v>
      </c>
      <c r="AK76" s="3">
        <v>3</v>
      </c>
      <c r="AL76" s="18">
        <v>11.222222222222221</v>
      </c>
      <c r="AM76" s="3">
        <v>9</v>
      </c>
      <c r="AN76" s="3">
        <v>8</v>
      </c>
      <c r="AO76" s="3">
        <v>4</v>
      </c>
      <c r="AP76" s="13">
        <v>-1.2097705883740471</v>
      </c>
      <c r="AQ76" s="13">
        <v>15</v>
      </c>
      <c r="AU76" s="3" t="s">
        <v>241</v>
      </c>
      <c r="AV76" s="3">
        <v>14</v>
      </c>
      <c r="AW76" s="18">
        <v>8.6666666666666661</v>
      </c>
      <c r="AX76" s="3">
        <v>15</v>
      </c>
      <c r="AY76" s="3">
        <v>15</v>
      </c>
      <c r="AZ76" s="3">
        <v>13</v>
      </c>
      <c r="BA76" s="13">
        <v>-1.2097705883740471</v>
      </c>
      <c r="BB76" s="13">
        <v>15</v>
      </c>
      <c r="BE76" s="3" t="s">
        <v>241</v>
      </c>
      <c r="BF76" s="3">
        <v>14</v>
      </c>
      <c r="BG76" s="18">
        <v>7.333333333333333</v>
      </c>
      <c r="BH76" s="3">
        <v>13</v>
      </c>
      <c r="BI76" s="3">
        <v>14</v>
      </c>
      <c r="BJ76" s="3">
        <v>13</v>
      </c>
      <c r="BK76" s="13">
        <v>-1.2097705883740471</v>
      </c>
      <c r="BL76" s="13">
        <v>15</v>
      </c>
      <c r="BO76" s="3" t="s">
        <v>241</v>
      </c>
      <c r="BP76" s="3">
        <v>13</v>
      </c>
      <c r="BQ76" s="18">
        <v>10.888888888888889</v>
      </c>
      <c r="BR76" s="3">
        <v>12</v>
      </c>
      <c r="BS76" s="3">
        <v>9</v>
      </c>
      <c r="BT76" s="3">
        <v>11</v>
      </c>
      <c r="BU76" s="13">
        <v>-1.2097705883740471</v>
      </c>
      <c r="BV76" s="13">
        <v>15</v>
      </c>
      <c r="BY76" s="3" t="s">
        <v>241</v>
      </c>
      <c r="BZ76" s="3">
        <v>5</v>
      </c>
      <c r="CA76" s="18">
        <v>10.888888888888889</v>
      </c>
      <c r="CB76" s="3">
        <v>6</v>
      </c>
      <c r="CC76" s="3">
        <v>8</v>
      </c>
      <c r="CD76" s="3">
        <v>8</v>
      </c>
      <c r="CE76" s="13">
        <v>-1.2097705883740471</v>
      </c>
      <c r="CF76" s="13">
        <v>15</v>
      </c>
      <c r="CI76" s="3" t="s">
        <v>241</v>
      </c>
      <c r="CJ76" s="3">
        <v>11</v>
      </c>
      <c r="CK76" s="18">
        <v>12.111111111111111</v>
      </c>
      <c r="CL76" s="3">
        <v>11</v>
      </c>
      <c r="CM76" s="3">
        <v>10</v>
      </c>
      <c r="CN76" s="3">
        <v>11</v>
      </c>
      <c r="CO76" s="13">
        <v>-1.2097705883740471</v>
      </c>
      <c r="CP76" s="13">
        <v>15</v>
      </c>
    </row>
    <row r="77" spans="1:94" ht="14.25" customHeight="1" x14ac:dyDescent="0.3">
      <c r="A77" s="3" t="s">
        <v>242</v>
      </c>
      <c r="B77" s="3">
        <v>17</v>
      </c>
      <c r="C77" s="18">
        <v>12</v>
      </c>
      <c r="D77" s="3">
        <v>17</v>
      </c>
      <c r="E77" s="3">
        <v>17</v>
      </c>
      <c r="F77" s="3">
        <v>3</v>
      </c>
      <c r="G77" s="13">
        <v>-1.3367165560614409</v>
      </c>
      <c r="H77" s="13">
        <v>17</v>
      </c>
      <c r="Q77" s="3" t="s">
        <v>242</v>
      </c>
      <c r="R77" s="3">
        <v>16</v>
      </c>
      <c r="S77" s="18">
        <v>11.666666666666666</v>
      </c>
      <c r="T77" s="3">
        <v>16</v>
      </c>
      <c r="U77" s="3">
        <v>16</v>
      </c>
      <c r="V77" s="3">
        <v>10</v>
      </c>
      <c r="W77" s="13">
        <v>-1.3367165560614409</v>
      </c>
      <c r="X77" s="13">
        <v>17</v>
      </c>
      <c r="AJ77" s="3" t="s">
        <v>242</v>
      </c>
      <c r="AK77" s="3">
        <v>15</v>
      </c>
      <c r="AL77" s="18">
        <v>13.444444444444445</v>
      </c>
      <c r="AM77" s="3">
        <v>17</v>
      </c>
      <c r="AN77" s="3">
        <v>16</v>
      </c>
      <c r="AO77" s="3">
        <v>9</v>
      </c>
      <c r="AP77" s="13">
        <v>-1.3367165560614409</v>
      </c>
      <c r="AQ77" s="13">
        <v>17</v>
      </c>
      <c r="AU77" s="3" t="s">
        <v>242</v>
      </c>
      <c r="AV77" s="3">
        <v>14</v>
      </c>
      <c r="AW77" s="18">
        <v>13.555555555555555</v>
      </c>
      <c r="AX77" s="3">
        <v>15</v>
      </c>
      <c r="AY77" s="3">
        <v>17</v>
      </c>
      <c r="AZ77" s="3">
        <v>3</v>
      </c>
      <c r="BA77" s="13">
        <v>-1.3367165560614409</v>
      </c>
      <c r="BB77" s="13">
        <v>17</v>
      </c>
      <c r="BE77" s="3" t="s">
        <v>242</v>
      </c>
      <c r="BF77" s="3">
        <v>6</v>
      </c>
      <c r="BG77" s="18">
        <v>11.111111111111111</v>
      </c>
      <c r="BH77" s="3">
        <v>6</v>
      </c>
      <c r="BI77" s="3">
        <v>5</v>
      </c>
      <c r="BJ77" s="3">
        <v>6</v>
      </c>
      <c r="BK77" s="13">
        <v>-1.3367165560614409</v>
      </c>
      <c r="BL77" s="13">
        <v>17</v>
      </c>
      <c r="BO77" s="3" t="s">
        <v>242</v>
      </c>
      <c r="BP77" s="3">
        <v>14</v>
      </c>
      <c r="BQ77" s="18">
        <v>13</v>
      </c>
      <c r="BR77" s="3">
        <v>16</v>
      </c>
      <c r="BS77" s="3">
        <v>17</v>
      </c>
      <c r="BT77" s="3">
        <v>14</v>
      </c>
      <c r="BU77" s="13">
        <v>-1.3367165560614409</v>
      </c>
      <c r="BV77" s="13">
        <v>17</v>
      </c>
      <c r="BY77" s="3" t="s">
        <v>242</v>
      </c>
      <c r="BZ77" s="3">
        <v>15</v>
      </c>
      <c r="CA77" s="18">
        <v>12.555555555555555</v>
      </c>
      <c r="CB77" s="3">
        <v>4</v>
      </c>
      <c r="CC77" s="3">
        <v>5</v>
      </c>
      <c r="CD77" s="3">
        <v>3</v>
      </c>
      <c r="CE77" s="13">
        <v>-1.3367165560614409</v>
      </c>
      <c r="CF77" s="13">
        <v>17</v>
      </c>
      <c r="CI77" s="3" t="s">
        <v>242</v>
      </c>
      <c r="CJ77" s="3">
        <v>16</v>
      </c>
      <c r="CK77" s="18">
        <v>12</v>
      </c>
      <c r="CL77" s="3">
        <v>16</v>
      </c>
      <c r="CM77" s="3">
        <v>17</v>
      </c>
      <c r="CN77" s="3">
        <v>5</v>
      </c>
      <c r="CO77" s="13">
        <v>-1.3367165560614409</v>
      </c>
      <c r="CP77" s="13">
        <v>17</v>
      </c>
    </row>
    <row r="78" spans="1:94" ht="14.25" customHeight="1" x14ac:dyDescent="0.3">
      <c r="A78" s="3" t="s">
        <v>243</v>
      </c>
      <c r="B78" s="3">
        <v>26</v>
      </c>
      <c r="C78" s="18">
        <v>18.777777777777779</v>
      </c>
      <c r="D78" s="3">
        <v>22</v>
      </c>
      <c r="E78" s="3">
        <v>22</v>
      </c>
      <c r="F78" s="3">
        <v>19</v>
      </c>
      <c r="G78" s="13">
        <v>-1.679865001322572</v>
      </c>
      <c r="H78" s="13">
        <v>27</v>
      </c>
      <c r="Q78" s="3" t="s">
        <v>243</v>
      </c>
      <c r="R78" s="3">
        <v>20</v>
      </c>
      <c r="S78" s="18">
        <v>21.333333333333332</v>
      </c>
      <c r="T78" s="3">
        <v>23</v>
      </c>
      <c r="U78" s="3">
        <v>23</v>
      </c>
      <c r="V78" s="3">
        <v>20</v>
      </c>
      <c r="W78" s="13">
        <v>-1.679865001322572</v>
      </c>
      <c r="X78" s="13">
        <v>27</v>
      </c>
      <c r="AJ78" s="3" t="s">
        <v>243</v>
      </c>
      <c r="AK78" s="3">
        <v>27</v>
      </c>
      <c r="AL78" s="18">
        <v>23.111111111111111</v>
      </c>
      <c r="AM78" s="3">
        <v>27</v>
      </c>
      <c r="AN78" s="3">
        <v>26</v>
      </c>
      <c r="AO78" s="3">
        <v>24</v>
      </c>
      <c r="AP78" s="13">
        <v>-1.679865001322572</v>
      </c>
      <c r="AQ78" s="13">
        <v>27</v>
      </c>
      <c r="AU78" s="3" t="s">
        <v>243</v>
      </c>
      <c r="AV78" s="3">
        <v>26</v>
      </c>
      <c r="AW78" s="18">
        <v>23.888888888888889</v>
      </c>
      <c r="AX78" s="3">
        <v>27</v>
      </c>
      <c r="AY78" s="3">
        <v>27</v>
      </c>
      <c r="AZ78" s="3">
        <v>16</v>
      </c>
      <c r="BA78" s="13">
        <v>-1.679865001322572</v>
      </c>
      <c r="BB78" s="13">
        <v>27</v>
      </c>
      <c r="BE78" s="3" t="s">
        <v>243</v>
      </c>
      <c r="BF78" s="3">
        <v>27</v>
      </c>
      <c r="BG78" s="18">
        <v>24.111111111111111</v>
      </c>
      <c r="BH78" s="3">
        <v>27</v>
      </c>
      <c r="BI78" s="3">
        <v>27</v>
      </c>
      <c r="BJ78" s="3">
        <v>17</v>
      </c>
      <c r="BK78" s="13">
        <v>-1.679865001322572</v>
      </c>
      <c r="BL78" s="13">
        <v>27</v>
      </c>
      <c r="BO78" s="3" t="s">
        <v>243</v>
      </c>
      <c r="BP78" s="3">
        <v>23</v>
      </c>
      <c r="BQ78" s="18">
        <v>24</v>
      </c>
      <c r="BR78" s="3">
        <v>25</v>
      </c>
      <c r="BS78" s="3">
        <v>26</v>
      </c>
      <c r="BT78" s="3">
        <v>23</v>
      </c>
      <c r="BU78" s="13">
        <v>-1.679865001322572</v>
      </c>
      <c r="BV78" s="13">
        <v>27</v>
      </c>
      <c r="BY78" s="3" t="s">
        <v>243</v>
      </c>
      <c r="BZ78" s="3">
        <v>27</v>
      </c>
      <c r="CA78" s="18">
        <v>24</v>
      </c>
      <c r="CB78" s="3">
        <v>27</v>
      </c>
      <c r="CC78" s="3">
        <v>27</v>
      </c>
      <c r="CD78" s="3">
        <v>20</v>
      </c>
      <c r="CE78" s="13">
        <v>-1.679865001322572</v>
      </c>
      <c r="CF78" s="13">
        <v>27</v>
      </c>
      <c r="CI78" s="3" t="s">
        <v>243</v>
      </c>
      <c r="CJ78" s="3">
        <v>21</v>
      </c>
      <c r="CK78" s="18">
        <v>18.777777777777779</v>
      </c>
      <c r="CL78" s="3">
        <v>20</v>
      </c>
      <c r="CM78" s="3">
        <v>20</v>
      </c>
      <c r="CN78" s="3">
        <v>21</v>
      </c>
      <c r="CO78" s="13">
        <v>-1.679865001322572</v>
      </c>
      <c r="CP78" s="13">
        <v>27</v>
      </c>
    </row>
    <row r="79" spans="1:94" ht="14.25" customHeight="1" x14ac:dyDescent="0.3">
      <c r="A79" s="13" t="s">
        <v>245</v>
      </c>
      <c r="B79" s="13">
        <f t="shared" ref="B79:F79" si="41">AVERAGE(B59:B68)</f>
        <v>3.9</v>
      </c>
      <c r="C79" s="25">
        <f t="shared" si="41"/>
        <v>4.2555555555555555</v>
      </c>
      <c r="D79" s="13">
        <f t="shared" si="41"/>
        <v>4.2</v>
      </c>
      <c r="E79" s="13">
        <f t="shared" si="41"/>
        <v>4</v>
      </c>
      <c r="F79" s="13">
        <f t="shared" si="41"/>
        <v>6.8</v>
      </c>
      <c r="K79" s="12"/>
      <c r="L79" s="12"/>
      <c r="M79" s="12"/>
      <c r="N79" s="12"/>
      <c r="O79" s="12"/>
      <c r="P79" s="12"/>
      <c r="Q79" s="13" t="s">
        <v>245</v>
      </c>
      <c r="R79" s="13">
        <f t="shared" ref="R79:V79" si="42">AVERAGE(R59:R68)</f>
        <v>3.3</v>
      </c>
      <c r="S79" s="25">
        <f t="shared" si="42"/>
        <v>3.4222222222222221</v>
      </c>
      <c r="T79" s="13">
        <f t="shared" si="42"/>
        <v>3</v>
      </c>
      <c r="U79" s="13">
        <f t="shared" si="42"/>
        <v>3.2</v>
      </c>
      <c r="V79" s="13">
        <f t="shared" si="42"/>
        <v>6.7</v>
      </c>
      <c r="Z79" s="12"/>
      <c r="AA79" s="12"/>
      <c r="AB79" s="12"/>
      <c r="AC79" s="12"/>
      <c r="AD79" s="12"/>
      <c r="AE79" s="12"/>
      <c r="AF79" s="12"/>
      <c r="AG79" s="12"/>
      <c r="AH79" s="12"/>
      <c r="AI79" s="12"/>
      <c r="AJ79" s="13" t="s">
        <v>245</v>
      </c>
      <c r="AK79" s="13">
        <f t="shared" ref="AK79:AO79" si="43">AVERAGE(AK59:AK68)</f>
        <v>5.4</v>
      </c>
      <c r="AL79" s="25">
        <f t="shared" si="43"/>
        <v>5.0111111111111111</v>
      </c>
      <c r="AM79" s="13">
        <f t="shared" si="43"/>
        <v>3.2</v>
      </c>
      <c r="AN79" s="13">
        <f t="shared" si="43"/>
        <v>2.4</v>
      </c>
      <c r="AO79" s="13">
        <f t="shared" si="43"/>
        <v>6.5</v>
      </c>
      <c r="AT79" s="12"/>
      <c r="AU79" s="13" t="s">
        <v>245</v>
      </c>
      <c r="AV79" s="13">
        <f t="shared" ref="AV79:AZ79" si="44">AVERAGE(AV59:AV68)</f>
        <v>4.7</v>
      </c>
      <c r="AW79" s="25">
        <f t="shared" si="44"/>
        <v>4.7111111111111112</v>
      </c>
      <c r="AX79" s="13">
        <f t="shared" si="44"/>
        <v>2.2000000000000002</v>
      </c>
      <c r="AY79" s="13">
        <f t="shared" si="44"/>
        <v>2</v>
      </c>
      <c r="AZ79" s="13">
        <f t="shared" si="44"/>
        <v>6.5</v>
      </c>
      <c r="BE79" s="13" t="s">
        <v>245</v>
      </c>
      <c r="BF79" s="13">
        <f t="shared" ref="BF79:BJ79" si="45">AVERAGE(BF59:BF68)</f>
        <v>4.5</v>
      </c>
      <c r="BG79" s="25">
        <f t="shared" si="45"/>
        <v>4.4000000000000004</v>
      </c>
      <c r="BH79" s="13">
        <f t="shared" si="45"/>
        <v>3.1</v>
      </c>
      <c r="BI79" s="13">
        <f t="shared" si="45"/>
        <v>2.2999999999999998</v>
      </c>
      <c r="BJ79" s="13">
        <f t="shared" si="45"/>
        <v>6.5</v>
      </c>
      <c r="BO79" s="13" t="s">
        <v>245</v>
      </c>
      <c r="BP79" s="13">
        <f t="shared" ref="BP79:BT79" si="46">AVERAGE(BP59:BP68)</f>
        <v>7</v>
      </c>
      <c r="BQ79" s="25">
        <f t="shared" si="46"/>
        <v>5.1444444444444448</v>
      </c>
      <c r="BR79" s="13">
        <f t="shared" si="46"/>
        <v>5</v>
      </c>
      <c r="BS79" s="13">
        <f t="shared" si="46"/>
        <v>4.4000000000000004</v>
      </c>
      <c r="BT79" s="13">
        <f t="shared" si="46"/>
        <v>7</v>
      </c>
      <c r="BY79" s="13" t="s">
        <v>245</v>
      </c>
      <c r="BZ79" s="13">
        <f t="shared" ref="BZ79:CD79" si="47">AVERAGE(BZ59:BZ68)</f>
        <v>4.8</v>
      </c>
      <c r="CA79" s="25">
        <f t="shared" si="47"/>
        <v>3.6888888888888887</v>
      </c>
      <c r="CB79" s="13">
        <f t="shared" si="47"/>
        <v>4.4000000000000004</v>
      </c>
      <c r="CC79" s="13">
        <f t="shared" si="47"/>
        <v>5.6</v>
      </c>
      <c r="CD79" s="13">
        <f t="shared" si="47"/>
        <v>6.7</v>
      </c>
      <c r="CI79" s="13" t="s">
        <v>245</v>
      </c>
      <c r="CJ79" s="13">
        <f t="shared" ref="CJ79:CN79" si="48">AVERAGE(CJ59:CJ68)</f>
        <v>4.8</v>
      </c>
      <c r="CK79" s="25">
        <f t="shared" si="48"/>
        <v>4.2555555555555555</v>
      </c>
      <c r="CL79" s="13">
        <f t="shared" si="48"/>
        <v>5.3</v>
      </c>
      <c r="CM79" s="13">
        <f t="shared" si="48"/>
        <v>6.3</v>
      </c>
      <c r="CN79" s="13">
        <f t="shared" si="48"/>
        <v>6.6</v>
      </c>
    </row>
    <row r="80" spans="1:94" ht="14.25" customHeight="1" x14ac:dyDescent="0.3">
      <c r="A80" s="13" t="s">
        <v>249</v>
      </c>
      <c r="B80" s="13">
        <f t="shared" ref="B80:F80" si="49">AVERAGE(B69:B78)</f>
        <v>11.7</v>
      </c>
      <c r="C80" s="25">
        <f t="shared" si="49"/>
        <v>12.111111111111111</v>
      </c>
      <c r="D80" s="13">
        <f t="shared" si="49"/>
        <v>11.2</v>
      </c>
      <c r="E80" s="13">
        <f t="shared" si="49"/>
        <v>11.8</v>
      </c>
      <c r="F80" s="13">
        <f t="shared" si="49"/>
        <v>8.8000000000000007</v>
      </c>
      <c r="K80" s="12"/>
      <c r="L80" s="12"/>
      <c r="M80" s="12"/>
      <c r="N80" s="12"/>
      <c r="O80" s="12"/>
      <c r="P80" s="12"/>
      <c r="Q80" s="13" t="s">
        <v>249</v>
      </c>
      <c r="R80" s="13">
        <f t="shared" ref="R80:V80" si="50">AVERAGE(R69:R78)</f>
        <v>12.3</v>
      </c>
      <c r="S80" s="25">
        <f t="shared" si="50"/>
        <v>12.244444444444444</v>
      </c>
      <c r="T80" s="13">
        <f t="shared" si="50"/>
        <v>13</v>
      </c>
      <c r="U80" s="13">
        <f t="shared" si="50"/>
        <v>13.2</v>
      </c>
      <c r="V80" s="13">
        <f t="shared" si="50"/>
        <v>8.9</v>
      </c>
      <c r="Z80" s="12"/>
      <c r="AA80" s="12"/>
      <c r="AB80" s="12"/>
      <c r="AC80" s="12"/>
      <c r="AD80" s="12"/>
      <c r="AE80" s="12"/>
      <c r="AF80" s="12"/>
      <c r="AG80" s="12"/>
      <c r="AH80" s="12"/>
      <c r="AI80" s="12"/>
      <c r="AJ80" s="13" t="s">
        <v>249</v>
      </c>
      <c r="AK80" s="13">
        <f t="shared" ref="AK80:AO80" si="51">AVERAGE(AK69:AK78)</f>
        <v>11.7</v>
      </c>
      <c r="AL80" s="25">
        <f t="shared" si="51"/>
        <v>11.544444444444444</v>
      </c>
      <c r="AM80" s="13">
        <f t="shared" si="51"/>
        <v>11.9</v>
      </c>
      <c r="AN80" s="13">
        <f t="shared" si="51"/>
        <v>12</v>
      </c>
      <c r="AO80" s="13">
        <f t="shared" si="51"/>
        <v>10.6</v>
      </c>
      <c r="AT80" s="12"/>
      <c r="AU80" s="13" t="s">
        <v>249</v>
      </c>
      <c r="AV80" s="13">
        <f t="shared" ref="AV80:AZ80" si="52">AVERAGE(AV69:AV78)</f>
        <v>12</v>
      </c>
      <c r="AW80" s="25">
        <f t="shared" si="52"/>
        <v>11.044444444444444</v>
      </c>
      <c r="AX80" s="13">
        <f t="shared" si="52"/>
        <v>13</v>
      </c>
      <c r="AY80" s="13">
        <f t="shared" si="52"/>
        <v>13.7</v>
      </c>
      <c r="AZ80" s="13">
        <f t="shared" si="52"/>
        <v>10.199999999999999</v>
      </c>
      <c r="BE80" s="13" t="s">
        <v>249</v>
      </c>
      <c r="BF80" s="13">
        <f t="shared" ref="BF80:BJ80" si="53">AVERAGE(BF69:BF78)</f>
        <v>10.7</v>
      </c>
      <c r="BG80" s="25">
        <f t="shared" si="53"/>
        <v>10.288888888888888</v>
      </c>
      <c r="BH80" s="13">
        <f t="shared" si="53"/>
        <v>11.7</v>
      </c>
      <c r="BI80" s="13">
        <f t="shared" si="53"/>
        <v>12</v>
      </c>
      <c r="BJ80" s="13">
        <f t="shared" si="53"/>
        <v>8.6999999999999993</v>
      </c>
      <c r="BO80" s="13" t="s">
        <v>249</v>
      </c>
      <c r="BP80" s="13">
        <f t="shared" ref="BP80:BT80" si="54">AVERAGE(BP69:BP78)</f>
        <v>10.3</v>
      </c>
      <c r="BQ80" s="25">
        <f t="shared" si="54"/>
        <v>11.422222222222222</v>
      </c>
      <c r="BR80" s="13">
        <f t="shared" si="54"/>
        <v>11.3</v>
      </c>
      <c r="BS80" s="13">
        <f t="shared" si="54"/>
        <v>11.7</v>
      </c>
      <c r="BT80" s="13">
        <f t="shared" si="54"/>
        <v>10.3</v>
      </c>
      <c r="BY80" s="13" t="s">
        <v>249</v>
      </c>
      <c r="BZ80" s="13">
        <f t="shared" ref="BZ80:CD80" si="55">AVERAGE(BZ69:BZ78)</f>
        <v>11.4</v>
      </c>
      <c r="CA80" s="25">
        <f t="shared" si="55"/>
        <v>12.233333333333333</v>
      </c>
      <c r="CB80" s="13">
        <f t="shared" si="55"/>
        <v>10.4</v>
      </c>
      <c r="CC80" s="13">
        <f t="shared" si="55"/>
        <v>10.9</v>
      </c>
      <c r="CD80" s="13">
        <f t="shared" si="55"/>
        <v>9.5</v>
      </c>
      <c r="CI80" s="13" t="s">
        <v>249</v>
      </c>
      <c r="CJ80" s="13">
        <f t="shared" ref="CJ80:CN80" si="56">AVERAGE(CJ69:CJ78)</f>
        <v>12.1</v>
      </c>
      <c r="CK80" s="25">
        <f t="shared" si="56"/>
        <v>12.111111111111111</v>
      </c>
      <c r="CL80" s="13">
        <f t="shared" si="56"/>
        <v>11.8</v>
      </c>
      <c r="CM80" s="13">
        <f t="shared" si="56"/>
        <v>12.2</v>
      </c>
      <c r="CN80" s="13">
        <f t="shared" si="56"/>
        <v>10.3</v>
      </c>
    </row>
    <row r="81" spans="1:94" ht="14.25" customHeight="1" x14ac:dyDescent="0.3">
      <c r="A81" s="13" t="s">
        <v>252</v>
      </c>
      <c r="B81" s="13">
        <f>SKEW(B59:B62,B66,B68,B70,B76:B78)</f>
        <v>1.2884571514369449</v>
      </c>
      <c r="C81" s="13"/>
      <c r="D81" s="13"/>
      <c r="E81" s="13"/>
      <c r="F81" s="13">
        <f>SKEW(F59:F62,F66,F68,F70,F76:F78)</f>
        <v>1.8396222751406968</v>
      </c>
      <c r="K81" s="12"/>
      <c r="L81" s="12"/>
      <c r="M81" s="12"/>
      <c r="N81" s="12"/>
      <c r="O81" s="12"/>
      <c r="P81" s="12"/>
      <c r="Q81" s="13" t="s">
        <v>252</v>
      </c>
      <c r="R81" s="13">
        <f>SKEW(R59:R62,R66,R68,R70,R76:R78)</f>
        <v>0.58398575012104903</v>
      </c>
      <c r="S81" s="13"/>
      <c r="T81" s="13"/>
      <c r="U81" s="13"/>
      <c r="V81" s="13">
        <f>SKEW(V59:V62,V66,V68,V70,V76:V78)</f>
        <v>1.9278799303535543</v>
      </c>
      <c r="Z81" s="12"/>
      <c r="AA81" s="12"/>
      <c r="AB81" s="12"/>
      <c r="AC81" s="12"/>
      <c r="AD81" s="12"/>
      <c r="AE81" s="12"/>
      <c r="AF81" s="12"/>
      <c r="AG81" s="12"/>
      <c r="AH81" s="12"/>
      <c r="AI81" s="12"/>
      <c r="AJ81" s="13" t="s">
        <v>252</v>
      </c>
      <c r="AK81" s="13">
        <f>SKEW(AK59:AK62,AK66,AK68,AK70,AK76:AK78)</f>
        <v>1.3656644410139358</v>
      </c>
      <c r="AL81" s="13"/>
      <c r="AM81" s="13"/>
      <c r="AN81" s="13"/>
      <c r="AO81" s="13">
        <f>SKEW(AO59:AO62,AO66,AO68,AO70,AO76:AO78)</f>
        <v>1.8881215854765285</v>
      </c>
      <c r="AT81" s="12"/>
      <c r="AU81" s="13" t="s">
        <v>252</v>
      </c>
      <c r="AV81" s="13">
        <f>SKEW(AV59:AV62,AV66,AV68,AV70,AV76:AV78)</f>
        <v>1.0271383600602597</v>
      </c>
      <c r="AW81" s="13"/>
      <c r="AX81" s="13"/>
      <c r="AY81" s="13"/>
      <c r="AZ81" s="13">
        <f>SKEW(AZ59:AZ62,AZ66,AZ68,AZ70,AZ76:AZ78)</f>
        <v>0.82615967782856115</v>
      </c>
      <c r="BE81" s="13" t="s">
        <v>252</v>
      </c>
      <c r="BF81" s="13">
        <f>SKEW(BF59:BF62,BF66,BF68,BF70,BF76:BF78)</f>
        <v>1.5578079056916967</v>
      </c>
      <c r="BG81" s="13"/>
      <c r="BH81" s="13"/>
      <c r="BI81" s="13"/>
      <c r="BJ81" s="13">
        <f>SKEW(BJ59:BJ62,BJ66,BJ68,BJ70,BJ76:BJ78)</f>
        <v>1.7245116331747923</v>
      </c>
      <c r="BO81" s="13" t="s">
        <v>252</v>
      </c>
      <c r="BP81" s="13">
        <f>SKEW(BP59:BP62,BP66,BP68,BP70,BP76:BP78)</f>
        <v>0.42257271777944178</v>
      </c>
      <c r="BQ81" s="13"/>
      <c r="BR81" s="13"/>
      <c r="BS81" s="13"/>
      <c r="BT81" s="13">
        <f>SKEW(BT59:BT62,BT66,BT68,BT70,BT76:BT78)</f>
        <v>1.6106546562509401</v>
      </c>
      <c r="BY81" s="13" t="s">
        <v>252</v>
      </c>
      <c r="BZ81" s="13">
        <f>SKEW(BZ59:BZ62,BZ66,BZ68,BZ70,BZ76:BZ78)</f>
        <v>1.37200870568654</v>
      </c>
      <c r="CA81" s="13"/>
      <c r="CB81" s="13"/>
      <c r="CC81" s="13"/>
      <c r="CD81" s="13">
        <f>SKEW(CD59:CD62,CD66,CD68,CD70,CD76:CD78)</f>
        <v>1.8563757436400647</v>
      </c>
      <c r="CI81" s="13" t="s">
        <v>252</v>
      </c>
      <c r="CJ81" s="13">
        <f>SKEW(CJ59:CJ62,CJ66,CJ68,CJ70,CJ76:CJ78)</f>
        <v>0.5307058557731047</v>
      </c>
      <c r="CK81" s="13"/>
      <c r="CL81" s="13"/>
      <c r="CM81" s="13"/>
      <c r="CN81" s="13">
        <f>SKEW(CN59:CN62,CN66,CN68,CN70,CN76:CN78)</f>
        <v>1.9262239467138373</v>
      </c>
    </row>
    <row r="82" spans="1:94" ht="14.25" customHeight="1" x14ac:dyDescent="0.3">
      <c r="A82" s="13" t="s">
        <v>254</v>
      </c>
      <c r="B82" s="13">
        <f>SKEW(B63:B65,B67,B69,B71:B75)</f>
        <v>0.281857771042755</v>
      </c>
      <c r="C82" s="13"/>
      <c r="D82" s="13"/>
      <c r="E82" s="13"/>
      <c r="F82" s="13">
        <f>SKEW(F63:F65,F67,F69,F71:F75)</f>
        <v>3.8362711936114945E-3</v>
      </c>
      <c r="K82" s="12"/>
      <c r="L82" s="12"/>
      <c r="M82" s="12"/>
      <c r="N82" s="12"/>
      <c r="O82" s="12"/>
      <c r="P82" s="12"/>
      <c r="Q82" s="13" t="s">
        <v>254</v>
      </c>
      <c r="R82" s="13">
        <f>SKEW(R63:R65,R67,R69,R71:R75)</f>
        <v>-0.19691494307978441</v>
      </c>
      <c r="S82" s="13"/>
      <c r="T82" s="13"/>
      <c r="U82" s="13"/>
      <c r="V82" s="13">
        <f>SKEW(V63:V65,V67,V69,V71:V75)</f>
        <v>-0.15979186171300958</v>
      </c>
      <c r="Z82" s="12"/>
      <c r="AA82" s="12"/>
      <c r="AB82" s="12"/>
      <c r="AC82" s="12"/>
      <c r="AD82" s="12"/>
      <c r="AE82" s="12"/>
      <c r="AF82" s="12"/>
      <c r="AG82" s="12"/>
      <c r="AH82" s="12"/>
      <c r="AI82" s="12"/>
      <c r="AJ82" s="13" t="s">
        <v>254</v>
      </c>
      <c r="AK82" s="13">
        <f>SKEW(AK63:AK65,AK67,AK69,AK71:AK75)</f>
        <v>-7.5468806324001853E-2</v>
      </c>
      <c r="AL82" s="13"/>
      <c r="AM82" s="13"/>
      <c r="AN82" s="13"/>
      <c r="AO82" s="13">
        <f>SKEW(AO63:AO65,AO67,AO69,AO71:AO75)</f>
        <v>-0.4252594252294693</v>
      </c>
      <c r="AT82" s="12"/>
      <c r="AU82" s="13" t="s">
        <v>254</v>
      </c>
      <c r="AV82" s="13">
        <f>SKEW(AV63:AV65,AV67,AV69,AV71:AV75)</f>
        <v>0.41864228476042309</v>
      </c>
      <c r="AW82" s="13"/>
      <c r="AX82" s="13"/>
      <c r="AY82" s="13"/>
      <c r="AZ82" s="13">
        <f>SKEW(AZ63:AZ65,AZ67,AZ69,AZ71:AZ75)</f>
        <v>-0.22271623792836434</v>
      </c>
      <c r="BE82" s="13" t="s">
        <v>254</v>
      </c>
      <c r="BF82" s="13">
        <f>SKEW(BF63:BF65,BF67,BF69,BF71:BF75)</f>
        <v>0.3246410931605021</v>
      </c>
      <c r="BG82" s="13"/>
      <c r="BH82" s="13"/>
      <c r="BI82" s="13"/>
      <c r="BJ82" s="13">
        <f>SKEW(BJ63:BJ65,BJ67,BJ69,BJ71:BJ75)</f>
        <v>0.46155285349592207</v>
      </c>
      <c r="BO82" s="13" t="s">
        <v>254</v>
      </c>
      <c r="BP82" s="13">
        <f>SKEW(BP63:BP65,BP67,BP69,BP71:BP75)</f>
        <v>0.38309788381217252</v>
      </c>
      <c r="BQ82" s="13"/>
      <c r="BR82" s="13"/>
      <c r="BS82" s="13"/>
      <c r="BT82" s="13">
        <f>SKEW(BT63:BT65,BT67,BT69,BT71:BT75)</f>
        <v>0.67547491126531967</v>
      </c>
      <c r="BY82" s="13" t="s">
        <v>254</v>
      </c>
      <c r="BZ82" s="13">
        <f>SKEW(BZ63:BZ65,BZ67,BZ69,BZ71:BZ75)</f>
        <v>1.3913012570637084</v>
      </c>
      <c r="CA82" s="13"/>
      <c r="CB82" s="13"/>
      <c r="CC82" s="13"/>
      <c r="CD82" s="13">
        <f>SKEW(CD63:CD65,CD67,CD69,CD71:CD75)</f>
        <v>0.82824194048555955</v>
      </c>
      <c r="CI82" s="13" t="s">
        <v>254</v>
      </c>
      <c r="CJ82" s="13">
        <f>SKEW(CJ63:CJ65,CJ67,CJ69,CJ71:CJ75)</f>
        <v>0.50489557687971487</v>
      </c>
      <c r="CK82" s="13"/>
      <c r="CL82" s="13"/>
      <c r="CM82" s="13"/>
      <c r="CN82" s="13">
        <f>SKEW(CN63:CN65,CN67,CN69,CN71:CN75)</f>
        <v>0.80562611310597498</v>
      </c>
    </row>
    <row r="83" spans="1:94" ht="14.25" customHeight="1" x14ac:dyDescent="0.3">
      <c r="A83" s="13" t="s">
        <v>256</v>
      </c>
      <c r="B83" s="3">
        <v>19.63821444392968</v>
      </c>
      <c r="K83" s="12"/>
      <c r="L83" s="12"/>
      <c r="M83" s="12"/>
      <c r="N83" s="12"/>
      <c r="O83" s="12"/>
      <c r="P83" s="12"/>
      <c r="Q83" s="13" t="s">
        <v>256</v>
      </c>
      <c r="R83" s="3">
        <v>24.031542112072081</v>
      </c>
      <c r="Z83" s="12"/>
      <c r="AA83" s="12"/>
      <c r="AB83" s="12"/>
      <c r="AC83" s="12"/>
      <c r="AD83" s="12"/>
      <c r="AE83" s="12"/>
      <c r="AF83" s="12"/>
      <c r="AG83" s="12"/>
      <c r="AH83" s="12"/>
      <c r="AI83" s="12"/>
      <c r="AJ83" s="13" t="s">
        <v>256</v>
      </c>
      <c r="AK83" s="3">
        <v>15.259630887005921</v>
      </c>
      <c r="AT83" s="12"/>
      <c r="AU83" s="13" t="s">
        <v>256</v>
      </c>
      <c r="AV83" s="3">
        <v>21.97582988657296</v>
      </c>
      <c r="BE83" s="13" t="s">
        <v>256</v>
      </c>
      <c r="BF83" s="3">
        <v>20.49384450006303</v>
      </c>
      <c r="BO83" s="13" t="s">
        <v>256</v>
      </c>
      <c r="BP83" s="3">
        <v>3.4951411834086139</v>
      </c>
      <c r="BY83" s="13" t="s">
        <v>256</v>
      </c>
      <c r="BZ83" s="3">
        <v>16.43553526733595</v>
      </c>
      <c r="CI83" s="13" t="s">
        <v>256</v>
      </c>
      <c r="CJ83" s="3">
        <v>17.704588053684422</v>
      </c>
    </row>
    <row r="84" spans="1:94" ht="14.25" customHeight="1" x14ac:dyDescent="0.3">
      <c r="A84" s="13" t="s">
        <v>257</v>
      </c>
      <c r="B84" s="13">
        <v>6</v>
      </c>
      <c r="K84" s="12"/>
      <c r="L84" s="12"/>
      <c r="M84" s="12"/>
      <c r="N84" s="12"/>
      <c r="O84" s="12"/>
      <c r="P84" s="12"/>
      <c r="Q84" s="13" t="s">
        <v>257</v>
      </c>
      <c r="R84" s="13">
        <v>10</v>
      </c>
      <c r="Z84" s="12"/>
      <c r="AA84" s="12"/>
      <c r="AB84" s="12"/>
      <c r="AC84" s="12"/>
      <c r="AD84" s="12"/>
      <c r="AE84" s="12"/>
      <c r="AF84" s="12"/>
      <c r="AG84" s="12"/>
      <c r="AH84" s="12"/>
      <c r="AI84" s="12"/>
      <c r="AJ84" s="13" t="s">
        <v>257</v>
      </c>
      <c r="AK84" s="13">
        <v>12</v>
      </c>
      <c r="AT84" s="12"/>
      <c r="AU84" s="13" t="s">
        <v>257</v>
      </c>
      <c r="AV84" s="13">
        <v>12</v>
      </c>
      <c r="BE84" s="13" t="s">
        <v>257</v>
      </c>
      <c r="BF84" s="13">
        <v>10</v>
      </c>
      <c r="BO84" s="13" t="s">
        <v>257</v>
      </c>
      <c r="BP84" s="13">
        <v>6</v>
      </c>
      <c r="BY84" s="13" t="s">
        <v>257</v>
      </c>
      <c r="BZ84" s="13">
        <v>7</v>
      </c>
      <c r="CI84" s="13" t="s">
        <v>257</v>
      </c>
      <c r="CJ84" s="13">
        <v>9</v>
      </c>
    </row>
    <row r="85" spans="1:94" ht="14.25" customHeight="1" x14ac:dyDescent="0.3">
      <c r="A85" s="28" t="s">
        <v>258</v>
      </c>
      <c r="B85" s="13">
        <f>B84*2</f>
        <v>12</v>
      </c>
      <c r="K85" s="27"/>
      <c r="L85" s="27"/>
      <c r="M85" s="27"/>
      <c r="N85" s="27"/>
      <c r="O85" s="27"/>
      <c r="P85" s="27"/>
      <c r="Q85" s="28" t="s">
        <v>258</v>
      </c>
      <c r="R85" s="13">
        <f>R84*2</f>
        <v>20</v>
      </c>
      <c r="Z85" s="27"/>
      <c r="AA85" s="27"/>
      <c r="AB85" s="27"/>
      <c r="AC85" s="27"/>
      <c r="AD85" s="27"/>
      <c r="AE85" s="27"/>
      <c r="AF85" s="27"/>
      <c r="AG85" s="27"/>
      <c r="AH85" s="27"/>
      <c r="AI85" s="27"/>
      <c r="AJ85" s="28" t="s">
        <v>258</v>
      </c>
      <c r="AK85" s="13">
        <f>AK84*2</f>
        <v>24</v>
      </c>
      <c r="AT85" s="27"/>
      <c r="AU85" s="28" t="s">
        <v>258</v>
      </c>
      <c r="AV85" s="13">
        <f>AV84*2</f>
        <v>24</v>
      </c>
      <c r="BE85" s="28" t="s">
        <v>258</v>
      </c>
      <c r="BF85" s="13">
        <f>BF84*2</f>
        <v>20</v>
      </c>
      <c r="BO85" s="28" t="s">
        <v>258</v>
      </c>
      <c r="BP85" s="13">
        <f>BP84*2</f>
        <v>12</v>
      </c>
      <c r="BY85" s="28" t="s">
        <v>258</v>
      </c>
      <c r="BZ85" s="13">
        <f>BZ84*2</f>
        <v>14</v>
      </c>
      <c r="CI85" s="28" t="s">
        <v>258</v>
      </c>
      <c r="CJ85" s="13">
        <f>CJ84*2</f>
        <v>18</v>
      </c>
    </row>
    <row r="86" spans="1:94" ht="14.25" customHeight="1" x14ac:dyDescent="0.3"/>
    <row r="87" spans="1:94" ht="14.25" customHeight="1" x14ac:dyDescent="0.3"/>
    <row r="88" spans="1:94" ht="14.25" customHeight="1" x14ac:dyDescent="0.3"/>
    <row r="89" spans="1:94" ht="14.25" customHeight="1" x14ac:dyDescent="0.3"/>
    <row r="90" spans="1:94" ht="14.25" customHeight="1" x14ac:dyDescent="0.3">
      <c r="B90" s="13" t="s">
        <v>267</v>
      </c>
      <c r="C90" s="13"/>
      <c r="D90" s="13"/>
      <c r="E90" s="13"/>
      <c r="F90" s="13"/>
      <c r="K90" s="12"/>
      <c r="L90" s="12"/>
      <c r="M90" s="12"/>
      <c r="N90" s="12"/>
      <c r="O90" s="12"/>
      <c r="P90" s="12"/>
      <c r="Q90" s="13" t="s">
        <v>268</v>
      </c>
      <c r="S90" s="13"/>
      <c r="T90" s="13"/>
      <c r="U90" s="13"/>
      <c r="V90" s="13"/>
      <c r="AK90" s="13" t="s">
        <v>269</v>
      </c>
      <c r="AL90" s="13"/>
      <c r="AM90" s="13"/>
      <c r="AN90" s="13"/>
      <c r="AO90" s="13"/>
      <c r="AV90" s="13" t="s">
        <v>270</v>
      </c>
      <c r="AW90" s="13"/>
      <c r="AX90" s="13"/>
      <c r="AY90" s="13"/>
      <c r="AZ90" s="13"/>
      <c r="BF90" s="13" t="s">
        <v>271</v>
      </c>
      <c r="BG90" s="13"/>
      <c r="BH90" s="13"/>
      <c r="BI90" s="13"/>
      <c r="BJ90" s="13"/>
      <c r="BP90" s="13" t="s">
        <v>272</v>
      </c>
      <c r="BQ90" s="13"/>
      <c r="BR90" s="13"/>
      <c r="BS90" s="13"/>
      <c r="BT90" s="13"/>
      <c r="BZ90" s="13" t="s">
        <v>273</v>
      </c>
      <c r="CA90" s="13"/>
      <c r="CB90" s="13"/>
      <c r="CC90" s="13"/>
      <c r="CD90" s="13"/>
      <c r="CJ90" s="13" t="s">
        <v>274</v>
      </c>
      <c r="CK90" s="13"/>
      <c r="CL90" s="13"/>
      <c r="CM90" s="13"/>
      <c r="CN90" s="13"/>
    </row>
    <row r="91" spans="1:94" ht="14.25" customHeight="1" x14ac:dyDescent="0.3">
      <c r="A91" s="13" t="s">
        <v>201</v>
      </c>
      <c r="B91" s="13" t="s">
        <v>5</v>
      </c>
      <c r="C91" s="13" t="s">
        <v>206</v>
      </c>
      <c r="D91" s="14" t="s">
        <v>189</v>
      </c>
      <c r="E91" s="13" t="s">
        <v>190</v>
      </c>
      <c r="F91" s="13" t="s">
        <v>191</v>
      </c>
      <c r="G91" s="13" t="s">
        <v>192</v>
      </c>
      <c r="H91" s="13" t="s">
        <v>193</v>
      </c>
      <c r="K91" s="12"/>
      <c r="L91" s="12"/>
      <c r="M91" s="12"/>
      <c r="N91" s="12"/>
      <c r="O91" s="12"/>
      <c r="P91" s="12"/>
      <c r="Q91" s="13" t="s">
        <v>201</v>
      </c>
      <c r="R91" s="13" t="s">
        <v>5</v>
      </c>
      <c r="S91" s="13" t="s">
        <v>208</v>
      </c>
      <c r="T91" s="14" t="s">
        <v>189</v>
      </c>
      <c r="U91" s="13" t="s">
        <v>190</v>
      </c>
      <c r="V91" s="13" t="s">
        <v>191</v>
      </c>
      <c r="W91" s="13" t="s">
        <v>192</v>
      </c>
      <c r="X91" s="13" t="s">
        <v>193</v>
      </c>
      <c r="Z91" s="12"/>
      <c r="AA91" s="12"/>
      <c r="AB91" s="12"/>
      <c r="AC91" s="12"/>
      <c r="AD91" s="12"/>
      <c r="AE91" s="12"/>
      <c r="AF91" s="12"/>
      <c r="AG91" s="12"/>
      <c r="AH91" s="12"/>
      <c r="AI91" s="12"/>
      <c r="AJ91" s="13" t="s">
        <v>201</v>
      </c>
      <c r="AK91" s="13" t="s">
        <v>5</v>
      </c>
      <c r="AL91" s="13" t="s">
        <v>209</v>
      </c>
      <c r="AM91" s="14" t="s">
        <v>189</v>
      </c>
      <c r="AN91" s="13" t="s">
        <v>190</v>
      </c>
      <c r="AO91" s="13" t="s">
        <v>191</v>
      </c>
      <c r="AP91" s="13" t="s">
        <v>192</v>
      </c>
      <c r="AQ91" s="13" t="s">
        <v>193</v>
      </c>
      <c r="AT91" s="12"/>
      <c r="AU91" s="13" t="s">
        <v>201</v>
      </c>
      <c r="AV91" s="13" t="s">
        <v>5</v>
      </c>
      <c r="AW91" s="13" t="s">
        <v>211</v>
      </c>
      <c r="AX91" s="14" t="s">
        <v>189</v>
      </c>
      <c r="AY91" s="13" t="s">
        <v>190</v>
      </c>
      <c r="AZ91" s="13" t="s">
        <v>191</v>
      </c>
      <c r="BA91" s="13" t="s">
        <v>192</v>
      </c>
      <c r="BB91" s="13" t="s">
        <v>193</v>
      </c>
      <c r="BE91" s="13" t="s">
        <v>201</v>
      </c>
      <c r="BF91" s="13" t="s">
        <v>5</v>
      </c>
      <c r="BG91" s="13" t="s">
        <v>212</v>
      </c>
      <c r="BH91" s="14" t="s">
        <v>189</v>
      </c>
      <c r="BI91" s="13" t="s">
        <v>190</v>
      </c>
      <c r="BJ91" s="13" t="s">
        <v>191</v>
      </c>
      <c r="BK91" s="13" t="s">
        <v>192</v>
      </c>
      <c r="BL91" s="13" t="s">
        <v>193</v>
      </c>
      <c r="BO91" s="13" t="s">
        <v>201</v>
      </c>
      <c r="BP91" s="13" t="s">
        <v>5</v>
      </c>
      <c r="BQ91" s="13" t="s">
        <v>188</v>
      </c>
      <c r="BR91" s="14" t="s">
        <v>189</v>
      </c>
      <c r="BS91" s="13" t="s">
        <v>190</v>
      </c>
      <c r="BT91" s="13" t="s">
        <v>191</v>
      </c>
      <c r="BU91" s="13" t="s">
        <v>192</v>
      </c>
      <c r="BV91" s="13" t="s">
        <v>193</v>
      </c>
      <c r="BY91" s="13" t="s">
        <v>201</v>
      </c>
      <c r="BZ91" s="13" t="s">
        <v>5</v>
      </c>
      <c r="CA91" s="13" t="s">
        <v>202</v>
      </c>
      <c r="CB91" s="14" t="s">
        <v>189</v>
      </c>
      <c r="CC91" s="13" t="s">
        <v>190</v>
      </c>
      <c r="CD91" s="13" t="s">
        <v>191</v>
      </c>
      <c r="CE91" s="13" t="s">
        <v>192</v>
      </c>
      <c r="CF91" s="13" t="s">
        <v>193</v>
      </c>
      <c r="CI91" s="13" t="s">
        <v>201</v>
      </c>
      <c r="CJ91" s="13" t="s">
        <v>5</v>
      </c>
      <c r="CK91" s="13" t="s">
        <v>206</v>
      </c>
      <c r="CL91" s="14" t="s">
        <v>189</v>
      </c>
      <c r="CM91" s="13" t="s">
        <v>190</v>
      </c>
      <c r="CN91" s="13" t="s">
        <v>191</v>
      </c>
      <c r="CO91" s="13" t="s">
        <v>192</v>
      </c>
      <c r="CP91" s="13" t="s">
        <v>193</v>
      </c>
    </row>
    <row r="92" spans="1:94" ht="14.25" customHeight="1" x14ac:dyDescent="0.3">
      <c r="A92" s="3" t="s">
        <v>213</v>
      </c>
      <c r="B92" s="3">
        <v>4</v>
      </c>
      <c r="C92" s="18">
        <v>3.1111111111111112</v>
      </c>
      <c r="D92" s="3">
        <v>4</v>
      </c>
      <c r="E92" s="3">
        <v>4</v>
      </c>
      <c r="F92" s="3">
        <v>8</v>
      </c>
      <c r="G92" s="13">
        <v>1.247177188019948</v>
      </c>
      <c r="H92" s="13">
        <v>17</v>
      </c>
      <c r="Q92" s="3" t="s">
        <v>213</v>
      </c>
      <c r="R92" s="3">
        <v>2</v>
      </c>
      <c r="S92" s="18">
        <v>7</v>
      </c>
      <c r="T92" s="3">
        <v>1</v>
      </c>
      <c r="U92" s="3">
        <v>1</v>
      </c>
      <c r="V92" s="3">
        <v>8</v>
      </c>
      <c r="W92" s="13">
        <v>1.247177188019948</v>
      </c>
      <c r="X92" s="13">
        <v>17</v>
      </c>
      <c r="AJ92" s="3" t="s">
        <v>213</v>
      </c>
      <c r="AK92" s="3">
        <v>3</v>
      </c>
      <c r="AL92" s="18">
        <v>5.666666666666667</v>
      </c>
      <c r="AM92" s="3">
        <v>4</v>
      </c>
      <c r="AN92" s="3">
        <v>1</v>
      </c>
      <c r="AO92" s="3">
        <v>8</v>
      </c>
      <c r="AP92" s="13">
        <v>1.247177188019948</v>
      </c>
      <c r="AQ92" s="13">
        <v>17</v>
      </c>
      <c r="AU92" s="3" t="s">
        <v>213</v>
      </c>
      <c r="AV92" s="3">
        <v>3</v>
      </c>
      <c r="AW92" s="18">
        <v>3.6666666666666665</v>
      </c>
      <c r="AX92" s="3">
        <v>3</v>
      </c>
      <c r="AY92" s="3">
        <v>2</v>
      </c>
      <c r="AZ92" s="3">
        <v>9</v>
      </c>
      <c r="BA92" s="13">
        <v>1.247177188019948</v>
      </c>
      <c r="BB92" s="13">
        <v>17</v>
      </c>
      <c r="BE92" s="3" t="s">
        <v>213</v>
      </c>
      <c r="BF92" s="3">
        <v>6</v>
      </c>
      <c r="BG92" s="18">
        <v>6.666666666666667</v>
      </c>
      <c r="BH92" s="3">
        <v>1</v>
      </c>
      <c r="BI92" s="3">
        <v>1</v>
      </c>
      <c r="BJ92" s="3">
        <v>8</v>
      </c>
      <c r="BK92" s="13">
        <v>1.247177188019948</v>
      </c>
      <c r="BL92" s="13">
        <v>17</v>
      </c>
      <c r="BO92" s="3" t="s">
        <v>213</v>
      </c>
      <c r="BP92" s="3">
        <v>3</v>
      </c>
      <c r="BQ92" s="18">
        <v>6</v>
      </c>
      <c r="BR92" s="3">
        <v>4</v>
      </c>
      <c r="BS92" s="3">
        <v>5</v>
      </c>
      <c r="BT92" s="3">
        <v>8</v>
      </c>
      <c r="BU92" s="13">
        <v>1.247177188019948</v>
      </c>
      <c r="BV92" s="13">
        <v>17</v>
      </c>
      <c r="BY92" s="3" t="s">
        <v>213</v>
      </c>
      <c r="BZ92" s="3">
        <v>2</v>
      </c>
      <c r="CA92" s="18">
        <v>3.3333333333333335</v>
      </c>
      <c r="CB92" s="3">
        <v>2</v>
      </c>
      <c r="CC92" s="3">
        <v>2</v>
      </c>
      <c r="CD92" s="3">
        <v>8</v>
      </c>
      <c r="CE92" s="13">
        <v>1.247177188019948</v>
      </c>
      <c r="CF92" s="13">
        <v>17</v>
      </c>
      <c r="CI92" s="3" t="s">
        <v>213</v>
      </c>
      <c r="CJ92" s="3">
        <v>12</v>
      </c>
      <c r="CK92" s="18">
        <v>3.1111111111111112</v>
      </c>
      <c r="CL92" s="3">
        <v>10</v>
      </c>
      <c r="CM92" s="3">
        <v>10</v>
      </c>
      <c r="CN92" s="3">
        <v>8</v>
      </c>
      <c r="CO92" s="13">
        <v>1.247177188019948</v>
      </c>
      <c r="CP92" s="13">
        <v>17</v>
      </c>
    </row>
    <row r="93" spans="1:94" ht="14.25" customHeight="1" x14ac:dyDescent="0.3">
      <c r="A93" s="3" t="s">
        <v>215</v>
      </c>
      <c r="B93" s="3">
        <v>4</v>
      </c>
      <c r="C93" s="18">
        <v>4.666666666666667</v>
      </c>
      <c r="D93" s="3">
        <v>4</v>
      </c>
      <c r="E93" s="3">
        <v>4</v>
      </c>
      <c r="F93" s="3">
        <v>7</v>
      </c>
      <c r="G93" s="13">
        <v>1.1425292918330761</v>
      </c>
      <c r="H93" s="13">
        <v>15</v>
      </c>
      <c r="Q93" s="3" t="s">
        <v>215</v>
      </c>
      <c r="R93" s="3">
        <v>3</v>
      </c>
      <c r="S93" s="18">
        <v>6.1111111111111107</v>
      </c>
      <c r="T93" s="3">
        <v>1</v>
      </c>
      <c r="U93" s="3">
        <v>1</v>
      </c>
      <c r="V93" s="3">
        <v>7</v>
      </c>
      <c r="W93" s="13">
        <v>1.1425292918330761</v>
      </c>
      <c r="X93" s="13">
        <v>15</v>
      </c>
      <c r="AJ93" s="3" t="s">
        <v>215</v>
      </c>
      <c r="AK93" s="3">
        <v>5</v>
      </c>
      <c r="AL93" s="18">
        <v>3.6666666666666665</v>
      </c>
      <c r="AM93" s="3">
        <v>5</v>
      </c>
      <c r="AN93" s="3">
        <v>4</v>
      </c>
      <c r="AO93" s="3">
        <v>9</v>
      </c>
      <c r="AP93" s="13">
        <v>1.1425292918330761</v>
      </c>
      <c r="AQ93" s="13">
        <v>15</v>
      </c>
      <c r="AU93" s="3" t="s">
        <v>215</v>
      </c>
      <c r="AV93" s="3">
        <v>2</v>
      </c>
      <c r="AW93" s="18">
        <v>4.666666666666667</v>
      </c>
      <c r="AX93" s="3">
        <v>3</v>
      </c>
      <c r="AY93" s="3">
        <v>2</v>
      </c>
      <c r="AZ93" s="3">
        <v>7</v>
      </c>
      <c r="BA93" s="13">
        <v>1.1425292918330761</v>
      </c>
      <c r="BB93" s="13">
        <v>15</v>
      </c>
      <c r="BE93" s="3" t="s">
        <v>215</v>
      </c>
      <c r="BF93" s="3">
        <v>5</v>
      </c>
      <c r="BG93" s="18">
        <v>6.1111111111111107</v>
      </c>
      <c r="BH93" s="3">
        <v>5</v>
      </c>
      <c r="BI93" s="3">
        <v>5</v>
      </c>
      <c r="BJ93" s="3">
        <v>7</v>
      </c>
      <c r="BK93" s="13">
        <v>1.1425292918330761</v>
      </c>
      <c r="BL93" s="13">
        <v>15</v>
      </c>
      <c r="BO93" s="3" t="s">
        <v>215</v>
      </c>
      <c r="BP93" s="3">
        <v>10</v>
      </c>
      <c r="BQ93" s="18">
        <v>4.1111111111111107</v>
      </c>
      <c r="BR93" s="3">
        <v>10</v>
      </c>
      <c r="BS93" s="3">
        <v>10</v>
      </c>
      <c r="BT93" s="3">
        <v>7</v>
      </c>
      <c r="BU93" s="13">
        <v>1.1425292918330761</v>
      </c>
      <c r="BV93" s="13">
        <v>15</v>
      </c>
      <c r="BY93" s="3" t="s">
        <v>215</v>
      </c>
      <c r="BZ93" s="3">
        <v>5</v>
      </c>
      <c r="CA93" s="18">
        <v>5.5555555555555554</v>
      </c>
      <c r="CB93" s="3">
        <v>6</v>
      </c>
      <c r="CC93" s="3">
        <v>6</v>
      </c>
      <c r="CD93" s="3">
        <v>7</v>
      </c>
      <c r="CE93" s="13">
        <v>1.1425292918330761</v>
      </c>
      <c r="CF93" s="13">
        <v>15</v>
      </c>
      <c r="CI93" s="3" t="s">
        <v>215</v>
      </c>
      <c r="CJ93" s="3">
        <v>6</v>
      </c>
      <c r="CK93" s="18">
        <v>4.666666666666667</v>
      </c>
      <c r="CL93" s="3">
        <v>6</v>
      </c>
      <c r="CM93" s="3">
        <v>6</v>
      </c>
      <c r="CN93" s="3">
        <v>7</v>
      </c>
      <c r="CO93" s="13">
        <v>1.1425292918330761</v>
      </c>
      <c r="CP93" s="13">
        <v>15</v>
      </c>
    </row>
    <row r="94" spans="1:94" ht="14.25" customHeight="1" x14ac:dyDescent="0.3">
      <c r="A94" s="3" t="s">
        <v>216</v>
      </c>
      <c r="B94" s="3">
        <v>3</v>
      </c>
      <c r="C94" s="18">
        <v>3.2222222222222223</v>
      </c>
      <c r="D94" s="3">
        <v>3</v>
      </c>
      <c r="E94" s="3">
        <v>3</v>
      </c>
      <c r="F94" s="3">
        <v>5</v>
      </c>
      <c r="G94" s="13">
        <v>1.123713972805261</v>
      </c>
      <c r="H94" s="13">
        <v>11</v>
      </c>
      <c r="Q94" s="3" t="s">
        <v>216</v>
      </c>
      <c r="R94" s="3">
        <v>3</v>
      </c>
      <c r="S94" s="18">
        <v>5</v>
      </c>
      <c r="T94" s="3">
        <v>2</v>
      </c>
      <c r="U94" s="3">
        <v>2</v>
      </c>
      <c r="V94" s="3">
        <v>5</v>
      </c>
      <c r="W94" s="13">
        <v>1.123713972805261</v>
      </c>
      <c r="X94" s="13">
        <v>11</v>
      </c>
      <c r="AJ94" s="3" t="s">
        <v>216</v>
      </c>
      <c r="AK94" s="3">
        <v>7</v>
      </c>
      <c r="AL94" s="18">
        <v>4.1111111111111107</v>
      </c>
      <c r="AM94" s="3">
        <v>3</v>
      </c>
      <c r="AN94" s="3">
        <v>7</v>
      </c>
      <c r="AO94" s="3">
        <v>7</v>
      </c>
      <c r="AP94" s="13">
        <v>1.123713972805261</v>
      </c>
      <c r="AQ94" s="13">
        <v>11</v>
      </c>
      <c r="AU94" s="3" t="s">
        <v>216</v>
      </c>
      <c r="AV94" s="3">
        <v>1</v>
      </c>
      <c r="AW94" s="18">
        <v>3.7777777777777777</v>
      </c>
      <c r="AX94" s="3">
        <v>1</v>
      </c>
      <c r="AY94" s="3">
        <v>0</v>
      </c>
      <c r="AZ94" s="3">
        <v>5</v>
      </c>
      <c r="BA94" s="13">
        <v>1.123713972805261</v>
      </c>
      <c r="BB94" s="13">
        <v>11</v>
      </c>
      <c r="BE94" s="3" t="s">
        <v>216</v>
      </c>
      <c r="BF94" s="3">
        <v>8</v>
      </c>
      <c r="BG94" s="18">
        <v>6</v>
      </c>
      <c r="BH94" s="3">
        <v>8</v>
      </c>
      <c r="BI94" s="3">
        <v>9</v>
      </c>
      <c r="BJ94" s="3">
        <v>5</v>
      </c>
      <c r="BK94" s="13">
        <v>1.123713972805261</v>
      </c>
      <c r="BL94" s="13">
        <v>11</v>
      </c>
      <c r="BO94" s="3" t="s">
        <v>216</v>
      </c>
      <c r="BP94" s="3">
        <v>3</v>
      </c>
      <c r="BQ94" s="18">
        <v>2.7777777777777777</v>
      </c>
      <c r="BR94" s="3">
        <v>4</v>
      </c>
      <c r="BS94" s="3">
        <v>5</v>
      </c>
      <c r="BT94" s="3">
        <v>5</v>
      </c>
      <c r="BU94" s="13">
        <v>1.123713972805261</v>
      </c>
      <c r="BV94" s="13">
        <v>11</v>
      </c>
      <c r="BY94" s="3" t="s">
        <v>216</v>
      </c>
      <c r="BZ94" s="3">
        <v>3</v>
      </c>
      <c r="CA94" s="18">
        <v>3.2222222222222223</v>
      </c>
      <c r="CB94" s="3">
        <v>3</v>
      </c>
      <c r="CC94" s="3">
        <v>3</v>
      </c>
      <c r="CD94" s="3">
        <v>6</v>
      </c>
      <c r="CE94" s="13">
        <v>1.123713972805261</v>
      </c>
      <c r="CF94" s="13">
        <v>11</v>
      </c>
      <c r="CI94" s="3" t="s">
        <v>216</v>
      </c>
      <c r="CJ94" s="3">
        <v>3</v>
      </c>
      <c r="CK94" s="18">
        <v>3.2222222222222223</v>
      </c>
      <c r="CL94" s="3">
        <v>5</v>
      </c>
      <c r="CM94" s="3">
        <v>5</v>
      </c>
      <c r="CN94" s="3">
        <v>5</v>
      </c>
      <c r="CO94" s="13">
        <v>1.123713972805261</v>
      </c>
      <c r="CP94" s="13">
        <v>11</v>
      </c>
    </row>
    <row r="95" spans="1:94" ht="14.25" customHeight="1" x14ac:dyDescent="0.3">
      <c r="A95" s="3" t="s">
        <v>217</v>
      </c>
      <c r="B95" s="3">
        <v>5</v>
      </c>
      <c r="C95" s="18">
        <v>2.8888888888888888</v>
      </c>
      <c r="D95" s="3">
        <v>7</v>
      </c>
      <c r="E95" s="3">
        <v>7</v>
      </c>
      <c r="F95" s="3">
        <v>5</v>
      </c>
      <c r="G95" s="13">
        <v>1.1139196755889551</v>
      </c>
      <c r="H95" s="13">
        <v>11</v>
      </c>
      <c r="Q95" s="3" t="s">
        <v>217</v>
      </c>
      <c r="R95" s="3">
        <v>7</v>
      </c>
      <c r="S95" s="18">
        <v>4.4444444444444446</v>
      </c>
      <c r="T95" s="3">
        <v>3</v>
      </c>
      <c r="U95" s="3">
        <v>2</v>
      </c>
      <c r="V95" s="3">
        <v>5</v>
      </c>
      <c r="W95" s="13">
        <v>1.1139196755889551</v>
      </c>
      <c r="X95" s="13">
        <v>11</v>
      </c>
      <c r="AJ95" s="3" t="s">
        <v>217</v>
      </c>
      <c r="AK95" s="3">
        <v>10</v>
      </c>
      <c r="AL95" s="18">
        <v>4.666666666666667</v>
      </c>
      <c r="AM95" s="3">
        <v>3</v>
      </c>
      <c r="AN95" s="3">
        <v>6</v>
      </c>
      <c r="AO95" s="3">
        <v>5</v>
      </c>
      <c r="AP95" s="13">
        <v>1.1139196755889551</v>
      </c>
      <c r="AQ95" s="13">
        <v>11</v>
      </c>
      <c r="AU95" s="3" t="s">
        <v>217</v>
      </c>
      <c r="AV95" s="3">
        <v>6</v>
      </c>
      <c r="AW95" s="18">
        <v>5.7777777777777777</v>
      </c>
      <c r="AX95" s="3">
        <v>1</v>
      </c>
      <c r="AY95" s="3">
        <v>1</v>
      </c>
      <c r="AZ95" s="3">
        <v>5</v>
      </c>
      <c r="BA95" s="13">
        <v>1.1139196755889551</v>
      </c>
      <c r="BB95" s="13">
        <v>11</v>
      </c>
      <c r="BE95" s="3" t="s">
        <v>217</v>
      </c>
      <c r="BF95" s="3">
        <v>5</v>
      </c>
      <c r="BG95" s="18">
        <v>3.3333333333333335</v>
      </c>
      <c r="BH95" s="3">
        <v>2</v>
      </c>
      <c r="BI95" s="3">
        <v>2</v>
      </c>
      <c r="BJ95" s="3">
        <v>5</v>
      </c>
      <c r="BK95" s="13">
        <v>1.1139196755889551</v>
      </c>
      <c r="BL95" s="13">
        <v>11</v>
      </c>
      <c r="BO95" s="3" t="s">
        <v>217</v>
      </c>
      <c r="BP95" s="3">
        <v>2</v>
      </c>
      <c r="BQ95" s="18">
        <v>2.7777777777777777</v>
      </c>
      <c r="BR95" s="3">
        <v>9</v>
      </c>
      <c r="BS95" s="3">
        <v>10</v>
      </c>
      <c r="BT95" s="3">
        <v>5</v>
      </c>
      <c r="BU95" s="13">
        <v>1.1139196755889551</v>
      </c>
      <c r="BV95" s="13">
        <v>11</v>
      </c>
      <c r="BY95" s="3" t="s">
        <v>217</v>
      </c>
      <c r="BZ95" s="3">
        <v>5</v>
      </c>
      <c r="CA95" s="18">
        <v>2.7777777777777777</v>
      </c>
      <c r="CB95" s="3">
        <v>5</v>
      </c>
      <c r="CC95" s="3">
        <v>5</v>
      </c>
      <c r="CD95" s="3">
        <v>5</v>
      </c>
      <c r="CE95" s="13">
        <v>1.1139196755889551</v>
      </c>
      <c r="CF95" s="13">
        <v>11</v>
      </c>
      <c r="CI95" s="3" t="s">
        <v>217</v>
      </c>
      <c r="CJ95" s="3">
        <v>5</v>
      </c>
      <c r="CK95" s="18">
        <v>2.8888888888888888</v>
      </c>
      <c r="CL95" s="3">
        <v>5</v>
      </c>
      <c r="CM95" s="3">
        <v>5</v>
      </c>
      <c r="CN95" s="3">
        <v>5</v>
      </c>
      <c r="CO95" s="13">
        <v>1.1139196755889551</v>
      </c>
      <c r="CP95" s="13">
        <v>11</v>
      </c>
    </row>
    <row r="96" spans="1:94" ht="14.25" customHeight="1" x14ac:dyDescent="0.3">
      <c r="A96" s="3" t="s">
        <v>218</v>
      </c>
      <c r="B96" s="3">
        <v>8</v>
      </c>
      <c r="C96" s="18">
        <v>2.8888888888888888</v>
      </c>
      <c r="D96" s="3">
        <v>6</v>
      </c>
      <c r="E96" s="3">
        <v>6</v>
      </c>
      <c r="F96" s="3">
        <v>6</v>
      </c>
      <c r="G96" s="13">
        <v>1.0416402811862899</v>
      </c>
      <c r="H96" s="13">
        <v>11</v>
      </c>
      <c r="Q96" s="3" t="s">
        <v>218</v>
      </c>
      <c r="R96" s="3">
        <v>3</v>
      </c>
      <c r="S96" s="18">
        <v>3.5555555555555554</v>
      </c>
      <c r="T96" s="3">
        <v>1</v>
      </c>
      <c r="U96" s="3">
        <v>1</v>
      </c>
      <c r="V96" s="3">
        <v>5</v>
      </c>
      <c r="W96" s="13">
        <v>1.0416402811862899</v>
      </c>
      <c r="X96" s="13">
        <v>11</v>
      </c>
      <c r="AJ96" s="3" t="s">
        <v>218</v>
      </c>
      <c r="AK96" s="3">
        <v>2</v>
      </c>
      <c r="AL96" s="18">
        <v>2.6666666666666665</v>
      </c>
      <c r="AM96" s="3">
        <v>3</v>
      </c>
      <c r="AN96" s="3">
        <v>0</v>
      </c>
      <c r="AO96" s="3">
        <v>5</v>
      </c>
      <c r="AP96" s="13">
        <v>1.0416402811862899</v>
      </c>
      <c r="AQ96" s="13">
        <v>11</v>
      </c>
      <c r="AU96" s="3" t="s">
        <v>218</v>
      </c>
      <c r="AV96" s="3">
        <v>3</v>
      </c>
      <c r="AW96" s="18">
        <v>1.4444444444444444</v>
      </c>
      <c r="AX96" s="3">
        <v>1</v>
      </c>
      <c r="AY96" s="3">
        <v>0</v>
      </c>
      <c r="AZ96" s="3">
        <v>5</v>
      </c>
      <c r="BA96" s="13">
        <v>1.0416402811862899</v>
      </c>
      <c r="BB96" s="13">
        <v>11</v>
      </c>
      <c r="BE96" s="3" t="s">
        <v>218</v>
      </c>
      <c r="BF96" s="3">
        <v>5</v>
      </c>
      <c r="BG96" s="18">
        <v>4</v>
      </c>
      <c r="BH96" s="3">
        <v>2</v>
      </c>
      <c r="BI96" s="3">
        <v>2</v>
      </c>
      <c r="BJ96" s="3">
        <v>5</v>
      </c>
      <c r="BK96" s="13">
        <v>1.0416402811862899</v>
      </c>
      <c r="BL96" s="13">
        <v>11</v>
      </c>
      <c r="BO96" s="3" t="s">
        <v>218</v>
      </c>
      <c r="BP96" s="3">
        <v>4</v>
      </c>
      <c r="BQ96" s="18">
        <v>1.7777777777777777</v>
      </c>
      <c r="BR96" s="3">
        <v>4</v>
      </c>
      <c r="BS96" s="3">
        <v>4</v>
      </c>
      <c r="BT96" s="3">
        <v>5</v>
      </c>
      <c r="BU96" s="13">
        <v>1.0416402811862899</v>
      </c>
      <c r="BV96" s="13">
        <v>11</v>
      </c>
      <c r="BY96" s="3" t="s">
        <v>218</v>
      </c>
      <c r="BZ96" s="3">
        <v>1</v>
      </c>
      <c r="CA96" s="18">
        <v>3</v>
      </c>
      <c r="CB96" s="3">
        <v>1</v>
      </c>
      <c r="CC96" s="3">
        <v>1</v>
      </c>
      <c r="CD96" s="3">
        <v>5</v>
      </c>
      <c r="CE96" s="13">
        <v>1.0416402811862899</v>
      </c>
      <c r="CF96" s="13">
        <v>11</v>
      </c>
      <c r="CI96" s="3" t="s">
        <v>218</v>
      </c>
      <c r="CJ96" s="3">
        <v>0</v>
      </c>
      <c r="CK96" s="18">
        <v>2.8888888888888888</v>
      </c>
      <c r="CL96" s="3">
        <v>0</v>
      </c>
      <c r="CM96" s="30">
        <v>0</v>
      </c>
      <c r="CN96" s="3">
        <v>5</v>
      </c>
      <c r="CO96" s="13">
        <v>1.0416402811862899</v>
      </c>
      <c r="CP96" s="13">
        <v>11</v>
      </c>
    </row>
    <row r="97" spans="1:94" ht="14.25" customHeight="1" x14ac:dyDescent="0.3">
      <c r="A97" s="3" t="s">
        <v>220</v>
      </c>
      <c r="B97" s="3">
        <v>6</v>
      </c>
      <c r="C97" s="18">
        <v>5.4444444444444446</v>
      </c>
      <c r="D97" s="3">
        <v>7</v>
      </c>
      <c r="E97" s="3">
        <v>6</v>
      </c>
      <c r="F97" s="3">
        <v>11</v>
      </c>
      <c r="G97" s="13">
        <v>0.99583449612816577</v>
      </c>
      <c r="H97" s="13">
        <v>29</v>
      </c>
      <c r="Q97" s="3" t="s">
        <v>220</v>
      </c>
      <c r="R97" s="3">
        <v>3</v>
      </c>
      <c r="S97" s="18">
        <v>10.222222222222221</v>
      </c>
      <c r="T97" s="3">
        <v>2</v>
      </c>
      <c r="U97" s="3">
        <v>3</v>
      </c>
      <c r="V97" s="3">
        <v>11</v>
      </c>
      <c r="W97" s="13">
        <v>0.99583449612816577</v>
      </c>
      <c r="X97" s="13">
        <v>29</v>
      </c>
      <c r="AJ97" s="3" t="s">
        <v>220</v>
      </c>
      <c r="AK97" s="3">
        <v>4</v>
      </c>
      <c r="AL97" s="18">
        <v>10.333333333333334</v>
      </c>
      <c r="AM97" s="3">
        <v>9</v>
      </c>
      <c r="AN97" s="3">
        <v>0</v>
      </c>
      <c r="AO97" s="3">
        <v>11</v>
      </c>
      <c r="AP97" s="13">
        <v>0.99583449612816577</v>
      </c>
      <c r="AQ97" s="13">
        <v>29</v>
      </c>
      <c r="AU97" s="3" t="s">
        <v>220</v>
      </c>
      <c r="AV97" s="3">
        <v>12</v>
      </c>
      <c r="AW97" s="18">
        <v>5.666666666666667</v>
      </c>
      <c r="AX97" s="3">
        <v>5</v>
      </c>
      <c r="AY97" s="3">
        <v>5</v>
      </c>
      <c r="AZ97" s="3">
        <v>19</v>
      </c>
      <c r="BA97" s="13">
        <v>0.99583449612816577</v>
      </c>
      <c r="BB97" s="13">
        <v>29</v>
      </c>
      <c r="BE97" s="3" t="s">
        <v>220</v>
      </c>
      <c r="BF97" s="3">
        <v>4</v>
      </c>
      <c r="BG97" s="18">
        <v>5.2222222222222223</v>
      </c>
      <c r="BH97" s="3">
        <v>4</v>
      </c>
      <c r="BI97" s="3">
        <v>4</v>
      </c>
      <c r="BJ97" s="3">
        <v>19</v>
      </c>
      <c r="BK97" s="13">
        <v>0.99583449612816577</v>
      </c>
      <c r="BL97" s="13">
        <v>29</v>
      </c>
      <c r="BO97" s="3" t="s">
        <v>220</v>
      </c>
      <c r="BP97" s="3">
        <v>9</v>
      </c>
      <c r="BQ97" s="18">
        <v>5.333333333333333</v>
      </c>
      <c r="BR97" s="3">
        <v>6</v>
      </c>
      <c r="BS97" s="3">
        <v>5</v>
      </c>
      <c r="BT97" s="3">
        <v>11</v>
      </c>
      <c r="BU97" s="13">
        <v>0.99583449612816577</v>
      </c>
      <c r="BV97" s="13">
        <v>29</v>
      </c>
      <c r="BY97" s="3" t="s">
        <v>220</v>
      </c>
      <c r="BZ97" s="3">
        <v>9</v>
      </c>
      <c r="CA97" s="18">
        <v>8</v>
      </c>
      <c r="CB97" s="3">
        <v>10</v>
      </c>
      <c r="CC97" s="3">
        <v>10</v>
      </c>
      <c r="CD97" s="3">
        <v>16</v>
      </c>
      <c r="CE97" s="13">
        <v>0.99583449612816577</v>
      </c>
      <c r="CF97" s="13">
        <v>29</v>
      </c>
      <c r="CI97" s="3" t="s">
        <v>220</v>
      </c>
      <c r="CJ97" s="3">
        <v>5</v>
      </c>
      <c r="CK97" s="18">
        <v>5.4444444444444446</v>
      </c>
      <c r="CL97" s="3">
        <v>5</v>
      </c>
      <c r="CM97" s="3">
        <v>5</v>
      </c>
      <c r="CN97" s="3">
        <v>11</v>
      </c>
      <c r="CO97" s="13">
        <v>0.99583449612816577</v>
      </c>
      <c r="CP97" s="13">
        <v>29</v>
      </c>
    </row>
    <row r="98" spans="1:94" ht="14.25" customHeight="1" x14ac:dyDescent="0.3">
      <c r="A98" s="3" t="s">
        <v>223</v>
      </c>
      <c r="B98" s="3">
        <v>6</v>
      </c>
      <c r="C98" s="18">
        <v>3</v>
      </c>
      <c r="D98" s="3">
        <v>3</v>
      </c>
      <c r="E98" s="3">
        <v>3</v>
      </c>
      <c r="F98" s="3">
        <v>8</v>
      </c>
      <c r="G98" s="13">
        <v>0.9957863323050703</v>
      </c>
      <c r="H98" s="13">
        <v>15</v>
      </c>
      <c r="Q98" s="3" t="s">
        <v>223</v>
      </c>
      <c r="R98" s="3">
        <v>13</v>
      </c>
      <c r="S98" s="18">
        <v>6.7777777777777777</v>
      </c>
      <c r="T98" s="3">
        <v>10</v>
      </c>
      <c r="U98" s="3">
        <v>8</v>
      </c>
      <c r="V98" s="3">
        <v>7</v>
      </c>
      <c r="W98" s="13">
        <v>0.9957863323050703</v>
      </c>
      <c r="X98" s="13">
        <v>15</v>
      </c>
      <c r="AJ98" s="3" t="s">
        <v>223</v>
      </c>
      <c r="AK98" s="3">
        <v>9</v>
      </c>
      <c r="AL98" s="18">
        <v>6</v>
      </c>
      <c r="AM98" s="3">
        <v>4</v>
      </c>
      <c r="AN98" s="3">
        <v>5</v>
      </c>
      <c r="AO98" s="3">
        <v>7</v>
      </c>
      <c r="AP98" s="13">
        <v>0.9957863323050703</v>
      </c>
      <c r="AQ98" s="13">
        <v>15</v>
      </c>
      <c r="AU98" s="3" t="s">
        <v>223</v>
      </c>
      <c r="AV98" s="3">
        <v>9</v>
      </c>
      <c r="AW98" s="18">
        <v>9</v>
      </c>
      <c r="AX98" s="3">
        <v>11</v>
      </c>
      <c r="AY98" s="3">
        <v>11</v>
      </c>
      <c r="AZ98" s="3">
        <v>7</v>
      </c>
      <c r="BA98" s="13">
        <v>0.9957863323050703</v>
      </c>
      <c r="BB98" s="13">
        <v>15</v>
      </c>
      <c r="BE98" s="3" t="s">
        <v>223</v>
      </c>
      <c r="BF98" s="3">
        <v>5</v>
      </c>
      <c r="BG98" s="18">
        <v>7.8888888888888893</v>
      </c>
      <c r="BH98" s="3">
        <v>5</v>
      </c>
      <c r="BI98" s="3">
        <v>3</v>
      </c>
      <c r="BJ98" s="3">
        <v>7</v>
      </c>
      <c r="BK98" s="13">
        <v>0.9957863323050703</v>
      </c>
      <c r="BL98" s="13">
        <v>15</v>
      </c>
      <c r="BO98" s="3" t="s">
        <v>223</v>
      </c>
      <c r="BP98" s="3">
        <v>13</v>
      </c>
      <c r="BQ98" s="18">
        <v>4.8888888888888893</v>
      </c>
      <c r="BR98" s="3">
        <v>12</v>
      </c>
      <c r="BS98" s="3">
        <v>12</v>
      </c>
      <c r="BT98" s="3">
        <v>7</v>
      </c>
      <c r="BU98" s="13">
        <v>0.9957863323050703</v>
      </c>
      <c r="BV98" s="13">
        <v>15</v>
      </c>
      <c r="BY98" s="3" t="s">
        <v>223</v>
      </c>
      <c r="BZ98" s="3">
        <v>12</v>
      </c>
      <c r="CA98" s="18">
        <v>4.4444444444444446</v>
      </c>
      <c r="CB98" s="3">
        <v>10</v>
      </c>
      <c r="CC98" s="3">
        <v>10</v>
      </c>
      <c r="CD98" s="3">
        <v>7</v>
      </c>
      <c r="CE98" s="13">
        <v>0.9957863323050703</v>
      </c>
      <c r="CF98" s="13">
        <v>15</v>
      </c>
      <c r="CI98" s="3" t="s">
        <v>223</v>
      </c>
      <c r="CJ98" s="3">
        <v>5</v>
      </c>
      <c r="CK98" s="18">
        <v>3</v>
      </c>
      <c r="CL98" s="3">
        <v>4</v>
      </c>
      <c r="CM98" s="3">
        <v>4</v>
      </c>
      <c r="CN98" s="3">
        <v>7</v>
      </c>
      <c r="CO98" s="13">
        <v>0.9957863323050703</v>
      </c>
      <c r="CP98" s="13">
        <v>15</v>
      </c>
    </row>
    <row r="99" spans="1:94" ht="14.25" customHeight="1" x14ac:dyDescent="0.3">
      <c r="A99" s="3" t="s">
        <v>224</v>
      </c>
      <c r="B99" s="3">
        <v>3</v>
      </c>
      <c r="C99" s="18">
        <v>1.8888888888888888</v>
      </c>
      <c r="D99" s="3">
        <v>3</v>
      </c>
      <c r="E99" s="3">
        <v>3</v>
      </c>
      <c r="F99" s="3">
        <v>5</v>
      </c>
      <c r="G99" s="13">
        <v>0.98995442105744402</v>
      </c>
      <c r="H99" s="13">
        <v>11</v>
      </c>
      <c r="Q99" s="3" t="s">
        <v>224</v>
      </c>
      <c r="R99" s="3">
        <v>1</v>
      </c>
      <c r="S99" s="18">
        <v>1.8888888888888888</v>
      </c>
      <c r="T99" s="3">
        <v>0</v>
      </c>
      <c r="U99" s="3">
        <v>0</v>
      </c>
      <c r="V99" s="3">
        <v>5</v>
      </c>
      <c r="W99" s="13">
        <v>0.98995442105744402</v>
      </c>
      <c r="X99" s="13">
        <v>11</v>
      </c>
      <c r="AJ99" s="3" t="s">
        <v>224</v>
      </c>
      <c r="AK99" s="3">
        <v>3</v>
      </c>
      <c r="AL99" s="18">
        <v>1.5555555555555556</v>
      </c>
      <c r="AM99" s="3">
        <v>3</v>
      </c>
      <c r="AN99" s="3">
        <v>2</v>
      </c>
      <c r="AO99" s="3">
        <v>5</v>
      </c>
      <c r="AP99" s="13">
        <v>0.98995442105744402</v>
      </c>
      <c r="AQ99" s="13">
        <v>11</v>
      </c>
      <c r="AU99" s="3" t="s">
        <v>224</v>
      </c>
      <c r="AV99" s="3">
        <v>2</v>
      </c>
      <c r="AW99" s="18">
        <v>0.88888888888888884</v>
      </c>
      <c r="AX99" s="3">
        <v>1</v>
      </c>
      <c r="AY99" s="3">
        <v>1</v>
      </c>
      <c r="AZ99" s="3">
        <v>5</v>
      </c>
      <c r="BA99" s="13">
        <v>0.98995442105744402</v>
      </c>
      <c r="BB99" s="13">
        <v>11</v>
      </c>
      <c r="BE99" s="3" t="s">
        <v>224</v>
      </c>
      <c r="BF99" s="3">
        <v>4</v>
      </c>
      <c r="BG99" s="18">
        <v>3.1111111111111112</v>
      </c>
      <c r="BH99" s="3">
        <v>3</v>
      </c>
      <c r="BI99" s="3">
        <v>3</v>
      </c>
      <c r="BJ99" s="3">
        <v>5</v>
      </c>
      <c r="BK99" s="13">
        <v>0.98995442105744402</v>
      </c>
      <c r="BL99" s="13">
        <v>11</v>
      </c>
      <c r="BO99" s="3" t="s">
        <v>224</v>
      </c>
      <c r="BP99" s="3">
        <v>7</v>
      </c>
      <c r="BQ99" s="18">
        <v>2.3333333333333335</v>
      </c>
      <c r="BR99" s="3">
        <v>4</v>
      </c>
      <c r="BS99" s="3">
        <v>4</v>
      </c>
      <c r="BT99" s="3">
        <v>5</v>
      </c>
      <c r="BU99" s="13">
        <v>0.98995442105744402</v>
      </c>
      <c r="BV99" s="13">
        <v>11</v>
      </c>
      <c r="BY99" s="3" t="s">
        <v>224</v>
      </c>
      <c r="BZ99" s="3">
        <v>5</v>
      </c>
      <c r="CA99" s="18">
        <v>3.7777777777777777</v>
      </c>
      <c r="CB99" s="3">
        <v>2</v>
      </c>
      <c r="CC99" s="3">
        <v>1</v>
      </c>
      <c r="CD99" s="3">
        <v>5</v>
      </c>
      <c r="CE99" s="13">
        <v>0.98995442105744402</v>
      </c>
      <c r="CF99" s="13">
        <v>11</v>
      </c>
      <c r="CI99" s="3" t="s">
        <v>224</v>
      </c>
      <c r="CJ99" s="3">
        <v>0</v>
      </c>
      <c r="CK99" s="18">
        <v>1.8888888888888888</v>
      </c>
      <c r="CL99" s="3">
        <v>0</v>
      </c>
      <c r="CM99" s="30">
        <v>0</v>
      </c>
      <c r="CN99" s="3">
        <v>5</v>
      </c>
      <c r="CO99" s="13">
        <v>0.98995442105744402</v>
      </c>
      <c r="CP99" s="13">
        <v>11</v>
      </c>
    </row>
    <row r="100" spans="1:94" ht="14.25" customHeight="1" x14ac:dyDescent="0.3">
      <c r="A100" s="3" t="s">
        <v>225</v>
      </c>
      <c r="B100" s="3">
        <v>3</v>
      </c>
      <c r="C100" s="18">
        <v>3.3333333333333335</v>
      </c>
      <c r="D100" s="3">
        <v>2</v>
      </c>
      <c r="E100" s="3">
        <v>3</v>
      </c>
      <c r="F100" s="3">
        <v>7</v>
      </c>
      <c r="G100" s="13">
        <v>0.8928339600558084</v>
      </c>
      <c r="H100" s="13">
        <v>15</v>
      </c>
      <c r="Q100" s="3" t="s">
        <v>225</v>
      </c>
      <c r="R100" s="3">
        <v>6</v>
      </c>
      <c r="S100" s="18">
        <v>2.6666666666666665</v>
      </c>
      <c r="T100" s="3">
        <v>4</v>
      </c>
      <c r="U100" s="3">
        <v>3</v>
      </c>
      <c r="V100" s="3">
        <v>7</v>
      </c>
      <c r="W100" s="13">
        <v>0.8928339600558084</v>
      </c>
      <c r="X100" s="13">
        <v>15</v>
      </c>
      <c r="AJ100" s="3" t="s">
        <v>225</v>
      </c>
      <c r="AK100" s="3">
        <v>4</v>
      </c>
      <c r="AL100" s="18">
        <v>5</v>
      </c>
      <c r="AM100" s="3">
        <v>4</v>
      </c>
      <c r="AN100" s="3">
        <v>4</v>
      </c>
      <c r="AO100" s="3">
        <v>7</v>
      </c>
      <c r="AP100" s="13">
        <v>0.8928339600558084</v>
      </c>
      <c r="AQ100" s="13">
        <v>15</v>
      </c>
      <c r="AU100" s="3" t="s">
        <v>225</v>
      </c>
      <c r="AV100" s="3">
        <v>6</v>
      </c>
      <c r="AW100" s="18">
        <v>4.5555555555555554</v>
      </c>
      <c r="AX100" s="3">
        <v>5</v>
      </c>
      <c r="AY100" s="3">
        <v>5</v>
      </c>
      <c r="AZ100" s="3">
        <v>7</v>
      </c>
      <c r="BA100" s="13">
        <v>0.8928339600558084</v>
      </c>
      <c r="BB100" s="13">
        <v>15</v>
      </c>
      <c r="BE100" s="3" t="s">
        <v>225</v>
      </c>
      <c r="BF100" s="3">
        <v>2</v>
      </c>
      <c r="BG100" s="18">
        <v>4.333333333333333</v>
      </c>
      <c r="BH100" s="3">
        <v>3</v>
      </c>
      <c r="BI100" s="3">
        <v>2</v>
      </c>
      <c r="BJ100" s="3">
        <v>7</v>
      </c>
      <c r="BK100" s="13">
        <v>0.8928339600558084</v>
      </c>
      <c r="BL100" s="13">
        <v>15</v>
      </c>
      <c r="BO100" s="3" t="s">
        <v>225</v>
      </c>
      <c r="BP100" s="3">
        <v>4</v>
      </c>
      <c r="BQ100" s="18">
        <v>2.4444444444444446</v>
      </c>
      <c r="BR100" s="3">
        <v>4</v>
      </c>
      <c r="BS100" s="3">
        <v>4</v>
      </c>
      <c r="BT100" s="3">
        <v>7</v>
      </c>
      <c r="BU100" s="13">
        <v>0.8928339600558084</v>
      </c>
      <c r="BV100" s="13">
        <v>15</v>
      </c>
      <c r="BY100" s="3" t="s">
        <v>225</v>
      </c>
      <c r="BZ100" s="3">
        <v>13</v>
      </c>
      <c r="CA100" s="18">
        <v>5.8888888888888893</v>
      </c>
      <c r="CB100" s="3">
        <v>3</v>
      </c>
      <c r="CC100" s="3">
        <v>2</v>
      </c>
      <c r="CD100" s="3">
        <v>9</v>
      </c>
      <c r="CE100" s="13">
        <v>0.8928339600558084</v>
      </c>
      <c r="CF100" s="13">
        <v>15</v>
      </c>
      <c r="CI100" s="3" t="s">
        <v>225</v>
      </c>
      <c r="CJ100" s="3">
        <v>6</v>
      </c>
      <c r="CK100" s="18">
        <v>3.3333333333333335</v>
      </c>
      <c r="CL100" s="3">
        <v>6</v>
      </c>
      <c r="CM100" s="3">
        <v>6</v>
      </c>
      <c r="CN100" s="3">
        <v>7</v>
      </c>
      <c r="CO100" s="13">
        <v>0.8928339600558084</v>
      </c>
      <c r="CP100" s="13">
        <v>15</v>
      </c>
    </row>
    <row r="101" spans="1:94" ht="14.25" customHeight="1" x14ac:dyDescent="0.3">
      <c r="A101" s="3" t="s">
        <v>227</v>
      </c>
      <c r="B101" s="3">
        <v>9</v>
      </c>
      <c r="C101" s="18">
        <v>3.7777777777777777</v>
      </c>
      <c r="D101" s="3">
        <v>8</v>
      </c>
      <c r="E101" s="3">
        <v>8</v>
      </c>
      <c r="F101" s="3">
        <v>5</v>
      </c>
      <c r="G101" s="13">
        <v>0.88597893866063815</v>
      </c>
      <c r="H101" s="13">
        <v>11</v>
      </c>
      <c r="Q101" s="3" t="s">
        <v>227</v>
      </c>
      <c r="R101" s="3">
        <v>2</v>
      </c>
      <c r="S101" s="18">
        <v>2.4444444444444446</v>
      </c>
      <c r="T101" s="3">
        <v>1</v>
      </c>
      <c r="U101" s="3">
        <v>1</v>
      </c>
      <c r="V101" s="3">
        <v>7</v>
      </c>
      <c r="W101" s="13">
        <v>0.88597893866063815</v>
      </c>
      <c r="X101" s="13">
        <v>11</v>
      </c>
      <c r="AJ101" s="3" t="s">
        <v>227</v>
      </c>
      <c r="AK101" s="3">
        <v>1</v>
      </c>
      <c r="AL101" s="18">
        <v>3.4444444444444446</v>
      </c>
      <c r="AM101" s="3">
        <v>3</v>
      </c>
      <c r="AN101" s="3">
        <v>4</v>
      </c>
      <c r="AO101" s="3">
        <v>5</v>
      </c>
      <c r="AP101" s="13">
        <v>0.88597893866063815</v>
      </c>
      <c r="AQ101" s="13">
        <v>11</v>
      </c>
      <c r="AU101" s="3" t="s">
        <v>227</v>
      </c>
      <c r="AV101" s="3">
        <v>4</v>
      </c>
      <c r="AW101" s="18">
        <v>4.5555555555555554</v>
      </c>
      <c r="AX101" s="3">
        <v>3</v>
      </c>
      <c r="AY101" s="3">
        <v>3</v>
      </c>
      <c r="AZ101" s="3">
        <v>5</v>
      </c>
      <c r="BA101" s="13">
        <v>0.88597893866063815</v>
      </c>
      <c r="BB101" s="13">
        <v>11</v>
      </c>
      <c r="BE101" s="3" t="s">
        <v>227</v>
      </c>
      <c r="BF101" s="3">
        <v>2</v>
      </c>
      <c r="BG101" s="18">
        <v>4.7777777777777777</v>
      </c>
      <c r="BH101" s="3">
        <v>5</v>
      </c>
      <c r="BI101" s="3">
        <v>1</v>
      </c>
      <c r="BJ101" s="3">
        <v>7</v>
      </c>
      <c r="BK101" s="13">
        <v>0.88597893866063815</v>
      </c>
      <c r="BL101" s="13">
        <v>11</v>
      </c>
      <c r="BO101" s="3" t="s">
        <v>227</v>
      </c>
      <c r="BP101" s="3">
        <v>1</v>
      </c>
      <c r="BQ101" s="18">
        <v>4.4444444444444446</v>
      </c>
      <c r="BR101" s="3">
        <v>2</v>
      </c>
      <c r="BS101" s="3">
        <v>2</v>
      </c>
      <c r="BT101" s="3">
        <v>7</v>
      </c>
      <c r="BU101" s="13">
        <v>0.88597893866063815</v>
      </c>
      <c r="BV101" s="13">
        <v>11</v>
      </c>
      <c r="BY101" s="3" t="s">
        <v>227</v>
      </c>
      <c r="BZ101" s="3">
        <v>2</v>
      </c>
      <c r="CA101" s="18">
        <v>2.5555555555555554</v>
      </c>
      <c r="CB101" s="3">
        <v>4</v>
      </c>
      <c r="CC101" s="3">
        <v>4</v>
      </c>
      <c r="CD101" s="3">
        <v>5</v>
      </c>
      <c r="CE101" s="13">
        <v>0.88597893866063815</v>
      </c>
      <c r="CF101" s="13">
        <v>11</v>
      </c>
      <c r="CI101" s="3" t="s">
        <v>227</v>
      </c>
      <c r="CJ101" s="3">
        <v>5</v>
      </c>
      <c r="CK101" s="18">
        <v>3.7777777777777777</v>
      </c>
      <c r="CL101" s="3">
        <v>4</v>
      </c>
      <c r="CM101" s="3">
        <v>4</v>
      </c>
      <c r="CN101" s="3">
        <v>5</v>
      </c>
      <c r="CO101" s="13">
        <v>0.88597893866063815</v>
      </c>
      <c r="CP101" s="13">
        <v>11</v>
      </c>
    </row>
    <row r="102" spans="1:94" ht="14.25" customHeight="1" x14ac:dyDescent="0.3">
      <c r="A102" s="3" t="s">
        <v>229</v>
      </c>
      <c r="B102" s="3">
        <v>7</v>
      </c>
      <c r="C102" s="18">
        <v>9.8888888888888893</v>
      </c>
      <c r="D102" s="3">
        <v>7</v>
      </c>
      <c r="E102" s="3">
        <v>7</v>
      </c>
      <c r="F102" s="3">
        <v>2</v>
      </c>
      <c r="G102" s="13">
        <v>-1.0923718971587979</v>
      </c>
      <c r="H102" s="13">
        <v>15</v>
      </c>
      <c r="Q102" s="3" t="s">
        <v>229</v>
      </c>
      <c r="R102" s="3">
        <v>4</v>
      </c>
      <c r="S102" s="18">
        <v>6.666666666666667</v>
      </c>
      <c r="T102" s="3">
        <v>5</v>
      </c>
      <c r="U102" s="3">
        <v>6</v>
      </c>
      <c r="V102" s="3">
        <v>4</v>
      </c>
      <c r="W102" s="13">
        <v>-1.0923718971587979</v>
      </c>
      <c r="X102" s="13">
        <v>15</v>
      </c>
      <c r="AJ102" s="3" t="s">
        <v>229</v>
      </c>
      <c r="AK102" s="3">
        <v>10</v>
      </c>
      <c r="AL102" s="18">
        <v>9</v>
      </c>
      <c r="AM102" s="3">
        <v>12</v>
      </c>
      <c r="AN102" s="3">
        <v>13</v>
      </c>
      <c r="AO102" s="3">
        <v>2</v>
      </c>
      <c r="AP102" s="13">
        <v>-1.0923718971587979</v>
      </c>
      <c r="AQ102" s="13">
        <v>15</v>
      </c>
      <c r="AU102" s="3" t="s">
        <v>229</v>
      </c>
      <c r="AV102" s="3">
        <v>4</v>
      </c>
      <c r="AW102" s="18">
        <v>9.4444444444444446</v>
      </c>
      <c r="AX102" s="3">
        <v>2</v>
      </c>
      <c r="AY102" s="3">
        <v>3</v>
      </c>
      <c r="AZ102" s="3">
        <v>4</v>
      </c>
      <c r="BA102" s="13">
        <v>-1.0923718971587979</v>
      </c>
      <c r="BB102" s="13">
        <v>15</v>
      </c>
      <c r="BE102" s="3" t="s">
        <v>229</v>
      </c>
      <c r="BF102" s="3">
        <v>2</v>
      </c>
      <c r="BG102" s="18">
        <v>8.3333333333333339</v>
      </c>
      <c r="BH102" s="3">
        <v>6</v>
      </c>
      <c r="BI102" s="3">
        <v>7</v>
      </c>
      <c r="BJ102" s="3">
        <v>2</v>
      </c>
      <c r="BK102" s="13">
        <v>-1.0923718971587979</v>
      </c>
      <c r="BL102" s="13">
        <v>15</v>
      </c>
      <c r="BO102" s="3" t="s">
        <v>229</v>
      </c>
      <c r="BP102" s="3">
        <v>4</v>
      </c>
      <c r="BQ102" s="18">
        <v>10.777777777777779</v>
      </c>
      <c r="BR102" s="3">
        <v>4</v>
      </c>
      <c r="BS102" s="3">
        <v>6</v>
      </c>
      <c r="BT102" s="3">
        <v>4</v>
      </c>
      <c r="BU102" s="13">
        <v>-1.0923718971587979</v>
      </c>
      <c r="BV102" s="13">
        <v>15</v>
      </c>
      <c r="BY102" s="3" t="s">
        <v>229</v>
      </c>
      <c r="BZ102" s="3">
        <v>2</v>
      </c>
      <c r="CA102" s="18">
        <v>10</v>
      </c>
      <c r="CB102" s="3">
        <v>1</v>
      </c>
      <c r="CC102" s="3">
        <v>1</v>
      </c>
      <c r="CD102" s="3">
        <v>2</v>
      </c>
      <c r="CE102" s="13">
        <v>-1.0923718971587979</v>
      </c>
      <c r="CF102" s="13">
        <v>15</v>
      </c>
      <c r="CI102" s="3" t="s">
        <v>229</v>
      </c>
      <c r="CJ102" s="3">
        <v>7</v>
      </c>
      <c r="CK102" s="18">
        <v>9.8888888888888893</v>
      </c>
      <c r="CL102" s="3">
        <v>8</v>
      </c>
      <c r="CM102" s="3">
        <v>8</v>
      </c>
      <c r="CN102" s="3">
        <v>7</v>
      </c>
      <c r="CO102" s="13">
        <v>-1.0923718971587979</v>
      </c>
      <c r="CP102" s="13">
        <v>15</v>
      </c>
    </row>
    <row r="103" spans="1:94" ht="14.25" customHeight="1" x14ac:dyDescent="0.3">
      <c r="A103" s="3" t="s">
        <v>232</v>
      </c>
      <c r="B103" s="3">
        <v>16</v>
      </c>
      <c r="C103" s="18">
        <v>14.444444444444445</v>
      </c>
      <c r="D103" s="3">
        <v>19</v>
      </c>
      <c r="E103" s="3">
        <v>19</v>
      </c>
      <c r="F103" s="3">
        <v>16</v>
      </c>
      <c r="G103" s="13">
        <v>-1.1154133211974251</v>
      </c>
      <c r="H103" s="13">
        <v>19</v>
      </c>
      <c r="Q103" s="3" t="s">
        <v>232</v>
      </c>
      <c r="R103" s="3">
        <v>16</v>
      </c>
      <c r="S103" s="18">
        <v>10.333333333333334</v>
      </c>
      <c r="T103" s="3">
        <v>14</v>
      </c>
      <c r="U103" s="3">
        <v>18</v>
      </c>
      <c r="V103" s="3">
        <v>16</v>
      </c>
      <c r="W103" s="13">
        <v>-1.1154133211974251</v>
      </c>
      <c r="X103" s="13">
        <v>19</v>
      </c>
      <c r="AJ103" s="3" t="s">
        <v>232</v>
      </c>
      <c r="AK103" s="3">
        <v>14</v>
      </c>
      <c r="AL103" s="18">
        <v>13.111111111111111</v>
      </c>
      <c r="AM103" s="3">
        <v>15</v>
      </c>
      <c r="AN103" s="3">
        <v>17</v>
      </c>
      <c r="AO103" s="3">
        <v>14</v>
      </c>
      <c r="AP103" s="13">
        <v>-1.1154133211974251</v>
      </c>
      <c r="AQ103" s="13">
        <v>19</v>
      </c>
      <c r="AU103" s="3" t="s">
        <v>232</v>
      </c>
      <c r="AV103" s="3">
        <v>7</v>
      </c>
      <c r="AW103" s="18">
        <v>13.111111111111111</v>
      </c>
      <c r="AX103" s="3">
        <v>10</v>
      </c>
      <c r="AY103" s="3">
        <v>14</v>
      </c>
      <c r="AZ103" s="3">
        <v>7</v>
      </c>
      <c r="BA103" s="13">
        <v>-1.1154133211974251</v>
      </c>
      <c r="BB103" s="13">
        <v>19</v>
      </c>
      <c r="BE103" s="3" t="s">
        <v>232</v>
      </c>
      <c r="BF103" s="3">
        <v>16</v>
      </c>
      <c r="BG103" s="18">
        <v>13.555555555555555</v>
      </c>
      <c r="BH103" s="3">
        <v>18</v>
      </c>
      <c r="BI103" s="3">
        <v>15</v>
      </c>
      <c r="BJ103" s="3">
        <v>11</v>
      </c>
      <c r="BK103" s="13">
        <v>-1.1154133211974251</v>
      </c>
      <c r="BL103" s="13">
        <v>19</v>
      </c>
      <c r="BO103" s="3" t="s">
        <v>232</v>
      </c>
      <c r="BP103" s="3">
        <v>9</v>
      </c>
      <c r="BQ103" s="18">
        <v>15.888888888888889</v>
      </c>
      <c r="BR103" s="3">
        <v>6</v>
      </c>
      <c r="BS103" s="3">
        <v>12</v>
      </c>
      <c r="BT103" s="3">
        <v>9</v>
      </c>
      <c r="BU103" s="13">
        <v>-1.1154133211974251</v>
      </c>
      <c r="BV103" s="13">
        <v>19</v>
      </c>
      <c r="BY103" s="3" t="s">
        <v>232</v>
      </c>
      <c r="BZ103" s="3">
        <v>14</v>
      </c>
      <c r="CA103" s="18">
        <v>14.777777777777779</v>
      </c>
      <c r="CB103" s="3">
        <v>15</v>
      </c>
      <c r="CC103" s="3">
        <v>11</v>
      </c>
      <c r="CD103" s="3">
        <v>14</v>
      </c>
      <c r="CE103" s="13">
        <v>-1.1154133211974251</v>
      </c>
      <c r="CF103" s="13">
        <v>19</v>
      </c>
      <c r="CI103" s="3" t="s">
        <v>232</v>
      </c>
      <c r="CJ103" s="3">
        <v>15</v>
      </c>
      <c r="CK103" s="18">
        <v>14.444444444444445</v>
      </c>
      <c r="CL103" s="3">
        <v>17</v>
      </c>
      <c r="CM103" s="3">
        <v>17</v>
      </c>
      <c r="CN103" s="3">
        <v>15</v>
      </c>
      <c r="CO103" s="13">
        <v>-1.1154133211974251</v>
      </c>
      <c r="CP103" s="13">
        <v>19</v>
      </c>
    </row>
    <row r="104" spans="1:94" ht="14.25" customHeight="1" x14ac:dyDescent="0.3">
      <c r="A104" s="3" t="s">
        <v>234</v>
      </c>
      <c r="B104" s="3">
        <v>6</v>
      </c>
      <c r="C104" s="18">
        <v>11.666666666666666</v>
      </c>
      <c r="D104" s="3">
        <v>12</v>
      </c>
      <c r="E104" s="3">
        <v>13</v>
      </c>
      <c r="F104" s="3">
        <v>13</v>
      </c>
      <c r="G104" s="13">
        <v>-1.12017317951397</v>
      </c>
      <c r="H104" s="13">
        <v>16</v>
      </c>
      <c r="Q104" s="3" t="s">
        <v>234</v>
      </c>
      <c r="R104" s="3">
        <v>14</v>
      </c>
      <c r="S104" s="18">
        <v>10.777777777777779</v>
      </c>
      <c r="T104" s="3">
        <v>14</v>
      </c>
      <c r="U104" s="3">
        <v>16</v>
      </c>
      <c r="V104" s="3">
        <v>10</v>
      </c>
      <c r="W104" s="13">
        <v>-1.12017317951397</v>
      </c>
      <c r="X104" s="13">
        <v>16</v>
      </c>
      <c r="AJ104" s="3" t="s">
        <v>234</v>
      </c>
      <c r="AK104" s="3">
        <v>10</v>
      </c>
      <c r="AL104" s="18">
        <v>9.1111111111111107</v>
      </c>
      <c r="AM104" s="3">
        <v>12</v>
      </c>
      <c r="AN104" s="3">
        <v>10</v>
      </c>
      <c r="AO104" s="3">
        <v>10</v>
      </c>
      <c r="AP104" s="13">
        <v>-1.12017317951397</v>
      </c>
      <c r="AQ104" s="13">
        <v>16</v>
      </c>
      <c r="AU104" s="3" t="s">
        <v>234</v>
      </c>
      <c r="AV104" s="3">
        <v>6</v>
      </c>
      <c r="AW104" s="18">
        <v>7</v>
      </c>
      <c r="AX104" s="3">
        <v>7</v>
      </c>
      <c r="AY104" s="3">
        <v>5</v>
      </c>
      <c r="AZ104" s="3">
        <v>6</v>
      </c>
      <c r="BA104" s="13">
        <v>-1.12017317951397</v>
      </c>
      <c r="BB104" s="13">
        <v>16</v>
      </c>
      <c r="BE104" s="3" t="s">
        <v>234</v>
      </c>
      <c r="BF104" s="3">
        <v>4</v>
      </c>
      <c r="BG104" s="18">
        <v>8.8888888888888893</v>
      </c>
      <c r="BH104" s="3">
        <v>2</v>
      </c>
      <c r="BI104" s="3">
        <v>3</v>
      </c>
      <c r="BJ104" s="3">
        <v>4</v>
      </c>
      <c r="BK104" s="13">
        <v>-1.12017317951397</v>
      </c>
      <c r="BL104" s="13">
        <v>16</v>
      </c>
      <c r="BO104" s="3" t="s">
        <v>234</v>
      </c>
      <c r="BP104" s="3">
        <v>8</v>
      </c>
      <c r="BQ104" s="18">
        <v>10.444444444444445</v>
      </c>
      <c r="BR104" s="3">
        <v>3</v>
      </c>
      <c r="BS104" s="3">
        <v>7</v>
      </c>
      <c r="BT104" s="3">
        <v>8</v>
      </c>
      <c r="BU104" s="13">
        <v>-1.12017317951397</v>
      </c>
      <c r="BV104" s="13">
        <v>16</v>
      </c>
      <c r="BY104" s="3" t="s">
        <v>234</v>
      </c>
      <c r="BZ104" s="3">
        <v>16</v>
      </c>
      <c r="CA104" s="18">
        <v>12.777777777777779</v>
      </c>
      <c r="CB104" s="3">
        <v>13</v>
      </c>
      <c r="CC104" s="3">
        <v>14</v>
      </c>
      <c r="CD104" s="3">
        <v>3</v>
      </c>
      <c r="CE104" s="13">
        <v>-1.12017317951397</v>
      </c>
      <c r="CF104" s="13">
        <v>16</v>
      </c>
      <c r="CI104" s="3" t="s">
        <v>234</v>
      </c>
      <c r="CJ104" s="3">
        <v>14</v>
      </c>
      <c r="CK104" s="18">
        <v>11.666666666666666</v>
      </c>
      <c r="CL104" s="3">
        <v>15</v>
      </c>
      <c r="CM104" s="3">
        <v>15</v>
      </c>
      <c r="CN104" s="3">
        <v>7</v>
      </c>
      <c r="CO104" s="13">
        <v>-1.12017317951397</v>
      </c>
      <c r="CP104" s="13">
        <v>16</v>
      </c>
    </row>
    <row r="105" spans="1:94" ht="14.25" customHeight="1" x14ac:dyDescent="0.3">
      <c r="A105" s="3" t="s">
        <v>236</v>
      </c>
      <c r="B105" s="3">
        <v>14</v>
      </c>
      <c r="C105" s="18">
        <v>13</v>
      </c>
      <c r="D105" s="3">
        <v>15</v>
      </c>
      <c r="E105" s="3">
        <v>14</v>
      </c>
      <c r="F105" s="3">
        <v>13</v>
      </c>
      <c r="G105" s="13">
        <v>-1.1339562965442611</v>
      </c>
      <c r="H105" s="13">
        <v>15</v>
      </c>
      <c r="Q105" s="3" t="s">
        <v>236</v>
      </c>
      <c r="R105" s="3">
        <v>12</v>
      </c>
      <c r="S105" s="18">
        <v>11.777777777777779</v>
      </c>
      <c r="T105" s="3">
        <v>15</v>
      </c>
      <c r="U105" s="3">
        <v>15</v>
      </c>
      <c r="V105" s="3">
        <v>12</v>
      </c>
      <c r="W105" s="13">
        <v>-1.1339562965442611</v>
      </c>
      <c r="X105" s="13">
        <v>15</v>
      </c>
      <c r="AJ105" s="3" t="s">
        <v>236</v>
      </c>
      <c r="AK105" s="3">
        <v>8</v>
      </c>
      <c r="AL105" s="18">
        <v>9.4444444444444446</v>
      </c>
      <c r="AM105" s="3">
        <v>12</v>
      </c>
      <c r="AN105" s="3">
        <v>8</v>
      </c>
      <c r="AO105" s="3">
        <v>8</v>
      </c>
      <c r="AP105" s="13">
        <v>-1.1339562965442611</v>
      </c>
      <c r="AQ105" s="13">
        <v>15</v>
      </c>
      <c r="AU105" s="3" t="s">
        <v>236</v>
      </c>
      <c r="AV105" s="3">
        <v>7</v>
      </c>
      <c r="AW105" s="18">
        <v>6.4444444444444446</v>
      </c>
      <c r="AX105" s="3">
        <v>13</v>
      </c>
      <c r="AY105" s="3">
        <v>13</v>
      </c>
      <c r="AZ105" s="3">
        <v>4</v>
      </c>
      <c r="BA105" s="13">
        <v>-1.1339562965442611</v>
      </c>
      <c r="BB105" s="13">
        <v>15</v>
      </c>
      <c r="BE105" s="3" t="s">
        <v>236</v>
      </c>
      <c r="BF105" s="3">
        <v>6</v>
      </c>
      <c r="BG105" s="18">
        <v>10.555555555555555</v>
      </c>
      <c r="BH105" s="3">
        <v>12</v>
      </c>
      <c r="BI105" s="3">
        <v>13</v>
      </c>
      <c r="BJ105" s="3">
        <v>6</v>
      </c>
      <c r="BK105" s="13">
        <v>-1.1339562965442611</v>
      </c>
      <c r="BL105" s="13">
        <v>15</v>
      </c>
      <c r="BO105" s="3" t="s">
        <v>236</v>
      </c>
      <c r="BP105" s="3">
        <v>5</v>
      </c>
      <c r="BQ105" s="18">
        <v>9.2222222222222214</v>
      </c>
      <c r="BR105" s="3">
        <v>7</v>
      </c>
      <c r="BS105" s="3">
        <v>7</v>
      </c>
      <c r="BT105" s="3">
        <v>5</v>
      </c>
      <c r="BU105" s="13">
        <v>-1.1339562965442611</v>
      </c>
      <c r="BV105" s="13">
        <v>15</v>
      </c>
      <c r="BY105" s="3" t="s">
        <v>236</v>
      </c>
      <c r="BZ105" s="3">
        <v>13</v>
      </c>
      <c r="CA105" s="18">
        <v>12.111111111111111</v>
      </c>
      <c r="CB105" s="3">
        <v>13</v>
      </c>
      <c r="CC105" s="3">
        <v>13</v>
      </c>
      <c r="CD105" s="3">
        <v>13</v>
      </c>
      <c r="CE105" s="13">
        <v>-1.1339562965442611</v>
      </c>
      <c r="CF105" s="13">
        <v>15</v>
      </c>
      <c r="CI105" s="3" t="s">
        <v>236</v>
      </c>
      <c r="CJ105" s="3">
        <v>13</v>
      </c>
      <c r="CK105" s="18">
        <v>13</v>
      </c>
      <c r="CL105" s="3">
        <v>13</v>
      </c>
      <c r="CM105" s="3">
        <v>13</v>
      </c>
      <c r="CN105" s="3">
        <v>13</v>
      </c>
      <c r="CO105" s="13">
        <v>-1.1339562965442611</v>
      </c>
      <c r="CP105" s="13">
        <v>15</v>
      </c>
    </row>
    <row r="106" spans="1:94" ht="14.25" customHeight="1" x14ac:dyDescent="0.3">
      <c r="A106" s="3" t="s">
        <v>238</v>
      </c>
      <c r="B106" s="3">
        <v>3</v>
      </c>
      <c r="C106" s="18">
        <v>2.4444444444444446</v>
      </c>
      <c r="D106" s="3">
        <v>3</v>
      </c>
      <c r="E106" s="3">
        <v>3</v>
      </c>
      <c r="F106" s="3">
        <v>3</v>
      </c>
      <c r="G106" s="13">
        <v>-1.1428327832816429</v>
      </c>
      <c r="H106" s="13">
        <v>7</v>
      </c>
      <c r="Q106" s="3" t="s">
        <v>238</v>
      </c>
      <c r="R106" s="3">
        <v>3</v>
      </c>
      <c r="S106" s="18">
        <v>3.2222222222222223</v>
      </c>
      <c r="T106" s="3">
        <v>3</v>
      </c>
      <c r="U106" s="3">
        <v>3</v>
      </c>
      <c r="V106" s="3">
        <v>3</v>
      </c>
      <c r="W106" s="13">
        <v>-1.1428327832816429</v>
      </c>
      <c r="X106" s="13">
        <v>7</v>
      </c>
      <c r="AJ106" s="3" t="s">
        <v>238</v>
      </c>
      <c r="AK106" s="3">
        <v>1</v>
      </c>
      <c r="AL106" s="18">
        <v>3.1111111111111112</v>
      </c>
      <c r="AM106" s="3">
        <v>4</v>
      </c>
      <c r="AN106" s="3">
        <v>1</v>
      </c>
      <c r="AO106" s="3">
        <v>2</v>
      </c>
      <c r="AP106" s="13">
        <v>-1.1428327832816429</v>
      </c>
      <c r="AQ106" s="13">
        <v>7</v>
      </c>
      <c r="AU106" s="3" t="s">
        <v>238</v>
      </c>
      <c r="AV106" s="3">
        <v>0</v>
      </c>
      <c r="AW106" s="18">
        <v>3</v>
      </c>
      <c r="AX106" s="3">
        <v>0</v>
      </c>
      <c r="AY106" s="3">
        <v>0</v>
      </c>
      <c r="AZ106" s="3">
        <v>2</v>
      </c>
      <c r="BA106" s="13">
        <v>-1.1428327832816429</v>
      </c>
      <c r="BB106" s="13">
        <v>7</v>
      </c>
      <c r="BE106" s="3" t="s">
        <v>238</v>
      </c>
      <c r="BF106" s="3">
        <v>0</v>
      </c>
      <c r="BG106" s="18">
        <v>3.1111111111111112</v>
      </c>
      <c r="BH106" s="3">
        <v>0</v>
      </c>
      <c r="BI106" s="3">
        <v>0</v>
      </c>
      <c r="BJ106" s="3">
        <v>2</v>
      </c>
      <c r="BK106" s="13">
        <v>-1.1428327832816429</v>
      </c>
      <c r="BL106" s="13">
        <v>7</v>
      </c>
      <c r="BO106" s="3" t="s">
        <v>238</v>
      </c>
      <c r="BP106" s="3">
        <v>4</v>
      </c>
      <c r="BQ106" s="18">
        <v>3.1111111111111112</v>
      </c>
      <c r="BR106" s="3">
        <v>4</v>
      </c>
      <c r="BS106" s="3">
        <v>4</v>
      </c>
      <c r="BT106" s="3">
        <v>4</v>
      </c>
      <c r="BU106" s="13">
        <v>-1.1428327832816429</v>
      </c>
      <c r="BV106" s="13">
        <v>7</v>
      </c>
      <c r="BY106" s="3" t="s">
        <v>238</v>
      </c>
      <c r="BZ106" s="3">
        <v>4</v>
      </c>
      <c r="CA106" s="18">
        <v>2.7777777777777777</v>
      </c>
      <c r="CB106" s="3">
        <v>4</v>
      </c>
      <c r="CC106" s="3">
        <v>4</v>
      </c>
      <c r="CD106" s="3">
        <v>4</v>
      </c>
      <c r="CE106" s="13">
        <v>-1.1428327832816429</v>
      </c>
      <c r="CF106" s="13">
        <v>7</v>
      </c>
      <c r="CI106" s="3" t="s">
        <v>238</v>
      </c>
      <c r="CJ106" s="3">
        <v>4</v>
      </c>
      <c r="CK106" s="18">
        <v>2.4444444444444446</v>
      </c>
      <c r="CL106" s="3">
        <v>4</v>
      </c>
      <c r="CM106" s="3">
        <v>4</v>
      </c>
      <c r="CN106" s="3">
        <v>4</v>
      </c>
      <c r="CO106" s="13">
        <v>-1.1428327832816429</v>
      </c>
      <c r="CP106" s="13">
        <v>7</v>
      </c>
    </row>
    <row r="107" spans="1:94" ht="14.25" customHeight="1" x14ac:dyDescent="0.3">
      <c r="A107" s="3" t="s">
        <v>239</v>
      </c>
      <c r="B107" s="3">
        <v>10</v>
      </c>
      <c r="C107" s="18">
        <v>11.444444444444445</v>
      </c>
      <c r="D107" s="3">
        <v>10</v>
      </c>
      <c r="E107" s="3">
        <v>10</v>
      </c>
      <c r="F107" s="3">
        <v>10</v>
      </c>
      <c r="G107" s="13">
        <v>-1.1920893573654381</v>
      </c>
      <c r="H107" s="13">
        <v>15</v>
      </c>
      <c r="Q107" s="3" t="s">
        <v>239</v>
      </c>
      <c r="R107" s="3">
        <v>11</v>
      </c>
      <c r="S107" s="18">
        <v>11.777777777777779</v>
      </c>
      <c r="T107" s="3">
        <v>13</v>
      </c>
      <c r="U107" s="3">
        <v>13</v>
      </c>
      <c r="V107" s="3">
        <v>11</v>
      </c>
      <c r="W107" s="13">
        <v>-1.1920893573654381</v>
      </c>
      <c r="X107" s="13">
        <v>15</v>
      </c>
      <c r="AJ107" s="3" t="s">
        <v>239</v>
      </c>
      <c r="AK107" s="3">
        <v>14</v>
      </c>
      <c r="AL107" s="18">
        <v>10</v>
      </c>
      <c r="AM107" s="3">
        <v>12</v>
      </c>
      <c r="AN107" s="3">
        <v>6</v>
      </c>
      <c r="AO107" s="3">
        <v>4</v>
      </c>
      <c r="AP107" s="13">
        <v>-1.1920893573654381</v>
      </c>
      <c r="AQ107" s="13">
        <v>15</v>
      </c>
      <c r="AU107" s="3" t="s">
        <v>239</v>
      </c>
      <c r="AV107" s="3">
        <v>10</v>
      </c>
      <c r="AW107" s="18">
        <v>10.222222222222221</v>
      </c>
      <c r="AX107" s="3">
        <v>9</v>
      </c>
      <c r="AY107" s="3">
        <v>9</v>
      </c>
      <c r="AZ107" s="3">
        <v>10</v>
      </c>
      <c r="BA107" s="13">
        <v>-1.1920893573654381</v>
      </c>
      <c r="BB107" s="13">
        <v>15</v>
      </c>
      <c r="BE107" s="3" t="s">
        <v>239</v>
      </c>
      <c r="BF107" s="3">
        <v>13</v>
      </c>
      <c r="BG107" s="18">
        <v>9.2222222222222214</v>
      </c>
      <c r="BH107" s="3">
        <v>14</v>
      </c>
      <c r="BI107" s="3">
        <v>13</v>
      </c>
      <c r="BJ107" s="3">
        <v>13</v>
      </c>
      <c r="BK107" s="13">
        <v>-1.1920893573654381</v>
      </c>
      <c r="BL107" s="13">
        <v>15</v>
      </c>
      <c r="BO107" s="3" t="s">
        <v>239</v>
      </c>
      <c r="BP107" s="3">
        <v>5</v>
      </c>
      <c r="BQ107" s="18">
        <v>11.444444444444445</v>
      </c>
      <c r="BR107" s="3">
        <v>7</v>
      </c>
      <c r="BS107" s="3">
        <v>7</v>
      </c>
      <c r="BT107" s="3">
        <v>5</v>
      </c>
      <c r="BU107" s="13">
        <v>-1.1920893573654381</v>
      </c>
      <c r="BV107" s="13">
        <v>15</v>
      </c>
      <c r="BY107" s="3" t="s">
        <v>239</v>
      </c>
      <c r="BZ107" s="3">
        <v>9</v>
      </c>
      <c r="CA107" s="18">
        <v>10.111111111111111</v>
      </c>
      <c r="CB107" s="3">
        <v>10</v>
      </c>
      <c r="CC107" s="3">
        <v>10</v>
      </c>
      <c r="CD107" s="3">
        <v>9</v>
      </c>
      <c r="CE107" s="13">
        <v>-1.1920893573654381</v>
      </c>
      <c r="CF107" s="13">
        <v>15</v>
      </c>
      <c r="CI107" s="3" t="s">
        <v>239</v>
      </c>
      <c r="CJ107" s="3">
        <v>12</v>
      </c>
      <c r="CK107" s="18">
        <v>11.444444444444445</v>
      </c>
      <c r="CL107" s="3">
        <v>12</v>
      </c>
      <c r="CM107" s="3">
        <v>12</v>
      </c>
      <c r="CN107" s="3">
        <v>12</v>
      </c>
      <c r="CO107" s="13">
        <v>-1.1920893573654381</v>
      </c>
      <c r="CP107" s="13">
        <v>15</v>
      </c>
    </row>
    <row r="108" spans="1:94" ht="14.25" customHeight="1" x14ac:dyDescent="0.3">
      <c r="A108" s="3" t="s">
        <v>240</v>
      </c>
      <c r="B108" s="3">
        <v>17</v>
      </c>
      <c r="C108" s="18">
        <v>14.777777777777779</v>
      </c>
      <c r="D108" s="3">
        <v>17</v>
      </c>
      <c r="E108" s="3">
        <v>17</v>
      </c>
      <c r="F108" s="3">
        <v>11</v>
      </c>
      <c r="G108" s="13">
        <v>-1.196962071035268</v>
      </c>
      <c r="H108" s="13">
        <v>19</v>
      </c>
      <c r="Q108" s="3" t="s">
        <v>240</v>
      </c>
      <c r="R108" s="3">
        <v>8</v>
      </c>
      <c r="S108" s="18">
        <v>13.111111111111111</v>
      </c>
      <c r="T108" s="3">
        <v>11</v>
      </c>
      <c r="U108" s="3">
        <v>11</v>
      </c>
      <c r="V108" s="3">
        <v>8</v>
      </c>
      <c r="W108" s="13">
        <v>-1.196962071035268</v>
      </c>
      <c r="X108" s="13">
        <v>19</v>
      </c>
      <c r="AJ108" s="3" t="s">
        <v>240</v>
      </c>
      <c r="AK108" s="3">
        <v>2</v>
      </c>
      <c r="AL108" s="18">
        <v>10.555555555555555</v>
      </c>
      <c r="AM108" s="3">
        <v>15</v>
      </c>
      <c r="AN108" s="3">
        <v>4</v>
      </c>
      <c r="AO108" s="3">
        <v>3</v>
      </c>
      <c r="AP108" s="13">
        <v>-1.196962071035268</v>
      </c>
      <c r="AQ108" s="13">
        <v>19</v>
      </c>
      <c r="AU108" s="3" t="s">
        <v>240</v>
      </c>
      <c r="AV108" s="3">
        <v>12</v>
      </c>
      <c r="AW108" s="18">
        <v>11.111111111111111</v>
      </c>
      <c r="AX108" s="3">
        <v>16</v>
      </c>
      <c r="AY108" s="3">
        <v>17</v>
      </c>
      <c r="AZ108" s="3">
        <v>12</v>
      </c>
      <c r="BA108" s="13">
        <v>-1.196962071035268</v>
      </c>
      <c r="BB108" s="13">
        <v>19</v>
      </c>
      <c r="BE108" s="3" t="s">
        <v>240</v>
      </c>
      <c r="BF108" s="3">
        <v>7</v>
      </c>
      <c r="BG108" s="18">
        <v>12.666666666666666</v>
      </c>
      <c r="BH108" s="3">
        <v>16</v>
      </c>
      <c r="BI108" s="3">
        <v>14</v>
      </c>
      <c r="BJ108" s="3">
        <v>7</v>
      </c>
      <c r="BK108" s="13">
        <v>-1.196962071035268</v>
      </c>
      <c r="BL108" s="13">
        <v>19</v>
      </c>
      <c r="BO108" s="3" t="s">
        <v>240</v>
      </c>
      <c r="BP108" s="3">
        <v>15</v>
      </c>
      <c r="BQ108" s="18">
        <v>14</v>
      </c>
      <c r="BR108" s="3">
        <v>18</v>
      </c>
      <c r="BS108" s="3">
        <v>18</v>
      </c>
      <c r="BT108" s="3">
        <v>15</v>
      </c>
      <c r="BU108" s="13">
        <v>-1.196962071035268</v>
      </c>
      <c r="BV108" s="13">
        <v>19</v>
      </c>
      <c r="BY108" s="3" t="s">
        <v>240</v>
      </c>
      <c r="BZ108" s="3">
        <v>15</v>
      </c>
      <c r="CA108" s="18">
        <v>15.666666666666666</v>
      </c>
      <c r="CB108" s="3">
        <v>14</v>
      </c>
      <c r="CC108" s="3">
        <v>15</v>
      </c>
      <c r="CD108" s="3">
        <v>15</v>
      </c>
      <c r="CE108" s="13">
        <v>-1.196962071035268</v>
      </c>
      <c r="CF108" s="13">
        <v>19</v>
      </c>
      <c r="CI108" s="3" t="s">
        <v>240</v>
      </c>
      <c r="CJ108" s="3">
        <v>16</v>
      </c>
      <c r="CK108" s="18">
        <v>14.777777777777779</v>
      </c>
      <c r="CL108" s="3">
        <v>16</v>
      </c>
      <c r="CM108" s="3">
        <v>16</v>
      </c>
      <c r="CN108" s="3">
        <v>16</v>
      </c>
      <c r="CO108" s="13">
        <v>-1.196962071035268</v>
      </c>
      <c r="CP108" s="13">
        <v>19</v>
      </c>
    </row>
    <row r="109" spans="1:94" ht="14.25" customHeight="1" x14ac:dyDescent="0.3">
      <c r="A109" s="3" t="s">
        <v>241</v>
      </c>
      <c r="B109" s="3">
        <v>14</v>
      </c>
      <c r="C109" s="18">
        <v>11.777777777777779</v>
      </c>
      <c r="D109" s="3">
        <v>15</v>
      </c>
      <c r="E109" s="3">
        <v>15</v>
      </c>
      <c r="F109" s="3">
        <v>13</v>
      </c>
      <c r="G109" s="13">
        <v>-1.2097705883740471</v>
      </c>
      <c r="H109" s="13">
        <v>15</v>
      </c>
      <c r="Q109" s="3" t="s">
        <v>241</v>
      </c>
      <c r="R109" s="3">
        <v>14</v>
      </c>
      <c r="S109" s="18">
        <v>11.222222222222221</v>
      </c>
      <c r="T109" s="3">
        <v>13</v>
      </c>
      <c r="U109" s="3">
        <v>14</v>
      </c>
      <c r="V109" s="3">
        <v>13</v>
      </c>
      <c r="W109" s="13">
        <v>-1.2097705883740471</v>
      </c>
      <c r="X109" s="13">
        <v>15</v>
      </c>
      <c r="AJ109" s="3" t="s">
        <v>241</v>
      </c>
      <c r="AK109" s="3">
        <v>9</v>
      </c>
      <c r="AL109" s="18">
        <v>8.6666666666666661</v>
      </c>
      <c r="AM109" s="3">
        <v>12</v>
      </c>
      <c r="AN109" s="3">
        <v>10</v>
      </c>
      <c r="AO109" s="3">
        <v>8</v>
      </c>
      <c r="AP109" s="13">
        <v>-1.2097705883740471</v>
      </c>
      <c r="AQ109" s="13">
        <v>15</v>
      </c>
      <c r="AU109" s="3" t="s">
        <v>241</v>
      </c>
      <c r="AV109" s="3">
        <v>4</v>
      </c>
      <c r="AW109" s="18">
        <v>7.333333333333333</v>
      </c>
      <c r="AX109" s="3">
        <v>7</v>
      </c>
      <c r="AY109" s="3">
        <v>8</v>
      </c>
      <c r="AZ109" s="3">
        <v>4</v>
      </c>
      <c r="BA109" s="13">
        <v>-1.2097705883740471</v>
      </c>
      <c r="BB109" s="13">
        <v>15</v>
      </c>
      <c r="BE109" s="3" t="s">
        <v>241</v>
      </c>
      <c r="BF109" s="3">
        <v>9</v>
      </c>
      <c r="BG109" s="18">
        <v>10.888888888888889</v>
      </c>
      <c r="BH109" s="3">
        <v>5</v>
      </c>
      <c r="BI109" s="3">
        <v>5</v>
      </c>
      <c r="BJ109" s="3">
        <v>9</v>
      </c>
      <c r="BK109" s="13">
        <v>-1.2097705883740471</v>
      </c>
      <c r="BL109" s="13">
        <v>15</v>
      </c>
      <c r="BO109" s="3" t="s">
        <v>241</v>
      </c>
      <c r="BP109" s="3">
        <v>6</v>
      </c>
      <c r="BQ109" s="18">
        <v>10.888888888888889</v>
      </c>
      <c r="BR109" s="3">
        <v>11</v>
      </c>
      <c r="BS109" s="3">
        <v>11</v>
      </c>
      <c r="BT109" s="3">
        <v>6</v>
      </c>
      <c r="BU109" s="13">
        <v>-1.2097705883740471</v>
      </c>
      <c r="BV109" s="13">
        <v>15</v>
      </c>
      <c r="BY109" s="3" t="s">
        <v>241</v>
      </c>
      <c r="BZ109" s="3">
        <v>15</v>
      </c>
      <c r="CA109" s="18">
        <v>12.111111111111111</v>
      </c>
      <c r="CB109" s="3">
        <v>14</v>
      </c>
      <c r="CC109" s="3">
        <v>14</v>
      </c>
      <c r="CD109" s="3">
        <v>12</v>
      </c>
      <c r="CE109" s="13">
        <v>-1.2097705883740471</v>
      </c>
      <c r="CF109" s="13">
        <v>15</v>
      </c>
      <c r="CI109" s="3" t="s">
        <v>241</v>
      </c>
      <c r="CJ109" s="3">
        <v>13</v>
      </c>
      <c r="CK109" s="18">
        <v>11.777777777777779</v>
      </c>
      <c r="CL109" s="3">
        <v>12</v>
      </c>
      <c r="CM109" s="3">
        <v>12</v>
      </c>
      <c r="CN109" s="3">
        <v>13</v>
      </c>
      <c r="CO109" s="13">
        <v>-1.2097705883740471</v>
      </c>
      <c r="CP109" s="13">
        <v>15</v>
      </c>
    </row>
    <row r="110" spans="1:94" ht="14.25" customHeight="1" x14ac:dyDescent="0.3">
      <c r="A110" s="3" t="s">
        <v>242</v>
      </c>
      <c r="B110" s="3">
        <v>16</v>
      </c>
      <c r="C110" s="18">
        <v>11.666666666666666</v>
      </c>
      <c r="D110" s="3">
        <v>16</v>
      </c>
      <c r="E110" s="3">
        <v>16</v>
      </c>
      <c r="F110" s="3">
        <v>14</v>
      </c>
      <c r="G110" s="13">
        <v>-1.3367165560614409</v>
      </c>
      <c r="H110" s="13">
        <v>17</v>
      </c>
      <c r="Q110" s="3" t="s">
        <v>242</v>
      </c>
      <c r="R110" s="3">
        <v>11</v>
      </c>
      <c r="S110" s="18">
        <v>13.444444444444445</v>
      </c>
      <c r="T110" s="3">
        <v>10</v>
      </c>
      <c r="U110" s="3">
        <v>16</v>
      </c>
      <c r="V110" s="3">
        <v>3</v>
      </c>
      <c r="W110" s="13">
        <v>-1.3367165560614409</v>
      </c>
      <c r="X110" s="13">
        <v>17</v>
      </c>
      <c r="AJ110" s="3" t="s">
        <v>242</v>
      </c>
      <c r="AK110" s="3">
        <v>17</v>
      </c>
      <c r="AL110" s="18">
        <v>13.555555555555555</v>
      </c>
      <c r="AM110" s="3">
        <v>13</v>
      </c>
      <c r="AN110" s="3">
        <v>17</v>
      </c>
      <c r="AO110" s="3">
        <v>13</v>
      </c>
      <c r="AP110" s="13">
        <v>-1.3367165560614409</v>
      </c>
      <c r="AQ110" s="13">
        <v>17</v>
      </c>
      <c r="AU110" s="3" t="s">
        <v>242</v>
      </c>
      <c r="AV110" s="3">
        <v>9</v>
      </c>
      <c r="AW110" s="18">
        <v>11.111111111111111</v>
      </c>
      <c r="AX110" s="3">
        <v>8</v>
      </c>
      <c r="AY110" s="3">
        <v>9</v>
      </c>
      <c r="AZ110" s="3">
        <v>3</v>
      </c>
      <c r="BA110" s="13">
        <v>-1.3367165560614409</v>
      </c>
      <c r="BB110" s="13">
        <v>17</v>
      </c>
      <c r="BE110" s="3" t="s">
        <v>242</v>
      </c>
      <c r="BF110" s="3">
        <v>12</v>
      </c>
      <c r="BG110" s="18">
        <v>13</v>
      </c>
      <c r="BH110" s="3">
        <v>15</v>
      </c>
      <c r="BI110" s="3">
        <v>17</v>
      </c>
      <c r="BJ110" s="3">
        <v>5</v>
      </c>
      <c r="BK110" s="13">
        <v>-1.3367165560614409</v>
      </c>
      <c r="BL110" s="13">
        <v>17</v>
      </c>
      <c r="BO110" s="3" t="s">
        <v>242</v>
      </c>
      <c r="BP110" s="3">
        <v>12</v>
      </c>
      <c r="BQ110" s="18">
        <v>12.555555555555555</v>
      </c>
      <c r="BR110" s="3">
        <v>14</v>
      </c>
      <c r="BS110" s="3">
        <v>14</v>
      </c>
      <c r="BT110" s="3">
        <v>12</v>
      </c>
      <c r="BU110" s="13">
        <v>-1.3367165560614409</v>
      </c>
      <c r="BV110" s="13">
        <v>17</v>
      </c>
      <c r="BY110" s="3" t="s">
        <v>242</v>
      </c>
      <c r="BZ110" s="3">
        <v>12</v>
      </c>
      <c r="CA110" s="18">
        <v>12</v>
      </c>
      <c r="CB110" s="3">
        <v>13</v>
      </c>
      <c r="CC110" s="3">
        <v>14</v>
      </c>
      <c r="CD110" s="3">
        <v>12</v>
      </c>
      <c r="CE110" s="13">
        <v>-1.3367165560614409</v>
      </c>
      <c r="CF110" s="13">
        <v>17</v>
      </c>
      <c r="CI110" s="3" t="s">
        <v>242</v>
      </c>
      <c r="CJ110" s="3">
        <v>12</v>
      </c>
      <c r="CK110" s="18">
        <v>11.666666666666666</v>
      </c>
      <c r="CL110" s="3">
        <v>13</v>
      </c>
      <c r="CM110" s="3">
        <v>14</v>
      </c>
      <c r="CN110" s="3">
        <v>12</v>
      </c>
      <c r="CO110" s="13">
        <v>-1.3367165560614409</v>
      </c>
      <c r="CP110" s="13">
        <v>17</v>
      </c>
    </row>
    <row r="111" spans="1:94" ht="14.25" customHeight="1" x14ac:dyDescent="0.3">
      <c r="A111" s="3" t="s">
        <v>243</v>
      </c>
      <c r="B111" s="3">
        <v>26</v>
      </c>
      <c r="C111" s="18">
        <v>21.333333333333332</v>
      </c>
      <c r="D111" s="3">
        <v>26</v>
      </c>
      <c r="E111" s="3">
        <v>27</v>
      </c>
      <c r="F111" s="3">
        <v>18</v>
      </c>
      <c r="G111" s="13">
        <v>-1.679865001322572</v>
      </c>
      <c r="H111" s="13">
        <v>27</v>
      </c>
      <c r="Q111" s="3" t="s">
        <v>243</v>
      </c>
      <c r="R111" s="3">
        <v>25</v>
      </c>
      <c r="S111" s="18">
        <v>23.111111111111111</v>
      </c>
      <c r="T111" s="3">
        <v>27</v>
      </c>
      <c r="U111" s="3">
        <v>27</v>
      </c>
      <c r="V111" s="3">
        <v>14</v>
      </c>
      <c r="W111" s="13">
        <v>-1.679865001322572</v>
      </c>
      <c r="X111" s="13">
        <v>27</v>
      </c>
      <c r="AJ111" s="3" t="s">
        <v>243</v>
      </c>
      <c r="AK111" s="3">
        <v>19</v>
      </c>
      <c r="AL111" s="18">
        <v>23.888888888888889</v>
      </c>
      <c r="AM111" s="3">
        <v>22</v>
      </c>
      <c r="AN111" s="3">
        <v>22</v>
      </c>
      <c r="AO111" s="3">
        <v>19</v>
      </c>
      <c r="AP111" s="13">
        <v>-1.679865001322572</v>
      </c>
      <c r="AQ111" s="13">
        <v>27</v>
      </c>
      <c r="AU111" s="3" t="s">
        <v>243</v>
      </c>
      <c r="AV111" s="3">
        <v>26</v>
      </c>
      <c r="AW111" s="18">
        <v>24.111111111111111</v>
      </c>
      <c r="AX111" s="3">
        <v>26</v>
      </c>
      <c r="AY111" s="3">
        <v>26</v>
      </c>
      <c r="AZ111" s="3">
        <v>7</v>
      </c>
      <c r="BA111" s="13">
        <v>-1.679865001322572</v>
      </c>
      <c r="BB111" s="13">
        <v>27</v>
      </c>
      <c r="BE111" s="3" t="s">
        <v>243</v>
      </c>
      <c r="BF111" s="3">
        <v>26</v>
      </c>
      <c r="BG111" s="18">
        <v>24</v>
      </c>
      <c r="BH111" s="3">
        <v>24</v>
      </c>
      <c r="BI111" s="3">
        <v>24</v>
      </c>
      <c r="BJ111" s="3">
        <v>7</v>
      </c>
      <c r="BK111" s="13">
        <v>-1.679865001322572</v>
      </c>
      <c r="BL111" s="13">
        <v>27</v>
      </c>
      <c r="BO111" s="3" t="s">
        <v>243</v>
      </c>
      <c r="BP111" s="3">
        <v>27</v>
      </c>
      <c r="BQ111" s="18">
        <v>24</v>
      </c>
      <c r="BR111" s="3">
        <v>27</v>
      </c>
      <c r="BS111" s="3">
        <v>27</v>
      </c>
      <c r="BT111" s="3">
        <v>16</v>
      </c>
      <c r="BU111" s="13">
        <v>-1.679865001322572</v>
      </c>
      <c r="BV111" s="13">
        <v>27</v>
      </c>
      <c r="BY111" s="3" t="s">
        <v>243</v>
      </c>
      <c r="BZ111" s="3">
        <v>13</v>
      </c>
      <c r="CA111" s="18">
        <v>18.777777777777779</v>
      </c>
      <c r="CB111" s="3">
        <v>15</v>
      </c>
      <c r="CC111" s="3">
        <v>15</v>
      </c>
      <c r="CD111" s="3">
        <v>13</v>
      </c>
      <c r="CE111" s="13">
        <v>-1.679865001322572</v>
      </c>
      <c r="CF111" s="13">
        <v>27</v>
      </c>
      <c r="CI111" s="3" t="s">
        <v>243</v>
      </c>
      <c r="CJ111" s="3">
        <v>27</v>
      </c>
      <c r="CK111" s="18">
        <v>21.333333333333332</v>
      </c>
      <c r="CL111" s="3">
        <v>27</v>
      </c>
      <c r="CM111" s="3">
        <v>27</v>
      </c>
      <c r="CN111" s="3">
        <v>16</v>
      </c>
      <c r="CO111" s="13">
        <v>-1.679865001322572</v>
      </c>
      <c r="CP111" s="13">
        <v>27</v>
      </c>
    </row>
    <row r="112" spans="1:94" ht="14.25" customHeight="1" x14ac:dyDescent="0.3">
      <c r="A112" s="13" t="s">
        <v>245</v>
      </c>
      <c r="B112" s="13">
        <f t="shared" ref="B112:F112" si="57">AVERAGE(B92:B101)</f>
        <v>5.0999999999999996</v>
      </c>
      <c r="C112" s="25">
        <f t="shared" si="57"/>
        <v>3.4222222222222221</v>
      </c>
      <c r="D112" s="13">
        <f t="shared" si="57"/>
        <v>4.7</v>
      </c>
      <c r="E112" s="13">
        <f t="shared" si="57"/>
        <v>4.7</v>
      </c>
      <c r="F112" s="13">
        <f t="shared" si="57"/>
        <v>6.7</v>
      </c>
      <c r="K112" s="12"/>
      <c r="L112" s="12"/>
      <c r="M112" s="12"/>
      <c r="N112" s="12"/>
      <c r="O112" s="12"/>
      <c r="P112" s="12"/>
      <c r="Q112" s="13" t="s">
        <v>275</v>
      </c>
      <c r="R112" s="13">
        <f t="shared" ref="R112:V112" si="58">AVERAGE(R92:R101)</f>
        <v>4.3</v>
      </c>
      <c r="S112" s="25">
        <f t="shared" si="58"/>
        <v>5.0111111111111111</v>
      </c>
      <c r="T112" s="13">
        <f t="shared" si="58"/>
        <v>2.5</v>
      </c>
      <c r="U112" s="13">
        <f t="shared" si="58"/>
        <v>2.2000000000000002</v>
      </c>
      <c r="V112" s="13">
        <f t="shared" si="58"/>
        <v>6.7</v>
      </c>
      <c r="Z112" s="12"/>
      <c r="AA112" s="12"/>
      <c r="AB112" s="12"/>
      <c r="AC112" s="12"/>
      <c r="AD112" s="12"/>
      <c r="AE112" s="12"/>
      <c r="AF112" s="12"/>
      <c r="AG112" s="12"/>
      <c r="AH112" s="12"/>
      <c r="AI112" s="12"/>
      <c r="AJ112" s="13" t="s">
        <v>245</v>
      </c>
      <c r="AK112" s="13">
        <f t="shared" ref="AK112:AO112" si="59">AVERAGE(AK92:AK101)</f>
        <v>4.8</v>
      </c>
      <c r="AL112" s="25">
        <f t="shared" si="59"/>
        <v>4.7111111111111112</v>
      </c>
      <c r="AM112" s="13">
        <f t="shared" si="59"/>
        <v>4.0999999999999996</v>
      </c>
      <c r="AN112" s="13">
        <f t="shared" si="59"/>
        <v>3.3</v>
      </c>
      <c r="AO112" s="13">
        <f t="shared" si="59"/>
        <v>6.9</v>
      </c>
      <c r="AT112" s="12"/>
      <c r="AU112" s="13" t="s">
        <v>245</v>
      </c>
      <c r="AV112" s="13">
        <f t="shared" ref="AV112:AZ112" si="60">AVERAGE(AV92:AV101)</f>
        <v>4.8</v>
      </c>
      <c r="AW112" s="25">
        <f t="shared" si="60"/>
        <v>4.4000000000000004</v>
      </c>
      <c r="AX112" s="13">
        <f t="shared" si="60"/>
        <v>3.4</v>
      </c>
      <c r="AY112" s="13">
        <f t="shared" si="60"/>
        <v>3</v>
      </c>
      <c r="AZ112" s="13">
        <f t="shared" si="60"/>
        <v>7.4</v>
      </c>
      <c r="BE112" s="13" t="s">
        <v>245</v>
      </c>
      <c r="BF112" s="13">
        <f t="shared" ref="BF112:BJ112" si="61">AVERAGE(BF92:BF101)</f>
        <v>4.5999999999999996</v>
      </c>
      <c r="BG112" s="25">
        <f t="shared" si="61"/>
        <v>5.1444444444444448</v>
      </c>
      <c r="BH112" s="13">
        <f t="shared" si="61"/>
        <v>3.8</v>
      </c>
      <c r="BI112" s="13">
        <f t="shared" si="61"/>
        <v>3.2</v>
      </c>
      <c r="BJ112" s="13">
        <f t="shared" si="61"/>
        <v>7.5</v>
      </c>
      <c r="BO112" s="13" t="s">
        <v>245</v>
      </c>
      <c r="BP112" s="13">
        <f t="shared" ref="BP112:BT112" si="62">AVERAGE(BP92:BP101)</f>
        <v>5.6</v>
      </c>
      <c r="BQ112" s="25">
        <f t="shared" si="62"/>
        <v>3.6888888888888887</v>
      </c>
      <c r="BR112" s="13">
        <f t="shared" si="62"/>
        <v>5.9</v>
      </c>
      <c r="BS112" s="13">
        <f t="shared" si="62"/>
        <v>6.1</v>
      </c>
      <c r="BT112" s="13">
        <f t="shared" si="62"/>
        <v>6.7</v>
      </c>
      <c r="BY112" s="13" t="s">
        <v>245</v>
      </c>
      <c r="BZ112" s="13">
        <f t="shared" ref="BZ112:CD112" si="63">AVERAGE(BZ92:BZ101)</f>
        <v>5.7</v>
      </c>
      <c r="CA112" s="25">
        <f t="shared" si="63"/>
        <v>4.2555555555555555</v>
      </c>
      <c r="CB112" s="13">
        <f t="shared" si="63"/>
        <v>4.5999999999999996</v>
      </c>
      <c r="CC112" s="13">
        <f t="shared" si="63"/>
        <v>4.4000000000000004</v>
      </c>
      <c r="CD112" s="13">
        <f t="shared" si="63"/>
        <v>7.3</v>
      </c>
      <c r="CI112" s="13" t="s">
        <v>245</v>
      </c>
      <c r="CJ112" s="13">
        <f t="shared" ref="CJ112:CN112" si="64">AVERAGE(CJ92:CJ101)</f>
        <v>4.7</v>
      </c>
      <c r="CK112" s="25">
        <f t="shared" si="64"/>
        <v>3.4222222222222221</v>
      </c>
      <c r="CL112" s="13">
        <f t="shared" si="64"/>
        <v>4.5</v>
      </c>
      <c r="CM112" s="13">
        <f t="shared" si="64"/>
        <v>4.5</v>
      </c>
      <c r="CN112" s="13">
        <f t="shared" si="64"/>
        <v>6.5</v>
      </c>
    </row>
    <row r="113" spans="1:92" ht="14.25" customHeight="1" x14ac:dyDescent="0.3">
      <c r="A113" s="13" t="s">
        <v>249</v>
      </c>
      <c r="B113" s="13">
        <f t="shared" ref="B113:F113" si="65">AVERAGE(B102:B111)</f>
        <v>12.9</v>
      </c>
      <c r="C113" s="25">
        <f t="shared" si="65"/>
        <v>12.244444444444444</v>
      </c>
      <c r="D113" s="13">
        <f t="shared" si="65"/>
        <v>14</v>
      </c>
      <c r="E113" s="13">
        <f t="shared" si="65"/>
        <v>14.1</v>
      </c>
      <c r="F113" s="13">
        <f t="shared" si="65"/>
        <v>11.3</v>
      </c>
      <c r="K113" s="12"/>
      <c r="L113" s="12"/>
      <c r="M113" s="12"/>
      <c r="N113" s="12"/>
      <c r="O113" s="12"/>
      <c r="P113" s="12"/>
      <c r="Q113" s="13" t="s">
        <v>276</v>
      </c>
      <c r="R113" s="13">
        <f t="shared" ref="R113:V113" si="66">AVERAGE(R102:R111)</f>
        <v>11.8</v>
      </c>
      <c r="S113" s="25">
        <f t="shared" si="66"/>
        <v>11.544444444444444</v>
      </c>
      <c r="T113" s="13">
        <f t="shared" si="66"/>
        <v>12.5</v>
      </c>
      <c r="U113" s="13">
        <f t="shared" si="66"/>
        <v>13.9</v>
      </c>
      <c r="V113" s="13">
        <f t="shared" si="66"/>
        <v>9.4</v>
      </c>
      <c r="Z113" s="12"/>
      <c r="AA113" s="12"/>
      <c r="AB113" s="12"/>
      <c r="AC113" s="12"/>
      <c r="AD113" s="12"/>
      <c r="AE113" s="12"/>
      <c r="AF113" s="12"/>
      <c r="AG113" s="12"/>
      <c r="AH113" s="12"/>
      <c r="AI113" s="12"/>
      <c r="AJ113" s="13" t="s">
        <v>249</v>
      </c>
      <c r="AK113" s="13">
        <f t="shared" ref="AK113:AO113" si="67">AVERAGE(AK102:AK111)</f>
        <v>10.4</v>
      </c>
      <c r="AL113" s="25">
        <f t="shared" si="67"/>
        <v>11.044444444444444</v>
      </c>
      <c r="AM113" s="13">
        <f t="shared" si="67"/>
        <v>12.9</v>
      </c>
      <c r="AN113" s="13">
        <f t="shared" si="67"/>
        <v>10.8</v>
      </c>
      <c r="AO113" s="13">
        <f t="shared" si="67"/>
        <v>8.3000000000000007</v>
      </c>
      <c r="AT113" s="12"/>
      <c r="AU113" s="13" t="s">
        <v>249</v>
      </c>
      <c r="AV113" s="13">
        <f t="shared" ref="AV113:AZ113" si="68">AVERAGE(AV102:AV111)</f>
        <v>8.5</v>
      </c>
      <c r="AW113" s="25">
        <f t="shared" si="68"/>
        <v>10.288888888888888</v>
      </c>
      <c r="AX113" s="13">
        <f t="shared" si="68"/>
        <v>9.8000000000000007</v>
      </c>
      <c r="AY113" s="13">
        <f t="shared" si="68"/>
        <v>10.4</v>
      </c>
      <c r="AZ113" s="13">
        <f t="shared" si="68"/>
        <v>5.9</v>
      </c>
      <c r="BE113" s="13" t="s">
        <v>249</v>
      </c>
      <c r="BF113" s="13">
        <f t="shared" ref="BF113:BJ113" si="69">AVERAGE(BF102:BF111)</f>
        <v>9.5</v>
      </c>
      <c r="BG113" s="25">
        <f t="shared" si="69"/>
        <v>11.422222222222222</v>
      </c>
      <c r="BH113" s="13">
        <f t="shared" si="69"/>
        <v>11.2</v>
      </c>
      <c r="BI113" s="13">
        <f t="shared" si="69"/>
        <v>11.1</v>
      </c>
      <c r="BJ113" s="13">
        <f t="shared" si="69"/>
        <v>6.6</v>
      </c>
      <c r="BO113" s="13" t="s">
        <v>249</v>
      </c>
      <c r="BP113" s="13">
        <f t="shared" ref="BP113:BT113" si="70">AVERAGE(BP102:BP111)</f>
        <v>9.5</v>
      </c>
      <c r="BQ113" s="25">
        <f t="shared" si="70"/>
        <v>12.233333333333333</v>
      </c>
      <c r="BR113" s="13">
        <f t="shared" si="70"/>
        <v>10.1</v>
      </c>
      <c r="BS113" s="13">
        <f t="shared" si="70"/>
        <v>11.3</v>
      </c>
      <c r="BT113" s="13">
        <f t="shared" si="70"/>
        <v>8.4</v>
      </c>
      <c r="BY113" s="13" t="s">
        <v>249</v>
      </c>
      <c r="BZ113" s="13">
        <f t="shared" ref="BZ113:CD113" si="71">AVERAGE(BZ102:BZ111)</f>
        <v>11.3</v>
      </c>
      <c r="CA113" s="25">
        <f t="shared" si="71"/>
        <v>12.111111111111111</v>
      </c>
      <c r="CB113" s="13">
        <f t="shared" si="71"/>
        <v>11.2</v>
      </c>
      <c r="CC113" s="13">
        <f t="shared" si="71"/>
        <v>11.1</v>
      </c>
      <c r="CD113" s="13">
        <f t="shared" si="71"/>
        <v>9.6999999999999993</v>
      </c>
      <c r="CI113" s="13" t="s">
        <v>249</v>
      </c>
      <c r="CJ113" s="13">
        <f t="shared" ref="CJ113:CN113" si="72">AVERAGE(CJ102:CJ111)</f>
        <v>13.3</v>
      </c>
      <c r="CK113" s="25">
        <f t="shared" si="72"/>
        <v>12.244444444444444</v>
      </c>
      <c r="CL113" s="13">
        <f t="shared" si="72"/>
        <v>13.7</v>
      </c>
      <c r="CM113" s="13">
        <f t="shared" si="72"/>
        <v>13.8</v>
      </c>
      <c r="CN113" s="13">
        <f t="shared" si="72"/>
        <v>11.5</v>
      </c>
    </row>
    <row r="114" spans="1:92" ht="14.25" customHeight="1" x14ac:dyDescent="0.3">
      <c r="A114" s="13" t="s">
        <v>252</v>
      </c>
      <c r="B114" s="13">
        <f>SKEW(B92:B95,B99,B101,B103,B109:B111)</f>
        <v>1.000520697770249</v>
      </c>
      <c r="C114" s="13"/>
      <c r="D114" s="13"/>
      <c r="E114" s="13"/>
      <c r="F114" s="13">
        <f>SKEW(F92:F95,F99,F101,F103,F109:F111)</f>
        <v>0.58634469362876074</v>
      </c>
      <c r="K114" s="12"/>
      <c r="L114" s="12"/>
      <c r="M114" s="12"/>
      <c r="N114" s="12"/>
      <c r="O114" s="12"/>
      <c r="P114" s="12"/>
      <c r="Q114" s="13" t="s">
        <v>252</v>
      </c>
      <c r="R114" s="13">
        <f>SKEW(R92:R95,R99,R101,R103,R109:R111)</f>
        <v>1.09563621760338</v>
      </c>
      <c r="S114" s="13"/>
      <c r="T114" s="13"/>
      <c r="U114" s="13"/>
      <c r="V114" s="13">
        <f>SKEW(V92:V95,V99,V101,V103,V109:V111)</f>
        <v>0.7643202816766056</v>
      </c>
      <c r="Z114" s="12"/>
      <c r="AA114" s="12"/>
      <c r="AB114" s="12"/>
      <c r="AC114" s="12"/>
      <c r="AD114" s="12"/>
      <c r="AE114" s="12"/>
      <c r="AF114" s="12"/>
      <c r="AG114" s="12"/>
      <c r="AH114" s="12"/>
      <c r="AI114" s="12"/>
      <c r="AJ114" s="13" t="s">
        <v>252</v>
      </c>
      <c r="AK114" s="13">
        <f>SKEW(AK92:AK95,AK99,AK101,AK103,AK109:AK111)</f>
        <v>0.48412291827592657</v>
      </c>
      <c r="AL114" s="13"/>
      <c r="AM114" s="13"/>
      <c r="AN114" s="13"/>
      <c r="AO114" s="13">
        <f>SKEW(AO92:AO95,AO99,AO101,AO103,AO109:AO111)</f>
        <v>1.1260829611449008</v>
      </c>
      <c r="AT114" s="12"/>
      <c r="AU114" s="13" t="s">
        <v>252</v>
      </c>
      <c r="AV114" s="13">
        <f>SKEW(AV92:AV95,AV99,AV101,AV103,AV109:AV111)</f>
        <v>2.53149440065802</v>
      </c>
      <c r="AW114" s="13"/>
      <c r="AX114" s="13"/>
      <c r="AY114" s="13"/>
      <c r="AZ114" s="13">
        <f>SKEW(AZ92:AZ95,AZ99,AZ101,AZ103,AZ109:AZ111)</f>
        <v>0.41690021617324075</v>
      </c>
      <c r="BE114" s="13" t="s">
        <v>252</v>
      </c>
      <c r="BF114" s="13">
        <f>SKEW(BF92:BF95,BF99,BF101,BF103,BF109:BF111)</f>
        <v>1.6017103042483931</v>
      </c>
      <c r="BG114" s="13"/>
      <c r="BH114" s="13"/>
      <c r="BI114" s="13"/>
      <c r="BJ114" s="13">
        <f>SKEW(BJ92:BJ95,BJ99,BJ101,BJ103,BJ109:BJ111)</f>
        <v>0.8712899287518735</v>
      </c>
      <c r="BO114" s="13" t="s">
        <v>252</v>
      </c>
      <c r="BP114" s="13">
        <f>SKEW(BP92:BP95,BP99,BP101,BP103,BP109:BP111)</f>
        <v>1.9224318259203639</v>
      </c>
      <c r="BQ114" s="13"/>
      <c r="BR114" s="13"/>
      <c r="BS114" s="13"/>
      <c r="BT114" s="13">
        <f>SKEW(BT92:BT95,BT99,BT101,BT103,BT109:BT111)</f>
        <v>1.4973049487786296</v>
      </c>
      <c r="BY114" s="13" t="s">
        <v>252</v>
      </c>
      <c r="BZ114" s="13">
        <f>SKEW(BZ92:BZ95,BZ99,BZ101,BZ103,BZ109:BZ111)</f>
        <v>0.39149820046152739</v>
      </c>
      <c r="CA114" s="13"/>
      <c r="CB114" s="13"/>
      <c r="CC114" s="13"/>
      <c r="CD114" s="13">
        <f>SKEW(CD92:CD95,CD99,CD101,CD103,CD109:CD111)</f>
        <v>0.35147231129141643</v>
      </c>
      <c r="CI114" s="13" t="s">
        <v>252</v>
      </c>
      <c r="CJ114" s="13">
        <f>SKEW(CJ92:CJ95,CJ99,CJ101,CJ103,CJ109:CJ111)</f>
        <v>1.103869490172849</v>
      </c>
      <c r="CK114" s="13"/>
      <c r="CL114" s="13"/>
      <c r="CM114" s="13"/>
      <c r="CN114" s="13">
        <f>SKEW(CN92:CN95,CN99,CN101,CN103,CN109:CN111)</f>
        <v>0.51923434285790804</v>
      </c>
    </row>
    <row r="115" spans="1:92" ht="14.25" customHeight="1" x14ac:dyDescent="0.3">
      <c r="A115" s="13" t="s">
        <v>254</v>
      </c>
      <c r="B115" s="13">
        <f>SKEW(B96:B98,B100,B102,B104:B108)</f>
        <v>1.0186716671843099</v>
      </c>
      <c r="C115" s="13"/>
      <c r="D115" s="13"/>
      <c r="E115" s="13"/>
      <c r="F115" s="13">
        <f>SKEW(F96:F98,F100,F102,F104:F108)</f>
        <v>-0.4762648481687482</v>
      </c>
      <c r="K115" s="12"/>
      <c r="L115" s="12"/>
      <c r="M115" s="12"/>
      <c r="N115" s="12"/>
      <c r="O115" s="12"/>
      <c r="P115" s="12"/>
      <c r="Q115" s="13" t="s">
        <v>254</v>
      </c>
      <c r="R115" s="13">
        <f>SKEW(R96:R98,R100,R102,R104:R108)</f>
        <v>0.22863373512508575</v>
      </c>
      <c r="S115" s="13"/>
      <c r="T115" s="13"/>
      <c r="U115" s="13"/>
      <c r="V115" s="13">
        <f>SKEW(V96:V98,V100,V102,V104:V108)</f>
        <v>-0.16872429387786061</v>
      </c>
      <c r="Z115" s="12"/>
      <c r="AA115" s="12"/>
      <c r="AB115" s="12"/>
      <c r="AC115" s="12"/>
      <c r="AD115" s="12"/>
      <c r="AE115" s="12"/>
      <c r="AF115" s="12"/>
      <c r="AG115" s="12"/>
      <c r="AH115" s="12"/>
      <c r="AI115" s="12"/>
      <c r="AJ115" s="13" t="s">
        <v>254</v>
      </c>
      <c r="AK115" s="13">
        <f>SKEW(AK96:AK98,AK100,AK102,AK104:AK108)</f>
        <v>0.32880781166453182</v>
      </c>
      <c r="AL115" s="13"/>
      <c r="AM115" s="13"/>
      <c r="AN115" s="13"/>
      <c r="AO115" s="13">
        <f>SKEW(AO96:AO98,AO100,AO102,AO104:AO108)</f>
        <v>0.26334206075614597</v>
      </c>
      <c r="AT115" s="12"/>
      <c r="AU115" s="13" t="s">
        <v>254</v>
      </c>
      <c r="AV115" s="13">
        <f>SKEW(AV96:AV98,AV100,AV102,AV104:AV108)</f>
        <v>-0.25042490756465613</v>
      </c>
      <c r="AW115" s="13"/>
      <c r="AX115" s="13"/>
      <c r="AY115" s="13"/>
      <c r="AZ115" s="13">
        <f>SKEW(AZ96:AZ98,AZ100,AZ102,AZ104:AZ108)</f>
        <v>1.4579988305676652</v>
      </c>
      <c r="BE115" s="13" t="s">
        <v>254</v>
      </c>
      <c r="BF115" s="13">
        <f>SKEW(BF96:BF98,BF100,BF102,BF104:BF108)</f>
        <v>1.2643849738941046</v>
      </c>
      <c r="BG115" s="13"/>
      <c r="BH115" s="13"/>
      <c r="BI115" s="13"/>
      <c r="BJ115" s="13">
        <f>SKEW(BJ96:BJ98,BJ100,BJ102,BJ104:BJ108)</f>
        <v>1.4910705474809256</v>
      </c>
      <c r="BO115" s="13" t="s">
        <v>254</v>
      </c>
      <c r="BP115" s="13">
        <f>SKEW(BP96:BP98,BP100,BP102,BP104:BP108)</f>
        <v>1.1729571876182767</v>
      </c>
      <c r="BQ115" s="13"/>
      <c r="BR115" s="13"/>
      <c r="BS115" s="13"/>
      <c r="BT115" s="13">
        <f>SKEW(BT96:BT98,BT100,BT102,BT104:BT108)</f>
        <v>1.4954050305833719</v>
      </c>
      <c r="BY115" s="13" t="s">
        <v>254</v>
      </c>
      <c r="BZ115" s="13">
        <f>SKEW(BZ96:BZ98,BZ100,BZ102,BZ104:BZ108)</f>
        <v>-0.51303876034054929</v>
      </c>
      <c r="CA115" s="13"/>
      <c r="CB115" s="13"/>
      <c r="CC115" s="13"/>
      <c r="CD115" s="13">
        <f>SKEW(CD96:CD98,CD100,CD102,CD104:CD108)</f>
        <v>0.38080402678053876</v>
      </c>
      <c r="CI115" s="13" t="s">
        <v>254</v>
      </c>
      <c r="CJ115" s="13">
        <f>SKEW(CJ96:CJ98,CJ100,CJ102,CJ104:CJ108)</f>
        <v>0.12995677576869838</v>
      </c>
      <c r="CK115" s="13"/>
      <c r="CL115" s="13"/>
      <c r="CM115" s="13"/>
      <c r="CN115" s="13">
        <f>SKEW(CN96:CN98,CN100,CN102,CN104:CN108)</f>
        <v>0.62582343142549968</v>
      </c>
    </row>
    <row r="116" spans="1:92" ht="14.25" customHeight="1" x14ac:dyDescent="0.3">
      <c r="A116" s="13" t="s">
        <v>256</v>
      </c>
      <c r="B116" s="3">
        <v>16.7935621859916</v>
      </c>
      <c r="K116" s="12"/>
      <c r="L116" s="12"/>
      <c r="M116" s="12"/>
      <c r="N116" s="12"/>
      <c r="O116" s="12"/>
      <c r="P116" s="12"/>
      <c r="Q116" s="13" t="s">
        <v>256</v>
      </c>
      <c r="R116" s="3">
        <v>21.637838724725519</v>
      </c>
      <c r="Z116" s="12"/>
      <c r="AA116" s="12"/>
      <c r="AB116" s="12"/>
      <c r="AC116" s="12"/>
      <c r="AD116" s="12"/>
      <c r="AE116" s="12"/>
      <c r="AF116" s="12"/>
      <c r="AG116" s="12"/>
      <c r="AH116" s="12"/>
      <c r="AI116" s="12"/>
      <c r="AJ116" s="13" t="s">
        <v>256</v>
      </c>
      <c r="AK116" s="3">
        <v>21.292561612569671</v>
      </c>
      <c r="AT116" s="12"/>
      <c r="AU116" s="13" t="s">
        <v>256</v>
      </c>
      <c r="AV116" s="3">
        <v>22.52749607214626</v>
      </c>
      <c r="BE116" s="13" t="s">
        <v>256</v>
      </c>
      <c r="BF116" s="3">
        <v>21.13484269119547</v>
      </c>
      <c r="BO116" s="13" t="s">
        <v>256</v>
      </c>
      <c r="BP116" s="3">
        <v>11.323532689150531</v>
      </c>
      <c r="BY116" s="13" t="s">
        <v>256</v>
      </c>
      <c r="BZ116" s="3">
        <v>11.331777079522441</v>
      </c>
      <c r="CI116" s="13" t="s">
        <v>256</v>
      </c>
      <c r="CJ116" s="3">
        <v>17.23327092670311</v>
      </c>
    </row>
    <row r="117" spans="1:92" ht="14.25" customHeight="1" x14ac:dyDescent="0.3">
      <c r="A117" s="13" t="s">
        <v>257</v>
      </c>
      <c r="B117" s="13">
        <v>11</v>
      </c>
      <c r="K117" s="12"/>
      <c r="L117" s="12"/>
      <c r="M117" s="12"/>
      <c r="N117" s="12"/>
      <c r="O117" s="12"/>
      <c r="P117" s="12"/>
      <c r="Q117" s="13" t="s">
        <v>257</v>
      </c>
      <c r="R117" s="13">
        <v>11</v>
      </c>
      <c r="Z117" s="12"/>
      <c r="AA117" s="12"/>
      <c r="AB117" s="12"/>
      <c r="AC117" s="12"/>
      <c r="AD117" s="12"/>
      <c r="AE117" s="12"/>
      <c r="AF117" s="12"/>
      <c r="AG117" s="12"/>
      <c r="AH117" s="12"/>
      <c r="AI117" s="12"/>
      <c r="AJ117" s="13" t="s">
        <v>257</v>
      </c>
      <c r="AK117" s="13">
        <v>10</v>
      </c>
      <c r="AT117" s="12"/>
      <c r="AU117" s="13" t="s">
        <v>257</v>
      </c>
      <c r="AV117" s="13">
        <v>12</v>
      </c>
      <c r="BE117" s="13" t="s">
        <v>257</v>
      </c>
      <c r="BF117" s="13">
        <v>9</v>
      </c>
      <c r="BO117" s="13" t="s">
        <v>257</v>
      </c>
      <c r="BP117" s="13">
        <v>8</v>
      </c>
      <c r="BY117" s="13" t="s">
        <v>257</v>
      </c>
      <c r="BZ117" s="13">
        <v>7</v>
      </c>
      <c r="CI117" s="13" t="s">
        <v>257</v>
      </c>
      <c r="CJ117" s="13">
        <v>8</v>
      </c>
    </row>
    <row r="118" spans="1:92" ht="14.25" customHeight="1" x14ac:dyDescent="0.3">
      <c r="A118" s="28" t="s">
        <v>258</v>
      </c>
      <c r="B118" s="13">
        <f>B117*2</f>
        <v>22</v>
      </c>
      <c r="K118" s="27"/>
      <c r="L118" s="27"/>
      <c r="M118" s="27"/>
      <c r="N118" s="27"/>
      <c r="O118" s="27"/>
      <c r="P118" s="27"/>
      <c r="Q118" s="28" t="s">
        <v>258</v>
      </c>
      <c r="R118" s="13">
        <f>R117*2</f>
        <v>22</v>
      </c>
      <c r="Z118" s="27"/>
      <c r="AA118" s="27"/>
      <c r="AB118" s="27"/>
      <c r="AC118" s="27"/>
      <c r="AD118" s="27"/>
      <c r="AE118" s="27"/>
      <c r="AF118" s="27"/>
      <c r="AG118" s="27"/>
      <c r="AH118" s="27"/>
      <c r="AI118" s="27"/>
      <c r="AJ118" s="28" t="s">
        <v>258</v>
      </c>
      <c r="AK118" s="13">
        <f>AK117*2</f>
        <v>20</v>
      </c>
      <c r="AT118" s="27"/>
      <c r="AU118" s="28" t="s">
        <v>258</v>
      </c>
      <c r="AV118" s="13">
        <f>AV117*2</f>
        <v>24</v>
      </c>
      <c r="BE118" s="28" t="s">
        <v>258</v>
      </c>
      <c r="BF118" s="13">
        <f>BF117*2</f>
        <v>18</v>
      </c>
      <c r="BO118" s="28" t="s">
        <v>258</v>
      </c>
      <c r="BP118" s="13">
        <f>BP117*2</f>
        <v>16</v>
      </c>
      <c r="BY118" s="28" t="s">
        <v>258</v>
      </c>
      <c r="BZ118" s="13">
        <f>BZ117*2</f>
        <v>14</v>
      </c>
      <c r="CI118" s="28" t="s">
        <v>258</v>
      </c>
      <c r="CJ118" s="13">
        <f>CJ117*2</f>
        <v>16</v>
      </c>
    </row>
    <row r="119" spans="1:92" ht="14.25" customHeight="1" x14ac:dyDescent="0.3"/>
    <row r="120" spans="1:92" ht="14.25" customHeight="1" x14ac:dyDescent="0.3"/>
    <row r="121" spans="1:92" ht="14.25" customHeight="1" x14ac:dyDescent="0.3"/>
    <row r="122" spans="1:92" ht="14.25" customHeight="1" x14ac:dyDescent="0.3">
      <c r="B122" s="13" t="s">
        <v>277</v>
      </c>
      <c r="C122" s="13"/>
      <c r="D122" s="13"/>
      <c r="E122" s="13"/>
      <c r="F122" s="13"/>
      <c r="R122" s="13" t="s">
        <v>278</v>
      </c>
      <c r="S122" s="13"/>
      <c r="T122" s="13"/>
      <c r="U122" s="13"/>
      <c r="V122" s="13"/>
      <c r="AK122" s="13" t="s">
        <v>279</v>
      </c>
      <c r="AL122" s="13"/>
      <c r="AM122" s="13"/>
      <c r="AN122" s="13"/>
      <c r="AO122" s="13"/>
      <c r="AV122" s="13" t="s">
        <v>280</v>
      </c>
      <c r="AW122" s="13"/>
      <c r="AX122" s="13"/>
      <c r="AY122" s="13"/>
      <c r="AZ122" s="13"/>
      <c r="BF122" s="13" t="s">
        <v>281</v>
      </c>
      <c r="BG122" s="13"/>
      <c r="BH122" s="13"/>
      <c r="BI122" s="13"/>
      <c r="BJ122" s="13"/>
      <c r="BP122" s="13" t="s">
        <v>282</v>
      </c>
      <c r="BQ122" s="13"/>
      <c r="BR122" s="13"/>
      <c r="BS122" s="13"/>
      <c r="BT122" s="13"/>
      <c r="BZ122" s="13" t="s">
        <v>283</v>
      </c>
      <c r="CA122" s="13"/>
      <c r="CB122" s="13"/>
      <c r="CC122" s="13"/>
      <c r="CD122" s="13"/>
    </row>
    <row r="123" spans="1:92" ht="14.25" customHeight="1" x14ac:dyDescent="0.3">
      <c r="A123" s="13" t="s">
        <v>201</v>
      </c>
      <c r="B123" s="13" t="s">
        <v>5</v>
      </c>
      <c r="C123" s="13" t="s">
        <v>208</v>
      </c>
      <c r="D123" s="14" t="s">
        <v>189</v>
      </c>
      <c r="E123" s="13" t="s">
        <v>190</v>
      </c>
      <c r="F123" s="13" t="s">
        <v>191</v>
      </c>
      <c r="G123" s="13" t="s">
        <v>192</v>
      </c>
      <c r="H123" s="13" t="s">
        <v>193</v>
      </c>
      <c r="K123" s="12"/>
      <c r="L123" s="12"/>
      <c r="M123" s="12"/>
      <c r="N123" s="12"/>
      <c r="O123" s="12"/>
      <c r="P123" s="12"/>
      <c r="Q123" s="13" t="s">
        <v>201</v>
      </c>
      <c r="R123" s="13" t="s">
        <v>5</v>
      </c>
      <c r="S123" s="13" t="s">
        <v>209</v>
      </c>
      <c r="T123" s="14" t="s">
        <v>189</v>
      </c>
      <c r="U123" s="13" t="s">
        <v>190</v>
      </c>
      <c r="V123" s="13" t="s">
        <v>191</v>
      </c>
      <c r="W123" s="13" t="s">
        <v>192</v>
      </c>
      <c r="X123" s="13" t="s">
        <v>193</v>
      </c>
      <c r="Z123" s="12"/>
      <c r="AA123" s="12"/>
      <c r="AB123" s="12"/>
      <c r="AC123" s="12"/>
      <c r="AD123" s="12"/>
      <c r="AE123" s="12"/>
      <c r="AF123" s="12"/>
      <c r="AG123" s="12"/>
      <c r="AH123" s="12"/>
      <c r="AI123" s="12"/>
      <c r="AJ123" s="13" t="s">
        <v>201</v>
      </c>
      <c r="AK123" s="13" t="s">
        <v>5</v>
      </c>
      <c r="AL123" s="13" t="s">
        <v>211</v>
      </c>
      <c r="AM123" s="14" t="s">
        <v>189</v>
      </c>
      <c r="AN123" s="13" t="s">
        <v>190</v>
      </c>
      <c r="AO123" s="13" t="s">
        <v>191</v>
      </c>
      <c r="AP123" s="13" t="s">
        <v>192</v>
      </c>
      <c r="AQ123" s="13" t="s">
        <v>193</v>
      </c>
      <c r="AT123" s="12"/>
      <c r="AU123" s="13" t="s">
        <v>201</v>
      </c>
      <c r="AV123" s="13" t="s">
        <v>5</v>
      </c>
      <c r="AW123" s="13" t="s">
        <v>212</v>
      </c>
      <c r="AX123" s="14" t="s">
        <v>189</v>
      </c>
      <c r="AY123" s="13" t="s">
        <v>190</v>
      </c>
      <c r="AZ123" s="13" t="s">
        <v>191</v>
      </c>
      <c r="BA123" s="13" t="s">
        <v>192</v>
      </c>
      <c r="BB123" s="13" t="s">
        <v>193</v>
      </c>
      <c r="BE123" s="13" t="s">
        <v>201</v>
      </c>
      <c r="BF123" s="13" t="s">
        <v>5</v>
      </c>
      <c r="BG123" s="13" t="s">
        <v>188</v>
      </c>
      <c r="BH123" s="14" t="s">
        <v>189</v>
      </c>
      <c r="BI123" s="13" t="s">
        <v>190</v>
      </c>
      <c r="BJ123" s="13" t="s">
        <v>191</v>
      </c>
      <c r="BK123" s="13" t="s">
        <v>192</v>
      </c>
      <c r="BL123" s="13" t="s">
        <v>193</v>
      </c>
      <c r="BO123" s="13" t="s">
        <v>201</v>
      </c>
      <c r="BP123" s="13" t="s">
        <v>5</v>
      </c>
      <c r="BQ123" s="13" t="s">
        <v>202</v>
      </c>
      <c r="BR123" s="14" t="s">
        <v>189</v>
      </c>
      <c r="BS123" s="13" t="s">
        <v>190</v>
      </c>
      <c r="BT123" s="13" t="s">
        <v>191</v>
      </c>
      <c r="BU123" s="13" t="s">
        <v>192</v>
      </c>
      <c r="BV123" s="13" t="s">
        <v>193</v>
      </c>
      <c r="BY123" s="13" t="s">
        <v>201</v>
      </c>
      <c r="BZ123" s="13" t="s">
        <v>5</v>
      </c>
      <c r="CA123" s="13" t="s">
        <v>206</v>
      </c>
      <c r="CB123" s="14" t="s">
        <v>189</v>
      </c>
      <c r="CC123" s="13" t="s">
        <v>190</v>
      </c>
      <c r="CD123" s="13" t="s">
        <v>191</v>
      </c>
      <c r="CE123" s="13" t="s">
        <v>192</v>
      </c>
      <c r="CF123" s="13" t="s">
        <v>193</v>
      </c>
    </row>
    <row r="124" spans="1:92" ht="14.25" customHeight="1" x14ac:dyDescent="0.3">
      <c r="A124" s="3" t="s">
        <v>213</v>
      </c>
      <c r="B124" s="3">
        <v>15</v>
      </c>
      <c r="C124" s="18">
        <v>7</v>
      </c>
      <c r="D124" s="3">
        <v>16</v>
      </c>
      <c r="E124" s="3">
        <v>17</v>
      </c>
      <c r="F124" s="3">
        <v>8</v>
      </c>
      <c r="G124" s="13">
        <v>1.247177188019948</v>
      </c>
      <c r="H124" s="13">
        <v>17</v>
      </c>
      <c r="Q124" s="3" t="s">
        <v>213</v>
      </c>
      <c r="R124" s="3">
        <v>4</v>
      </c>
      <c r="S124" s="18">
        <v>5.666666666666667</v>
      </c>
      <c r="T124" s="3">
        <v>15</v>
      </c>
      <c r="U124" s="3">
        <v>14</v>
      </c>
      <c r="V124" s="3">
        <v>8</v>
      </c>
      <c r="W124" s="13">
        <v>1.247177188019948</v>
      </c>
      <c r="X124" s="13">
        <v>17</v>
      </c>
      <c r="AJ124" s="3" t="s">
        <v>213</v>
      </c>
      <c r="AK124" s="3">
        <v>14</v>
      </c>
      <c r="AL124" s="18">
        <v>3.6666666666666665</v>
      </c>
      <c r="AM124" s="3">
        <v>14</v>
      </c>
      <c r="AN124" s="3">
        <v>14</v>
      </c>
      <c r="AO124" s="3">
        <v>8</v>
      </c>
      <c r="AP124" s="13">
        <v>1.247177188019948</v>
      </c>
      <c r="AQ124" s="13">
        <v>17</v>
      </c>
      <c r="AU124" s="3" t="s">
        <v>213</v>
      </c>
      <c r="AV124" s="3">
        <v>3</v>
      </c>
      <c r="AW124" s="18">
        <v>6.666666666666667</v>
      </c>
      <c r="AX124" s="3">
        <v>2</v>
      </c>
      <c r="AY124" s="3">
        <v>2</v>
      </c>
      <c r="AZ124" s="3">
        <v>8</v>
      </c>
      <c r="BA124" s="13">
        <v>1.247177188019948</v>
      </c>
      <c r="BB124" s="13">
        <v>17</v>
      </c>
      <c r="BE124" s="3" t="s">
        <v>213</v>
      </c>
      <c r="BF124" s="3">
        <v>6</v>
      </c>
      <c r="BG124" s="18">
        <v>6</v>
      </c>
      <c r="BH124" s="3">
        <v>5</v>
      </c>
      <c r="BI124" s="3">
        <v>5</v>
      </c>
      <c r="BJ124" s="3">
        <v>8</v>
      </c>
      <c r="BK124" s="13">
        <v>1.247177188019948</v>
      </c>
      <c r="BL124" s="13">
        <v>17</v>
      </c>
      <c r="BO124" s="3" t="s">
        <v>213</v>
      </c>
      <c r="BP124" s="3">
        <v>6</v>
      </c>
      <c r="BQ124" s="18">
        <v>3.3333333333333335</v>
      </c>
      <c r="BR124" s="3">
        <v>6</v>
      </c>
      <c r="BS124" s="3">
        <v>6</v>
      </c>
      <c r="BT124" s="3">
        <v>8</v>
      </c>
      <c r="BU124" s="13">
        <v>1.247177188019948</v>
      </c>
      <c r="BV124" s="13">
        <v>17</v>
      </c>
      <c r="BY124" s="3" t="s">
        <v>213</v>
      </c>
      <c r="BZ124" s="3">
        <v>1</v>
      </c>
      <c r="CA124" s="18">
        <v>3.1111111111111112</v>
      </c>
      <c r="CB124" s="3">
        <v>1</v>
      </c>
      <c r="CC124" s="3">
        <v>1</v>
      </c>
      <c r="CD124" s="3">
        <v>8</v>
      </c>
      <c r="CE124" s="13">
        <v>1.247177188019948</v>
      </c>
      <c r="CF124" s="13">
        <v>17</v>
      </c>
    </row>
    <row r="125" spans="1:92" ht="14.25" customHeight="1" x14ac:dyDescent="0.3">
      <c r="A125" s="3" t="s">
        <v>215</v>
      </c>
      <c r="B125" s="3">
        <v>7</v>
      </c>
      <c r="C125" s="18">
        <v>6.1111111111111107</v>
      </c>
      <c r="D125" s="3">
        <v>6</v>
      </c>
      <c r="E125" s="3">
        <v>6</v>
      </c>
      <c r="F125" s="3">
        <v>7</v>
      </c>
      <c r="G125" s="13">
        <v>1.1425292918330761</v>
      </c>
      <c r="H125" s="13">
        <v>15</v>
      </c>
      <c r="Q125" s="3" t="s">
        <v>215</v>
      </c>
      <c r="R125" s="3">
        <v>5</v>
      </c>
      <c r="S125" s="18">
        <v>3.6666666666666665</v>
      </c>
      <c r="T125" s="3">
        <v>6</v>
      </c>
      <c r="U125" s="3">
        <v>4</v>
      </c>
      <c r="V125" s="3">
        <v>10</v>
      </c>
      <c r="W125" s="13">
        <v>1.1425292918330761</v>
      </c>
      <c r="X125" s="13">
        <v>15</v>
      </c>
      <c r="AJ125" s="3" t="s">
        <v>215</v>
      </c>
      <c r="AK125" s="3">
        <v>2</v>
      </c>
      <c r="AL125" s="18">
        <v>4.666666666666667</v>
      </c>
      <c r="AM125" s="3">
        <v>1</v>
      </c>
      <c r="AN125" s="3">
        <v>1</v>
      </c>
      <c r="AO125" s="3">
        <v>7</v>
      </c>
      <c r="AP125" s="13">
        <v>1.1425292918330761</v>
      </c>
      <c r="AQ125" s="13">
        <v>15</v>
      </c>
      <c r="AU125" s="3" t="s">
        <v>215</v>
      </c>
      <c r="AV125" s="3">
        <v>8</v>
      </c>
      <c r="AW125" s="18">
        <v>6.1111111111111107</v>
      </c>
      <c r="AX125" s="3">
        <v>5</v>
      </c>
      <c r="AY125" s="3">
        <v>1</v>
      </c>
      <c r="AZ125" s="3">
        <v>7</v>
      </c>
      <c r="BA125" s="13">
        <v>1.1425292918330761</v>
      </c>
      <c r="BB125" s="13">
        <v>15</v>
      </c>
      <c r="BE125" s="3" t="s">
        <v>215</v>
      </c>
      <c r="BF125" s="3">
        <v>2</v>
      </c>
      <c r="BG125" s="18">
        <v>4.1111111111111107</v>
      </c>
      <c r="BH125" s="3">
        <v>3</v>
      </c>
      <c r="BI125" s="3">
        <v>3</v>
      </c>
      <c r="BJ125" s="3">
        <v>9</v>
      </c>
      <c r="BK125" s="13">
        <v>1.1425292918330761</v>
      </c>
      <c r="BL125" s="13">
        <v>15</v>
      </c>
      <c r="BO125" s="3" t="s">
        <v>215</v>
      </c>
      <c r="BP125" s="3">
        <v>1</v>
      </c>
      <c r="BQ125" s="18">
        <v>5.5555555555555554</v>
      </c>
      <c r="BR125" s="3">
        <v>2</v>
      </c>
      <c r="BS125" s="3">
        <v>2</v>
      </c>
      <c r="BT125" s="3">
        <v>7</v>
      </c>
      <c r="BU125" s="13">
        <v>1.1425292918330761</v>
      </c>
      <c r="BV125" s="13">
        <v>15</v>
      </c>
      <c r="BY125" s="3" t="s">
        <v>215</v>
      </c>
      <c r="BZ125" s="3">
        <v>4</v>
      </c>
      <c r="CA125" s="18">
        <v>4.666666666666667</v>
      </c>
      <c r="CB125" s="3">
        <v>4</v>
      </c>
      <c r="CC125" s="3">
        <v>4</v>
      </c>
      <c r="CD125" s="3">
        <v>7</v>
      </c>
      <c r="CE125" s="13">
        <v>1.1425292918330761</v>
      </c>
      <c r="CF125" s="13">
        <v>15</v>
      </c>
    </row>
    <row r="126" spans="1:92" ht="14.25" customHeight="1" x14ac:dyDescent="0.3">
      <c r="A126" s="3" t="s">
        <v>216</v>
      </c>
      <c r="B126" s="3">
        <v>8</v>
      </c>
      <c r="C126" s="18">
        <v>5</v>
      </c>
      <c r="D126" s="3">
        <v>7</v>
      </c>
      <c r="E126" s="3">
        <v>7</v>
      </c>
      <c r="F126" s="3">
        <v>6</v>
      </c>
      <c r="G126" s="13">
        <v>1.123713972805261</v>
      </c>
      <c r="H126" s="13">
        <v>11</v>
      </c>
      <c r="Q126" s="3" t="s">
        <v>216</v>
      </c>
      <c r="R126" s="3">
        <v>3</v>
      </c>
      <c r="S126" s="18">
        <v>4.1111111111111107</v>
      </c>
      <c r="T126" s="3">
        <v>1</v>
      </c>
      <c r="U126" s="3">
        <v>0</v>
      </c>
      <c r="V126" s="3">
        <v>6</v>
      </c>
      <c r="W126" s="13">
        <v>1.123713972805261</v>
      </c>
      <c r="X126" s="13">
        <v>11</v>
      </c>
      <c r="AJ126" s="3" t="s">
        <v>216</v>
      </c>
      <c r="AK126" s="3">
        <v>2</v>
      </c>
      <c r="AL126" s="18">
        <v>3.7777777777777777</v>
      </c>
      <c r="AM126" s="3">
        <v>2</v>
      </c>
      <c r="AN126" s="3">
        <v>2</v>
      </c>
      <c r="AO126" s="3">
        <v>5</v>
      </c>
      <c r="AP126" s="13">
        <v>1.123713972805261</v>
      </c>
      <c r="AQ126" s="13">
        <v>11</v>
      </c>
      <c r="AU126" s="3" t="s">
        <v>216</v>
      </c>
      <c r="AV126" s="3">
        <v>5</v>
      </c>
      <c r="AW126" s="18">
        <v>6</v>
      </c>
      <c r="AX126" s="3">
        <v>3</v>
      </c>
      <c r="AY126" s="3">
        <v>4</v>
      </c>
      <c r="AZ126" s="3">
        <v>5</v>
      </c>
      <c r="BA126" s="13">
        <v>1.123713972805261</v>
      </c>
      <c r="BB126" s="13">
        <v>11</v>
      </c>
      <c r="BE126" s="3" t="s">
        <v>216</v>
      </c>
      <c r="BF126" s="3">
        <v>3</v>
      </c>
      <c r="BG126" s="18">
        <v>2.7777777777777777</v>
      </c>
      <c r="BH126" s="3">
        <v>1</v>
      </c>
      <c r="BI126" s="3">
        <v>6</v>
      </c>
      <c r="BJ126" s="3">
        <v>5</v>
      </c>
      <c r="BK126" s="13">
        <v>1.123713972805261</v>
      </c>
      <c r="BL126" s="13">
        <v>11</v>
      </c>
      <c r="BO126" s="3" t="s">
        <v>216</v>
      </c>
      <c r="BP126" s="3">
        <v>6</v>
      </c>
      <c r="BQ126" s="18">
        <v>3.2222222222222223</v>
      </c>
      <c r="BR126" s="3">
        <v>5</v>
      </c>
      <c r="BS126" s="3">
        <v>5</v>
      </c>
      <c r="BT126" s="3">
        <v>5</v>
      </c>
      <c r="BU126" s="13">
        <v>1.123713972805261</v>
      </c>
      <c r="BV126" s="13">
        <v>11</v>
      </c>
      <c r="BY126" s="3" t="s">
        <v>216</v>
      </c>
      <c r="BZ126" s="3">
        <v>4</v>
      </c>
      <c r="CA126" s="18">
        <v>3.2222222222222223</v>
      </c>
      <c r="CB126" s="3">
        <v>5</v>
      </c>
      <c r="CC126" s="3">
        <v>5</v>
      </c>
      <c r="CD126" s="3">
        <v>5</v>
      </c>
      <c r="CE126" s="13">
        <v>1.123713972805261</v>
      </c>
      <c r="CF126" s="13">
        <v>11</v>
      </c>
    </row>
    <row r="127" spans="1:92" ht="14.25" customHeight="1" x14ac:dyDescent="0.3">
      <c r="A127" s="3" t="s">
        <v>217</v>
      </c>
      <c r="B127" s="3">
        <v>4</v>
      </c>
      <c r="C127" s="18">
        <v>4.4444444444444446</v>
      </c>
      <c r="D127" s="3">
        <v>1</v>
      </c>
      <c r="E127" s="3">
        <v>1</v>
      </c>
      <c r="F127" s="3">
        <v>5</v>
      </c>
      <c r="G127" s="13">
        <v>1.1139196755889551</v>
      </c>
      <c r="H127" s="13">
        <v>11</v>
      </c>
      <c r="Q127" s="3" t="s">
        <v>217</v>
      </c>
      <c r="R127" s="3">
        <v>3</v>
      </c>
      <c r="S127" s="18">
        <v>4.666666666666667</v>
      </c>
      <c r="T127" s="3">
        <v>0</v>
      </c>
      <c r="U127" s="3">
        <v>0</v>
      </c>
      <c r="V127" s="3">
        <v>5</v>
      </c>
      <c r="W127" s="13">
        <v>1.1139196755889551</v>
      </c>
      <c r="X127" s="13">
        <v>11</v>
      </c>
      <c r="AJ127" s="3" t="s">
        <v>217</v>
      </c>
      <c r="AK127" s="3">
        <v>5</v>
      </c>
      <c r="AL127" s="18">
        <v>5.7777777777777777</v>
      </c>
      <c r="AM127" s="3">
        <v>0</v>
      </c>
      <c r="AN127" s="3">
        <v>0</v>
      </c>
      <c r="AO127" s="3">
        <v>5</v>
      </c>
      <c r="AP127" s="13">
        <v>1.1139196755889551</v>
      </c>
      <c r="AQ127" s="13">
        <v>11</v>
      </c>
      <c r="AU127" s="3" t="s">
        <v>217</v>
      </c>
      <c r="AV127" s="3">
        <v>4</v>
      </c>
      <c r="AW127" s="18">
        <v>3.3333333333333335</v>
      </c>
      <c r="AX127" s="3">
        <v>0</v>
      </c>
      <c r="AY127" s="3">
        <v>0</v>
      </c>
      <c r="AZ127" s="3">
        <v>5</v>
      </c>
      <c r="BA127" s="13">
        <v>1.1139196755889551</v>
      </c>
      <c r="BB127" s="13">
        <v>11</v>
      </c>
      <c r="BE127" s="3" t="s">
        <v>217</v>
      </c>
      <c r="BF127" s="3">
        <v>1</v>
      </c>
      <c r="BG127" s="18">
        <v>2.7777777777777777</v>
      </c>
      <c r="BH127" s="3">
        <v>0</v>
      </c>
      <c r="BI127" s="3">
        <v>0</v>
      </c>
      <c r="BJ127" s="3">
        <v>5</v>
      </c>
      <c r="BK127" s="13">
        <v>1.1139196755889551</v>
      </c>
      <c r="BL127" s="13">
        <v>11</v>
      </c>
      <c r="BO127" s="3" t="s">
        <v>217</v>
      </c>
      <c r="BP127" s="3">
        <v>2</v>
      </c>
      <c r="BQ127" s="18">
        <v>2.7777777777777777</v>
      </c>
      <c r="BR127" s="3">
        <v>2</v>
      </c>
      <c r="BS127" s="3">
        <v>2</v>
      </c>
      <c r="BT127" s="3">
        <v>5</v>
      </c>
      <c r="BU127" s="13">
        <v>1.1139196755889551</v>
      </c>
      <c r="BV127" s="13">
        <v>11</v>
      </c>
      <c r="BY127" s="3" t="s">
        <v>217</v>
      </c>
      <c r="BZ127" s="3">
        <v>2</v>
      </c>
      <c r="CA127" s="18">
        <v>2.8888888888888888</v>
      </c>
      <c r="CB127" s="3">
        <v>2</v>
      </c>
      <c r="CC127" s="3">
        <v>2</v>
      </c>
      <c r="CD127" s="3">
        <v>5</v>
      </c>
      <c r="CE127" s="13">
        <v>1.1139196755889551</v>
      </c>
      <c r="CF127" s="13">
        <v>11</v>
      </c>
    </row>
    <row r="128" spans="1:92" ht="14.25" customHeight="1" x14ac:dyDescent="0.3">
      <c r="A128" s="3" t="s">
        <v>218</v>
      </c>
      <c r="B128" s="3">
        <v>4</v>
      </c>
      <c r="C128" s="18">
        <v>3.5555555555555554</v>
      </c>
      <c r="D128" s="3">
        <v>2</v>
      </c>
      <c r="E128" s="3">
        <v>2</v>
      </c>
      <c r="F128" s="3">
        <v>5</v>
      </c>
      <c r="G128" s="13">
        <v>1.0416402811862899</v>
      </c>
      <c r="H128" s="13">
        <v>11</v>
      </c>
      <c r="Q128" s="3" t="s">
        <v>218</v>
      </c>
      <c r="R128" s="3">
        <v>3</v>
      </c>
      <c r="S128" s="18">
        <v>2.6666666666666665</v>
      </c>
      <c r="T128" s="3">
        <v>5</v>
      </c>
      <c r="U128" s="3">
        <v>5</v>
      </c>
      <c r="V128" s="3">
        <v>5</v>
      </c>
      <c r="W128" s="13">
        <v>1.0416402811862899</v>
      </c>
      <c r="X128" s="13">
        <v>11</v>
      </c>
      <c r="AJ128" s="3" t="s">
        <v>218</v>
      </c>
      <c r="AK128" s="3">
        <v>1</v>
      </c>
      <c r="AL128" s="18">
        <v>1.4444444444444444</v>
      </c>
      <c r="AM128" s="3">
        <v>0</v>
      </c>
      <c r="AN128" s="3">
        <v>0</v>
      </c>
      <c r="AO128" s="3">
        <v>5</v>
      </c>
      <c r="AP128" s="13">
        <v>1.0416402811862899</v>
      </c>
      <c r="AQ128" s="13">
        <v>11</v>
      </c>
      <c r="AU128" s="3" t="s">
        <v>218</v>
      </c>
      <c r="AV128" s="3">
        <v>2</v>
      </c>
      <c r="AW128" s="18">
        <v>4</v>
      </c>
      <c r="AX128" s="3">
        <v>0</v>
      </c>
      <c r="AY128" s="3">
        <v>0</v>
      </c>
      <c r="AZ128" s="3">
        <v>5</v>
      </c>
      <c r="BA128" s="13">
        <v>1.0416402811862899</v>
      </c>
      <c r="BB128" s="13">
        <v>11</v>
      </c>
      <c r="BE128" s="3" t="s">
        <v>218</v>
      </c>
      <c r="BF128" s="3">
        <v>0</v>
      </c>
      <c r="BG128" s="18">
        <v>1.7777777777777777</v>
      </c>
      <c r="BH128" s="3">
        <v>0</v>
      </c>
      <c r="BI128" s="3">
        <v>0</v>
      </c>
      <c r="BJ128" s="3">
        <v>5</v>
      </c>
      <c r="BK128" s="13">
        <v>1.0416402811862899</v>
      </c>
      <c r="BL128" s="13">
        <v>11</v>
      </c>
      <c r="BO128" s="3" t="s">
        <v>218</v>
      </c>
      <c r="BP128" s="3">
        <v>1</v>
      </c>
      <c r="BQ128" s="18">
        <v>3</v>
      </c>
      <c r="BR128" s="3">
        <v>1</v>
      </c>
      <c r="BS128" s="3">
        <v>1</v>
      </c>
      <c r="BT128" s="3">
        <v>5</v>
      </c>
      <c r="BU128" s="13">
        <v>1.0416402811862899</v>
      </c>
      <c r="BV128" s="13">
        <v>11</v>
      </c>
      <c r="BY128" s="3" t="s">
        <v>218</v>
      </c>
      <c r="BZ128" s="3">
        <v>1</v>
      </c>
      <c r="CA128" s="18">
        <v>2.8888888888888888</v>
      </c>
      <c r="CB128" s="3">
        <v>0</v>
      </c>
      <c r="CC128" s="3">
        <v>0</v>
      </c>
      <c r="CD128" s="3">
        <v>5</v>
      </c>
      <c r="CE128" s="13">
        <v>1.0416402811862899</v>
      </c>
      <c r="CF128" s="13">
        <v>11</v>
      </c>
    </row>
    <row r="129" spans="1:84" ht="14.25" customHeight="1" x14ac:dyDescent="0.3">
      <c r="A129" s="3" t="s">
        <v>220</v>
      </c>
      <c r="B129" s="3">
        <v>4</v>
      </c>
      <c r="C129" s="18">
        <v>10.222222222222221</v>
      </c>
      <c r="D129" s="3">
        <v>0</v>
      </c>
      <c r="E129" s="3">
        <v>0</v>
      </c>
      <c r="F129" s="3">
        <v>11</v>
      </c>
      <c r="G129" s="13">
        <v>0.99583449612816577</v>
      </c>
      <c r="H129" s="13">
        <v>29</v>
      </c>
      <c r="Q129" s="3" t="s">
        <v>220</v>
      </c>
      <c r="R129" s="3">
        <v>9</v>
      </c>
      <c r="S129" s="18">
        <v>10.333333333333334</v>
      </c>
      <c r="T129" s="3">
        <v>14</v>
      </c>
      <c r="U129" s="3">
        <v>13</v>
      </c>
      <c r="V129" s="3">
        <v>11</v>
      </c>
      <c r="W129" s="13">
        <v>0.99583449612816577</v>
      </c>
      <c r="X129" s="13">
        <v>29</v>
      </c>
      <c r="AJ129" s="3" t="s">
        <v>220</v>
      </c>
      <c r="AK129" s="3">
        <v>7</v>
      </c>
      <c r="AL129" s="18">
        <v>5.666666666666667</v>
      </c>
      <c r="AM129" s="3">
        <v>4</v>
      </c>
      <c r="AN129" s="3">
        <v>3</v>
      </c>
      <c r="AO129" s="3">
        <v>15</v>
      </c>
      <c r="AP129" s="13">
        <v>0.99583449612816577</v>
      </c>
      <c r="AQ129" s="13">
        <v>29</v>
      </c>
      <c r="AU129" s="3" t="s">
        <v>220</v>
      </c>
      <c r="AV129" s="3">
        <v>2</v>
      </c>
      <c r="AW129" s="18">
        <v>5.2222222222222223</v>
      </c>
      <c r="AX129" s="3">
        <v>1</v>
      </c>
      <c r="AY129" s="3">
        <v>2</v>
      </c>
      <c r="AZ129" s="3">
        <v>13</v>
      </c>
      <c r="BA129" s="13">
        <v>0.99583449612816577</v>
      </c>
      <c r="BB129" s="13">
        <v>29</v>
      </c>
      <c r="BE129" s="3" t="s">
        <v>220</v>
      </c>
      <c r="BF129" s="3">
        <v>3</v>
      </c>
      <c r="BG129" s="18">
        <v>5.333333333333333</v>
      </c>
      <c r="BH129" s="3">
        <v>1</v>
      </c>
      <c r="BI129" s="3">
        <v>1</v>
      </c>
      <c r="BJ129" s="3">
        <v>17</v>
      </c>
      <c r="BK129" s="13">
        <v>0.99583449612816577</v>
      </c>
      <c r="BL129" s="13">
        <v>29</v>
      </c>
      <c r="BO129" s="3" t="s">
        <v>220</v>
      </c>
      <c r="BP129" s="3">
        <v>6</v>
      </c>
      <c r="BQ129" s="18">
        <v>8</v>
      </c>
      <c r="BR129" s="3">
        <v>7</v>
      </c>
      <c r="BS129" s="3">
        <v>6</v>
      </c>
      <c r="BT129" s="3">
        <v>11</v>
      </c>
      <c r="BU129" s="13">
        <v>0.99583449612816577</v>
      </c>
      <c r="BV129" s="13">
        <v>29</v>
      </c>
      <c r="BY129" s="3" t="s">
        <v>220</v>
      </c>
      <c r="BZ129" s="3">
        <v>1</v>
      </c>
      <c r="CA129" s="18">
        <v>5.4444444444444446</v>
      </c>
      <c r="CB129" s="3">
        <v>1</v>
      </c>
      <c r="CC129" s="3">
        <v>1</v>
      </c>
      <c r="CD129" s="3">
        <v>19</v>
      </c>
      <c r="CE129" s="13">
        <v>0.99583449612816577</v>
      </c>
      <c r="CF129" s="13">
        <v>29</v>
      </c>
    </row>
    <row r="130" spans="1:84" ht="14.25" customHeight="1" x14ac:dyDescent="0.3">
      <c r="A130" s="3" t="s">
        <v>223</v>
      </c>
      <c r="B130" s="3">
        <v>6</v>
      </c>
      <c r="C130" s="18">
        <v>6.7777777777777777</v>
      </c>
      <c r="D130" s="3">
        <v>6</v>
      </c>
      <c r="E130" s="3">
        <v>4</v>
      </c>
      <c r="F130" s="3">
        <v>7</v>
      </c>
      <c r="G130" s="13">
        <v>0.9957863323050703</v>
      </c>
      <c r="H130" s="13">
        <v>15</v>
      </c>
      <c r="Q130" s="3" t="s">
        <v>223</v>
      </c>
      <c r="R130" s="3">
        <v>4</v>
      </c>
      <c r="S130" s="18">
        <v>6</v>
      </c>
      <c r="T130" s="3">
        <v>3</v>
      </c>
      <c r="U130" s="3">
        <v>5</v>
      </c>
      <c r="V130" s="3">
        <v>7</v>
      </c>
      <c r="W130" s="13">
        <v>0.9957863323050703</v>
      </c>
      <c r="X130" s="13">
        <v>15</v>
      </c>
      <c r="AJ130" s="3" t="s">
        <v>223</v>
      </c>
      <c r="AK130" s="3">
        <v>10</v>
      </c>
      <c r="AL130" s="18">
        <v>9</v>
      </c>
      <c r="AM130" s="3">
        <v>13</v>
      </c>
      <c r="AN130" s="3">
        <v>10</v>
      </c>
      <c r="AO130" s="3">
        <v>7</v>
      </c>
      <c r="AP130" s="13">
        <v>0.9957863323050703</v>
      </c>
      <c r="AQ130" s="13">
        <v>15</v>
      </c>
      <c r="AU130" s="3" t="s">
        <v>223</v>
      </c>
      <c r="AV130" s="3">
        <v>13</v>
      </c>
      <c r="AW130" s="18">
        <v>7.8888888888888893</v>
      </c>
      <c r="AX130" s="3">
        <v>13</v>
      </c>
      <c r="AY130" s="3">
        <v>12</v>
      </c>
      <c r="AZ130" s="3">
        <v>8</v>
      </c>
      <c r="BA130" s="13">
        <v>0.9957863323050703</v>
      </c>
      <c r="BB130" s="13">
        <v>15</v>
      </c>
      <c r="BE130" s="3" t="s">
        <v>223</v>
      </c>
      <c r="BF130" s="3">
        <v>10</v>
      </c>
      <c r="BG130" s="18">
        <v>4.8888888888888893</v>
      </c>
      <c r="BH130" s="3">
        <v>5</v>
      </c>
      <c r="BI130" s="3">
        <v>6</v>
      </c>
      <c r="BJ130" s="3">
        <v>7</v>
      </c>
      <c r="BK130" s="13">
        <v>0.9957863323050703</v>
      </c>
      <c r="BL130" s="13">
        <v>15</v>
      </c>
      <c r="BO130" s="3" t="s">
        <v>223</v>
      </c>
      <c r="BP130" s="3">
        <v>4</v>
      </c>
      <c r="BQ130" s="18">
        <v>4.4444444444444446</v>
      </c>
      <c r="BR130" s="3">
        <v>5</v>
      </c>
      <c r="BS130" s="3">
        <v>4</v>
      </c>
      <c r="BT130" s="3">
        <v>7</v>
      </c>
      <c r="BU130" s="13">
        <v>0.9957863323050703</v>
      </c>
      <c r="BV130" s="13">
        <v>15</v>
      </c>
      <c r="BY130" s="3" t="s">
        <v>223</v>
      </c>
      <c r="BZ130" s="3">
        <v>3</v>
      </c>
      <c r="CA130" s="18">
        <v>3</v>
      </c>
      <c r="CB130" s="3">
        <v>1</v>
      </c>
      <c r="CC130" s="3">
        <v>1</v>
      </c>
      <c r="CD130" s="3">
        <v>7</v>
      </c>
      <c r="CE130" s="13">
        <v>0.9957863323050703</v>
      </c>
      <c r="CF130" s="13">
        <v>15</v>
      </c>
    </row>
    <row r="131" spans="1:84" ht="14.25" customHeight="1" x14ac:dyDescent="0.3">
      <c r="A131" s="3" t="s">
        <v>224</v>
      </c>
      <c r="B131" s="3">
        <v>2</v>
      </c>
      <c r="C131" s="18">
        <v>1.8888888888888888</v>
      </c>
      <c r="D131" s="3">
        <v>0</v>
      </c>
      <c r="E131" s="3">
        <v>0</v>
      </c>
      <c r="F131" s="3">
        <v>5</v>
      </c>
      <c r="G131" s="13">
        <v>0.98995442105744402</v>
      </c>
      <c r="H131" s="13">
        <v>11</v>
      </c>
      <c r="Q131" s="3" t="s">
        <v>224</v>
      </c>
      <c r="R131" s="3">
        <v>3</v>
      </c>
      <c r="S131" s="18">
        <v>1.5555555555555556</v>
      </c>
      <c r="T131" s="3">
        <v>0</v>
      </c>
      <c r="U131" s="3">
        <v>0</v>
      </c>
      <c r="V131" s="3">
        <v>5</v>
      </c>
      <c r="W131" s="13">
        <v>0.98995442105744402</v>
      </c>
      <c r="X131" s="13">
        <v>11</v>
      </c>
      <c r="AJ131" s="3" t="s">
        <v>224</v>
      </c>
      <c r="AK131" s="3">
        <v>0</v>
      </c>
      <c r="AL131" s="18">
        <v>0.88888888888888884</v>
      </c>
      <c r="AM131" s="3">
        <v>8</v>
      </c>
      <c r="AN131" s="3">
        <v>7</v>
      </c>
      <c r="AO131" s="3">
        <v>5</v>
      </c>
      <c r="AP131" s="13">
        <v>0.98995442105744402</v>
      </c>
      <c r="AQ131" s="13">
        <v>11</v>
      </c>
      <c r="AU131" s="3" t="s">
        <v>224</v>
      </c>
      <c r="AV131" s="3">
        <v>0</v>
      </c>
      <c r="AW131" s="18">
        <v>3.1111111111111112</v>
      </c>
      <c r="AX131" s="3">
        <v>0</v>
      </c>
      <c r="AY131" s="3">
        <v>0</v>
      </c>
      <c r="AZ131" s="3">
        <v>5</v>
      </c>
      <c r="BA131" s="13">
        <v>0.98995442105744402</v>
      </c>
      <c r="BB131" s="13">
        <v>11</v>
      </c>
      <c r="BE131" s="3" t="s">
        <v>224</v>
      </c>
      <c r="BF131" s="3">
        <v>1</v>
      </c>
      <c r="BG131" s="18">
        <v>2.3333333333333335</v>
      </c>
      <c r="BH131" s="3">
        <v>0</v>
      </c>
      <c r="BI131" s="3">
        <v>0</v>
      </c>
      <c r="BJ131" s="3">
        <v>5</v>
      </c>
      <c r="BK131" s="13">
        <v>0.98995442105744402</v>
      </c>
      <c r="BL131" s="13">
        <v>11</v>
      </c>
      <c r="BO131" s="3" t="s">
        <v>224</v>
      </c>
      <c r="BP131" s="3">
        <v>6</v>
      </c>
      <c r="BQ131" s="18">
        <v>3.7777777777777777</v>
      </c>
      <c r="BR131" s="3">
        <v>5</v>
      </c>
      <c r="BS131" s="3">
        <v>4</v>
      </c>
      <c r="BT131" s="3">
        <v>5</v>
      </c>
      <c r="BU131" s="13">
        <v>0.98995442105744402</v>
      </c>
      <c r="BV131" s="13">
        <v>11</v>
      </c>
      <c r="BY131" s="3" t="s">
        <v>224</v>
      </c>
      <c r="BZ131" s="3">
        <v>4</v>
      </c>
      <c r="CA131" s="18">
        <v>1.8888888888888888</v>
      </c>
      <c r="CB131" s="3">
        <v>2</v>
      </c>
      <c r="CC131" s="3">
        <v>2</v>
      </c>
      <c r="CD131" s="3">
        <v>5</v>
      </c>
      <c r="CE131" s="13">
        <v>0.98995442105744402</v>
      </c>
      <c r="CF131" s="13">
        <v>11</v>
      </c>
    </row>
    <row r="132" spans="1:84" ht="14.25" customHeight="1" x14ac:dyDescent="0.3">
      <c r="A132" s="3" t="s">
        <v>225</v>
      </c>
      <c r="B132" s="3">
        <v>3</v>
      </c>
      <c r="C132" s="18">
        <v>2.6666666666666665</v>
      </c>
      <c r="D132" s="3">
        <v>3</v>
      </c>
      <c r="E132" s="3">
        <v>3</v>
      </c>
      <c r="F132" s="3">
        <v>7</v>
      </c>
      <c r="G132" s="13">
        <v>0.8928339600558084</v>
      </c>
      <c r="H132" s="13">
        <v>15</v>
      </c>
      <c r="Q132" s="3" t="s">
        <v>225</v>
      </c>
      <c r="R132" s="3">
        <v>4</v>
      </c>
      <c r="S132" s="18">
        <v>5</v>
      </c>
      <c r="T132" s="3">
        <v>5</v>
      </c>
      <c r="U132" s="3">
        <v>4</v>
      </c>
      <c r="V132" s="3">
        <v>9</v>
      </c>
      <c r="W132" s="13">
        <v>0.8928339600558084</v>
      </c>
      <c r="X132" s="13">
        <v>15</v>
      </c>
      <c r="AJ132" s="3" t="s">
        <v>225</v>
      </c>
      <c r="AK132" s="3">
        <v>3</v>
      </c>
      <c r="AL132" s="18">
        <v>4.5555555555555554</v>
      </c>
      <c r="AM132" s="3">
        <v>6</v>
      </c>
      <c r="AN132" s="3">
        <v>6</v>
      </c>
      <c r="AO132" s="3">
        <v>7</v>
      </c>
      <c r="AP132" s="13">
        <v>0.8928339600558084</v>
      </c>
      <c r="AQ132" s="13">
        <v>15</v>
      </c>
      <c r="AU132" s="3" t="s">
        <v>225</v>
      </c>
      <c r="AV132" s="3">
        <v>0</v>
      </c>
      <c r="AW132" s="18">
        <v>4.333333333333333</v>
      </c>
      <c r="AX132" s="3">
        <v>0</v>
      </c>
      <c r="AY132" s="3">
        <v>2</v>
      </c>
      <c r="AZ132" s="3">
        <v>7</v>
      </c>
      <c r="BA132" s="13">
        <v>0.8928339600558084</v>
      </c>
      <c r="BB132" s="13">
        <v>15</v>
      </c>
      <c r="BE132" s="3" t="s">
        <v>225</v>
      </c>
      <c r="BF132" s="3">
        <v>2</v>
      </c>
      <c r="BG132" s="18">
        <v>2.4444444444444446</v>
      </c>
      <c r="BH132" s="3">
        <v>0</v>
      </c>
      <c r="BI132" s="3">
        <v>0</v>
      </c>
      <c r="BJ132" s="3">
        <v>7</v>
      </c>
      <c r="BK132" s="13">
        <v>0.8928339600558084</v>
      </c>
      <c r="BL132" s="13">
        <v>15</v>
      </c>
      <c r="BO132" s="3" t="s">
        <v>225</v>
      </c>
      <c r="BP132" s="3">
        <v>5</v>
      </c>
      <c r="BQ132" s="18">
        <v>5.8888888888888893</v>
      </c>
      <c r="BR132" s="3">
        <v>0</v>
      </c>
      <c r="BS132" s="3">
        <v>0</v>
      </c>
      <c r="BT132" s="3">
        <v>7</v>
      </c>
      <c r="BU132" s="13">
        <v>0.8928339600558084</v>
      </c>
      <c r="BV132" s="13">
        <v>15</v>
      </c>
      <c r="BY132" s="3" t="s">
        <v>225</v>
      </c>
      <c r="BZ132" s="3">
        <v>5</v>
      </c>
      <c r="CA132" s="18">
        <v>3.3333333333333335</v>
      </c>
      <c r="CB132" s="3">
        <v>1</v>
      </c>
      <c r="CC132" s="3">
        <v>1</v>
      </c>
      <c r="CD132" s="3">
        <v>7</v>
      </c>
      <c r="CE132" s="13">
        <v>0.8928339600558084</v>
      </c>
      <c r="CF132" s="13">
        <v>15</v>
      </c>
    </row>
    <row r="133" spans="1:84" ht="14.25" customHeight="1" x14ac:dyDescent="0.3">
      <c r="A133" s="3" t="s">
        <v>227</v>
      </c>
      <c r="B133" s="3">
        <v>7</v>
      </c>
      <c r="C133" s="18">
        <v>2.4444444444444446</v>
      </c>
      <c r="D133" s="3">
        <v>7</v>
      </c>
      <c r="E133" s="3">
        <v>7</v>
      </c>
      <c r="F133" s="3">
        <v>7</v>
      </c>
      <c r="G133" s="13">
        <v>0.88597893866063815</v>
      </c>
      <c r="H133" s="13">
        <v>11</v>
      </c>
      <c r="Q133" s="3" t="s">
        <v>227</v>
      </c>
      <c r="R133" s="3">
        <v>3</v>
      </c>
      <c r="S133" s="18">
        <v>3.4444444444444446</v>
      </c>
      <c r="T133" s="3">
        <v>10</v>
      </c>
      <c r="U133" s="3">
        <v>10</v>
      </c>
      <c r="V133" s="3">
        <v>5</v>
      </c>
      <c r="W133" s="13">
        <v>0.88597893866063815</v>
      </c>
      <c r="X133" s="13">
        <v>11</v>
      </c>
      <c r="AJ133" s="3" t="s">
        <v>227</v>
      </c>
      <c r="AK133" s="3">
        <v>5</v>
      </c>
      <c r="AL133" s="18">
        <v>4.5555555555555554</v>
      </c>
      <c r="AM133" s="3">
        <v>4</v>
      </c>
      <c r="AN133" s="3">
        <v>5</v>
      </c>
      <c r="AO133" s="3">
        <v>5</v>
      </c>
      <c r="AP133" s="13">
        <v>0.88597893866063815</v>
      </c>
      <c r="AQ133" s="13">
        <v>11</v>
      </c>
      <c r="AU133" s="3" t="s">
        <v>227</v>
      </c>
      <c r="AV133" s="3">
        <v>1</v>
      </c>
      <c r="AW133" s="18">
        <v>4.7777777777777777</v>
      </c>
      <c r="AX133" s="3">
        <v>2</v>
      </c>
      <c r="AY133" s="3">
        <v>2</v>
      </c>
      <c r="AZ133" s="3">
        <v>5</v>
      </c>
      <c r="BA133" s="13">
        <v>0.88597893866063815</v>
      </c>
      <c r="BB133" s="13">
        <v>11</v>
      </c>
      <c r="BE133" s="3" t="s">
        <v>227</v>
      </c>
      <c r="BF133" s="3">
        <v>9</v>
      </c>
      <c r="BG133" s="18">
        <v>4.4444444444444446</v>
      </c>
      <c r="BH133" s="3">
        <v>7</v>
      </c>
      <c r="BI133" s="3">
        <v>10</v>
      </c>
      <c r="BJ133" s="3">
        <v>5</v>
      </c>
      <c r="BK133" s="13">
        <v>0.88597893866063815</v>
      </c>
      <c r="BL133" s="13">
        <v>11</v>
      </c>
      <c r="BO133" s="3" t="s">
        <v>227</v>
      </c>
      <c r="BP133" s="3">
        <v>10</v>
      </c>
      <c r="BQ133" s="18">
        <v>2.5555555555555554</v>
      </c>
      <c r="BR133" s="3">
        <v>6</v>
      </c>
      <c r="BS133" s="3">
        <v>6</v>
      </c>
      <c r="BT133" s="3">
        <v>5</v>
      </c>
      <c r="BU133" s="13">
        <v>0.88597893866063815</v>
      </c>
      <c r="BV133" s="13">
        <v>11</v>
      </c>
      <c r="BY133" s="3" t="s">
        <v>227</v>
      </c>
      <c r="BZ133" s="3">
        <v>3</v>
      </c>
      <c r="CA133" s="18">
        <v>3.7777777777777777</v>
      </c>
      <c r="CB133" s="3">
        <v>0</v>
      </c>
      <c r="CC133" s="3">
        <v>0</v>
      </c>
      <c r="CD133" s="3">
        <v>5</v>
      </c>
      <c r="CE133" s="13">
        <v>0.88597893866063815</v>
      </c>
      <c r="CF133" s="13">
        <v>11</v>
      </c>
    </row>
    <row r="134" spans="1:84" ht="14.25" customHeight="1" x14ac:dyDescent="0.3">
      <c r="A134" s="3" t="s">
        <v>229</v>
      </c>
      <c r="B134" s="3">
        <v>3</v>
      </c>
      <c r="C134" s="18">
        <v>6.666666666666667</v>
      </c>
      <c r="D134" s="3">
        <v>6</v>
      </c>
      <c r="E134" s="3">
        <v>9</v>
      </c>
      <c r="F134" s="3">
        <v>13</v>
      </c>
      <c r="G134" s="13">
        <v>-1.0923718971587979</v>
      </c>
      <c r="H134" s="13">
        <v>15</v>
      </c>
      <c r="Q134" s="3" t="s">
        <v>229</v>
      </c>
      <c r="R134" s="3">
        <v>12</v>
      </c>
      <c r="S134" s="18">
        <v>9</v>
      </c>
      <c r="T134" s="3">
        <v>12</v>
      </c>
      <c r="U134" s="3">
        <v>11</v>
      </c>
      <c r="V134" s="3">
        <v>2</v>
      </c>
      <c r="W134" s="13">
        <v>-1.0923718971587979</v>
      </c>
      <c r="X134" s="13">
        <v>15</v>
      </c>
      <c r="AJ134" s="3" t="s">
        <v>229</v>
      </c>
      <c r="AK134" s="3">
        <v>7</v>
      </c>
      <c r="AL134" s="18">
        <v>9.4444444444444446</v>
      </c>
      <c r="AM134" s="3">
        <v>7</v>
      </c>
      <c r="AN134" s="3">
        <v>10</v>
      </c>
      <c r="AO134" s="3">
        <v>2</v>
      </c>
      <c r="AP134" s="13">
        <v>-1.0923718971587979</v>
      </c>
      <c r="AQ134" s="13">
        <v>15</v>
      </c>
      <c r="AU134" s="3" t="s">
        <v>229</v>
      </c>
      <c r="AV134" s="3">
        <v>8</v>
      </c>
      <c r="AW134" s="18">
        <v>8.3333333333333339</v>
      </c>
      <c r="AX134" s="3">
        <v>12</v>
      </c>
      <c r="AY134" s="3">
        <v>13</v>
      </c>
      <c r="AZ134" s="3">
        <v>2</v>
      </c>
      <c r="BA134" s="13">
        <v>-1.0923718971587979</v>
      </c>
      <c r="BB134" s="13">
        <v>15</v>
      </c>
      <c r="BE134" s="3" t="s">
        <v>229</v>
      </c>
      <c r="BF134" s="3">
        <v>11</v>
      </c>
      <c r="BG134" s="18">
        <v>10.777777777777779</v>
      </c>
      <c r="BH134" s="3">
        <v>14</v>
      </c>
      <c r="BI134" s="3">
        <v>14</v>
      </c>
      <c r="BJ134" s="3">
        <v>2</v>
      </c>
      <c r="BK134" s="13">
        <v>-1.0923718971587979</v>
      </c>
      <c r="BL134" s="13">
        <v>15</v>
      </c>
      <c r="BO134" s="3" t="s">
        <v>229</v>
      </c>
      <c r="BP134" s="3">
        <v>13</v>
      </c>
      <c r="BQ134" s="18">
        <v>10</v>
      </c>
      <c r="BR134" s="3">
        <v>13</v>
      </c>
      <c r="BS134" s="3">
        <v>12</v>
      </c>
      <c r="BT134" s="3">
        <v>6</v>
      </c>
      <c r="BU134" s="13">
        <v>-1.0923718971587979</v>
      </c>
      <c r="BV134" s="13">
        <v>15</v>
      </c>
      <c r="BY134" s="3" t="s">
        <v>229</v>
      </c>
      <c r="BZ134" s="3">
        <v>10</v>
      </c>
      <c r="CA134" s="18">
        <v>9.8888888888888893</v>
      </c>
      <c r="CB134" s="3">
        <v>8</v>
      </c>
      <c r="CC134" s="3">
        <v>8</v>
      </c>
      <c r="CD134" s="3">
        <v>4</v>
      </c>
      <c r="CE134" s="13">
        <v>-1.0923718971587979</v>
      </c>
      <c r="CF134" s="13">
        <v>15</v>
      </c>
    </row>
    <row r="135" spans="1:84" ht="14.25" customHeight="1" x14ac:dyDescent="0.3">
      <c r="A135" s="3" t="s">
        <v>232</v>
      </c>
      <c r="B135" s="3">
        <v>3</v>
      </c>
      <c r="C135" s="18">
        <v>10.333333333333334</v>
      </c>
      <c r="D135" s="3">
        <v>2</v>
      </c>
      <c r="E135" s="3">
        <v>2</v>
      </c>
      <c r="F135" s="3">
        <v>3</v>
      </c>
      <c r="G135" s="13">
        <v>-1.1154133211974251</v>
      </c>
      <c r="H135" s="13">
        <v>19</v>
      </c>
      <c r="Q135" s="3" t="s">
        <v>232</v>
      </c>
      <c r="R135" s="3">
        <v>15</v>
      </c>
      <c r="S135" s="18">
        <v>13.111111111111111</v>
      </c>
      <c r="T135" s="3">
        <v>6</v>
      </c>
      <c r="U135" s="3">
        <v>6</v>
      </c>
      <c r="V135" s="3">
        <v>6</v>
      </c>
      <c r="W135" s="13">
        <v>-1.1154133211974251</v>
      </c>
      <c r="X135" s="13">
        <v>19</v>
      </c>
      <c r="AJ135" s="3" t="s">
        <v>232</v>
      </c>
      <c r="AK135" s="3">
        <v>18</v>
      </c>
      <c r="AL135" s="18">
        <v>13.111111111111111</v>
      </c>
      <c r="AM135" s="3">
        <v>18</v>
      </c>
      <c r="AN135" s="3">
        <v>18</v>
      </c>
      <c r="AO135" s="3">
        <v>3</v>
      </c>
      <c r="AP135" s="13">
        <v>-1.1154133211974251</v>
      </c>
      <c r="AQ135" s="13">
        <v>19</v>
      </c>
      <c r="AU135" s="3" t="s">
        <v>232</v>
      </c>
      <c r="AV135" s="3">
        <v>16</v>
      </c>
      <c r="AW135" s="18">
        <v>13.555555555555555</v>
      </c>
      <c r="AX135" s="3">
        <v>15</v>
      </c>
      <c r="AY135" s="3">
        <v>15</v>
      </c>
      <c r="AZ135" s="3">
        <v>16</v>
      </c>
      <c r="BA135" s="13">
        <v>-1.1154133211974251</v>
      </c>
      <c r="BB135" s="13">
        <v>19</v>
      </c>
      <c r="BE135" s="3" t="s">
        <v>232</v>
      </c>
      <c r="BF135" s="3">
        <v>19</v>
      </c>
      <c r="BG135" s="18">
        <v>15.888888888888889</v>
      </c>
      <c r="BH135" s="3">
        <v>18</v>
      </c>
      <c r="BI135" s="3">
        <v>17</v>
      </c>
      <c r="BJ135" s="3">
        <v>3</v>
      </c>
      <c r="BK135" s="13">
        <v>-1.1154133211974251</v>
      </c>
      <c r="BL135" s="13">
        <v>19</v>
      </c>
      <c r="BO135" s="3" t="s">
        <v>232</v>
      </c>
      <c r="BP135" s="3">
        <v>13</v>
      </c>
      <c r="BQ135" s="18">
        <v>14.777777777777779</v>
      </c>
      <c r="BR135" s="3">
        <v>14</v>
      </c>
      <c r="BS135" s="3">
        <v>12</v>
      </c>
      <c r="BT135" s="3">
        <v>13</v>
      </c>
      <c r="BU135" s="13">
        <v>-1.1154133211974251</v>
      </c>
      <c r="BV135" s="13">
        <v>19</v>
      </c>
      <c r="BY135" s="3" t="s">
        <v>232</v>
      </c>
      <c r="BZ135" s="3">
        <v>15</v>
      </c>
      <c r="CA135" s="18">
        <v>14.444444444444445</v>
      </c>
      <c r="CB135" s="3">
        <v>17</v>
      </c>
      <c r="CC135" s="3">
        <v>16</v>
      </c>
      <c r="CD135" s="3">
        <v>10</v>
      </c>
      <c r="CE135" s="13">
        <v>-1.1154133211974251</v>
      </c>
      <c r="CF135" s="13">
        <v>19</v>
      </c>
    </row>
    <row r="136" spans="1:84" ht="14.25" customHeight="1" x14ac:dyDescent="0.3">
      <c r="A136" s="3" t="s">
        <v>234</v>
      </c>
      <c r="B136" s="3">
        <v>9</v>
      </c>
      <c r="C136" s="18">
        <v>10.777777777777779</v>
      </c>
      <c r="D136" s="3">
        <v>6</v>
      </c>
      <c r="E136" s="3">
        <v>7</v>
      </c>
      <c r="F136" s="3">
        <v>9</v>
      </c>
      <c r="G136" s="13">
        <v>-1.12017317951397</v>
      </c>
      <c r="H136" s="13">
        <v>16</v>
      </c>
      <c r="Q136" s="3" t="s">
        <v>234</v>
      </c>
      <c r="R136" s="3">
        <v>12</v>
      </c>
      <c r="S136" s="18">
        <v>9.1111111111111107</v>
      </c>
      <c r="T136" s="3">
        <v>13</v>
      </c>
      <c r="U136" s="3">
        <v>12</v>
      </c>
      <c r="V136" s="3">
        <v>12</v>
      </c>
      <c r="W136" s="13">
        <v>-1.12017317951397</v>
      </c>
      <c r="X136" s="13">
        <v>16</v>
      </c>
      <c r="AJ136" s="3" t="s">
        <v>234</v>
      </c>
      <c r="AK136" s="3">
        <v>9</v>
      </c>
      <c r="AL136" s="18">
        <v>7</v>
      </c>
      <c r="AM136" s="3">
        <v>8</v>
      </c>
      <c r="AN136" s="3">
        <v>7</v>
      </c>
      <c r="AO136" s="3">
        <v>9</v>
      </c>
      <c r="AP136" s="13">
        <v>-1.12017317951397</v>
      </c>
      <c r="AQ136" s="13">
        <v>16</v>
      </c>
      <c r="AU136" s="3" t="s">
        <v>234</v>
      </c>
      <c r="AV136" s="3">
        <v>12</v>
      </c>
      <c r="AW136" s="18">
        <v>8.8888888888888893</v>
      </c>
      <c r="AX136" s="3">
        <v>12</v>
      </c>
      <c r="AY136" s="3">
        <v>14</v>
      </c>
      <c r="AZ136" s="3">
        <v>13</v>
      </c>
      <c r="BA136" s="13">
        <v>-1.12017317951397</v>
      </c>
      <c r="BB136" s="13">
        <v>16</v>
      </c>
      <c r="BE136" s="3" t="s">
        <v>234</v>
      </c>
      <c r="BF136" s="3">
        <v>9</v>
      </c>
      <c r="BG136" s="18">
        <v>10.444444444444445</v>
      </c>
      <c r="BH136" s="3">
        <v>9</v>
      </c>
      <c r="BI136" s="3">
        <v>8</v>
      </c>
      <c r="BJ136" s="3">
        <v>9</v>
      </c>
      <c r="BK136" s="13">
        <v>-1.12017317951397</v>
      </c>
      <c r="BL136" s="13">
        <v>16</v>
      </c>
      <c r="BO136" s="3" t="s">
        <v>234</v>
      </c>
      <c r="BP136" s="3">
        <v>16</v>
      </c>
      <c r="BQ136" s="18">
        <v>12.777777777777779</v>
      </c>
      <c r="BR136" s="3">
        <v>14</v>
      </c>
      <c r="BS136" s="3">
        <v>15</v>
      </c>
      <c r="BT136" s="3">
        <v>8</v>
      </c>
      <c r="BU136" s="13">
        <v>-1.12017317951397</v>
      </c>
      <c r="BV136" s="13">
        <v>16</v>
      </c>
      <c r="BY136" s="3" t="s">
        <v>234</v>
      </c>
      <c r="BZ136" s="3">
        <v>12</v>
      </c>
      <c r="CA136" s="18">
        <v>11.666666666666666</v>
      </c>
      <c r="CB136" s="3">
        <v>12</v>
      </c>
      <c r="CC136" s="3">
        <v>12</v>
      </c>
      <c r="CD136" s="3">
        <v>12</v>
      </c>
      <c r="CE136" s="13">
        <v>-1.12017317951397</v>
      </c>
      <c r="CF136" s="13">
        <v>16</v>
      </c>
    </row>
    <row r="137" spans="1:84" ht="14.25" customHeight="1" x14ac:dyDescent="0.3">
      <c r="A137" s="3" t="s">
        <v>236</v>
      </c>
      <c r="B137" s="3">
        <v>13</v>
      </c>
      <c r="C137" s="18">
        <v>11.777777777777779</v>
      </c>
      <c r="D137" s="3">
        <v>13</v>
      </c>
      <c r="E137" s="3">
        <v>13</v>
      </c>
      <c r="F137" s="3">
        <v>13</v>
      </c>
      <c r="G137" s="13">
        <v>-1.1339562965442611</v>
      </c>
      <c r="H137" s="13">
        <v>15</v>
      </c>
      <c r="Q137" s="3" t="s">
        <v>236</v>
      </c>
      <c r="R137" s="3">
        <v>12</v>
      </c>
      <c r="S137" s="18">
        <v>9.4444444444444446</v>
      </c>
      <c r="T137" s="3">
        <v>10</v>
      </c>
      <c r="U137" s="3">
        <v>12</v>
      </c>
      <c r="V137" s="3">
        <v>11</v>
      </c>
      <c r="W137" s="13">
        <v>-1.1339562965442611</v>
      </c>
      <c r="X137" s="13">
        <v>15</v>
      </c>
      <c r="AJ137" s="3" t="s">
        <v>236</v>
      </c>
      <c r="AK137" s="3">
        <v>1</v>
      </c>
      <c r="AL137" s="18">
        <v>6.4444444444444446</v>
      </c>
      <c r="AM137" s="3">
        <v>11</v>
      </c>
      <c r="AN137" s="3">
        <v>12</v>
      </c>
      <c r="AO137" s="3">
        <v>13</v>
      </c>
      <c r="AP137" s="13">
        <v>-1.1339562965442611</v>
      </c>
      <c r="AQ137" s="13">
        <v>15</v>
      </c>
      <c r="AU137" s="3" t="s">
        <v>236</v>
      </c>
      <c r="AV137" s="3">
        <v>15</v>
      </c>
      <c r="AW137" s="18">
        <v>10.555555555555555</v>
      </c>
      <c r="AX137" s="3">
        <v>15</v>
      </c>
      <c r="AY137" s="3">
        <v>15</v>
      </c>
      <c r="AZ137" s="3">
        <v>2</v>
      </c>
      <c r="BA137" s="13">
        <v>-1.1339562965442611</v>
      </c>
      <c r="BB137" s="13">
        <v>15</v>
      </c>
      <c r="BE137" s="3" t="s">
        <v>236</v>
      </c>
      <c r="BF137" s="3">
        <v>2</v>
      </c>
      <c r="BG137" s="18">
        <v>9.2222222222222214</v>
      </c>
      <c r="BH137" s="3">
        <v>6</v>
      </c>
      <c r="BI137" s="3">
        <v>6</v>
      </c>
      <c r="BJ137" s="3">
        <v>2</v>
      </c>
      <c r="BK137" s="13">
        <v>-1.1339562965442611</v>
      </c>
      <c r="BL137" s="13">
        <v>15</v>
      </c>
      <c r="BO137" s="3" t="s">
        <v>236</v>
      </c>
      <c r="BP137" s="3">
        <v>9</v>
      </c>
      <c r="BQ137" s="18">
        <v>12.111111111111111</v>
      </c>
      <c r="BR137" s="3">
        <v>9</v>
      </c>
      <c r="BS137" s="3">
        <v>9</v>
      </c>
      <c r="BT137" s="3">
        <v>13</v>
      </c>
      <c r="BU137" s="13">
        <v>-1.1339562965442611</v>
      </c>
      <c r="BV137" s="13">
        <v>15</v>
      </c>
      <c r="BY137" s="3" t="s">
        <v>236</v>
      </c>
      <c r="BZ137" s="3">
        <v>14</v>
      </c>
      <c r="CA137" s="18">
        <v>13</v>
      </c>
      <c r="CB137" s="3">
        <v>14</v>
      </c>
      <c r="CC137" s="3">
        <v>14</v>
      </c>
      <c r="CD137" s="3">
        <v>6</v>
      </c>
      <c r="CE137" s="13">
        <v>-1.1339562965442611</v>
      </c>
      <c r="CF137" s="13">
        <v>15</v>
      </c>
    </row>
    <row r="138" spans="1:84" ht="14.25" customHeight="1" x14ac:dyDescent="0.3">
      <c r="A138" s="3" t="s">
        <v>238</v>
      </c>
      <c r="B138" s="3">
        <v>5</v>
      </c>
      <c r="C138" s="18">
        <v>3.2222222222222223</v>
      </c>
      <c r="D138" s="3">
        <v>5</v>
      </c>
      <c r="E138" s="3">
        <v>5</v>
      </c>
      <c r="F138" s="3">
        <v>5</v>
      </c>
      <c r="G138" s="13">
        <v>-1.1428327832816429</v>
      </c>
      <c r="H138" s="13">
        <v>7</v>
      </c>
      <c r="Q138" s="3" t="s">
        <v>238</v>
      </c>
      <c r="R138" s="3">
        <v>4</v>
      </c>
      <c r="S138" s="18">
        <v>3.1111111111111112</v>
      </c>
      <c r="T138" s="3">
        <v>5</v>
      </c>
      <c r="U138" s="3">
        <v>5</v>
      </c>
      <c r="V138" s="3">
        <v>4</v>
      </c>
      <c r="W138" s="13">
        <v>-1.1428327832816429</v>
      </c>
      <c r="X138" s="13">
        <v>7</v>
      </c>
      <c r="AJ138" s="3" t="s">
        <v>238</v>
      </c>
      <c r="AK138" s="3">
        <v>5</v>
      </c>
      <c r="AL138" s="18">
        <v>3</v>
      </c>
      <c r="AM138" s="3">
        <v>4</v>
      </c>
      <c r="AN138" s="3">
        <v>4</v>
      </c>
      <c r="AO138" s="3">
        <v>5</v>
      </c>
      <c r="AP138" s="13">
        <v>-1.1428327832816429</v>
      </c>
      <c r="AQ138" s="13">
        <v>7</v>
      </c>
      <c r="AU138" s="3" t="s">
        <v>238</v>
      </c>
      <c r="AV138" s="3">
        <v>3</v>
      </c>
      <c r="AW138" s="18">
        <v>3.1111111111111112</v>
      </c>
      <c r="AX138" s="3">
        <v>3</v>
      </c>
      <c r="AY138" s="3">
        <v>3</v>
      </c>
      <c r="AZ138" s="3">
        <v>3</v>
      </c>
      <c r="BA138" s="13">
        <v>-1.1428327832816429</v>
      </c>
      <c r="BB138" s="13">
        <v>7</v>
      </c>
      <c r="BE138" s="3" t="s">
        <v>238</v>
      </c>
      <c r="BF138" s="3">
        <v>3</v>
      </c>
      <c r="BG138" s="18">
        <v>3.1111111111111112</v>
      </c>
      <c r="BH138" s="3">
        <v>3</v>
      </c>
      <c r="BI138" s="3">
        <v>3</v>
      </c>
      <c r="BJ138" s="3">
        <v>3</v>
      </c>
      <c r="BK138" s="13">
        <v>-1.1428327832816429</v>
      </c>
      <c r="BL138" s="13">
        <v>7</v>
      </c>
      <c r="BO138" s="3" t="s">
        <v>238</v>
      </c>
      <c r="BP138" s="3">
        <v>2</v>
      </c>
      <c r="BQ138" s="18">
        <v>2.7777777777777777</v>
      </c>
      <c r="BR138" s="3">
        <v>2</v>
      </c>
      <c r="BS138" s="3">
        <v>2</v>
      </c>
      <c r="BT138" s="3">
        <v>2</v>
      </c>
      <c r="BU138" s="13">
        <v>-1.1428327832816429</v>
      </c>
      <c r="BV138" s="13">
        <v>7</v>
      </c>
      <c r="BY138" s="3" t="s">
        <v>238</v>
      </c>
      <c r="BZ138" s="3">
        <v>2</v>
      </c>
      <c r="CA138" s="18">
        <v>2.4444444444444446</v>
      </c>
      <c r="CB138" s="3">
        <v>2</v>
      </c>
      <c r="CC138" s="3">
        <v>2</v>
      </c>
      <c r="CD138" s="3">
        <v>2</v>
      </c>
      <c r="CE138" s="13">
        <v>-1.1428327832816429</v>
      </c>
      <c r="CF138" s="13">
        <v>7</v>
      </c>
    </row>
    <row r="139" spans="1:84" ht="14.25" customHeight="1" x14ac:dyDescent="0.3">
      <c r="A139" s="3" t="s">
        <v>239</v>
      </c>
      <c r="B139" s="3">
        <v>14</v>
      </c>
      <c r="C139" s="18">
        <v>11.777777777777779</v>
      </c>
      <c r="D139" s="3">
        <v>8</v>
      </c>
      <c r="E139" s="3">
        <v>8</v>
      </c>
      <c r="F139" s="3">
        <v>4</v>
      </c>
      <c r="G139" s="13">
        <v>-1.1920893573654381</v>
      </c>
      <c r="H139" s="13">
        <v>15</v>
      </c>
      <c r="Q139" s="3" t="s">
        <v>239</v>
      </c>
      <c r="R139" s="3">
        <v>12</v>
      </c>
      <c r="S139" s="18">
        <v>10</v>
      </c>
      <c r="T139" s="3">
        <v>10</v>
      </c>
      <c r="U139" s="3">
        <v>12</v>
      </c>
      <c r="V139" s="3">
        <v>12</v>
      </c>
      <c r="W139" s="13">
        <v>-1.1920893573654381</v>
      </c>
      <c r="X139" s="13">
        <v>15</v>
      </c>
      <c r="AJ139" s="3" t="s">
        <v>239</v>
      </c>
      <c r="AK139" s="3">
        <v>6</v>
      </c>
      <c r="AL139" s="18">
        <v>10.222222222222221</v>
      </c>
      <c r="AM139" s="3">
        <v>8</v>
      </c>
      <c r="AN139" s="3">
        <v>9</v>
      </c>
      <c r="AO139" s="3">
        <v>6</v>
      </c>
      <c r="AP139" s="13">
        <v>-1.1920893573654381</v>
      </c>
      <c r="AQ139" s="13">
        <v>15</v>
      </c>
      <c r="AU139" s="3" t="s">
        <v>239</v>
      </c>
      <c r="AV139" s="3">
        <v>8</v>
      </c>
      <c r="AW139" s="18">
        <v>9.2222222222222214</v>
      </c>
      <c r="AX139" s="3">
        <v>10</v>
      </c>
      <c r="AY139" s="3">
        <v>11</v>
      </c>
      <c r="AZ139" s="3">
        <v>8</v>
      </c>
      <c r="BA139" s="13">
        <v>-1.1920893573654381</v>
      </c>
      <c r="BB139" s="13">
        <v>15</v>
      </c>
      <c r="BE139" s="3" t="s">
        <v>239</v>
      </c>
      <c r="BF139" s="3">
        <v>6</v>
      </c>
      <c r="BG139" s="18">
        <v>11.444444444444445</v>
      </c>
      <c r="BH139" s="3">
        <v>7</v>
      </c>
      <c r="BI139" s="3">
        <v>7</v>
      </c>
      <c r="BJ139" s="3">
        <v>6</v>
      </c>
      <c r="BK139" s="13">
        <v>-1.1920893573654381</v>
      </c>
      <c r="BL139" s="13">
        <v>15</v>
      </c>
      <c r="BO139" s="3" t="s">
        <v>239</v>
      </c>
      <c r="BP139" s="3">
        <v>9</v>
      </c>
      <c r="BQ139" s="18">
        <v>10.111111111111111</v>
      </c>
      <c r="BR139" s="3">
        <v>9</v>
      </c>
      <c r="BS139" s="3">
        <v>9</v>
      </c>
      <c r="BT139" s="3">
        <v>9</v>
      </c>
      <c r="BU139" s="13">
        <v>-1.1920893573654381</v>
      </c>
      <c r="BV139" s="13">
        <v>15</v>
      </c>
      <c r="BY139" s="3" t="s">
        <v>239</v>
      </c>
      <c r="BZ139" s="3">
        <v>9</v>
      </c>
      <c r="CA139" s="18">
        <v>11.444444444444445</v>
      </c>
      <c r="CB139" s="3">
        <v>10</v>
      </c>
      <c r="CC139" s="3">
        <v>10</v>
      </c>
      <c r="CD139" s="3">
        <v>9</v>
      </c>
      <c r="CE139" s="13">
        <v>-1.1920893573654381</v>
      </c>
      <c r="CF139" s="13">
        <v>15</v>
      </c>
    </row>
    <row r="140" spans="1:84" ht="14.25" customHeight="1" x14ac:dyDescent="0.3">
      <c r="A140" s="3" t="s">
        <v>240</v>
      </c>
      <c r="B140" s="3">
        <v>18</v>
      </c>
      <c r="C140" s="18">
        <v>13.111111111111111</v>
      </c>
      <c r="D140" s="3">
        <v>7</v>
      </c>
      <c r="E140" s="3">
        <v>8</v>
      </c>
      <c r="F140" s="3">
        <v>15</v>
      </c>
      <c r="G140" s="13">
        <v>-1.196962071035268</v>
      </c>
      <c r="H140" s="13">
        <v>19</v>
      </c>
      <c r="Q140" s="3" t="s">
        <v>240</v>
      </c>
      <c r="R140" s="3">
        <v>15</v>
      </c>
      <c r="S140" s="18">
        <v>10.555555555555555</v>
      </c>
      <c r="T140" s="3">
        <v>12</v>
      </c>
      <c r="U140" s="3">
        <v>11</v>
      </c>
      <c r="V140" s="3">
        <v>15</v>
      </c>
      <c r="W140" s="13">
        <v>-1.196962071035268</v>
      </c>
      <c r="X140" s="13">
        <v>19</v>
      </c>
      <c r="AJ140" s="3" t="s">
        <v>240</v>
      </c>
      <c r="AK140" s="3">
        <v>8</v>
      </c>
      <c r="AL140" s="18">
        <v>11.111111111111111</v>
      </c>
      <c r="AM140" s="3">
        <v>12</v>
      </c>
      <c r="AN140" s="3">
        <v>17</v>
      </c>
      <c r="AO140" s="3">
        <v>8</v>
      </c>
      <c r="AP140" s="13">
        <v>-1.196962071035268</v>
      </c>
      <c r="AQ140" s="13">
        <v>19</v>
      </c>
      <c r="AU140" s="3" t="s">
        <v>240</v>
      </c>
      <c r="AV140" s="3">
        <v>13</v>
      </c>
      <c r="AW140" s="18">
        <v>12.666666666666666</v>
      </c>
      <c r="AX140" s="3">
        <v>14</v>
      </c>
      <c r="AY140" s="3">
        <v>19</v>
      </c>
      <c r="AZ140" s="3">
        <v>13</v>
      </c>
      <c r="BA140" s="13">
        <v>-1.196962071035268</v>
      </c>
      <c r="BB140" s="13">
        <v>19</v>
      </c>
      <c r="BE140" s="3" t="s">
        <v>240</v>
      </c>
      <c r="BF140" s="3">
        <v>17</v>
      </c>
      <c r="BG140" s="18">
        <v>14</v>
      </c>
      <c r="BH140" s="3">
        <v>17</v>
      </c>
      <c r="BI140" s="3">
        <v>18</v>
      </c>
      <c r="BJ140" s="3">
        <v>16</v>
      </c>
      <c r="BK140" s="13">
        <v>-1.196962071035268</v>
      </c>
      <c r="BL140" s="13">
        <v>19</v>
      </c>
      <c r="BO140" s="3" t="s">
        <v>240</v>
      </c>
      <c r="BP140" s="3">
        <v>19</v>
      </c>
      <c r="BQ140" s="18">
        <v>15.666666666666666</v>
      </c>
      <c r="BR140" s="3">
        <v>12</v>
      </c>
      <c r="BS140" s="3">
        <v>13</v>
      </c>
      <c r="BT140" s="3">
        <v>16</v>
      </c>
      <c r="BU140" s="13">
        <v>-1.196962071035268</v>
      </c>
      <c r="BV140" s="13">
        <v>19</v>
      </c>
      <c r="BY140" s="3" t="s">
        <v>240</v>
      </c>
      <c r="BZ140" s="3">
        <v>18</v>
      </c>
      <c r="CA140" s="18">
        <v>14.777777777777779</v>
      </c>
      <c r="CB140" s="3">
        <v>18</v>
      </c>
      <c r="CC140" s="3">
        <v>18</v>
      </c>
      <c r="CD140" s="3">
        <v>13</v>
      </c>
      <c r="CE140" s="13">
        <v>-1.196962071035268</v>
      </c>
      <c r="CF140" s="13">
        <v>19</v>
      </c>
    </row>
    <row r="141" spans="1:84" ht="14.25" customHeight="1" x14ac:dyDescent="0.3">
      <c r="A141" s="3" t="s">
        <v>241</v>
      </c>
      <c r="B141" s="3">
        <v>10</v>
      </c>
      <c r="C141" s="18">
        <v>11.222222222222221</v>
      </c>
      <c r="D141" s="3">
        <v>15</v>
      </c>
      <c r="E141" s="3">
        <v>15</v>
      </c>
      <c r="F141" s="3">
        <v>13</v>
      </c>
      <c r="G141" s="13">
        <v>-1.2097705883740471</v>
      </c>
      <c r="H141" s="13">
        <v>15</v>
      </c>
      <c r="Q141" s="3" t="s">
        <v>241</v>
      </c>
      <c r="R141" s="3">
        <v>12</v>
      </c>
      <c r="S141" s="18">
        <v>8.6666666666666661</v>
      </c>
      <c r="T141" s="3">
        <v>1</v>
      </c>
      <c r="U141" s="3">
        <v>5</v>
      </c>
      <c r="V141" s="3">
        <v>12</v>
      </c>
      <c r="W141" s="13">
        <v>-1.2097705883740471</v>
      </c>
      <c r="X141" s="13">
        <v>15</v>
      </c>
      <c r="AJ141" s="3" t="s">
        <v>241</v>
      </c>
      <c r="AK141" s="3">
        <v>11</v>
      </c>
      <c r="AL141" s="18">
        <v>7.333333333333333</v>
      </c>
      <c r="AM141" s="3">
        <v>14</v>
      </c>
      <c r="AN141" s="3">
        <v>14</v>
      </c>
      <c r="AO141" s="3">
        <v>11</v>
      </c>
      <c r="AP141" s="13">
        <v>-1.2097705883740471</v>
      </c>
      <c r="AQ141" s="13">
        <v>15</v>
      </c>
      <c r="AU141" s="3" t="s">
        <v>241</v>
      </c>
      <c r="AV141" s="3">
        <v>14</v>
      </c>
      <c r="AW141" s="18">
        <v>10.888888888888889</v>
      </c>
      <c r="AX141" s="3">
        <v>14</v>
      </c>
      <c r="AY141" s="3">
        <v>13</v>
      </c>
      <c r="AZ141" s="3">
        <v>13</v>
      </c>
      <c r="BA141" s="13">
        <v>-1.2097705883740471</v>
      </c>
      <c r="BB141" s="13">
        <v>15</v>
      </c>
      <c r="BE141" s="3" t="s">
        <v>241</v>
      </c>
      <c r="BF141" s="3">
        <v>10</v>
      </c>
      <c r="BG141" s="18">
        <v>10.888888888888889</v>
      </c>
      <c r="BH141" s="3">
        <v>10</v>
      </c>
      <c r="BI141" s="3">
        <v>10</v>
      </c>
      <c r="BJ141" s="3">
        <v>11</v>
      </c>
      <c r="BK141" s="13">
        <v>-1.2097705883740471</v>
      </c>
      <c r="BL141" s="13">
        <v>15</v>
      </c>
      <c r="BO141" s="3" t="s">
        <v>241</v>
      </c>
      <c r="BP141" s="3">
        <v>11</v>
      </c>
      <c r="BQ141" s="18">
        <v>12.111111111111111</v>
      </c>
      <c r="BR141" s="3">
        <v>13</v>
      </c>
      <c r="BS141" s="3">
        <v>10</v>
      </c>
      <c r="BT141" s="3">
        <v>11</v>
      </c>
      <c r="BU141" s="13">
        <v>-1.2097705883740471</v>
      </c>
      <c r="BV141" s="13">
        <v>15</v>
      </c>
      <c r="BY141" s="3" t="s">
        <v>241</v>
      </c>
      <c r="BZ141" s="3">
        <v>15</v>
      </c>
      <c r="CA141" s="18">
        <v>11.777777777777779</v>
      </c>
      <c r="CB141" s="3">
        <v>14</v>
      </c>
      <c r="CC141" s="3">
        <v>13</v>
      </c>
      <c r="CD141" s="3">
        <v>13</v>
      </c>
      <c r="CE141" s="13">
        <v>-1.2097705883740471</v>
      </c>
      <c r="CF141" s="13">
        <v>15</v>
      </c>
    </row>
    <row r="142" spans="1:84" ht="14.25" customHeight="1" x14ac:dyDescent="0.3">
      <c r="A142" s="3" t="s">
        <v>242</v>
      </c>
      <c r="B142" s="3">
        <v>17</v>
      </c>
      <c r="C142" s="18">
        <v>13.444444444444445</v>
      </c>
      <c r="D142" s="3">
        <v>17</v>
      </c>
      <c r="E142" s="3">
        <v>17</v>
      </c>
      <c r="F142" s="3">
        <v>9</v>
      </c>
      <c r="G142" s="13">
        <v>-1.3367165560614409</v>
      </c>
      <c r="H142" s="13">
        <v>17</v>
      </c>
      <c r="Q142" s="3" t="s">
        <v>242</v>
      </c>
      <c r="R142" s="3">
        <v>13</v>
      </c>
      <c r="S142" s="18">
        <v>13.555555555555555</v>
      </c>
      <c r="T142" s="3">
        <v>13</v>
      </c>
      <c r="U142" s="3">
        <v>7</v>
      </c>
      <c r="V142" s="3">
        <v>3</v>
      </c>
      <c r="W142" s="13">
        <v>-1.3367165560614409</v>
      </c>
      <c r="X142" s="13">
        <v>17</v>
      </c>
      <c r="AJ142" s="3" t="s">
        <v>242</v>
      </c>
      <c r="AK142" s="3">
        <v>3</v>
      </c>
      <c r="AL142" s="18">
        <v>11.111111111111111</v>
      </c>
      <c r="AM142" s="3">
        <v>4</v>
      </c>
      <c r="AN142" s="3">
        <v>3</v>
      </c>
      <c r="AO142" s="3">
        <v>3</v>
      </c>
      <c r="AP142" s="13">
        <v>-1.3367165560614409</v>
      </c>
      <c r="AQ142" s="13">
        <v>17</v>
      </c>
      <c r="AU142" s="3" t="s">
        <v>242</v>
      </c>
      <c r="AV142" s="3">
        <v>14</v>
      </c>
      <c r="AW142" s="18">
        <v>13</v>
      </c>
      <c r="AX142" s="3">
        <v>16</v>
      </c>
      <c r="AY142" s="3">
        <v>17</v>
      </c>
      <c r="AZ142" s="3">
        <v>7</v>
      </c>
      <c r="BA142" s="13">
        <v>-1.3367165560614409</v>
      </c>
      <c r="BB142" s="13">
        <v>17</v>
      </c>
      <c r="BE142" s="3" t="s">
        <v>242</v>
      </c>
      <c r="BF142" s="3">
        <v>14</v>
      </c>
      <c r="BG142" s="18">
        <v>12.555555555555555</v>
      </c>
      <c r="BH142" s="3">
        <v>13</v>
      </c>
      <c r="BI142" s="3">
        <v>12</v>
      </c>
      <c r="BJ142" s="3">
        <v>3</v>
      </c>
      <c r="BK142" s="13">
        <v>-1.3367165560614409</v>
      </c>
      <c r="BL142" s="13">
        <v>17</v>
      </c>
      <c r="BO142" s="3" t="s">
        <v>242</v>
      </c>
      <c r="BP142" s="3">
        <v>10</v>
      </c>
      <c r="BQ142" s="18">
        <v>12</v>
      </c>
      <c r="BR142" s="3">
        <v>10</v>
      </c>
      <c r="BS142" s="3">
        <v>11</v>
      </c>
      <c r="BT142" s="3">
        <v>10</v>
      </c>
      <c r="BU142" s="13">
        <v>-1.3367165560614409</v>
      </c>
      <c r="BV142" s="13">
        <v>17</v>
      </c>
      <c r="BY142" s="3" t="s">
        <v>242</v>
      </c>
      <c r="BZ142" s="3">
        <v>5</v>
      </c>
      <c r="CA142" s="18">
        <v>11.666666666666666</v>
      </c>
      <c r="CB142" s="3">
        <v>8</v>
      </c>
      <c r="CC142" s="3">
        <v>10</v>
      </c>
      <c r="CD142" s="3">
        <v>5</v>
      </c>
      <c r="CE142" s="13">
        <v>-1.3367165560614409</v>
      </c>
      <c r="CF142" s="13">
        <v>17</v>
      </c>
    </row>
    <row r="143" spans="1:84" ht="14.25" customHeight="1" x14ac:dyDescent="0.3">
      <c r="A143" s="3" t="s">
        <v>243</v>
      </c>
      <c r="B143" s="3">
        <v>24</v>
      </c>
      <c r="C143" s="18">
        <v>23.111111111111111</v>
      </c>
      <c r="D143" s="3">
        <v>26</v>
      </c>
      <c r="E143" s="3">
        <v>27</v>
      </c>
      <c r="F143" s="3">
        <v>24</v>
      </c>
      <c r="G143" s="13">
        <v>-1.679865001322572</v>
      </c>
      <c r="H143" s="13">
        <v>27</v>
      </c>
      <c r="Q143" s="3" t="s">
        <v>243</v>
      </c>
      <c r="R143" s="3">
        <v>22</v>
      </c>
      <c r="S143" s="18">
        <v>23.888888888888889</v>
      </c>
      <c r="T143" s="3">
        <v>24</v>
      </c>
      <c r="U143" s="3">
        <v>24</v>
      </c>
      <c r="V143" s="3">
        <v>22</v>
      </c>
      <c r="W143" s="13">
        <v>-1.679865001322572</v>
      </c>
      <c r="X143" s="13">
        <v>27</v>
      </c>
      <c r="AJ143" s="3" t="s">
        <v>243</v>
      </c>
      <c r="AK143" s="3">
        <v>21</v>
      </c>
      <c r="AL143" s="18">
        <v>24.111111111111111</v>
      </c>
      <c r="AM143" s="3">
        <v>22</v>
      </c>
      <c r="AN143" s="3">
        <v>22</v>
      </c>
      <c r="AO143" s="3">
        <v>9</v>
      </c>
      <c r="AP143" s="13">
        <v>-1.679865001322572</v>
      </c>
      <c r="AQ143" s="13">
        <v>27</v>
      </c>
      <c r="AU143" s="3" t="s">
        <v>243</v>
      </c>
      <c r="AV143" s="3">
        <v>26</v>
      </c>
      <c r="AW143" s="18">
        <v>24</v>
      </c>
      <c r="AX143" s="3">
        <v>27</v>
      </c>
      <c r="AY143" s="3">
        <v>27</v>
      </c>
      <c r="AZ143" s="3">
        <v>22</v>
      </c>
      <c r="BA143" s="13">
        <v>-1.679865001322572</v>
      </c>
      <c r="BB143" s="13">
        <v>27</v>
      </c>
      <c r="BE143" s="3" t="s">
        <v>243</v>
      </c>
      <c r="BF143" s="3">
        <v>21</v>
      </c>
      <c r="BG143" s="18">
        <v>24</v>
      </c>
      <c r="BH143" s="3">
        <v>20</v>
      </c>
      <c r="BI143" s="3">
        <v>23</v>
      </c>
      <c r="BJ143" s="3">
        <v>21</v>
      </c>
      <c r="BK143" s="13">
        <v>-1.679865001322572</v>
      </c>
      <c r="BL143" s="13">
        <v>27</v>
      </c>
      <c r="BO143" s="3" t="s">
        <v>243</v>
      </c>
      <c r="BP143" s="3">
        <v>25</v>
      </c>
      <c r="BQ143" s="18">
        <v>18.777777777777779</v>
      </c>
      <c r="BR143" s="3">
        <v>21</v>
      </c>
      <c r="BS143" s="3">
        <v>22</v>
      </c>
      <c r="BT143" s="3">
        <v>21</v>
      </c>
      <c r="BU143" s="13">
        <v>-1.679865001322572</v>
      </c>
      <c r="BV143" s="13">
        <v>27</v>
      </c>
      <c r="BY143" s="3" t="s">
        <v>243</v>
      </c>
      <c r="BZ143" s="3">
        <v>26</v>
      </c>
      <c r="CA143" s="18">
        <v>21.333333333333332</v>
      </c>
      <c r="CB143" s="3">
        <v>27</v>
      </c>
      <c r="CC143" s="3">
        <v>27</v>
      </c>
      <c r="CD143" s="3">
        <v>7</v>
      </c>
      <c r="CE143" s="13">
        <v>-1.679865001322572</v>
      </c>
      <c r="CF143" s="13">
        <v>27</v>
      </c>
    </row>
    <row r="144" spans="1:84" ht="14.25" customHeight="1" x14ac:dyDescent="0.3">
      <c r="A144" s="13" t="s">
        <v>245</v>
      </c>
      <c r="B144" s="13">
        <f t="shared" ref="B144:F144" si="73">AVERAGE(B124:B133)</f>
        <v>6</v>
      </c>
      <c r="C144" s="25">
        <f t="shared" si="73"/>
        <v>5.0111111111111111</v>
      </c>
      <c r="D144" s="13">
        <f t="shared" si="73"/>
        <v>4.8</v>
      </c>
      <c r="E144" s="13">
        <f t="shared" si="73"/>
        <v>4.7</v>
      </c>
      <c r="F144" s="13">
        <f t="shared" si="73"/>
        <v>6.8</v>
      </c>
      <c r="K144" s="12"/>
      <c r="L144" s="12"/>
      <c r="M144" s="12"/>
      <c r="N144" s="12"/>
      <c r="O144" s="12"/>
      <c r="P144" s="12"/>
      <c r="Q144" s="13" t="s">
        <v>245</v>
      </c>
      <c r="R144" s="13">
        <f t="shared" ref="R144:V144" si="74">AVERAGE(R124:R133)</f>
        <v>4.0999999999999996</v>
      </c>
      <c r="S144" s="25">
        <f t="shared" si="74"/>
        <v>4.7111111111111112</v>
      </c>
      <c r="T144" s="13">
        <f t="shared" si="74"/>
        <v>5.9</v>
      </c>
      <c r="U144" s="13">
        <f t="shared" si="74"/>
        <v>5.5</v>
      </c>
      <c r="V144" s="13">
        <f t="shared" si="74"/>
        <v>7.1</v>
      </c>
      <c r="Z144" s="12"/>
      <c r="AA144" s="12"/>
      <c r="AB144" s="12"/>
      <c r="AC144" s="12"/>
      <c r="AD144" s="12"/>
      <c r="AE144" s="12"/>
      <c r="AF144" s="12"/>
      <c r="AG144" s="12"/>
      <c r="AH144" s="12"/>
      <c r="AI144" s="12"/>
      <c r="AJ144" s="13" t="s">
        <v>245</v>
      </c>
      <c r="AK144" s="13">
        <f t="shared" ref="AK144:AO144" si="75">AVERAGE(AK124:AK133)</f>
        <v>4.9000000000000004</v>
      </c>
      <c r="AL144" s="25">
        <f t="shared" si="75"/>
        <v>4.4000000000000004</v>
      </c>
      <c r="AM144" s="13">
        <f t="shared" si="75"/>
        <v>5.2</v>
      </c>
      <c r="AN144" s="13">
        <f t="shared" si="75"/>
        <v>4.8</v>
      </c>
      <c r="AO144" s="13">
        <f t="shared" si="75"/>
        <v>6.9</v>
      </c>
      <c r="AT144" s="12"/>
      <c r="AU144" s="13" t="s">
        <v>245</v>
      </c>
      <c r="AV144" s="13">
        <f t="shared" ref="AV144:AZ144" si="76">AVERAGE(AV124:AV133)</f>
        <v>3.8</v>
      </c>
      <c r="AW144" s="25">
        <f t="shared" si="76"/>
        <v>5.1444444444444448</v>
      </c>
      <c r="AX144" s="13">
        <f t="shared" si="76"/>
        <v>2.6</v>
      </c>
      <c r="AY144" s="13">
        <f t="shared" si="76"/>
        <v>2.5</v>
      </c>
      <c r="AZ144" s="13">
        <f t="shared" si="76"/>
        <v>6.8</v>
      </c>
      <c r="BE144" s="13" t="s">
        <v>245</v>
      </c>
      <c r="BF144" s="13">
        <f t="shared" ref="BF144:BJ144" si="77">AVERAGE(BF124:BF133)</f>
        <v>3.7</v>
      </c>
      <c r="BG144" s="25">
        <f t="shared" si="77"/>
        <v>3.6888888888888887</v>
      </c>
      <c r="BH144" s="13">
        <f t="shared" si="77"/>
        <v>2.2000000000000002</v>
      </c>
      <c r="BI144" s="13">
        <f t="shared" si="77"/>
        <v>3.1</v>
      </c>
      <c r="BJ144" s="13">
        <f t="shared" si="77"/>
        <v>7.3</v>
      </c>
      <c r="BO144" s="13" t="s">
        <v>245</v>
      </c>
      <c r="BP144" s="13">
        <f t="shared" ref="BP144:BT144" si="78">AVERAGE(BP124:BP133)</f>
        <v>4.7</v>
      </c>
      <c r="BQ144" s="25">
        <f t="shared" si="78"/>
        <v>4.2555555555555555</v>
      </c>
      <c r="BR144" s="13">
        <f t="shared" si="78"/>
        <v>3.9</v>
      </c>
      <c r="BS144" s="13">
        <f t="shared" si="78"/>
        <v>3.6</v>
      </c>
      <c r="BT144" s="13">
        <f t="shared" si="78"/>
        <v>6.5</v>
      </c>
      <c r="BY144" s="13" t="s">
        <v>245</v>
      </c>
      <c r="BZ144" s="13">
        <f t="shared" ref="BZ144:CD144" si="79">AVERAGE(BZ124:BZ133)</f>
        <v>2.8</v>
      </c>
      <c r="CA144" s="25">
        <f t="shared" si="79"/>
        <v>3.4222222222222221</v>
      </c>
      <c r="CB144" s="13">
        <f t="shared" si="79"/>
        <v>1.7</v>
      </c>
      <c r="CC144" s="13">
        <f t="shared" si="79"/>
        <v>1.7</v>
      </c>
      <c r="CD144" s="13">
        <f t="shared" si="79"/>
        <v>7.3</v>
      </c>
    </row>
    <row r="145" spans="1:82" ht="14.25" customHeight="1" x14ac:dyDescent="0.3">
      <c r="A145" s="13" t="s">
        <v>249</v>
      </c>
      <c r="B145" s="13">
        <f t="shared" ref="B145:F145" si="80">AVERAGE(B134:B143)</f>
        <v>11.6</v>
      </c>
      <c r="C145" s="25">
        <f t="shared" si="80"/>
        <v>11.544444444444444</v>
      </c>
      <c r="D145" s="13">
        <f t="shared" si="80"/>
        <v>10.5</v>
      </c>
      <c r="E145" s="13">
        <f t="shared" si="80"/>
        <v>11.1</v>
      </c>
      <c r="F145" s="13">
        <f t="shared" si="80"/>
        <v>10.8</v>
      </c>
      <c r="K145" s="12"/>
      <c r="L145" s="12"/>
      <c r="M145" s="12"/>
      <c r="N145" s="12"/>
      <c r="O145" s="12"/>
      <c r="P145" s="12"/>
      <c r="Q145" s="13" t="s">
        <v>249</v>
      </c>
      <c r="R145" s="13">
        <f t="shared" ref="R145:V145" si="81">AVERAGE(R134:R143)</f>
        <v>12.9</v>
      </c>
      <c r="S145" s="25">
        <f t="shared" si="81"/>
        <v>11.044444444444444</v>
      </c>
      <c r="T145" s="13">
        <f t="shared" si="81"/>
        <v>10.6</v>
      </c>
      <c r="U145" s="13">
        <f t="shared" si="81"/>
        <v>10.5</v>
      </c>
      <c r="V145" s="13">
        <f t="shared" si="81"/>
        <v>9.9</v>
      </c>
      <c r="Z145" s="12"/>
      <c r="AA145" s="12"/>
      <c r="AB145" s="12"/>
      <c r="AC145" s="12"/>
      <c r="AD145" s="12"/>
      <c r="AE145" s="12"/>
      <c r="AF145" s="12"/>
      <c r="AG145" s="12"/>
      <c r="AH145" s="12"/>
      <c r="AI145" s="12"/>
      <c r="AJ145" s="13" t="s">
        <v>249</v>
      </c>
      <c r="AK145" s="13">
        <f t="shared" ref="AK145:AO145" si="82">AVERAGE(AK134:AK143)</f>
        <v>8.9</v>
      </c>
      <c r="AL145" s="25">
        <f t="shared" si="82"/>
        <v>10.288888888888888</v>
      </c>
      <c r="AM145" s="13">
        <f t="shared" si="82"/>
        <v>10.8</v>
      </c>
      <c r="AN145" s="13">
        <f t="shared" si="82"/>
        <v>11.6</v>
      </c>
      <c r="AO145" s="13">
        <f t="shared" si="82"/>
        <v>6.9</v>
      </c>
      <c r="AT145" s="12"/>
      <c r="AU145" s="13" t="s">
        <v>249</v>
      </c>
      <c r="AV145" s="13">
        <f t="shared" ref="AV145:AZ145" si="83">AVERAGE(AV134:AV143)</f>
        <v>12.9</v>
      </c>
      <c r="AW145" s="25">
        <f t="shared" si="83"/>
        <v>11.422222222222222</v>
      </c>
      <c r="AX145" s="13">
        <f t="shared" si="83"/>
        <v>13.8</v>
      </c>
      <c r="AY145" s="13">
        <f t="shared" si="83"/>
        <v>14.7</v>
      </c>
      <c r="AZ145" s="13">
        <f t="shared" si="83"/>
        <v>9.9</v>
      </c>
      <c r="BE145" s="13" t="s">
        <v>249</v>
      </c>
      <c r="BF145" s="13">
        <f t="shared" ref="BF145:BJ145" si="84">AVERAGE(BF134:BF143)</f>
        <v>11.2</v>
      </c>
      <c r="BG145" s="25">
        <f t="shared" si="84"/>
        <v>12.233333333333333</v>
      </c>
      <c r="BH145" s="13">
        <f t="shared" si="84"/>
        <v>11.7</v>
      </c>
      <c r="BI145" s="13">
        <f t="shared" si="84"/>
        <v>11.8</v>
      </c>
      <c r="BJ145" s="13">
        <f t="shared" si="84"/>
        <v>7.6</v>
      </c>
      <c r="BO145" s="13" t="s">
        <v>249</v>
      </c>
      <c r="BP145" s="13">
        <f t="shared" ref="BP145:BT145" si="85">AVERAGE(BP134:BP143)</f>
        <v>12.7</v>
      </c>
      <c r="BQ145" s="25">
        <f t="shared" si="85"/>
        <v>12.111111111111111</v>
      </c>
      <c r="BR145" s="13">
        <f t="shared" si="85"/>
        <v>11.7</v>
      </c>
      <c r="BS145" s="13">
        <f t="shared" si="85"/>
        <v>11.5</v>
      </c>
      <c r="BT145" s="13">
        <f t="shared" si="85"/>
        <v>10.9</v>
      </c>
      <c r="BY145" s="13" t="s">
        <v>249</v>
      </c>
      <c r="BZ145" s="13">
        <f t="shared" ref="BZ145:CD145" si="86">AVERAGE(BZ134:BZ143)</f>
        <v>12.6</v>
      </c>
      <c r="CA145" s="25">
        <f t="shared" si="86"/>
        <v>12.244444444444444</v>
      </c>
      <c r="CB145" s="13">
        <f t="shared" si="86"/>
        <v>13</v>
      </c>
      <c r="CC145" s="13">
        <f t="shared" si="86"/>
        <v>13</v>
      </c>
      <c r="CD145" s="13">
        <f t="shared" si="86"/>
        <v>8.1</v>
      </c>
    </row>
    <row r="146" spans="1:82" ht="14.25" customHeight="1" x14ac:dyDescent="0.3">
      <c r="A146" s="13" t="s">
        <v>252</v>
      </c>
      <c r="B146" s="13">
        <f>SKEW(B124:B127,B131,B133,B135,B141:B143)</f>
        <v>1.0054085720278503</v>
      </c>
      <c r="C146" s="13"/>
      <c r="D146" s="13"/>
      <c r="E146" s="13"/>
      <c r="F146" s="13">
        <f>SKEW(F124:F127,F131,F133,F135,F141:F143)</f>
        <v>2.1299530493053407</v>
      </c>
      <c r="K146" s="12"/>
      <c r="L146" s="12"/>
      <c r="M146" s="12"/>
      <c r="N146" s="12"/>
      <c r="O146" s="12"/>
      <c r="P146" s="12"/>
      <c r="Q146" s="13" t="s">
        <v>252</v>
      </c>
      <c r="R146" s="13">
        <f>SKEW(R124:R127,R131,R133,R135,R141:R143)</f>
        <v>1.0456050128836727</v>
      </c>
      <c r="S146" s="13"/>
      <c r="T146" s="13"/>
      <c r="U146" s="13"/>
      <c r="V146" s="13">
        <f>SKEW(V124:V127,V131,V133,V135,V141:V143)</f>
        <v>1.9904958914220354</v>
      </c>
      <c r="Z146" s="12"/>
      <c r="AA146" s="12"/>
      <c r="AB146" s="12"/>
      <c r="AC146" s="12"/>
      <c r="AD146" s="12"/>
      <c r="AE146" s="12"/>
      <c r="AF146" s="12"/>
      <c r="AG146" s="12"/>
      <c r="AH146" s="12"/>
      <c r="AI146" s="12"/>
      <c r="AJ146" s="13" t="s">
        <v>252</v>
      </c>
      <c r="AK146" s="13">
        <f>SKEW(AK124:AK127,AK131,AK133,AK135,AK141:AK143)</f>
        <v>0.74332137092350181</v>
      </c>
      <c r="AL146" s="13"/>
      <c r="AM146" s="13"/>
      <c r="AN146" s="13"/>
      <c r="AO146" s="13">
        <f>SKEW(AO124:AO127,AO131,AO133,AO135,AO141:AO143)</f>
        <v>0.66848439848962316</v>
      </c>
      <c r="AT146" s="12"/>
      <c r="AU146" s="13" t="s">
        <v>252</v>
      </c>
      <c r="AV146" s="13">
        <f>SKEW(AV124:AV127,AV131,AV133,AV135,AV141:AV143)</f>
        <v>0.91289010853982921</v>
      </c>
      <c r="AW146" s="13"/>
      <c r="AX146" s="13"/>
      <c r="AY146" s="13"/>
      <c r="AZ146" s="13">
        <f>SKEW(AZ124:AZ127,AZ131,AZ133,AZ135,AZ141:AZ143)</f>
        <v>1.4391259922422821</v>
      </c>
      <c r="BE146" s="13" t="s">
        <v>252</v>
      </c>
      <c r="BF146" s="13">
        <f>SKEW(BF124:BF127,BF131,BF133,BF135,BF141:BF143)</f>
        <v>0.63298944926456169</v>
      </c>
      <c r="BG146" s="13"/>
      <c r="BH146" s="13"/>
      <c r="BI146" s="13"/>
      <c r="BJ146" s="13">
        <f>SKEW(BJ124:BJ127,BJ131,BJ133,BJ135,BJ141:BJ143)</f>
        <v>1.9944810149385828</v>
      </c>
      <c r="BO146" s="13" t="s">
        <v>252</v>
      </c>
      <c r="BP146" s="13">
        <f>SKEW(BP124:BP127,BP131,BP133,BP135,BP141:BP143)</f>
        <v>1.4190799389975834</v>
      </c>
      <c r="BQ146" s="13"/>
      <c r="BR146" s="13"/>
      <c r="BS146" s="13"/>
      <c r="BT146" s="13">
        <f>SKEW(BT124:BT127,BT131,BT133,BT135,BT141:BT143)</f>
        <v>1.6091580319030487</v>
      </c>
      <c r="BY146" s="13" t="s">
        <v>252</v>
      </c>
      <c r="BZ146" s="13">
        <f>SKEW(BZ124:BZ127,BZ131,BZ133,BZ135,BZ141:BZ143)</f>
        <v>1.5197546980565515</v>
      </c>
      <c r="CA146" s="13"/>
      <c r="CB146" s="13"/>
      <c r="CC146" s="13"/>
      <c r="CD146" s="13">
        <f>SKEW(CD124:CD127,CD131,CD133,CD135,CD141:CD143)</f>
        <v>1.4267422818059023</v>
      </c>
    </row>
    <row r="147" spans="1:82" ht="14.25" customHeight="1" x14ac:dyDescent="0.3">
      <c r="A147" s="13" t="s">
        <v>254</v>
      </c>
      <c r="B147" s="13">
        <f>SKEW(B128:B130,B132,B134,B136:B140)</f>
        <v>0.91625767816188186</v>
      </c>
      <c r="C147" s="13"/>
      <c r="D147" s="13"/>
      <c r="E147" s="13"/>
      <c r="F147" s="13">
        <f>SKEW(F128:F130,F132,F134,F136:F140)</f>
        <v>0.2904877885369761</v>
      </c>
      <c r="K147" s="12"/>
      <c r="L147" s="12"/>
      <c r="M147" s="12"/>
      <c r="N147" s="12"/>
      <c r="O147" s="12"/>
      <c r="P147" s="12"/>
      <c r="Q147" s="13" t="s">
        <v>254</v>
      </c>
      <c r="R147" s="13">
        <f>SKEW(R128:R130,R132,R134,R136:R140)</f>
        <v>-0.1569381096004194</v>
      </c>
      <c r="S147" s="13"/>
      <c r="T147" s="13"/>
      <c r="U147" s="13"/>
      <c r="V147" s="13">
        <f>SKEW(V128:V130,V132,V134,V136:V140)</f>
        <v>-0.310208888937411</v>
      </c>
      <c r="Z147" s="12"/>
      <c r="AA147" s="12"/>
      <c r="AB147" s="12"/>
      <c r="AC147" s="12"/>
      <c r="AD147" s="12"/>
      <c r="AE147" s="12"/>
      <c r="AF147" s="12"/>
      <c r="AG147" s="12"/>
      <c r="AH147" s="12"/>
      <c r="AI147" s="12"/>
      <c r="AJ147" s="13" t="s">
        <v>254</v>
      </c>
      <c r="AK147" s="13">
        <f>SKEW(AK128:AK130,AK132,AK134,AK136:AK140)</f>
        <v>-0.41935676048085485</v>
      </c>
      <c r="AL147" s="13"/>
      <c r="AM147" s="13"/>
      <c r="AN147" s="13"/>
      <c r="AO147" s="13">
        <f>SKEW(AO128:AO130,AO132,AO134,AO136:AO140)</f>
        <v>0.74850335820448533</v>
      </c>
      <c r="AT147" s="12"/>
      <c r="AU147" s="13" t="s">
        <v>254</v>
      </c>
      <c r="AV147" s="13">
        <f>SKEW(AV128:AV130,AV132,AV134,AV136:AV140)</f>
        <v>-6.7716180655309266E-2</v>
      </c>
      <c r="AW147" s="13"/>
      <c r="AX147" s="13"/>
      <c r="AY147" s="13"/>
      <c r="AZ147" s="13">
        <f>SKEW(AZ128:AZ130,AZ132,AZ134,AZ136:AZ140)</f>
        <v>0.17827573391986493</v>
      </c>
      <c r="BE147" s="13" t="s">
        <v>254</v>
      </c>
      <c r="BF147" s="13">
        <f>SKEW(BF128:BF130,BF132,BF134,BF136:BF140)</f>
        <v>0.84018148621298117</v>
      </c>
      <c r="BG147" s="13"/>
      <c r="BH147" s="13"/>
      <c r="BI147" s="13"/>
      <c r="BJ147" s="13">
        <f>SKEW(BJ128:BJ130,BJ132,BJ134,BJ136:BJ140)</f>
        <v>1.0240631141706245</v>
      </c>
      <c r="BO147" s="13" t="s">
        <v>254</v>
      </c>
      <c r="BP147" s="13">
        <f>SKEW(BP128:BP130,BP132,BP134,BP136:BP140)</f>
        <v>0.59180496127242199</v>
      </c>
      <c r="BQ147" s="13"/>
      <c r="BR147" s="13"/>
      <c r="BS147" s="13"/>
      <c r="BT147" s="13">
        <f>SKEW(BT128:BT130,BT132,BT134,BT136:BT140)</f>
        <v>0.48390256365361151</v>
      </c>
      <c r="BY147" s="13" t="s">
        <v>254</v>
      </c>
      <c r="BZ147" s="13">
        <f>SKEW(BZ128:BZ130,BZ132,BZ134,BZ136:BZ140)</f>
        <v>0.46619669000068287</v>
      </c>
      <c r="CA147" s="13"/>
      <c r="CB147" s="13"/>
      <c r="CC147" s="13"/>
      <c r="CD147" s="13">
        <f>SKEW(CD128:CD130,CD132,CD134,CD136:CD140)</f>
        <v>1.0095636583464471</v>
      </c>
    </row>
    <row r="148" spans="1:82" ht="14.25" customHeight="1" x14ac:dyDescent="0.3">
      <c r="A148" s="13" t="s">
        <v>256</v>
      </c>
      <c r="B148" s="3">
        <v>12.79318576213983</v>
      </c>
      <c r="K148" s="12"/>
      <c r="L148" s="12"/>
      <c r="M148" s="12"/>
      <c r="N148" s="12"/>
      <c r="O148" s="12"/>
      <c r="P148" s="12"/>
      <c r="Q148" s="13" t="s">
        <v>256</v>
      </c>
      <c r="R148" s="3">
        <v>19.648496572327211</v>
      </c>
      <c r="Z148" s="12"/>
      <c r="AA148" s="12"/>
      <c r="AB148" s="12"/>
      <c r="AC148" s="12"/>
      <c r="AD148" s="12"/>
      <c r="AE148" s="12"/>
      <c r="AF148" s="12"/>
      <c r="AG148" s="12"/>
      <c r="AH148" s="12"/>
      <c r="AI148" s="12"/>
      <c r="AJ148" s="13" t="s">
        <v>256</v>
      </c>
      <c r="AK148" s="3">
        <v>18.054153001387739</v>
      </c>
      <c r="AT148" s="12"/>
      <c r="AU148" s="13" t="s">
        <v>256</v>
      </c>
      <c r="AV148" s="3">
        <v>23.09805152665016</v>
      </c>
      <c r="BE148" s="13" t="s">
        <v>256</v>
      </c>
      <c r="BF148" s="3">
        <v>28.44660427759413</v>
      </c>
      <c r="BO148" s="13" t="s">
        <v>256</v>
      </c>
      <c r="BP148" s="3">
        <v>20.120591880110041</v>
      </c>
      <c r="BY148" s="13" t="s">
        <v>256</v>
      </c>
      <c r="BZ148" s="3">
        <v>30.18614631376985</v>
      </c>
    </row>
    <row r="149" spans="1:82" ht="14.25" customHeight="1" x14ac:dyDescent="0.3">
      <c r="A149" s="13" t="s">
        <v>257</v>
      </c>
      <c r="B149" s="13">
        <v>8</v>
      </c>
      <c r="K149" s="12"/>
      <c r="L149" s="12"/>
      <c r="M149" s="12"/>
      <c r="N149" s="12"/>
      <c r="O149" s="12"/>
      <c r="P149" s="12"/>
      <c r="Q149" s="13" t="s">
        <v>257</v>
      </c>
      <c r="R149" s="13">
        <v>11</v>
      </c>
      <c r="Z149" s="12"/>
      <c r="AA149" s="12"/>
      <c r="AB149" s="12"/>
      <c r="AC149" s="12"/>
      <c r="AD149" s="12"/>
      <c r="AE149" s="12"/>
      <c r="AF149" s="12"/>
      <c r="AG149" s="12"/>
      <c r="AH149" s="12"/>
      <c r="AI149" s="12"/>
      <c r="AJ149" s="13" t="s">
        <v>257</v>
      </c>
      <c r="AK149" s="13">
        <v>9</v>
      </c>
      <c r="AT149" s="12"/>
      <c r="AU149" s="13" t="s">
        <v>257</v>
      </c>
      <c r="AV149" s="13">
        <v>9</v>
      </c>
      <c r="BE149" s="13" t="s">
        <v>257</v>
      </c>
      <c r="BF149" s="13">
        <v>13</v>
      </c>
      <c r="BO149" s="13" t="s">
        <v>257</v>
      </c>
      <c r="BP149" s="13">
        <v>12</v>
      </c>
      <c r="BY149" s="13" t="s">
        <v>257</v>
      </c>
      <c r="BZ149" s="13">
        <v>12</v>
      </c>
    </row>
    <row r="150" spans="1:82" ht="14.25" customHeight="1" x14ac:dyDescent="0.3">
      <c r="A150" s="28" t="s">
        <v>258</v>
      </c>
      <c r="B150" s="13">
        <f>B149*2</f>
        <v>16</v>
      </c>
      <c r="K150" s="27"/>
      <c r="L150" s="27"/>
      <c r="M150" s="27"/>
      <c r="N150" s="27"/>
      <c r="O150" s="27"/>
      <c r="P150" s="27"/>
      <c r="Q150" s="28" t="s">
        <v>258</v>
      </c>
      <c r="R150" s="13">
        <f>R149*2</f>
        <v>22</v>
      </c>
      <c r="Z150" s="27"/>
      <c r="AA150" s="27"/>
      <c r="AB150" s="27"/>
      <c r="AC150" s="27"/>
      <c r="AD150" s="27"/>
      <c r="AE150" s="27"/>
      <c r="AF150" s="27"/>
      <c r="AG150" s="27"/>
      <c r="AH150" s="27"/>
      <c r="AI150" s="27"/>
      <c r="AJ150" s="28" t="s">
        <v>258</v>
      </c>
      <c r="AK150" s="13">
        <f>AK149*2</f>
        <v>18</v>
      </c>
      <c r="AT150" s="27"/>
      <c r="AU150" s="28" t="s">
        <v>258</v>
      </c>
      <c r="AV150" s="13">
        <f>AV149*2</f>
        <v>18</v>
      </c>
      <c r="BE150" s="28" t="s">
        <v>258</v>
      </c>
      <c r="BF150" s="13">
        <f>BF149*2</f>
        <v>26</v>
      </c>
      <c r="BO150" s="28" t="s">
        <v>258</v>
      </c>
      <c r="BP150" s="13">
        <f>BP149*2</f>
        <v>24</v>
      </c>
      <c r="BY150" s="28" t="s">
        <v>258</v>
      </c>
      <c r="BZ150" s="13">
        <f>BZ149*2</f>
        <v>24</v>
      </c>
    </row>
    <row r="151" spans="1:82" ht="14.25" customHeight="1" x14ac:dyDescent="0.3"/>
    <row r="152" spans="1:82" ht="14.25" customHeight="1" x14ac:dyDescent="0.3"/>
    <row r="153" spans="1:82" ht="14.25" customHeight="1" x14ac:dyDescent="0.3"/>
    <row r="154" spans="1:82" ht="14.25" customHeight="1" x14ac:dyDescent="0.3"/>
    <row r="155" spans="1:82" ht="14.25" customHeight="1" x14ac:dyDescent="0.3">
      <c r="B155" s="3" t="s">
        <v>284</v>
      </c>
      <c r="J155" s="3" t="s">
        <v>171</v>
      </c>
      <c r="X155" s="3" t="s">
        <v>285</v>
      </c>
      <c r="AO155" s="3" t="s">
        <v>173</v>
      </c>
      <c r="AU155" s="3" t="s">
        <v>174</v>
      </c>
      <c r="BC155" s="3" t="s">
        <v>175</v>
      </c>
      <c r="BK155" s="3" t="s">
        <v>176</v>
      </c>
    </row>
    <row r="156" spans="1:82" ht="14.25" customHeight="1" x14ac:dyDescent="0.3">
      <c r="B156" s="13" t="s">
        <v>201</v>
      </c>
      <c r="C156" s="13"/>
      <c r="D156" s="13"/>
      <c r="E156" s="13"/>
      <c r="F156" s="28" t="s">
        <v>286</v>
      </c>
      <c r="G156" s="13" t="s">
        <v>192</v>
      </c>
      <c r="H156" s="13" t="s">
        <v>193</v>
      </c>
      <c r="J156" s="13" t="s">
        <v>201</v>
      </c>
      <c r="K156" s="28"/>
      <c r="L156" s="28"/>
      <c r="M156" s="28"/>
      <c r="N156" s="28"/>
      <c r="O156" s="28"/>
      <c r="P156" s="28"/>
      <c r="Q156" s="28" t="s">
        <v>286</v>
      </c>
      <c r="R156" s="13" t="s">
        <v>192</v>
      </c>
      <c r="S156" s="13"/>
      <c r="T156" s="13"/>
      <c r="U156" s="13"/>
      <c r="V156" s="13" t="s">
        <v>193</v>
      </c>
      <c r="X156" s="13" t="s">
        <v>201</v>
      </c>
      <c r="Y156" s="28" t="s">
        <v>286</v>
      </c>
      <c r="Z156" s="13"/>
      <c r="AA156" s="13"/>
      <c r="AB156" s="13"/>
      <c r="AC156" s="13"/>
      <c r="AD156" s="13"/>
      <c r="AE156" s="13"/>
      <c r="AF156" s="13"/>
      <c r="AG156" s="13"/>
      <c r="AH156" s="13"/>
      <c r="AI156" s="13"/>
      <c r="AJ156" s="13" t="s">
        <v>193</v>
      </c>
      <c r="AO156" s="13" t="s">
        <v>201</v>
      </c>
      <c r="AP156" s="28" t="s">
        <v>286</v>
      </c>
      <c r="AQ156" s="13" t="s">
        <v>192</v>
      </c>
      <c r="AR156" s="13" t="s">
        <v>193</v>
      </c>
      <c r="AT156" s="12"/>
      <c r="AU156" s="13" t="s">
        <v>201</v>
      </c>
      <c r="AV156" s="28" t="s">
        <v>286</v>
      </c>
      <c r="AW156" s="28"/>
      <c r="AX156" s="28"/>
      <c r="AY156" s="28"/>
      <c r="AZ156" s="13" t="s">
        <v>192</v>
      </c>
      <c r="BA156" s="13" t="s">
        <v>193</v>
      </c>
      <c r="BC156" s="13" t="s">
        <v>201</v>
      </c>
      <c r="BD156" s="28" t="s">
        <v>286</v>
      </c>
      <c r="BE156" s="13" t="s">
        <v>192</v>
      </c>
      <c r="BF156" s="13" t="s">
        <v>193</v>
      </c>
      <c r="BK156" s="13" t="s">
        <v>201</v>
      </c>
      <c r="BL156" s="28" t="s">
        <v>286</v>
      </c>
      <c r="BM156" s="13" t="s">
        <v>192</v>
      </c>
      <c r="BN156" s="13" t="s">
        <v>193</v>
      </c>
    </row>
    <row r="157" spans="1:82" ht="14.25" customHeight="1" x14ac:dyDescent="0.3">
      <c r="B157" s="3" t="s">
        <v>213</v>
      </c>
      <c r="F157" s="13">
        <f t="shared" ref="F157:F176" si="87">AVERAGE(AZ8,AO59,V92,F124)</f>
        <v>8</v>
      </c>
      <c r="G157" s="13">
        <v>1.247177188019948</v>
      </c>
      <c r="H157" s="13">
        <v>17</v>
      </c>
      <c r="J157" s="3" t="s">
        <v>213</v>
      </c>
      <c r="K157" s="12"/>
      <c r="L157" s="12"/>
      <c r="M157" s="12"/>
      <c r="N157" s="12"/>
      <c r="O157" s="12"/>
      <c r="P157" s="12"/>
      <c r="Q157" s="13">
        <f t="shared" ref="Q157:Q176" si="88">AVERAGE(BJ8,AZ59,AO92,V124)</f>
        <v>8</v>
      </c>
      <c r="R157" s="13">
        <v>1.247177188019948</v>
      </c>
      <c r="S157" s="13"/>
      <c r="T157" s="13"/>
      <c r="U157" s="13"/>
      <c r="V157" s="13">
        <v>17</v>
      </c>
      <c r="X157" s="3" t="s">
        <v>213</v>
      </c>
      <c r="Y157" s="13">
        <f t="shared" ref="Y157:Y176" si="89">AVERAGE(BT8,BJ59,AZ92,AO124)</f>
        <v>8.25</v>
      </c>
      <c r="Z157" s="13"/>
      <c r="AA157" s="13"/>
      <c r="AB157" s="13"/>
      <c r="AC157" s="13"/>
      <c r="AD157" s="13"/>
      <c r="AE157" s="13"/>
      <c r="AF157" s="13"/>
      <c r="AG157" s="13"/>
      <c r="AH157" s="13"/>
      <c r="AI157" s="13"/>
      <c r="AJ157" s="13">
        <v>17</v>
      </c>
      <c r="AO157" s="3" t="s">
        <v>213</v>
      </c>
      <c r="AP157" s="13">
        <f t="shared" ref="AP157:AP176" si="90">AVERAGE(CD8,BT59,BJ92,AZ124)</f>
        <v>8</v>
      </c>
      <c r="AQ157" s="13">
        <v>1.247177188019948</v>
      </c>
      <c r="AR157" s="13">
        <v>17</v>
      </c>
      <c r="AU157" s="3" t="s">
        <v>213</v>
      </c>
      <c r="AV157" s="13">
        <f t="shared" ref="AV157:AV176" si="91">AVERAGE(F8,CN8,CD59,BT92,BJ124)</f>
        <v>8.4</v>
      </c>
      <c r="AW157" s="13"/>
      <c r="AX157" s="13"/>
      <c r="AY157" s="13"/>
      <c r="AZ157" s="13">
        <v>1.247177188019948</v>
      </c>
      <c r="BA157" s="13">
        <v>17</v>
      </c>
      <c r="BC157" s="3" t="s">
        <v>213</v>
      </c>
      <c r="BD157" s="13">
        <f t="shared" ref="BD157:BD176" si="92">AVERAGE(V8,F59,CN59,CD92,BT124)</f>
        <v>8</v>
      </c>
      <c r="BE157" s="13">
        <v>1.247177188019948</v>
      </c>
      <c r="BF157" s="13">
        <v>17</v>
      </c>
      <c r="BK157" s="3" t="s">
        <v>213</v>
      </c>
      <c r="BL157" s="13">
        <f t="shared" ref="BL157:BL176" si="93">AVERAGE(AO8,V59,F92,CN92,CD124)</f>
        <v>8</v>
      </c>
      <c r="BM157" s="13">
        <v>1.247177188019948</v>
      </c>
      <c r="BN157" s="13">
        <v>17</v>
      </c>
      <c r="BP157" s="13" t="s">
        <v>287</v>
      </c>
      <c r="BQ157" s="13"/>
      <c r="BR157" s="13"/>
      <c r="BS157" s="13"/>
      <c r="BT157" s="13">
        <f t="shared" ref="BT157:BT158" si="94">F177+Q177+Y177+AP177+AV177+BD177+BL177</f>
        <v>131.51186548092915</v>
      </c>
    </row>
    <row r="158" spans="1:82" ht="14.25" customHeight="1" x14ac:dyDescent="0.3">
      <c r="B158" s="3" t="s">
        <v>217</v>
      </c>
      <c r="F158" s="13">
        <f t="shared" si="87"/>
        <v>7</v>
      </c>
      <c r="G158" s="13">
        <v>1.1139196755889551</v>
      </c>
      <c r="H158" s="13">
        <v>11</v>
      </c>
      <c r="J158" s="3" t="s">
        <v>217</v>
      </c>
      <c r="K158" s="12"/>
      <c r="L158" s="12"/>
      <c r="M158" s="12"/>
      <c r="N158" s="12"/>
      <c r="O158" s="12"/>
      <c r="P158" s="12"/>
      <c r="Q158" s="13">
        <f t="shared" si="88"/>
        <v>9</v>
      </c>
      <c r="R158" s="13">
        <v>1.1139196755889551</v>
      </c>
      <c r="S158" s="13"/>
      <c r="T158" s="13"/>
      <c r="U158" s="13"/>
      <c r="V158" s="13">
        <v>11</v>
      </c>
      <c r="X158" s="3" t="s">
        <v>217</v>
      </c>
      <c r="Y158" s="13">
        <f t="shared" si="89"/>
        <v>7</v>
      </c>
      <c r="Z158" s="13"/>
      <c r="AA158" s="13"/>
      <c r="AB158" s="13"/>
      <c r="AC158" s="13"/>
      <c r="AD158" s="13"/>
      <c r="AE158" s="13"/>
      <c r="AF158" s="13"/>
      <c r="AG158" s="13"/>
      <c r="AH158" s="13"/>
      <c r="AI158" s="13"/>
      <c r="AJ158" s="13">
        <v>11</v>
      </c>
      <c r="AO158" s="3" t="s">
        <v>217</v>
      </c>
      <c r="AP158" s="13">
        <f t="shared" si="90"/>
        <v>7.25</v>
      </c>
      <c r="AQ158" s="13">
        <v>1.1139196755889551</v>
      </c>
      <c r="AR158" s="13">
        <v>11</v>
      </c>
      <c r="AU158" s="3" t="s">
        <v>217</v>
      </c>
      <c r="AV158" s="13">
        <f t="shared" si="91"/>
        <v>7.6</v>
      </c>
      <c r="AW158" s="13"/>
      <c r="AX158" s="13"/>
      <c r="AY158" s="13"/>
      <c r="AZ158" s="13">
        <v>1.1139196755889551</v>
      </c>
      <c r="BA158" s="13">
        <v>11</v>
      </c>
      <c r="BC158" s="3" t="s">
        <v>217</v>
      </c>
      <c r="BD158" s="13">
        <f t="shared" si="92"/>
        <v>7</v>
      </c>
      <c r="BE158" s="13">
        <v>1.1139196755889551</v>
      </c>
      <c r="BF158" s="13">
        <v>11</v>
      </c>
      <c r="BK158" s="3" t="s">
        <v>217</v>
      </c>
      <c r="BL158" s="13">
        <f t="shared" si="93"/>
        <v>7.6</v>
      </c>
      <c r="BM158" s="13">
        <v>1.1139196755889551</v>
      </c>
      <c r="BN158" s="13">
        <v>11</v>
      </c>
      <c r="BP158" s="13" t="s">
        <v>288</v>
      </c>
      <c r="BQ158" s="13"/>
      <c r="BR158" s="13"/>
      <c r="BS158" s="13"/>
      <c r="BT158" s="13">
        <f t="shared" si="94"/>
        <v>67.8</v>
      </c>
    </row>
    <row r="159" spans="1:82" ht="14.25" customHeight="1" x14ac:dyDescent="0.3">
      <c r="B159" s="3" t="s">
        <v>215</v>
      </c>
      <c r="F159" s="13">
        <f t="shared" si="87"/>
        <v>5.25</v>
      </c>
      <c r="G159" s="13">
        <v>1.1425292918330761</v>
      </c>
      <c r="H159" s="13">
        <v>15</v>
      </c>
      <c r="J159" s="3" t="s">
        <v>215</v>
      </c>
      <c r="K159" s="12"/>
      <c r="L159" s="12"/>
      <c r="M159" s="12"/>
      <c r="N159" s="12"/>
      <c r="O159" s="12"/>
      <c r="P159" s="12"/>
      <c r="Q159" s="13">
        <f t="shared" si="88"/>
        <v>5.75</v>
      </c>
      <c r="R159" s="13">
        <v>1.1425292918330761</v>
      </c>
      <c r="S159" s="13"/>
      <c r="T159" s="13"/>
      <c r="U159" s="13"/>
      <c r="V159" s="13">
        <v>15</v>
      </c>
      <c r="X159" s="3" t="s">
        <v>215</v>
      </c>
      <c r="Y159" s="13">
        <f t="shared" si="89"/>
        <v>5</v>
      </c>
      <c r="Z159" s="13"/>
      <c r="AA159" s="13"/>
      <c r="AB159" s="13"/>
      <c r="AC159" s="13"/>
      <c r="AD159" s="13"/>
      <c r="AE159" s="13"/>
      <c r="AF159" s="13"/>
      <c r="AG159" s="13"/>
      <c r="AH159" s="13"/>
      <c r="AI159" s="13"/>
      <c r="AJ159" s="13">
        <v>15</v>
      </c>
      <c r="AO159" s="3" t="s">
        <v>215</v>
      </c>
      <c r="AP159" s="13">
        <f t="shared" si="90"/>
        <v>5</v>
      </c>
      <c r="AQ159" s="13">
        <v>1.1425292918330761</v>
      </c>
      <c r="AR159" s="13">
        <v>15</v>
      </c>
      <c r="AU159" s="3" t="s">
        <v>215</v>
      </c>
      <c r="AV159" s="13">
        <f t="shared" si="91"/>
        <v>5</v>
      </c>
      <c r="AW159" s="13"/>
      <c r="AX159" s="13"/>
      <c r="AY159" s="13"/>
      <c r="AZ159" s="13">
        <v>1.1425292918330761</v>
      </c>
      <c r="BA159" s="13">
        <v>15</v>
      </c>
      <c r="BC159" s="3" t="s">
        <v>215</v>
      </c>
      <c r="BD159" s="13">
        <f t="shared" si="92"/>
        <v>5.2</v>
      </c>
      <c r="BE159" s="13">
        <v>1.1425292918330761</v>
      </c>
      <c r="BF159" s="13">
        <v>15</v>
      </c>
      <c r="BK159" s="3" t="s">
        <v>215</v>
      </c>
      <c r="BL159" s="13">
        <f t="shared" si="93"/>
        <v>5.2</v>
      </c>
      <c r="BM159" s="13">
        <v>1.1425292918330761</v>
      </c>
      <c r="BN159" s="13">
        <v>15</v>
      </c>
    </row>
    <row r="160" spans="1:82" ht="14.25" customHeight="1" x14ac:dyDescent="0.3">
      <c r="B160" s="3" t="s">
        <v>216</v>
      </c>
      <c r="F160" s="13">
        <f t="shared" si="87"/>
        <v>5</v>
      </c>
      <c r="G160" s="13">
        <v>1.123713972805261</v>
      </c>
      <c r="H160" s="13">
        <v>11</v>
      </c>
      <c r="J160" s="3" t="s">
        <v>216</v>
      </c>
      <c r="K160" s="12"/>
      <c r="L160" s="12"/>
      <c r="M160" s="12"/>
      <c r="N160" s="12"/>
      <c r="O160" s="12"/>
      <c r="P160" s="12"/>
      <c r="Q160" s="13">
        <f t="shared" si="88"/>
        <v>5</v>
      </c>
      <c r="R160" s="13">
        <v>1.123713972805261</v>
      </c>
      <c r="S160" s="13"/>
      <c r="T160" s="13"/>
      <c r="U160" s="13"/>
      <c r="V160" s="13">
        <v>11</v>
      </c>
      <c r="X160" s="3" t="s">
        <v>216</v>
      </c>
      <c r="Y160" s="13">
        <f t="shared" si="89"/>
        <v>5.5</v>
      </c>
      <c r="Z160" s="13"/>
      <c r="AA160" s="13"/>
      <c r="AB160" s="13"/>
      <c r="AC160" s="13"/>
      <c r="AD160" s="13"/>
      <c r="AE160" s="13"/>
      <c r="AF160" s="13"/>
      <c r="AG160" s="13"/>
      <c r="AH160" s="13"/>
      <c r="AI160" s="13"/>
      <c r="AJ160" s="13">
        <v>11</v>
      </c>
      <c r="AO160" s="3" t="s">
        <v>216</v>
      </c>
      <c r="AP160" s="13">
        <f t="shared" si="90"/>
        <v>5</v>
      </c>
      <c r="AQ160" s="13">
        <v>1.123713972805261</v>
      </c>
      <c r="AR160" s="13">
        <v>11</v>
      </c>
      <c r="AU160" s="3" t="s">
        <v>216</v>
      </c>
      <c r="AV160" s="13">
        <f t="shared" si="91"/>
        <v>5</v>
      </c>
      <c r="AW160" s="13"/>
      <c r="AX160" s="13"/>
      <c r="AY160" s="13"/>
      <c r="AZ160" s="13">
        <v>1.123713972805261</v>
      </c>
      <c r="BA160" s="13">
        <v>11</v>
      </c>
      <c r="BC160" s="3" t="s">
        <v>216</v>
      </c>
      <c r="BD160" s="13">
        <f t="shared" si="92"/>
        <v>5.6</v>
      </c>
      <c r="BE160" s="13">
        <v>1.123713972805261</v>
      </c>
      <c r="BF160" s="13">
        <v>11</v>
      </c>
      <c r="BK160" s="3" t="s">
        <v>216</v>
      </c>
      <c r="BL160" s="13">
        <f t="shared" si="93"/>
        <v>5</v>
      </c>
      <c r="BM160" s="13">
        <v>1.123713972805261</v>
      </c>
      <c r="BN160" s="13">
        <v>11</v>
      </c>
      <c r="BP160" s="3" t="s">
        <v>289</v>
      </c>
    </row>
    <row r="161" spans="2:68" ht="14.25" customHeight="1" x14ac:dyDescent="0.3">
      <c r="B161" s="3" t="s">
        <v>238</v>
      </c>
      <c r="F161" s="13">
        <f t="shared" si="87"/>
        <v>5</v>
      </c>
      <c r="G161" s="13">
        <v>-1.1428327832816429</v>
      </c>
      <c r="H161" s="13">
        <v>7</v>
      </c>
      <c r="J161" s="3" t="s">
        <v>238</v>
      </c>
      <c r="K161" s="12"/>
      <c r="L161" s="12"/>
      <c r="M161" s="12"/>
      <c r="N161" s="12"/>
      <c r="O161" s="12"/>
      <c r="P161" s="12"/>
      <c r="Q161" s="13">
        <f t="shared" si="88"/>
        <v>5</v>
      </c>
      <c r="R161" s="13">
        <v>-1.1428327832816429</v>
      </c>
      <c r="S161" s="13"/>
      <c r="T161" s="13"/>
      <c r="U161" s="13"/>
      <c r="V161" s="13">
        <v>7</v>
      </c>
      <c r="X161" s="3" t="s">
        <v>238</v>
      </c>
      <c r="Y161" s="13">
        <f t="shared" si="89"/>
        <v>5</v>
      </c>
      <c r="Z161" s="13"/>
      <c r="AA161" s="13"/>
      <c r="AB161" s="13"/>
      <c r="AC161" s="13"/>
      <c r="AD161" s="13"/>
      <c r="AE161" s="13"/>
      <c r="AF161" s="13"/>
      <c r="AG161" s="13"/>
      <c r="AH161" s="13"/>
      <c r="AI161" s="13"/>
      <c r="AJ161" s="13">
        <v>7</v>
      </c>
      <c r="AO161" s="3" t="s">
        <v>238</v>
      </c>
      <c r="AP161" s="13">
        <f t="shared" si="90"/>
        <v>5</v>
      </c>
      <c r="AQ161" s="13">
        <v>-1.1428327832816429</v>
      </c>
      <c r="AR161" s="13">
        <v>7</v>
      </c>
      <c r="AU161" s="3" t="s">
        <v>238</v>
      </c>
      <c r="AV161" s="13">
        <f t="shared" si="91"/>
        <v>5</v>
      </c>
      <c r="AW161" s="13"/>
      <c r="AX161" s="13"/>
      <c r="AY161" s="13"/>
      <c r="AZ161" s="13">
        <v>-1.1428327832816429</v>
      </c>
      <c r="BA161" s="13">
        <v>7</v>
      </c>
      <c r="BC161" s="3" t="s">
        <v>238</v>
      </c>
      <c r="BD161" s="13">
        <f t="shared" si="92"/>
        <v>5</v>
      </c>
      <c r="BE161" s="13">
        <v>-1.1428327832816429</v>
      </c>
      <c r="BF161" s="13">
        <v>7</v>
      </c>
      <c r="BK161" s="3" t="s">
        <v>238</v>
      </c>
      <c r="BL161" s="13">
        <f t="shared" si="93"/>
        <v>5.2</v>
      </c>
      <c r="BM161" s="13">
        <v>-1.1428327832816429</v>
      </c>
      <c r="BN161" s="13">
        <v>7</v>
      </c>
      <c r="BP161" s="3" t="s">
        <v>290</v>
      </c>
    </row>
    <row r="162" spans="2:68" ht="14.25" customHeight="1" x14ac:dyDescent="0.3">
      <c r="B162" s="3" t="s">
        <v>239</v>
      </c>
      <c r="F162" s="13">
        <f t="shared" si="87"/>
        <v>11</v>
      </c>
      <c r="G162" s="13">
        <v>-1.1920893573654381</v>
      </c>
      <c r="H162" s="13">
        <v>15</v>
      </c>
      <c r="J162" s="3" t="s">
        <v>239</v>
      </c>
      <c r="K162" s="12"/>
      <c r="L162" s="12"/>
      <c r="M162" s="12"/>
      <c r="N162" s="12"/>
      <c r="O162" s="12"/>
      <c r="P162" s="12"/>
      <c r="Q162" s="13">
        <f t="shared" si="88"/>
        <v>11</v>
      </c>
      <c r="R162" s="13">
        <v>-1.1920893573654381</v>
      </c>
      <c r="S162" s="13"/>
      <c r="T162" s="13"/>
      <c r="U162" s="13"/>
      <c r="V162" s="13">
        <v>15</v>
      </c>
      <c r="X162" s="3" t="s">
        <v>239</v>
      </c>
      <c r="Y162" s="13">
        <f t="shared" si="89"/>
        <v>14</v>
      </c>
      <c r="Z162" s="13"/>
      <c r="AA162" s="13"/>
      <c r="AB162" s="13"/>
      <c r="AC162" s="13"/>
      <c r="AD162" s="13"/>
      <c r="AE162" s="13"/>
      <c r="AF162" s="13"/>
      <c r="AG162" s="13"/>
      <c r="AH162" s="13"/>
      <c r="AI162" s="13"/>
      <c r="AJ162" s="13">
        <v>15</v>
      </c>
      <c r="AO162" s="3" t="s">
        <v>239</v>
      </c>
      <c r="AP162" s="13">
        <f t="shared" si="90"/>
        <v>14.25</v>
      </c>
      <c r="AQ162" s="13">
        <v>-1.1920893573654381</v>
      </c>
      <c r="AR162" s="13">
        <v>15</v>
      </c>
      <c r="AU162" s="3" t="s">
        <v>239</v>
      </c>
      <c r="AV162" s="13">
        <f t="shared" si="91"/>
        <v>12.8</v>
      </c>
      <c r="AW162" s="13"/>
      <c r="AX162" s="13"/>
      <c r="AY162" s="13"/>
      <c r="AZ162" s="13">
        <v>-1.1920893573654381</v>
      </c>
      <c r="BA162" s="13">
        <v>15</v>
      </c>
      <c r="BC162" s="3" t="s">
        <v>239</v>
      </c>
      <c r="BD162" s="13">
        <f t="shared" si="92"/>
        <v>12.6</v>
      </c>
      <c r="BE162" s="13">
        <v>-1.1920893573654381</v>
      </c>
      <c r="BF162" s="13">
        <v>15</v>
      </c>
      <c r="BK162" s="3" t="s">
        <v>239</v>
      </c>
      <c r="BL162" s="13">
        <f t="shared" si="93"/>
        <v>12.6</v>
      </c>
      <c r="BM162" s="13">
        <v>-1.1920893573654381</v>
      </c>
      <c r="BN162" s="13">
        <v>15</v>
      </c>
      <c r="BP162" s="3" t="s">
        <v>291</v>
      </c>
    </row>
    <row r="163" spans="2:68" ht="14.25" customHeight="1" x14ac:dyDescent="0.3">
      <c r="B163" s="3" t="s">
        <v>229</v>
      </c>
      <c r="F163" s="13">
        <f t="shared" si="87"/>
        <v>7</v>
      </c>
      <c r="G163" s="13">
        <v>-1.0923718971587979</v>
      </c>
      <c r="H163" s="13">
        <v>15</v>
      </c>
      <c r="J163" s="3" t="s">
        <v>229</v>
      </c>
      <c r="K163" s="12"/>
      <c r="L163" s="12"/>
      <c r="M163" s="12"/>
      <c r="N163" s="12"/>
      <c r="O163" s="12"/>
      <c r="P163" s="12"/>
      <c r="Q163" s="13">
        <f t="shared" si="88"/>
        <v>7</v>
      </c>
      <c r="R163" s="13">
        <v>-1.0923718971587979</v>
      </c>
      <c r="S163" s="13"/>
      <c r="T163" s="13"/>
      <c r="U163" s="13"/>
      <c r="V163" s="13">
        <v>15</v>
      </c>
      <c r="X163" s="3" t="s">
        <v>229</v>
      </c>
      <c r="Y163" s="13">
        <f t="shared" si="89"/>
        <v>7</v>
      </c>
      <c r="Z163" s="13"/>
      <c r="AA163" s="13"/>
      <c r="AB163" s="13"/>
      <c r="AC163" s="13"/>
      <c r="AD163" s="13"/>
      <c r="AE163" s="13"/>
      <c r="AF163" s="13"/>
      <c r="AG163" s="13"/>
      <c r="AH163" s="13"/>
      <c r="AI163" s="13"/>
      <c r="AJ163" s="13">
        <v>15</v>
      </c>
      <c r="AO163" s="3" t="s">
        <v>229</v>
      </c>
      <c r="AP163" s="13">
        <f t="shared" si="90"/>
        <v>7.5</v>
      </c>
      <c r="AQ163" s="13">
        <v>-1.0923718971587979</v>
      </c>
      <c r="AR163" s="13">
        <v>15</v>
      </c>
      <c r="AU163" s="3" t="s">
        <v>229</v>
      </c>
      <c r="AV163" s="13">
        <f t="shared" si="91"/>
        <v>7.4</v>
      </c>
      <c r="AW163" s="13"/>
      <c r="AX163" s="13"/>
      <c r="AY163" s="13"/>
      <c r="AZ163" s="13">
        <v>-1.0923718971587979</v>
      </c>
      <c r="BA163" s="13">
        <v>15</v>
      </c>
      <c r="BC163" s="3" t="s">
        <v>229</v>
      </c>
      <c r="BD163" s="13">
        <f t="shared" si="92"/>
        <v>7</v>
      </c>
      <c r="BE163" s="13">
        <v>-1.0923718971587979</v>
      </c>
      <c r="BF163" s="13">
        <v>15</v>
      </c>
      <c r="BK163" s="3" t="s">
        <v>229</v>
      </c>
      <c r="BL163" s="13">
        <f t="shared" si="93"/>
        <v>7.2</v>
      </c>
      <c r="BM163" s="13">
        <v>-1.0923718971587979</v>
      </c>
      <c r="BN163" s="13">
        <v>15</v>
      </c>
    </row>
    <row r="164" spans="2:68" ht="14.25" customHeight="1" x14ac:dyDescent="0.3">
      <c r="B164" s="3" t="s">
        <v>223</v>
      </c>
      <c r="F164" s="13">
        <f t="shared" si="87"/>
        <v>5</v>
      </c>
      <c r="G164" s="13">
        <v>0.9957863323050703</v>
      </c>
      <c r="H164" s="13">
        <v>15</v>
      </c>
      <c r="J164" s="3" t="s">
        <v>223</v>
      </c>
      <c r="K164" s="12"/>
      <c r="L164" s="12"/>
      <c r="M164" s="12"/>
      <c r="N164" s="12"/>
      <c r="O164" s="12"/>
      <c r="P164" s="12"/>
      <c r="Q164" s="13">
        <f t="shared" si="88"/>
        <v>5</v>
      </c>
      <c r="R164" s="13">
        <v>0.9957863323050703</v>
      </c>
      <c r="S164" s="13"/>
      <c r="T164" s="13"/>
      <c r="U164" s="13"/>
      <c r="V164" s="13">
        <v>15</v>
      </c>
      <c r="X164" s="3" t="s">
        <v>223</v>
      </c>
      <c r="Y164" s="13">
        <f t="shared" si="89"/>
        <v>5.25</v>
      </c>
      <c r="Z164" s="13"/>
      <c r="AA164" s="13"/>
      <c r="AB164" s="13"/>
      <c r="AC164" s="13"/>
      <c r="AD164" s="13"/>
      <c r="AE164" s="13"/>
      <c r="AF164" s="13"/>
      <c r="AG164" s="13"/>
      <c r="AH164" s="13"/>
      <c r="AI164" s="13"/>
      <c r="AJ164" s="13">
        <v>15</v>
      </c>
      <c r="AO164" s="3" t="s">
        <v>223</v>
      </c>
      <c r="AP164" s="13">
        <f t="shared" si="90"/>
        <v>5</v>
      </c>
      <c r="AQ164" s="13">
        <v>0.9957863323050703</v>
      </c>
      <c r="AR164" s="13">
        <v>15</v>
      </c>
      <c r="AU164" s="3" t="s">
        <v>223</v>
      </c>
      <c r="AV164" s="13">
        <f t="shared" si="91"/>
        <v>5</v>
      </c>
      <c r="AW164" s="13"/>
      <c r="AX164" s="13"/>
      <c r="AY164" s="13"/>
      <c r="AZ164" s="13">
        <v>0.9957863323050703</v>
      </c>
      <c r="BA164" s="13">
        <v>15</v>
      </c>
      <c r="BC164" s="3" t="s">
        <v>223</v>
      </c>
      <c r="BD164" s="13">
        <f t="shared" si="92"/>
        <v>5</v>
      </c>
      <c r="BE164" s="13">
        <v>0.9957863323050703</v>
      </c>
      <c r="BF164" s="13">
        <v>15</v>
      </c>
      <c r="BK164" s="3" t="s">
        <v>223</v>
      </c>
      <c r="BL164" s="13">
        <f t="shared" si="93"/>
        <v>5</v>
      </c>
      <c r="BM164" s="13">
        <v>0.9957863323050703</v>
      </c>
      <c r="BN164" s="13">
        <v>15</v>
      </c>
    </row>
    <row r="165" spans="2:68" ht="14.25" customHeight="1" x14ac:dyDescent="0.3">
      <c r="B165" s="3" t="s">
        <v>242</v>
      </c>
      <c r="F165" s="13">
        <f t="shared" si="87"/>
        <v>7</v>
      </c>
      <c r="G165" s="13">
        <v>-1.3367165560614409</v>
      </c>
      <c r="H165" s="13">
        <v>17</v>
      </c>
      <c r="J165" s="3" t="s">
        <v>242</v>
      </c>
      <c r="K165" s="12"/>
      <c r="L165" s="12"/>
      <c r="M165" s="12"/>
      <c r="N165" s="12"/>
      <c r="O165" s="12"/>
      <c r="P165" s="12"/>
      <c r="Q165" s="13">
        <f t="shared" si="88"/>
        <v>7.5</v>
      </c>
      <c r="R165" s="13">
        <v>-1.3367165560614409</v>
      </c>
      <c r="S165" s="13"/>
      <c r="T165" s="13"/>
      <c r="U165" s="13"/>
      <c r="V165" s="13">
        <v>17</v>
      </c>
      <c r="X165" s="3" t="s">
        <v>242</v>
      </c>
      <c r="Y165" s="13">
        <f t="shared" si="89"/>
        <v>7</v>
      </c>
      <c r="Z165" s="13"/>
      <c r="AA165" s="13"/>
      <c r="AB165" s="13"/>
      <c r="AC165" s="13"/>
      <c r="AD165" s="13"/>
      <c r="AE165" s="13"/>
      <c r="AF165" s="13"/>
      <c r="AG165" s="13"/>
      <c r="AH165" s="13"/>
      <c r="AI165" s="13"/>
      <c r="AJ165" s="13">
        <v>17</v>
      </c>
      <c r="AO165" s="3" t="s">
        <v>242</v>
      </c>
      <c r="AP165" s="13">
        <f t="shared" si="90"/>
        <v>7</v>
      </c>
      <c r="AQ165" s="13">
        <v>-1.3367165560614409</v>
      </c>
      <c r="AR165" s="13">
        <v>17</v>
      </c>
      <c r="AU165" s="3" t="s">
        <v>242</v>
      </c>
      <c r="AV165" s="13">
        <f t="shared" si="91"/>
        <v>7</v>
      </c>
      <c r="AW165" s="13"/>
      <c r="AX165" s="13"/>
      <c r="AY165" s="13"/>
      <c r="AZ165" s="13">
        <v>-1.3367165560614409</v>
      </c>
      <c r="BA165" s="13">
        <v>17</v>
      </c>
      <c r="BC165" s="3" t="s">
        <v>242</v>
      </c>
      <c r="BD165" s="13">
        <f t="shared" si="92"/>
        <v>7.4</v>
      </c>
      <c r="BE165" s="13">
        <v>-1.3367165560614409</v>
      </c>
      <c r="BF165" s="13">
        <v>17</v>
      </c>
      <c r="BK165" s="3" t="s">
        <v>242</v>
      </c>
      <c r="BL165" s="13">
        <f t="shared" si="93"/>
        <v>7.8</v>
      </c>
      <c r="BM165" s="13">
        <v>-1.3367165560614409</v>
      </c>
      <c r="BN165" s="13">
        <v>17</v>
      </c>
    </row>
    <row r="166" spans="2:68" ht="14.25" customHeight="1" x14ac:dyDescent="0.3">
      <c r="B166" s="3" t="s">
        <v>220</v>
      </c>
      <c r="F166" s="13">
        <f t="shared" si="87"/>
        <v>6</v>
      </c>
      <c r="G166" s="13">
        <v>0.99583449612816577</v>
      </c>
      <c r="H166" s="13">
        <v>29</v>
      </c>
      <c r="J166" s="3" t="s">
        <v>220</v>
      </c>
      <c r="K166" s="12"/>
      <c r="L166" s="12"/>
      <c r="M166" s="12"/>
      <c r="N166" s="12"/>
      <c r="O166" s="12"/>
      <c r="P166" s="12"/>
      <c r="Q166" s="13">
        <f t="shared" si="88"/>
        <v>5</v>
      </c>
      <c r="R166" s="13">
        <v>0.99583449612816577</v>
      </c>
      <c r="S166" s="13"/>
      <c r="T166" s="13"/>
      <c r="U166" s="13"/>
      <c r="V166" s="13">
        <v>29</v>
      </c>
      <c r="X166" s="3" t="s">
        <v>220</v>
      </c>
      <c r="Y166" s="13">
        <f t="shared" si="89"/>
        <v>5</v>
      </c>
      <c r="Z166" s="13"/>
      <c r="AA166" s="13"/>
      <c r="AB166" s="13"/>
      <c r="AC166" s="13"/>
      <c r="AD166" s="13"/>
      <c r="AE166" s="13"/>
      <c r="AF166" s="13"/>
      <c r="AG166" s="13"/>
      <c r="AH166" s="13"/>
      <c r="AI166" s="13"/>
      <c r="AJ166" s="13">
        <v>29</v>
      </c>
      <c r="AO166" s="3" t="s">
        <v>220</v>
      </c>
      <c r="AP166" s="13">
        <f t="shared" si="90"/>
        <v>5.75</v>
      </c>
      <c r="AQ166" s="13">
        <v>0.99583449612816577</v>
      </c>
      <c r="AR166" s="13">
        <v>29</v>
      </c>
      <c r="AU166" s="3" t="s">
        <v>220</v>
      </c>
      <c r="AV166" s="13">
        <f t="shared" si="91"/>
        <v>5.6</v>
      </c>
      <c r="AW166" s="13"/>
      <c r="AX166" s="13"/>
      <c r="AY166" s="13"/>
      <c r="AZ166" s="13">
        <v>0.99583449612816577</v>
      </c>
      <c r="BA166" s="13">
        <v>29</v>
      </c>
      <c r="BC166" s="3" t="s">
        <v>220</v>
      </c>
      <c r="BD166" s="13">
        <f t="shared" si="92"/>
        <v>5.4</v>
      </c>
      <c r="BE166" s="13">
        <v>0.99583449612816577</v>
      </c>
      <c r="BF166" s="13">
        <v>29</v>
      </c>
      <c r="BK166" s="3" t="s">
        <v>220</v>
      </c>
      <c r="BL166" s="13">
        <f t="shared" si="93"/>
        <v>5</v>
      </c>
      <c r="BM166" s="13">
        <v>0.99583449612816577</v>
      </c>
      <c r="BN166" s="13">
        <v>29</v>
      </c>
    </row>
    <row r="167" spans="2:68" ht="14.25" customHeight="1" x14ac:dyDescent="0.3">
      <c r="B167" s="3" t="s">
        <v>236</v>
      </c>
      <c r="F167" s="13">
        <f t="shared" si="87"/>
        <v>7.75</v>
      </c>
      <c r="G167" s="13">
        <v>-1.1339562965442611</v>
      </c>
      <c r="H167" s="13">
        <v>15</v>
      </c>
      <c r="J167" s="3" t="s">
        <v>236</v>
      </c>
      <c r="K167" s="12"/>
      <c r="L167" s="12"/>
      <c r="M167" s="12"/>
      <c r="N167" s="12"/>
      <c r="O167" s="12"/>
      <c r="P167" s="12"/>
      <c r="Q167" s="13">
        <f t="shared" si="88"/>
        <v>5</v>
      </c>
      <c r="R167" s="13">
        <v>-1.1339562965442611</v>
      </c>
      <c r="S167" s="13"/>
      <c r="T167" s="13"/>
      <c r="U167" s="13"/>
      <c r="V167" s="13">
        <v>15</v>
      </c>
      <c r="X167" s="3" t="s">
        <v>236</v>
      </c>
      <c r="Y167" s="13">
        <f t="shared" si="89"/>
        <v>3.75</v>
      </c>
      <c r="Z167" s="13"/>
      <c r="AA167" s="13"/>
      <c r="AB167" s="13"/>
      <c r="AC167" s="13"/>
      <c r="AD167" s="13"/>
      <c r="AE167" s="13"/>
      <c r="AF167" s="13"/>
      <c r="AG167" s="13"/>
      <c r="AH167" s="13"/>
      <c r="AI167" s="13"/>
      <c r="AJ167" s="13">
        <v>15</v>
      </c>
      <c r="AO167" s="3" t="s">
        <v>236</v>
      </c>
      <c r="AP167" s="13">
        <f t="shared" si="90"/>
        <v>6</v>
      </c>
      <c r="AQ167" s="13">
        <v>-1.1339562965442611</v>
      </c>
      <c r="AR167" s="13">
        <v>15</v>
      </c>
      <c r="AU167" s="3" t="s">
        <v>236</v>
      </c>
      <c r="AV167" s="13">
        <f t="shared" si="91"/>
        <v>4.4000000000000004</v>
      </c>
      <c r="AW167" s="13"/>
      <c r="AX167" s="13"/>
      <c r="AY167" s="13"/>
      <c r="AZ167" s="13">
        <v>-1.1339562965442611</v>
      </c>
      <c r="BA167" s="13">
        <v>15</v>
      </c>
      <c r="BC167" s="3" t="s">
        <v>236</v>
      </c>
      <c r="BD167" s="13">
        <f t="shared" si="92"/>
        <v>4.8</v>
      </c>
      <c r="BE167" s="13">
        <v>-1.1339562965442611</v>
      </c>
      <c r="BF167" s="13">
        <v>15</v>
      </c>
      <c r="BK167" s="3" t="s">
        <v>236</v>
      </c>
      <c r="BL167" s="13">
        <f t="shared" si="93"/>
        <v>3.6</v>
      </c>
      <c r="BM167" s="13">
        <v>-1.1339562965442611</v>
      </c>
      <c r="BN167" s="13">
        <v>15</v>
      </c>
    </row>
    <row r="168" spans="2:68" ht="14.25" customHeight="1" x14ac:dyDescent="0.3">
      <c r="B168" s="3" t="s">
        <v>227</v>
      </c>
      <c r="F168" s="13">
        <f t="shared" si="87"/>
        <v>10.25</v>
      </c>
      <c r="G168" s="13">
        <v>0.88597893866063815</v>
      </c>
      <c r="H168" s="13">
        <v>11</v>
      </c>
      <c r="J168" s="3" t="s">
        <v>227</v>
      </c>
      <c r="K168" s="12"/>
      <c r="L168" s="12"/>
      <c r="M168" s="12"/>
      <c r="N168" s="12"/>
      <c r="O168" s="12"/>
      <c r="P168" s="12"/>
      <c r="Q168" s="13">
        <f t="shared" si="88"/>
        <v>9.25</v>
      </c>
      <c r="R168" s="13">
        <v>0.88597893866063815</v>
      </c>
      <c r="S168" s="13"/>
      <c r="T168" s="13"/>
      <c r="U168" s="13"/>
      <c r="V168" s="13">
        <v>11</v>
      </c>
      <c r="X168" s="3" t="s">
        <v>227</v>
      </c>
      <c r="Y168" s="13">
        <f t="shared" si="89"/>
        <v>5.5</v>
      </c>
      <c r="Z168" s="13"/>
      <c r="AA168" s="13"/>
      <c r="AB168" s="13"/>
      <c r="AC168" s="13"/>
      <c r="AD168" s="13"/>
      <c r="AE168" s="13"/>
      <c r="AF168" s="13"/>
      <c r="AG168" s="13"/>
      <c r="AH168" s="13"/>
      <c r="AI168" s="13"/>
      <c r="AJ168" s="13">
        <v>11</v>
      </c>
      <c r="AO168" s="3" t="s">
        <v>227</v>
      </c>
      <c r="AP168" s="13">
        <f t="shared" si="90"/>
        <v>11.25</v>
      </c>
      <c r="AQ168" s="13">
        <v>0.88597893866063815</v>
      </c>
      <c r="AR168" s="13">
        <v>11</v>
      </c>
      <c r="AU168" s="3" t="s">
        <v>227</v>
      </c>
      <c r="AV168" s="13">
        <f t="shared" si="91"/>
        <v>9.4</v>
      </c>
      <c r="AW168" s="13"/>
      <c r="AX168" s="13"/>
      <c r="AY168" s="13"/>
      <c r="AZ168" s="13">
        <v>0.88597893866063815</v>
      </c>
      <c r="BA168" s="13">
        <v>11</v>
      </c>
      <c r="BC168" s="3" t="s">
        <v>227</v>
      </c>
      <c r="BD168" s="13">
        <f t="shared" si="92"/>
        <v>12.4</v>
      </c>
      <c r="BE168" s="13">
        <v>0.88597893866063815</v>
      </c>
      <c r="BF168" s="13">
        <v>11</v>
      </c>
      <c r="BK168" s="3" t="s">
        <v>227</v>
      </c>
      <c r="BL168" s="13">
        <f t="shared" si="93"/>
        <v>11.8</v>
      </c>
      <c r="BM168" s="13">
        <v>0.88597893866063815</v>
      </c>
      <c r="BN168" s="13">
        <v>11</v>
      </c>
    </row>
    <row r="169" spans="2:68" ht="14.25" customHeight="1" x14ac:dyDescent="0.3">
      <c r="B169" s="3" t="s">
        <v>234</v>
      </c>
      <c r="F169" s="13">
        <f t="shared" si="87"/>
        <v>10.75</v>
      </c>
      <c r="G169" s="13">
        <v>-1.12017317951397</v>
      </c>
      <c r="H169" s="13">
        <v>16</v>
      </c>
      <c r="J169" s="3" t="s">
        <v>234</v>
      </c>
      <c r="K169" s="12"/>
      <c r="L169" s="12"/>
      <c r="M169" s="12"/>
      <c r="N169" s="12"/>
      <c r="O169" s="12"/>
      <c r="P169" s="12"/>
      <c r="Q169" s="13">
        <f t="shared" si="88"/>
        <v>10</v>
      </c>
      <c r="R169" s="13">
        <v>-1.12017317951397</v>
      </c>
      <c r="S169" s="13"/>
      <c r="T169" s="13"/>
      <c r="U169" s="13"/>
      <c r="V169" s="13">
        <v>16</v>
      </c>
      <c r="X169" s="3" t="s">
        <v>234</v>
      </c>
      <c r="Y169" s="13">
        <f t="shared" si="89"/>
        <v>8.25</v>
      </c>
      <c r="Z169" s="13"/>
      <c r="AA169" s="13"/>
      <c r="AB169" s="13"/>
      <c r="AC169" s="13"/>
      <c r="AD169" s="13"/>
      <c r="AE169" s="13"/>
      <c r="AF169" s="13"/>
      <c r="AG169" s="13"/>
      <c r="AH169" s="13"/>
      <c r="AI169" s="13"/>
      <c r="AJ169" s="13">
        <v>16</v>
      </c>
      <c r="AO169" s="3" t="s">
        <v>234</v>
      </c>
      <c r="AP169" s="13">
        <f t="shared" si="90"/>
        <v>7</v>
      </c>
      <c r="AQ169" s="13">
        <v>-1.12017317951397</v>
      </c>
      <c r="AR169" s="13">
        <v>16</v>
      </c>
      <c r="AU169" s="3" t="s">
        <v>234</v>
      </c>
      <c r="AV169" s="13">
        <f t="shared" si="91"/>
        <v>7.8</v>
      </c>
      <c r="AW169" s="13"/>
      <c r="AX169" s="13"/>
      <c r="AY169" s="13"/>
      <c r="AZ169" s="13">
        <v>-1.12017317951397</v>
      </c>
      <c r="BA169" s="13">
        <v>16</v>
      </c>
      <c r="BC169" s="3" t="s">
        <v>234</v>
      </c>
      <c r="BD169" s="13">
        <f t="shared" si="92"/>
        <v>9.4</v>
      </c>
      <c r="BE169" s="13">
        <v>-1.12017317951397</v>
      </c>
      <c r="BF169" s="13">
        <v>16</v>
      </c>
      <c r="BK169" s="3" t="s">
        <v>234</v>
      </c>
      <c r="BL169" s="13">
        <f t="shared" si="93"/>
        <v>11.4</v>
      </c>
      <c r="BM169" s="13">
        <v>-1.12017317951397</v>
      </c>
      <c r="BN169" s="13">
        <v>16</v>
      </c>
    </row>
    <row r="170" spans="2:68" ht="14.25" customHeight="1" x14ac:dyDescent="0.3">
      <c r="B170" s="3" t="s">
        <v>232</v>
      </c>
      <c r="F170" s="13">
        <f t="shared" si="87"/>
        <v>11.25</v>
      </c>
      <c r="G170" s="13">
        <v>-1.1154133211974251</v>
      </c>
      <c r="H170" s="13">
        <v>19</v>
      </c>
      <c r="J170" s="3" t="s">
        <v>232</v>
      </c>
      <c r="K170" s="12"/>
      <c r="L170" s="12"/>
      <c r="M170" s="12"/>
      <c r="N170" s="12"/>
      <c r="O170" s="12"/>
      <c r="P170" s="12"/>
      <c r="Q170" s="13">
        <f t="shared" si="88"/>
        <v>8.75</v>
      </c>
      <c r="R170" s="13">
        <v>-1.1154133211974251</v>
      </c>
      <c r="S170" s="13"/>
      <c r="T170" s="13"/>
      <c r="U170" s="13"/>
      <c r="V170" s="13">
        <v>19</v>
      </c>
      <c r="X170" s="3" t="s">
        <v>232</v>
      </c>
      <c r="Y170" s="13">
        <f t="shared" si="89"/>
        <v>6.25</v>
      </c>
      <c r="Z170" s="13"/>
      <c r="AA170" s="13"/>
      <c r="AB170" s="13"/>
      <c r="AC170" s="13"/>
      <c r="AD170" s="13"/>
      <c r="AE170" s="13"/>
      <c r="AF170" s="13"/>
      <c r="AG170" s="13"/>
      <c r="AH170" s="13"/>
      <c r="AI170" s="13"/>
      <c r="AJ170" s="13">
        <v>19</v>
      </c>
      <c r="AO170" s="3" t="s">
        <v>232</v>
      </c>
      <c r="AP170" s="13">
        <f t="shared" si="90"/>
        <v>5.75</v>
      </c>
      <c r="AQ170" s="13">
        <v>-1.1154133211974251</v>
      </c>
      <c r="AR170" s="13">
        <v>19</v>
      </c>
      <c r="AU170" s="3" t="s">
        <v>232</v>
      </c>
      <c r="AV170" s="13">
        <f t="shared" si="91"/>
        <v>5.2</v>
      </c>
      <c r="AW170" s="13"/>
      <c r="AX170" s="13"/>
      <c r="AY170" s="13"/>
      <c r="AZ170" s="13">
        <v>-1.1154133211974251</v>
      </c>
      <c r="BA170" s="13">
        <v>19</v>
      </c>
      <c r="BC170" s="3" t="s">
        <v>232</v>
      </c>
      <c r="BD170" s="13">
        <f t="shared" si="92"/>
        <v>9.4</v>
      </c>
      <c r="BE170" s="13">
        <v>-1.1154133211974251</v>
      </c>
      <c r="BF170" s="13">
        <v>19</v>
      </c>
      <c r="BK170" s="3" t="s">
        <v>232</v>
      </c>
      <c r="BL170" s="13">
        <f t="shared" si="93"/>
        <v>9</v>
      </c>
      <c r="BM170" s="13">
        <v>-1.1154133211974251</v>
      </c>
      <c r="BN170" s="13">
        <v>19</v>
      </c>
    </row>
    <row r="171" spans="2:68" ht="14.25" customHeight="1" x14ac:dyDescent="0.3">
      <c r="B171" s="3" t="s">
        <v>243</v>
      </c>
      <c r="F171" s="13">
        <f t="shared" si="87"/>
        <v>3.5</v>
      </c>
      <c r="G171" s="13">
        <v>-1.679865001322572</v>
      </c>
      <c r="H171" s="13">
        <v>27</v>
      </c>
      <c r="J171" s="3" t="s">
        <v>243</v>
      </c>
      <c r="K171" s="12"/>
      <c r="L171" s="12"/>
      <c r="M171" s="12"/>
      <c r="N171" s="12"/>
      <c r="O171" s="12"/>
      <c r="P171" s="12"/>
      <c r="Q171" s="13">
        <f t="shared" si="88"/>
        <v>3</v>
      </c>
      <c r="R171" s="13">
        <v>-1.679865001322572</v>
      </c>
      <c r="S171" s="13"/>
      <c r="T171" s="13"/>
      <c r="U171" s="13"/>
      <c r="V171" s="13">
        <v>27</v>
      </c>
      <c r="X171" s="3" t="s">
        <v>243</v>
      </c>
      <c r="Y171" s="13">
        <f t="shared" si="89"/>
        <v>2.75</v>
      </c>
      <c r="Z171" s="13"/>
      <c r="AA171" s="13"/>
      <c r="AB171" s="13"/>
      <c r="AC171" s="13"/>
      <c r="AD171" s="13"/>
      <c r="AE171" s="13"/>
      <c r="AF171" s="13"/>
      <c r="AG171" s="13"/>
      <c r="AH171" s="13"/>
      <c r="AI171" s="13"/>
      <c r="AJ171" s="13">
        <v>27</v>
      </c>
      <c r="AO171" s="3" t="s">
        <v>243</v>
      </c>
      <c r="AP171" s="13">
        <f t="shared" si="90"/>
        <v>2.75</v>
      </c>
      <c r="AQ171" s="13">
        <v>-1.679865001322572</v>
      </c>
      <c r="AR171" s="13">
        <v>27</v>
      </c>
      <c r="AU171" s="3" t="s">
        <v>243</v>
      </c>
      <c r="AV171" s="13">
        <f t="shared" si="91"/>
        <v>3.2</v>
      </c>
      <c r="AW171" s="13"/>
      <c r="AX171" s="13"/>
      <c r="AY171" s="13"/>
      <c r="AZ171" s="13">
        <v>-1.679865001322572</v>
      </c>
      <c r="BA171" s="13">
        <v>27</v>
      </c>
      <c r="BC171" s="3" t="s">
        <v>243</v>
      </c>
      <c r="BD171" s="13">
        <f t="shared" si="92"/>
        <v>2.6</v>
      </c>
      <c r="BE171" s="13">
        <v>-1.679865001322572</v>
      </c>
      <c r="BF171" s="13">
        <v>27</v>
      </c>
      <c r="BK171" s="3" t="s">
        <v>243</v>
      </c>
      <c r="BL171" s="13">
        <f t="shared" si="93"/>
        <v>3</v>
      </c>
      <c r="BM171" s="13">
        <v>-1.679865001322572</v>
      </c>
      <c r="BN171" s="13">
        <v>27</v>
      </c>
    </row>
    <row r="172" spans="2:68" ht="14.25" customHeight="1" x14ac:dyDescent="0.3">
      <c r="B172" s="3" t="s">
        <v>240</v>
      </c>
      <c r="F172" s="13">
        <f t="shared" si="87"/>
        <v>7.25</v>
      </c>
      <c r="G172" s="13">
        <v>-1.196962071035268</v>
      </c>
      <c r="H172" s="13">
        <v>19</v>
      </c>
      <c r="J172" s="3" t="s">
        <v>240</v>
      </c>
      <c r="K172" s="12"/>
      <c r="L172" s="12"/>
      <c r="M172" s="12"/>
      <c r="N172" s="12"/>
      <c r="O172" s="12"/>
      <c r="P172" s="12"/>
      <c r="Q172" s="13">
        <f t="shared" si="88"/>
        <v>7</v>
      </c>
      <c r="R172" s="13">
        <v>-1.196962071035268</v>
      </c>
      <c r="S172" s="13"/>
      <c r="T172" s="13"/>
      <c r="U172" s="13"/>
      <c r="V172" s="13">
        <v>19</v>
      </c>
      <c r="X172" s="3" t="s">
        <v>240</v>
      </c>
      <c r="Y172" s="13">
        <f t="shared" si="89"/>
        <v>6.75</v>
      </c>
      <c r="Z172" s="13"/>
      <c r="AA172" s="13"/>
      <c r="AB172" s="13"/>
      <c r="AC172" s="13"/>
      <c r="AD172" s="13"/>
      <c r="AE172" s="13"/>
      <c r="AF172" s="13"/>
      <c r="AG172" s="13"/>
      <c r="AH172" s="13"/>
      <c r="AI172" s="13"/>
      <c r="AJ172" s="13">
        <v>19</v>
      </c>
      <c r="AO172" s="3" t="s">
        <v>240</v>
      </c>
      <c r="AP172" s="13">
        <f t="shared" si="90"/>
        <v>8.25</v>
      </c>
      <c r="AQ172" s="13">
        <v>-1.196962071035268</v>
      </c>
      <c r="AR172" s="13">
        <v>19</v>
      </c>
      <c r="AU172" s="3" t="s">
        <v>240</v>
      </c>
      <c r="AV172" s="13">
        <f t="shared" si="91"/>
        <v>8</v>
      </c>
      <c r="AW172" s="13"/>
      <c r="AX172" s="13"/>
      <c r="AY172" s="13"/>
      <c r="AZ172" s="13">
        <v>-1.196962071035268</v>
      </c>
      <c r="BA172" s="13">
        <v>19</v>
      </c>
      <c r="BC172" s="3" t="s">
        <v>240</v>
      </c>
      <c r="BD172" s="13">
        <f t="shared" si="92"/>
        <v>9.6</v>
      </c>
      <c r="BE172" s="13">
        <v>-1.196962071035268</v>
      </c>
      <c r="BF172" s="13">
        <v>19</v>
      </c>
      <c r="BK172" s="3" t="s">
        <v>240</v>
      </c>
      <c r="BL172" s="13">
        <f t="shared" si="93"/>
        <v>10.8</v>
      </c>
      <c r="BM172" s="13">
        <v>-1.196962071035268</v>
      </c>
      <c r="BN172" s="13">
        <v>19</v>
      </c>
    </row>
    <row r="173" spans="2:68" ht="14.25" customHeight="1" x14ac:dyDescent="0.3">
      <c r="B173" s="3" t="s">
        <v>241</v>
      </c>
      <c r="F173" s="13">
        <f t="shared" si="87"/>
        <v>12.75</v>
      </c>
      <c r="G173" s="13">
        <v>-1.2097705883740471</v>
      </c>
      <c r="H173" s="13">
        <v>15</v>
      </c>
      <c r="J173" s="3" t="s">
        <v>241</v>
      </c>
      <c r="K173" s="12"/>
      <c r="L173" s="12"/>
      <c r="M173" s="12"/>
      <c r="N173" s="12"/>
      <c r="O173" s="12"/>
      <c r="P173" s="12"/>
      <c r="Q173" s="13">
        <f t="shared" si="88"/>
        <v>11.75</v>
      </c>
      <c r="R173" s="13">
        <v>-1.2097705883740471</v>
      </c>
      <c r="S173" s="13"/>
      <c r="T173" s="13"/>
      <c r="U173" s="13"/>
      <c r="V173" s="13">
        <v>15</v>
      </c>
      <c r="X173" s="3" t="s">
        <v>241</v>
      </c>
      <c r="Y173" s="13">
        <f t="shared" si="89"/>
        <v>12.5</v>
      </c>
      <c r="Z173" s="13"/>
      <c r="AA173" s="13"/>
      <c r="AB173" s="13"/>
      <c r="AC173" s="13"/>
      <c r="AD173" s="13"/>
      <c r="AE173" s="13"/>
      <c r="AF173" s="13"/>
      <c r="AG173" s="13"/>
      <c r="AH173" s="13"/>
      <c r="AI173" s="13"/>
      <c r="AJ173" s="13">
        <v>15</v>
      </c>
      <c r="AO173" s="3" t="s">
        <v>241</v>
      </c>
      <c r="AP173" s="13">
        <f t="shared" si="90"/>
        <v>12.25</v>
      </c>
      <c r="AQ173" s="13">
        <v>-1.2097705883740471</v>
      </c>
      <c r="AR173" s="13">
        <v>15</v>
      </c>
      <c r="AU173" s="3" t="s">
        <v>241</v>
      </c>
      <c r="AV173" s="13">
        <f t="shared" si="91"/>
        <v>14.2</v>
      </c>
      <c r="AW173" s="13"/>
      <c r="AX173" s="13"/>
      <c r="AY173" s="13"/>
      <c r="AZ173" s="13">
        <v>-1.2097705883740471</v>
      </c>
      <c r="BA173" s="13">
        <v>15</v>
      </c>
      <c r="BC173" s="3" t="s">
        <v>241</v>
      </c>
      <c r="BD173" s="13">
        <f t="shared" si="92"/>
        <v>13.8</v>
      </c>
      <c r="BE173" s="13">
        <v>-1.2097705883740471</v>
      </c>
      <c r="BF173" s="13">
        <v>15</v>
      </c>
      <c r="BK173" s="3" t="s">
        <v>241</v>
      </c>
      <c r="BL173" s="13">
        <f t="shared" si="93"/>
        <v>13</v>
      </c>
      <c r="BM173" s="13">
        <v>-1.2097705883740471</v>
      </c>
      <c r="BN173" s="13">
        <v>15</v>
      </c>
    </row>
    <row r="174" spans="2:68" ht="14.25" customHeight="1" x14ac:dyDescent="0.3">
      <c r="B174" s="3" t="s">
        <v>218</v>
      </c>
      <c r="F174" s="13">
        <f t="shared" si="87"/>
        <v>10.75</v>
      </c>
      <c r="G174" s="13">
        <v>1.0416402811862899</v>
      </c>
      <c r="H174" s="13">
        <v>11</v>
      </c>
      <c r="J174" s="3" t="s">
        <v>218</v>
      </c>
      <c r="K174" s="12"/>
      <c r="L174" s="12"/>
      <c r="M174" s="12"/>
      <c r="N174" s="12"/>
      <c r="O174" s="12"/>
      <c r="P174" s="12"/>
      <c r="Q174" s="13">
        <f t="shared" si="88"/>
        <v>10.25</v>
      </c>
      <c r="R174" s="13">
        <v>1.0416402811862899</v>
      </c>
      <c r="S174" s="13"/>
      <c r="T174" s="13"/>
      <c r="U174" s="13"/>
      <c r="V174" s="13">
        <v>11</v>
      </c>
      <c r="X174" s="3" t="s">
        <v>218</v>
      </c>
      <c r="Y174" s="13">
        <f t="shared" si="89"/>
        <v>8</v>
      </c>
      <c r="Z174" s="13"/>
      <c r="AA174" s="13"/>
      <c r="AB174" s="13"/>
      <c r="AC174" s="13"/>
      <c r="AD174" s="13"/>
      <c r="AE174" s="13"/>
      <c r="AF174" s="13"/>
      <c r="AG174" s="13"/>
      <c r="AH174" s="13"/>
      <c r="AI174" s="13"/>
      <c r="AJ174" s="13">
        <v>11</v>
      </c>
      <c r="AO174" s="3" t="s">
        <v>218</v>
      </c>
      <c r="AP174" s="13">
        <f t="shared" si="90"/>
        <v>10.25</v>
      </c>
      <c r="AQ174" s="13">
        <v>1.0416402811862899</v>
      </c>
      <c r="AR174" s="13">
        <v>11</v>
      </c>
      <c r="AU174" s="3" t="s">
        <v>218</v>
      </c>
      <c r="AV174" s="13">
        <f t="shared" si="91"/>
        <v>10.199999999999999</v>
      </c>
      <c r="AW174" s="13"/>
      <c r="AX174" s="13"/>
      <c r="AY174" s="13"/>
      <c r="AZ174" s="13">
        <v>1.0416402811862899</v>
      </c>
      <c r="BA174" s="13">
        <v>11</v>
      </c>
      <c r="BC174" s="3" t="s">
        <v>218</v>
      </c>
      <c r="BD174" s="13">
        <f t="shared" si="92"/>
        <v>11.6</v>
      </c>
      <c r="BE174" s="13">
        <v>1.0416402811862899</v>
      </c>
      <c r="BF174" s="13">
        <v>11</v>
      </c>
      <c r="BK174" s="3" t="s">
        <v>218</v>
      </c>
      <c r="BL174" s="13">
        <f t="shared" si="93"/>
        <v>11.4</v>
      </c>
      <c r="BM174" s="13">
        <v>1.0416402811862899</v>
      </c>
      <c r="BN174" s="13">
        <v>11</v>
      </c>
    </row>
    <row r="175" spans="2:68" ht="14.25" customHeight="1" x14ac:dyDescent="0.3">
      <c r="B175" s="3" t="s">
        <v>224</v>
      </c>
      <c r="F175" s="13">
        <f t="shared" si="87"/>
        <v>8.25</v>
      </c>
      <c r="G175" s="13">
        <v>0.98995442105744402</v>
      </c>
      <c r="H175" s="13">
        <v>11</v>
      </c>
      <c r="J175" s="3" t="s">
        <v>224</v>
      </c>
      <c r="K175" s="12"/>
      <c r="L175" s="12"/>
      <c r="M175" s="12"/>
      <c r="N175" s="12"/>
      <c r="O175" s="12"/>
      <c r="P175" s="12"/>
      <c r="Q175" s="13">
        <f t="shared" si="88"/>
        <v>5.5</v>
      </c>
      <c r="R175" s="13">
        <v>0.98995442105744402</v>
      </c>
      <c r="S175" s="13"/>
      <c r="T175" s="13"/>
      <c r="U175" s="13"/>
      <c r="V175" s="13">
        <v>11</v>
      </c>
      <c r="X175" s="3" t="s">
        <v>224</v>
      </c>
      <c r="Y175" s="13">
        <f t="shared" si="89"/>
        <v>3.75</v>
      </c>
      <c r="Z175" s="13"/>
      <c r="AA175" s="13"/>
      <c r="AB175" s="13"/>
      <c r="AC175" s="13"/>
      <c r="AD175" s="13"/>
      <c r="AE175" s="13"/>
      <c r="AF175" s="13"/>
      <c r="AG175" s="13"/>
      <c r="AH175" s="13"/>
      <c r="AI175" s="13"/>
      <c r="AJ175" s="13">
        <v>11</v>
      </c>
      <c r="AO175" s="3" t="s">
        <v>224</v>
      </c>
      <c r="AP175" s="13">
        <f t="shared" si="90"/>
        <v>9.5</v>
      </c>
      <c r="AQ175" s="13">
        <v>0.98995442105744402</v>
      </c>
      <c r="AR175" s="13">
        <v>11</v>
      </c>
      <c r="AU175" s="3" t="s">
        <v>224</v>
      </c>
      <c r="AV175" s="13">
        <f t="shared" si="91"/>
        <v>4.8</v>
      </c>
      <c r="AW175" s="13"/>
      <c r="AX175" s="13"/>
      <c r="AY175" s="13"/>
      <c r="AZ175" s="13">
        <v>0.98995442105744402</v>
      </c>
      <c r="BA175" s="13">
        <v>11</v>
      </c>
      <c r="BC175" s="3" t="s">
        <v>224</v>
      </c>
      <c r="BD175" s="13">
        <f t="shared" si="92"/>
        <v>7.8</v>
      </c>
      <c r="BE175" s="13">
        <v>0.98995442105744402</v>
      </c>
      <c r="BF175" s="13">
        <v>11</v>
      </c>
      <c r="BK175" s="3" t="s">
        <v>224</v>
      </c>
      <c r="BL175" s="13">
        <f t="shared" si="93"/>
        <v>8.8000000000000007</v>
      </c>
      <c r="BM175" s="13">
        <v>0.98995442105744402</v>
      </c>
      <c r="BN175" s="13">
        <v>11</v>
      </c>
    </row>
    <row r="176" spans="2:68" ht="14.25" customHeight="1" x14ac:dyDescent="0.3">
      <c r="B176" s="3" t="s">
        <v>225</v>
      </c>
      <c r="F176" s="13">
        <f t="shared" si="87"/>
        <v>21.25</v>
      </c>
      <c r="G176" s="13">
        <v>0.8928339600558084</v>
      </c>
      <c r="H176" s="13">
        <v>15</v>
      </c>
      <c r="J176" s="3" t="s">
        <v>225</v>
      </c>
      <c r="K176" s="12"/>
      <c r="L176" s="12"/>
      <c r="M176" s="12"/>
      <c r="N176" s="12"/>
      <c r="O176" s="12"/>
      <c r="P176" s="12"/>
      <c r="Q176" s="13">
        <f t="shared" si="88"/>
        <v>20.25</v>
      </c>
      <c r="R176" s="13">
        <v>0.8928339600558084</v>
      </c>
      <c r="S176" s="13"/>
      <c r="T176" s="13"/>
      <c r="U176" s="13"/>
      <c r="V176" s="13">
        <v>15</v>
      </c>
      <c r="X176" s="3" t="s">
        <v>225</v>
      </c>
      <c r="Y176" s="13">
        <f t="shared" si="89"/>
        <v>14.25</v>
      </c>
      <c r="Z176" s="13"/>
      <c r="AA176" s="13"/>
      <c r="AB176" s="13"/>
      <c r="AC176" s="13"/>
      <c r="AD176" s="13"/>
      <c r="AE176" s="13"/>
      <c r="AF176" s="13"/>
      <c r="AG176" s="13"/>
      <c r="AH176" s="13"/>
      <c r="AI176" s="13"/>
      <c r="AJ176" s="13">
        <v>15</v>
      </c>
      <c r="AO176" s="3" t="s">
        <v>225</v>
      </c>
      <c r="AP176" s="13">
        <f t="shared" si="90"/>
        <v>19</v>
      </c>
      <c r="AQ176" s="13">
        <v>0.8928339600558084</v>
      </c>
      <c r="AR176" s="13">
        <v>15</v>
      </c>
      <c r="AU176" s="3" t="s">
        <v>225</v>
      </c>
      <c r="AV176" s="13">
        <f t="shared" si="91"/>
        <v>17.8</v>
      </c>
      <c r="AW176" s="13"/>
      <c r="AX176" s="13"/>
      <c r="AY176" s="13"/>
      <c r="AZ176" s="13">
        <v>0.8928339600558084</v>
      </c>
      <c r="BA176" s="13">
        <v>15</v>
      </c>
      <c r="BC176" s="3" t="s">
        <v>225</v>
      </c>
      <c r="BD176" s="13">
        <f t="shared" si="92"/>
        <v>18.399999999999999</v>
      </c>
      <c r="BE176" s="13">
        <v>0.8928339600558084</v>
      </c>
      <c r="BF176" s="13">
        <v>15</v>
      </c>
      <c r="BK176" s="3" t="s">
        <v>225</v>
      </c>
      <c r="BL176" s="13">
        <f t="shared" si="93"/>
        <v>16.600000000000001</v>
      </c>
      <c r="BM176" s="13">
        <v>0.8928339600558084</v>
      </c>
      <c r="BN176" s="13">
        <v>15</v>
      </c>
    </row>
    <row r="177" spans="2:64" ht="14.25" customHeight="1" x14ac:dyDescent="0.3">
      <c r="B177" s="13" t="s">
        <v>292</v>
      </c>
      <c r="C177" s="13"/>
      <c r="D177" s="13"/>
      <c r="E177" s="13"/>
      <c r="F177" s="13">
        <f t="shared" ref="F177:F178" si="95">AVERAGE(AV33,AK83,R116,B148)</f>
        <v>15.067313879421894</v>
      </c>
      <c r="J177" s="13" t="s">
        <v>292</v>
      </c>
      <c r="K177" s="13"/>
      <c r="L177" s="13"/>
      <c r="M177" s="13"/>
      <c r="N177" s="13"/>
      <c r="O177" s="13"/>
      <c r="P177" s="13"/>
      <c r="Q177" s="13">
        <f t="shared" ref="Q177:Q178" si="96">AVERAGE(BF33,AV83,AK116,R148)</f>
        <v>20.455358271911521</v>
      </c>
      <c r="R177" s="3">
        <f>MAX(R157:R176)</f>
        <v>1.247177188019948</v>
      </c>
      <c r="X177" s="13" t="s">
        <v>292</v>
      </c>
      <c r="Y177" s="13">
        <f t="shared" ref="Y177:Y178" si="97">AVERAGE(BP33,BF83,AV116,AK148)</f>
        <v>20.985342029423748</v>
      </c>
      <c r="AO177" s="13" t="s">
        <v>292</v>
      </c>
      <c r="AP177" s="13">
        <f t="shared" ref="AP177:AP178" si="98">AVERAGE(BZ33,BP83,BF116,AV148)</f>
        <v>13.587627203134421</v>
      </c>
      <c r="AT177" s="12"/>
      <c r="AU177" s="13" t="s">
        <v>292</v>
      </c>
      <c r="AV177" s="13">
        <f t="shared" ref="AV177:AV178" si="99">AVERAGE(B33,CJ33,BZ83,BP116,BF148)</f>
        <v>22.294679931444399</v>
      </c>
      <c r="BC177" s="13" t="s">
        <v>292</v>
      </c>
      <c r="BD177" s="13">
        <f t="shared" ref="BD177:BD178" si="100">AVERAGE(R33,B83,CJ83,BZ116,BP148)</f>
        <v>17.542940543420364</v>
      </c>
      <c r="BK177" s="13" t="s">
        <v>292</v>
      </c>
      <c r="BL177" s="13">
        <f t="shared" ref="BL177:BL178" si="101">AVERAGE(AK33,R83,B116,CJ116,BZ148)</f>
        <v>21.578603622172771</v>
      </c>
    </row>
    <row r="178" spans="2:64" ht="14.25" customHeight="1" x14ac:dyDescent="0.3">
      <c r="B178" s="13" t="s">
        <v>293</v>
      </c>
      <c r="C178" s="13"/>
      <c r="D178" s="13"/>
      <c r="E178" s="13"/>
      <c r="F178" s="13">
        <f t="shared" si="95"/>
        <v>10.25</v>
      </c>
      <c r="J178" s="13" t="s">
        <v>293</v>
      </c>
      <c r="K178" s="13"/>
      <c r="L178" s="13"/>
      <c r="M178" s="13"/>
      <c r="N178" s="13"/>
      <c r="O178" s="13"/>
      <c r="P178" s="13"/>
      <c r="Q178" s="13">
        <f t="shared" si="96"/>
        <v>10.75</v>
      </c>
      <c r="R178" s="3">
        <f>MIN(R157:R176)</f>
        <v>-1.679865001322572</v>
      </c>
      <c r="X178" s="13" t="s">
        <v>293</v>
      </c>
      <c r="Y178" s="13">
        <f t="shared" si="97"/>
        <v>10</v>
      </c>
      <c r="AO178" s="13" t="s">
        <v>293</v>
      </c>
      <c r="AP178" s="13">
        <f t="shared" si="98"/>
        <v>8</v>
      </c>
      <c r="AT178" s="12"/>
      <c r="AU178" s="13" t="s">
        <v>293</v>
      </c>
      <c r="AV178" s="13">
        <f t="shared" si="99"/>
        <v>9.4</v>
      </c>
      <c r="BC178" s="13" t="s">
        <v>293</v>
      </c>
      <c r="BD178" s="13">
        <f t="shared" si="100"/>
        <v>9</v>
      </c>
      <c r="BK178" s="13" t="s">
        <v>293</v>
      </c>
      <c r="BL178" s="13">
        <f t="shared" si="101"/>
        <v>10.4</v>
      </c>
    </row>
    <row r="179" spans="2:64" ht="14.25" customHeight="1" x14ac:dyDescent="0.3"/>
    <row r="180" spans="2:64" ht="14.25" customHeight="1" x14ac:dyDescent="0.3"/>
    <row r="181" spans="2:64" ht="14.25" customHeight="1" x14ac:dyDescent="0.3">
      <c r="J181" s="13" t="s">
        <v>294</v>
      </c>
      <c r="K181" s="13"/>
      <c r="L181" s="13"/>
      <c r="M181" s="13"/>
      <c r="N181" s="13"/>
      <c r="O181" s="13"/>
      <c r="P181" s="13"/>
      <c r="Q181" s="13"/>
      <c r="R181" s="13">
        <f>SUM(F177,Q177,Y177,AP177,AV177,BD177,BL177)</f>
        <v>131.51186548092915</v>
      </c>
    </row>
    <row r="182" spans="2:64" ht="14.25" customHeight="1" x14ac:dyDescent="0.3">
      <c r="B182" s="3" t="s">
        <v>295</v>
      </c>
      <c r="F182" s="3">
        <v>60</v>
      </c>
      <c r="H182" s="3" t="s">
        <v>296</v>
      </c>
      <c r="J182" s="13" t="s">
        <v>297</v>
      </c>
      <c r="K182" s="13"/>
      <c r="L182" s="13"/>
      <c r="M182" s="13"/>
      <c r="N182" s="13"/>
      <c r="O182" s="13"/>
      <c r="P182" s="13"/>
      <c r="Q182" s="13"/>
      <c r="R182" s="13">
        <f>R181*4</f>
        <v>526.04746192371658</v>
      </c>
    </row>
    <row r="183" spans="2:64" ht="14.25" customHeight="1" x14ac:dyDescent="0.3">
      <c r="B183" s="3" t="s">
        <v>298</v>
      </c>
      <c r="J183" s="13" t="s">
        <v>299</v>
      </c>
      <c r="K183" s="13"/>
      <c r="L183" s="13"/>
      <c r="M183" s="13"/>
      <c r="N183" s="13"/>
      <c r="O183" s="13"/>
      <c r="P183" s="13"/>
      <c r="Q183" s="13"/>
      <c r="R183" s="13">
        <f>AVERAGE(F178,Q178,Y178,AP178,AV178,BD178,BL178)</f>
        <v>9.6857142857142851</v>
      </c>
    </row>
    <row r="184" spans="2:64" ht="14.25" customHeight="1" x14ac:dyDescent="0.3">
      <c r="B184" s="3" t="s">
        <v>300</v>
      </c>
      <c r="J184" s="13" t="s">
        <v>301</v>
      </c>
      <c r="K184" s="13"/>
      <c r="L184" s="13"/>
      <c r="M184" s="13"/>
      <c r="N184" s="13"/>
      <c r="O184" s="13"/>
      <c r="P184" s="13"/>
      <c r="Q184" s="13"/>
      <c r="R184" s="13">
        <f>R183*2</f>
        <v>19.37142857142857</v>
      </c>
    </row>
    <row r="185" spans="2:64" ht="14.25" customHeight="1" x14ac:dyDescent="0.3">
      <c r="B185" s="3" t="s">
        <v>302</v>
      </c>
    </row>
    <row r="186" spans="2:64" ht="14.25" customHeight="1" x14ac:dyDescent="0.3">
      <c r="B186" s="3" t="s">
        <v>303</v>
      </c>
    </row>
    <row r="187" spans="2:64" ht="14.25" customHeight="1" x14ac:dyDescent="0.3"/>
    <row r="188" spans="2:64" ht="14.25" customHeight="1" x14ac:dyDescent="0.3"/>
    <row r="189" spans="2:64" ht="14.25" customHeight="1" x14ac:dyDescent="0.3">
      <c r="B189" s="3" t="s">
        <v>304</v>
      </c>
    </row>
    <row r="190" spans="2:64" ht="14.25" customHeight="1" x14ac:dyDescent="0.3"/>
    <row r="191" spans="2:64" ht="14.25" customHeight="1" x14ac:dyDescent="0.3"/>
    <row r="192" spans="2:64"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outlinePr summaryBelow="0" summaryRight="0"/>
  </sheetPr>
  <dimension ref="A1:M15"/>
  <sheetViews>
    <sheetView workbookViewId="0"/>
  </sheetViews>
  <sheetFormatPr baseColWidth="10" defaultColWidth="14.44140625" defaultRowHeight="15" customHeight="1" x14ac:dyDescent="0.3"/>
  <cols>
    <col min="2" max="2" width="29" customWidth="1"/>
    <col min="3" max="3" width="36.44140625" customWidth="1"/>
    <col min="4" max="4" width="20.33203125" customWidth="1"/>
  </cols>
  <sheetData>
    <row r="1" spans="1:13" ht="15" customHeight="1" x14ac:dyDescent="0.3">
      <c r="A1" s="1" t="s">
        <v>0</v>
      </c>
      <c r="B1" s="1" t="s">
        <v>1</v>
      </c>
      <c r="C1" s="1" t="s">
        <v>2</v>
      </c>
      <c r="D1" s="1" t="s">
        <v>3</v>
      </c>
      <c r="E1" s="1" t="s">
        <v>4</v>
      </c>
      <c r="F1" s="1" t="s">
        <v>5</v>
      </c>
      <c r="G1" s="1" t="s">
        <v>6</v>
      </c>
      <c r="H1" s="1" t="s">
        <v>7</v>
      </c>
      <c r="I1" s="1" t="s">
        <v>8</v>
      </c>
      <c r="J1" s="1" t="s">
        <v>9</v>
      </c>
      <c r="K1" s="1" t="s">
        <v>10</v>
      </c>
      <c r="L1" s="1" t="s">
        <v>11</v>
      </c>
      <c r="M1" s="2" t="s">
        <v>12</v>
      </c>
    </row>
    <row r="2" spans="1:13" ht="15" customHeight="1" x14ac:dyDescent="0.3">
      <c r="A2" s="3" t="s">
        <v>15</v>
      </c>
      <c r="B2" s="3">
        <v>35.583808440685459</v>
      </c>
      <c r="C2" s="3">
        <v>120</v>
      </c>
      <c r="D2" s="3">
        <v>15.65526413917542</v>
      </c>
      <c r="E2" s="3" t="s">
        <v>16</v>
      </c>
      <c r="F2" s="3" t="s">
        <v>17</v>
      </c>
      <c r="G2" s="3" t="s">
        <v>18</v>
      </c>
      <c r="H2" s="3" t="s">
        <v>19</v>
      </c>
      <c r="I2" s="3">
        <v>9</v>
      </c>
      <c r="J2" s="3" t="s">
        <v>20</v>
      </c>
      <c r="K2" s="3" t="s">
        <v>21</v>
      </c>
      <c r="L2" s="3" t="s">
        <v>22</v>
      </c>
      <c r="M2" s="3" t="s">
        <v>23</v>
      </c>
    </row>
    <row r="6" spans="1:13" ht="15" customHeight="1" x14ac:dyDescent="0.3">
      <c r="B6" s="9" t="s">
        <v>309</v>
      </c>
      <c r="C6" s="9" t="s">
        <v>310</v>
      </c>
      <c r="D6" s="9" t="s">
        <v>311</v>
      </c>
    </row>
    <row r="7" spans="1:13" ht="15" customHeight="1" x14ac:dyDescent="0.3">
      <c r="B7" s="31" t="s">
        <v>312</v>
      </c>
      <c r="C7" s="31" t="s">
        <v>313</v>
      </c>
      <c r="D7" s="32">
        <v>5</v>
      </c>
    </row>
    <row r="8" spans="1:13" ht="15" customHeight="1" x14ac:dyDescent="0.3">
      <c r="B8" s="33" t="s">
        <v>312</v>
      </c>
      <c r="C8" s="31" t="s">
        <v>314</v>
      </c>
      <c r="D8" s="32">
        <v>5</v>
      </c>
    </row>
    <row r="9" spans="1:13" ht="15" customHeight="1" x14ac:dyDescent="0.3">
      <c r="B9" s="33" t="s">
        <v>315</v>
      </c>
      <c r="C9" s="31" t="s">
        <v>316</v>
      </c>
      <c r="D9" s="32">
        <v>4</v>
      </c>
    </row>
    <row r="10" spans="1:13" ht="15" customHeight="1" x14ac:dyDescent="0.3">
      <c r="B10" s="33" t="s">
        <v>317</v>
      </c>
      <c r="C10" s="31" t="s">
        <v>318</v>
      </c>
      <c r="D10" s="32">
        <v>7</v>
      </c>
    </row>
    <row r="11" spans="1:13" ht="15" customHeight="1" x14ac:dyDescent="0.3">
      <c r="B11" s="33" t="s">
        <v>319</v>
      </c>
      <c r="C11" s="31" t="s">
        <v>320</v>
      </c>
      <c r="D11" s="32">
        <v>12</v>
      </c>
    </row>
    <row r="12" spans="1:13" ht="15" customHeight="1" x14ac:dyDescent="0.3">
      <c r="B12" s="33" t="s">
        <v>321</v>
      </c>
      <c r="C12" s="31" t="s">
        <v>322</v>
      </c>
      <c r="D12" s="32">
        <v>9</v>
      </c>
    </row>
    <row r="13" spans="1:13" ht="15" customHeight="1" x14ac:dyDescent="0.3">
      <c r="B13" s="33" t="s">
        <v>323</v>
      </c>
      <c r="C13" s="31" t="s">
        <v>324</v>
      </c>
      <c r="D13" s="32">
        <v>7</v>
      </c>
    </row>
    <row r="14" spans="1:13" ht="15" customHeight="1" x14ac:dyDescent="0.3">
      <c r="B14" s="33" t="s">
        <v>325</v>
      </c>
      <c r="C14" s="31" t="s">
        <v>326</v>
      </c>
      <c r="D14" s="32">
        <v>5</v>
      </c>
    </row>
    <row r="15" spans="1:13" ht="15" customHeight="1" x14ac:dyDescent="0.3">
      <c r="B15" s="33" t="s">
        <v>327</v>
      </c>
      <c r="C15" s="31" t="s">
        <v>328</v>
      </c>
      <c r="D15" s="32">
        <v>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filterMode="1"/>
  <dimension ref="A1:L1000"/>
  <sheetViews>
    <sheetView workbookViewId="0"/>
  </sheetViews>
  <sheetFormatPr baseColWidth="10" defaultColWidth="14.44140625" defaultRowHeight="15" customHeight="1" x14ac:dyDescent="0.3"/>
  <cols>
    <col min="1" max="1" width="28" customWidth="1"/>
    <col min="2" max="3" width="8.88671875" customWidth="1"/>
    <col min="4" max="4" width="19.44140625" customWidth="1"/>
    <col min="5" max="10" width="10.6640625" customWidth="1"/>
    <col min="11" max="11" width="21.6640625" customWidth="1"/>
    <col min="12" max="26" width="10.6640625" customWidth="1"/>
  </cols>
  <sheetData>
    <row r="1" spans="1:12" ht="14.25" customHeight="1" x14ac:dyDescent="0.3">
      <c r="A1" s="1" t="s">
        <v>0</v>
      </c>
      <c r="B1" s="1" t="s">
        <v>1</v>
      </c>
      <c r="C1" s="1" t="s">
        <v>2</v>
      </c>
      <c r="D1" s="1" t="s">
        <v>8</v>
      </c>
      <c r="E1" s="2" t="s">
        <v>14</v>
      </c>
      <c r="I1" s="34"/>
      <c r="J1" s="34"/>
      <c r="K1" s="34"/>
      <c r="L1" s="34"/>
    </row>
    <row r="2" spans="1:12" ht="14.25" customHeight="1" x14ac:dyDescent="0.3">
      <c r="A2" s="3" t="s">
        <v>15</v>
      </c>
      <c r="B2" s="3">
        <v>35.583808440685459</v>
      </c>
      <c r="C2" s="3">
        <v>120</v>
      </c>
      <c r="D2" s="3">
        <v>9</v>
      </c>
      <c r="E2" s="3" t="s">
        <v>174</v>
      </c>
    </row>
    <row r="3" spans="1:12" ht="14.25" customHeight="1" x14ac:dyDescent="0.3">
      <c r="A3" s="3" t="s">
        <v>24</v>
      </c>
      <c r="B3" s="3">
        <v>18.919531259855241</v>
      </c>
      <c r="C3" s="3">
        <v>120</v>
      </c>
      <c r="D3" s="3">
        <v>11</v>
      </c>
      <c r="E3" s="3" t="s">
        <v>329</v>
      </c>
    </row>
    <row r="4" spans="1:12" ht="14.25" customHeight="1" x14ac:dyDescent="0.3">
      <c r="A4" s="3" t="s">
        <v>29</v>
      </c>
      <c r="B4" s="3">
        <v>19.648496572327211</v>
      </c>
      <c r="C4" s="3">
        <v>120</v>
      </c>
      <c r="D4" s="3">
        <v>11</v>
      </c>
      <c r="E4" s="3" t="s">
        <v>176</v>
      </c>
    </row>
    <row r="5" spans="1:12" ht="14.25" customHeight="1" x14ac:dyDescent="0.3">
      <c r="A5" s="3" t="s">
        <v>34</v>
      </c>
      <c r="B5" s="3">
        <v>10.57860014381631</v>
      </c>
      <c r="C5" s="3">
        <v>120</v>
      </c>
      <c r="D5" s="3">
        <v>10</v>
      </c>
      <c r="E5" s="3" t="s">
        <v>170</v>
      </c>
    </row>
    <row r="6" spans="1:12" ht="14.25" customHeight="1" x14ac:dyDescent="0.3">
      <c r="A6" s="3" t="s">
        <v>39</v>
      </c>
      <c r="B6" s="3">
        <v>18.90454501617625</v>
      </c>
      <c r="C6" s="3">
        <v>120</v>
      </c>
      <c r="D6" s="3">
        <v>10</v>
      </c>
      <c r="E6" s="3" t="s">
        <v>171</v>
      </c>
    </row>
    <row r="7" spans="1:12" ht="14.25" customHeight="1" x14ac:dyDescent="0.3">
      <c r="A7" s="3" t="s">
        <v>44</v>
      </c>
      <c r="B7" s="3">
        <v>22.865874544097949</v>
      </c>
      <c r="C7" s="3">
        <v>120</v>
      </c>
      <c r="D7" s="3">
        <v>9</v>
      </c>
      <c r="E7" s="3" t="s">
        <v>285</v>
      </c>
    </row>
    <row r="8" spans="1:12" ht="14.25" customHeight="1" x14ac:dyDescent="0.3">
      <c r="A8" s="3" t="s">
        <v>49</v>
      </c>
      <c r="B8" s="3">
        <v>6.622473411283436</v>
      </c>
      <c r="C8" s="3">
        <v>120</v>
      </c>
      <c r="D8" s="3">
        <v>8</v>
      </c>
      <c r="E8" s="3" t="s">
        <v>173</v>
      </c>
    </row>
    <row r="9" spans="1:12" ht="14.25" customHeight="1" x14ac:dyDescent="0.3">
      <c r="A9" s="3" t="s">
        <v>54</v>
      </c>
      <c r="B9" s="3">
        <v>19.683918982455921</v>
      </c>
      <c r="C9" s="3">
        <v>120</v>
      </c>
      <c r="D9" s="3">
        <v>10</v>
      </c>
      <c r="E9" s="3" t="s">
        <v>174</v>
      </c>
    </row>
    <row r="10" spans="1:12" ht="14.25" hidden="1" customHeight="1" x14ac:dyDescent="0.3">
      <c r="A10" s="3" t="s">
        <v>59</v>
      </c>
      <c r="B10" s="3">
        <v>19.63821444392968</v>
      </c>
      <c r="C10" s="3">
        <v>120</v>
      </c>
      <c r="D10" s="3">
        <v>6</v>
      </c>
      <c r="E10" s="3" t="s">
        <v>329</v>
      </c>
    </row>
    <row r="11" spans="1:12" ht="14.25" hidden="1" customHeight="1" x14ac:dyDescent="0.3">
      <c r="A11" s="3" t="s">
        <v>64</v>
      </c>
      <c r="B11" s="3">
        <v>24.031542112072081</v>
      </c>
      <c r="C11" s="3">
        <v>120</v>
      </c>
      <c r="D11" s="3">
        <v>10</v>
      </c>
      <c r="E11" s="3" t="s">
        <v>176</v>
      </c>
    </row>
    <row r="12" spans="1:12" ht="14.25" hidden="1" customHeight="1" x14ac:dyDescent="0.3">
      <c r="A12" s="3" t="s">
        <v>69</v>
      </c>
      <c r="B12" s="3">
        <v>15.259630887005921</v>
      </c>
      <c r="C12" s="3">
        <v>120</v>
      </c>
      <c r="D12" s="3">
        <v>12</v>
      </c>
      <c r="E12" s="3" t="s">
        <v>170</v>
      </c>
    </row>
    <row r="13" spans="1:12" ht="14.25" hidden="1" customHeight="1" x14ac:dyDescent="0.3">
      <c r="A13" s="3" t="s">
        <v>74</v>
      </c>
      <c r="B13" s="3">
        <v>21.97582988657296</v>
      </c>
      <c r="C13" s="3">
        <v>120</v>
      </c>
      <c r="D13" s="3">
        <v>12</v>
      </c>
      <c r="E13" s="3" t="s">
        <v>171</v>
      </c>
    </row>
    <row r="14" spans="1:12" ht="14.25" hidden="1" customHeight="1" x14ac:dyDescent="0.3">
      <c r="A14" s="3" t="s">
        <v>79</v>
      </c>
      <c r="B14" s="3">
        <v>20.49384450006303</v>
      </c>
      <c r="C14" s="3">
        <v>120</v>
      </c>
      <c r="D14" s="3">
        <v>10</v>
      </c>
      <c r="E14" s="3" t="s">
        <v>285</v>
      </c>
    </row>
    <row r="15" spans="1:12" ht="14.25" hidden="1" customHeight="1" x14ac:dyDescent="0.3">
      <c r="A15" s="3" t="s">
        <v>84</v>
      </c>
      <c r="B15" s="3">
        <v>3.4951411834086139</v>
      </c>
      <c r="C15" s="3">
        <v>120</v>
      </c>
      <c r="D15" s="3">
        <v>6</v>
      </c>
      <c r="E15" s="3" t="s">
        <v>173</v>
      </c>
    </row>
    <row r="16" spans="1:12" ht="14.25" hidden="1" customHeight="1" x14ac:dyDescent="0.3">
      <c r="A16" s="3" t="s">
        <v>89</v>
      </c>
      <c r="B16" s="3">
        <v>16.43553526733595</v>
      </c>
      <c r="C16" s="3">
        <v>120</v>
      </c>
      <c r="D16" s="3">
        <v>7</v>
      </c>
      <c r="E16" s="3" t="s">
        <v>174</v>
      </c>
    </row>
    <row r="17" spans="1:5" ht="14.25" hidden="1" customHeight="1" x14ac:dyDescent="0.3">
      <c r="A17" s="3" t="s">
        <v>94</v>
      </c>
      <c r="B17" s="3">
        <v>17.704588053684422</v>
      </c>
      <c r="C17" s="3">
        <v>120</v>
      </c>
      <c r="D17" s="3">
        <v>9</v>
      </c>
      <c r="E17" s="3" t="s">
        <v>329</v>
      </c>
    </row>
    <row r="18" spans="1:5" ht="14.25" hidden="1" customHeight="1" x14ac:dyDescent="0.3">
      <c r="A18" s="3" t="s">
        <v>99</v>
      </c>
      <c r="B18" s="3">
        <v>16.7935621859916</v>
      </c>
      <c r="C18" s="3">
        <v>120</v>
      </c>
      <c r="D18" s="3">
        <v>11</v>
      </c>
      <c r="E18" s="3" t="s">
        <v>176</v>
      </c>
    </row>
    <row r="19" spans="1:5" ht="14.25" hidden="1" customHeight="1" x14ac:dyDescent="0.3">
      <c r="A19" s="3" t="s">
        <v>104</v>
      </c>
      <c r="B19" s="3">
        <v>21.637838724725519</v>
      </c>
      <c r="C19" s="3">
        <v>120</v>
      </c>
      <c r="D19" s="3">
        <v>11</v>
      </c>
      <c r="E19" s="3" t="s">
        <v>170</v>
      </c>
    </row>
    <row r="20" spans="1:5" ht="14.25" hidden="1" customHeight="1" x14ac:dyDescent="0.3">
      <c r="A20" s="3" t="s">
        <v>109</v>
      </c>
      <c r="B20" s="3">
        <v>21.292561612569671</v>
      </c>
      <c r="C20" s="3">
        <v>120</v>
      </c>
      <c r="D20" s="3">
        <v>10</v>
      </c>
      <c r="E20" s="3" t="s">
        <v>171</v>
      </c>
    </row>
    <row r="21" spans="1:5" ht="14.25" hidden="1" customHeight="1" x14ac:dyDescent="0.3">
      <c r="A21" s="3" t="s">
        <v>114</v>
      </c>
      <c r="B21" s="3">
        <v>22.52749607214626</v>
      </c>
      <c r="C21" s="3">
        <v>120</v>
      </c>
      <c r="D21" s="3">
        <v>12</v>
      </c>
      <c r="E21" s="3" t="s">
        <v>285</v>
      </c>
    </row>
    <row r="22" spans="1:5" ht="14.25" hidden="1" customHeight="1" x14ac:dyDescent="0.3">
      <c r="A22" s="3" t="s">
        <v>119</v>
      </c>
      <c r="B22" s="3">
        <v>21.13484269119547</v>
      </c>
      <c r="C22" s="3">
        <v>120</v>
      </c>
      <c r="D22" s="3">
        <v>9</v>
      </c>
      <c r="E22" s="3" t="s">
        <v>173</v>
      </c>
    </row>
    <row r="23" spans="1:5" ht="14.25" hidden="1" customHeight="1" x14ac:dyDescent="0.3">
      <c r="A23" s="3" t="s">
        <v>124</v>
      </c>
      <c r="B23" s="3">
        <v>11.323532689150531</v>
      </c>
      <c r="C23" s="3">
        <v>120</v>
      </c>
      <c r="D23" s="3">
        <v>8</v>
      </c>
      <c r="E23" s="3" t="s">
        <v>174</v>
      </c>
    </row>
    <row r="24" spans="1:5" ht="14.25" hidden="1" customHeight="1" x14ac:dyDescent="0.3">
      <c r="A24" s="3" t="s">
        <v>129</v>
      </c>
      <c r="B24" s="3">
        <v>11.331777079522441</v>
      </c>
      <c r="C24" s="3">
        <v>120</v>
      </c>
      <c r="D24" s="3">
        <v>7</v>
      </c>
      <c r="E24" s="3" t="s">
        <v>329</v>
      </c>
    </row>
    <row r="25" spans="1:5" ht="14.25" hidden="1" customHeight="1" x14ac:dyDescent="0.3">
      <c r="A25" s="3" t="s">
        <v>134</v>
      </c>
      <c r="B25" s="3">
        <v>17.23327092670311</v>
      </c>
      <c r="C25" s="3">
        <v>120</v>
      </c>
      <c r="D25" s="3">
        <v>8</v>
      </c>
      <c r="E25" s="3" t="s">
        <v>176</v>
      </c>
    </row>
    <row r="26" spans="1:5" ht="14.25" hidden="1" customHeight="1" x14ac:dyDescent="0.3">
      <c r="A26" s="3" t="s">
        <v>139</v>
      </c>
      <c r="B26" s="3">
        <v>12.79318576213983</v>
      </c>
      <c r="C26" s="3">
        <v>120</v>
      </c>
      <c r="D26" s="3">
        <v>8</v>
      </c>
      <c r="E26" s="3" t="s">
        <v>170</v>
      </c>
    </row>
    <row r="27" spans="1:5" ht="14.25" hidden="1" customHeight="1" x14ac:dyDescent="0.3">
      <c r="A27" s="3" t="s">
        <v>144</v>
      </c>
      <c r="B27" s="3">
        <v>19.648496572327211</v>
      </c>
      <c r="C27" s="3">
        <v>120</v>
      </c>
      <c r="D27" s="3">
        <v>11</v>
      </c>
      <c r="E27" s="3" t="s">
        <v>171</v>
      </c>
    </row>
    <row r="28" spans="1:5" ht="14.25" hidden="1" customHeight="1" x14ac:dyDescent="0.3">
      <c r="A28" s="3" t="s">
        <v>145</v>
      </c>
      <c r="B28" s="3">
        <v>18.054153001387739</v>
      </c>
      <c r="C28" s="3">
        <v>120</v>
      </c>
      <c r="D28" s="3">
        <v>9</v>
      </c>
      <c r="E28" s="3" t="s">
        <v>285</v>
      </c>
    </row>
    <row r="29" spans="1:5" ht="14.25" hidden="1" customHeight="1" x14ac:dyDescent="0.3">
      <c r="A29" s="3" t="s">
        <v>150</v>
      </c>
      <c r="B29" s="3">
        <v>23.09805152665016</v>
      </c>
      <c r="C29" s="3">
        <v>120</v>
      </c>
      <c r="D29" s="3">
        <v>9</v>
      </c>
      <c r="E29" s="3" t="s">
        <v>173</v>
      </c>
    </row>
    <row r="30" spans="1:5" ht="14.25" hidden="1" customHeight="1" x14ac:dyDescent="0.3">
      <c r="A30" s="3" t="s">
        <v>155</v>
      </c>
      <c r="B30" s="3">
        <v>28.44660427759413</v>
      </c>
      <c r="C30" s="3">
        <v>120</v>
      </c>
      <c r="D30" s="3">
        <v>13</v>
      </c>
      <c r="E30" s="3" t="s">
        <v>174</v>
      </c>
    </row>
    <row r="31" spans="1:5" ht="14.25" hidden="1" customHeight="1" x14ac:dyDescent="0.3">
      <c r="A31" s="3" t="s">
        <v>160</v>
      </c>
      <c r="B31" s="3">
        <v>20.120591880110041</v>
      </c>
      <c r="C31" s="3">
        <v>120</v>
      </c>
      <c r="D31" s="3">
        <v>12</v>
      </c>
      <c r="E31" s="3" t="s">
        <v>329</v>
      </c>
    </row>
    <row r="32" spans="1:5" ht="14.25" hidden="1" customHeight="1" x14ac:dyDescent="0.3">
      <c r="A32" s="3" t="s">
        <v>165</v>
      </c>
      <c r="B32" s="3">
        <v>30.18614631376985</v>
      </c>
      <c r="C32" s="3">
        <v>120</v>
      </c>
      <c r="D32" s="3">
        <v>12</v>
      </c>
      <c r="E32" s="3" t="s">
        <v>176</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autoFilter ref="A1:E32" xr:uid="{00000000-0009-0000-0000-000005000000}">
    <filterColumn colId="0">
      <filters>
        <filter val="2024-11-08 18:00"/>
        <filter val="2024-11-09 18:00"/>
        <filter val="2024-11-10 18:00"/>
        <filter val="2024-11-11 18:00"/>
        <filter val="2024-11-12 18:00"/>
        <filter val="2024-11-13 18:00"/>
        <filter val="2024-11-14 18:00"/>
        <filter val="2024-11-15 18:00"/>
      </filters>
    </filterColumn>
  </autoFilter>
  <pageMargins left="0.7" right="0.7" top="0.75" bottom="0.75" header="0" footer="0"/>
  <pageSetup orientation="landscape"/>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filterMode="1"/>
  <dimension ref="A1:L1000"/>
  <sheetViews>
    <sheetView workbookViewId="0"/>
  </sheetViews>
  <sheetFormatPr baseColWidth="10" defaultColWidth="14.44140625" defaultRowHeight="15" customHeight="1" x14ac:dyDescent="0.3"/>
  <cols>
    <col min="1" max="1" width="28" customWidth="1"/>
    <col min="2" max="3" width="10.6640625" customWidth="1"/>
    <col min="4" max="4" width="19.44140625" customWidth="1"/>
    <col min="5" max="10" width="10.6640625" customWidth="1"/>
    <col min="11" max="11" width="21.6640625" customWidth="1"/>
    <col min="12" max="26" width="10.6640625" customWidth="1"/>
  </cols>
  <sheetData>
    <row r="1" spans="1:12" ht="14.25" customHeight="1" x14ac:dyDescent="0.3">
      <c r="A1" s="1" t="s">
        <v>0</v>
      </c>
      <c r="B1" s="1" t="s">
        <v>1</v>
      </c>
      <c r="C1" s="1" t="s">
        <v>2</v>
      </c>
      <c r="D1" s="1" t="s">
        <v>8</v>
      </c>
      <c r="E1" s="2" t="s">
        <v>14</v>
      </c>
      <c r="I1" s="34"/>
      <c r="J1" s="34"/>
      <c r="K1" s="34"/>
      <c r="L1" s="34"/>
    </row>
    <row r="2" spans="1:12" ht="14.25" hidden="1" customHeight="1" x14ac:dyDescent="0.3">
      <c r="A2" s="3" t="s">
        <v>15</v>
      </c>
      <c r="B2" s="3">
        <v>35.583808440685459</v>
      </c>
      <c r="C2" s="3">
        <v>120</v>
      </c>
      <c r="D2" s="3">
        <v>9</v>
      </c>
      <c r="E2" s="3" t="s">
        <v>174</v>
      </c>
    </row>
    <row r="3" spans="1:12" ht="14.25" hidden="1" customHeight="1" x14ac:dyDescent="0.3">
      <c r="A3" s="3" t="s">
        <v>24</v>
      </c>
      <c r="B3" s="3">
        <v>18.919531259855241</v>
      </c>
      <c r="C3" s="3">
        <v>120</v>
      </c>
      <c r="D3" s="3">
        <v>11</v>
      </c>
      <c r="E3" s="3" t="s">
        <v>329</v>
      </c>
    </row>
    <row r="4" spans="1:12" ht="14.25" hidden="1" customHeight="1" x14ac:dyDescent="0.3">
      <c r="A4" s="3" t="s">
        <v>29</v>
      </c>
      <c r="B4" s="3">
        <v>19.648496572327211</v>
      </c>
      <c r="C4" s="3">
        <v>120</v>
      </c>
      <c r="D4" s="3">
        <v>11</v>
      </c>
      <c r="E4" s="3" t="s">
        <v>176</v>
      </c>
    </row>
    <row r="5" spans="1:12" ht="14.25" hidden="1" customHeight="1" x14ac:dyDescent="0.3">
      <c r="A5" s="3" t="s">
        <v>34</v>
      </c>
      <c r="B5" s="3">
        <v>10.57860014381631</v>
      </c>
      <c r="C5" s="3">
        <v>120</v>
      </c>
      <c r="D5" s="3">
        <v>10</v>
      </c>
      <c r="E5" s="3" t="s">
        <v>170</v>
      </c>
    </row>
    <row r="6" spans="1:12" ht="14.25" hidden="1" customHeight="1" x14ac:dyDescent="0.3">
      <c r="A6" s="3" t="s">
        <v>39</v>
      </c>
      <c r="B6" s="3">
        <v>18.90454501617625</v>
      </c>
      <c r="C6" s="3">
        <v>120</v>
      </c>
      <c r="D6" s="3">
        <v>10</v>
      </c>
      <c r="E6" s="3" t="s">
        <v>171</v>
      </c>
    </row>
    <row r="7" spans="1:12" ht="14.25" hidden="1" customHeight="1" x14ac:dyDescent="0.3">
      <c r="A7" s="3" t="s">
        <v>44</v>
      </c>
      <c r="B7" s="3">
        <v>22.865874544097949</v>
      </c>
      <c r="C7" s="3">
        <v>120</v>
      </c>
      <c r="D7" s="3">
        <v>9</v>
      </c>
      <c r="E7" s="3" t="s">
        <v>285</v>
      </c>
    </row>
    <row r="8" spans="1:12" ht="14.25" hidden="1" customHeight="1" x14ac:dyDescent="0.3">
      <c r="A8" s="3" t="s">
        <v>49</v>
      </c>
      <c r="B8" s="3">
        <v>6.622473411283436</v>
      </c>
      <c r="C8" s="3">
        <v>120</v>
      </c>
      <c r="D8" s="3">
        <v>8</v>
      </c>
      <c r="E8" s="3" t="s">
        <v>173</v>
      </c>
    </row>
    <row r="9" spans="1:12" ht="14.25" customHeight="1" x14ac:dyDescent="0.3">
      <c r="A9" s="3" t="s">
        <v>54</v>
      </c>
      <c r="B9" s="3">
        <v>19.683918982455921</v>
      </c>
      <c r="C9" s="3">
        <v>120</v>
      </c>
      <c r="D9" s="3">
        <v>10</v>
      </c>
      <c r="E9" s="3" t="s">
        <v>174</v>
      </c>
    </row>
    <row r="10" spans="1:12" ht="14.25" customHeight="1" x14ac:dyDescent="0.3">
      <c r="A10" s="3" t="s">
        <v>59</v>
      </c>
      <c r="B10" s="3">
        <v>19.63821444392968</v>
      </c>
      <c r="C10" s="3">
        <v>120</v>
      </c>
      <c r="D10" s="3">
        <v>6</v>
      </c>
      <c r="E10" s="3" t="s">
        <v>329</v>
      </c>
    </row>
    <row r="11" spans="1:12" ht="14.25" customHeight="1" x14ac:dyDescent="0.3">
      <c r="A11" s="3" t="s">
        <v>64</v>
      </c>
      <c r="B11" s="3">
        <v>24.031542112072081</v>
      </c>
      <c r="C11" s="3">
        <v>120</v>
      </c>
      <c r="D11" s="3">
        <v>10</v>
      </c>
      <c r="E11" s="3" t="s">
        <v>176</v>
      </c>
    </row>
    <row r="12" spans="1:12" ht="14.25" customHeight="1" x14ac:dyDescent="0.3">
      <c r="A12" s="3" t="s">
        <v>69</v>
      </c>
      <c r="B12" s="3">
        <v>15.259630887005921</v>
      </c>
      <c r="C12" s="3">
        <v>120</v>
      </c>
      <c r="D12" s="3">
        <v>12</v>
      </c>
      <c r="E12" s="3" t="s">
        <v>170</v>
      </c>
    </row>
    <row r="13" spans="1:12" ht="14.25" customHeight="1" x14ac:dyDescent="0.3">
      <c r="A13" s="3" t="s">
        <v>74</v>
      </c>
      <c r="B13" s="3">
        <v>21.97582988657296</v>
      </c>
      <c r="C13" s="3">
        <v>120</v>
      </c>
      <c r="D13" s="3">
        <v>12</v>
      </c>
      <c r="E13" s="3" t="s">
        <v>171</v>
      </c>
    </row>
    <row r="14" spans="1:12" ht="14.25" customHeight="1" x14ac:dyDescent="0.3">
      <c r="A14" s="3" t="s">
        <v>79</v>
      </c>
      <c r="B14" s="3">
        <v>20.49384450006303</v>
      </c>
      <c r="C14" s="3">
        <v>120</v>
      </c>
      <c r="D14" s="3">
        <v>10</v>
      </c>
      <c r="E14" s="3" t="s">
        <v>285</v>
      </c>
    </row>
    <row r="15" spans="1:12" ht="14.25" customHeight="1" x14ac:dyDescent="0.3">
      <c r="A15" s="3" t="s">
        <v>84</v>
      </c>
      <c r="B15" s="3">
        <v>3.4951411834086139</v>
      </c>
      <c r="C15" s="3">
        <v>120</v>
      </c>
      <c r="D15" s="3">
        <v>6</v>
      </c>
      <c r="E15" s="3" t="s">
        <v>173</v>
      </c>
    </row>
    <row r="16" spans="1:12" ht="14.25" customHeight="1" x14ac:dyDescent="0.3">
      <c r="A16" s="3" t="s">
        <v>89</v>
      </c>
      <c r="B16" s="3">
        <v>16.43553526733595</v>
      </c>
      <c r="C16" s="3">
        <v>120</v>
      </c>
      <c r="D16" s="3">
        <v>7</v>
      </c>
      <c r="E16" s="3" t="s">
        <v>174</v>
      </c>
    </row>
    <row r="17" spans="1:5" ht="14.25" hidden="1" customHeight="1" x14ac:dyDescent="0.3">
      <c r="A17" s="3" t="s">
        <v>94</v>
      </c>
      <c r="B17" s="3">
        <v>17.704588053684422</v>
      </c>
      <c r="C17" s="3">
        <v>120</v>
      </c>
      <c r="D17" s="3">
        <v>9</v>
      </c>
      <c r="E17" s="3" t="s">
        <v>329</v>
      </c>
    </row>
    <row r="18" spans="1:5" ht="14.25" hidden="1" customHeight="1" x14ac:dyDescent="0.3">
      <c r="A18" s="3" t="s">
        <v>99</v>
      </c>
      <c r="B18" s="3">
        <v>16.7935621859916</v>
      </c>
      <c r="C18" s="3">
        <v>120</v>
      </c>
      <c r="D18" s="3">
        <v>11</v>
      </c>
      <c r="E18" s="3" t="s">
        <v>176</v>
      </c>
    </row>
    <row r="19" spans="1:5" ht="14.25" hidden="1" customHeight="1" x14ac:dyDescent="0.3">
      <c r="A19" s="3" t="s">
        <v>104</v>
      </c>
      <c r="B19" s="3">
        <v>21.637838724725519</v>
      </c>
      <c r="C19" s="3">
        <v>120</v>
      </c>
      <c r="D19" s="3">
        <v>11</v>
      </c>
      <c r="E19" s="3" t="s">
        <v>170</v>
      </c>
    </row>
    <row r="20" spans="1:5" ht="14.25" hidden="1" customHeight="1" x14ac:dyDescent="0.3">
      <c r="A20" s="3" t="s">
        <v>109</v>
      </c>
      <c r="B20" s="3">
        <v>21.292561612569671</v>
      </c>
      <c r="C20" s="3">
        <v>120</v>
      </c>
      <c r="D20" s="3">
        <v>10</v>
      </c>
      <c r="E20" s="3" t="s">
        <v>171</v>
      </c>
    </row>
    <row r="21" spans="1:5" ht="14.25" hidden="1" customHeight="1" x14ac:dyDescent="0.3">
      <c r="A21" s="3" t="s">
        <v>114</v>
      </c>
      <c r="B21" s="3">
        <v>22.52749607214626</v>
      </c>
      <c r="C21" s="3">
        <v>120</v>
      </c>
      <c r="D21" s="3">
        <v>12</v>
      </c>
      <c r="E21" s="3" t="s">
        <v>285</v>
      </c>
    </row>
    <row r="22" spans="1:5" ht="14.25" hidden="1" customHeight="1" x14ac:dyDescent="0.3">
      <c r="A22" s="3" t="s">
        <v>119</v>
      </c>
      <c r="B22" s="3">
        <v>21.13484269119547</v>
      </c>
      <c r="C22" s="3">
        <v>120</v>
      </c>
      <c r="D22" s="3">
        <v>9</v>
      </c>
      <c r="E22" s="3" t="s">
        <v>173</v>
      </c>
    </row>
    <row r="23" spans="1:5" ht="14.25" hidden="1" customHeight="1" x14ac:dyDescent="0.3">
      <c r="A23" s="3" t="s">
        <v>124</v>
      </c>
      <c r="B23" s="3">
        <v>11.323532689150531</v>
      </c>
      <c r="C23" s="3">
        <v>120</v>
      </c>
      <c r="D23" s="3">
        <v>8</v>
      </c>
      <c r="E23" s="3" t="s">
        <v>174</v>
      </c>
    </row>
    <row r="24" spans="1:5" ht="14.25" hidden="1" customHeight="1" x14ac:dyDescent="0.3">
      <c r="A24" s="3" t="s">
        <v>129</v>
      </c>
      <c r="B24" s="3">
        <v>11.331777079522441</v>
      </c>
      <c r="C24" s="3">
        <v>120</v>
      </c>
      <c r="D24" s="3">
        <v>7</v>
      </c>
      <c r="E24" s="3" t="s">
        <v>329</v>
      </c>
    </row>
    <row r="25" spans="1:5" ht="14.25" hidden="1" customHeight="1" x14ac:dyDescent="0.3">
      <c r="A25" s="3" t="s">
        <v>134</v>
      </c>
      <c r="B25" s="3">
        <v>17.23327092670311</v>
      </c>
      <c r="C25" s="3">
        <v>120</v>
      </c>
      <c r="D25" s="3">
        <v>8</v>
      </c>
      <c r="E25" s="3" t="s">
        <v>176</v>
      </c>
    </row>
    <row r="26" spans="1:5" ht="14.25" hidden="1" customHeight="1" x14ac:dyDescent="0.3">
      <c r="A26" s="3" t="s">
        <v>139</v>
      </c>
      <c r="B26" s="3">
        <v>12.79318576213983</v>
      </c>
      <c r="C26" s="3">
        <v>120</v>
      </c>
      <c r="D26" s="3">
        <v>8</v>
      </c>
      <c r="E26" s="3" t="s">
        <v>170</v>
      </c>
    </row>
    <row r="27" spans="1:5" ht="14.25" hidden="1" customHeight="1" x14ac:dyDescent="0.3">
      <c r="A27" s="3" t="s">
        <v>144</v>
      </c>
      <c r="B27" s="3">
        <v>19.648496572327211</v>
      </c>
      <c r="C27" s="3">
        <v>120</v>
      </c>
      <c r="D27" s="3">
        <v>11</v>
      </c>
      <c r="E27" s="3" t="s">
        <v>171</v>
      </c>
    </row>
    <row r="28" spans="1:5" ht="14.25" hidden="1" customHeight="1" x14ac:dyDescent="0.3">
      <c r="A28" s="3" t="s">
        <v>145</v>
      </c>
      <c r="B28" s="3">
        <v>18.054153001387739</v>
      </c>
      <c r="C28" s="3">
        <v>120</v>
      </c>
      <c r="D28" s="3">
        <v>9</v>
      </c>
      <c r="E28" s="3" t="s">
        <v>285</v>
      </c>
    </row>
    <row r="29" spans="1:5" ht="14.25" hidden="1" customHeight="1" x14ac:dyDescent="0.3">
      <c r="A29" s="3" t="s">
        <v>150</v>
      </c>
      <c r="B29" s="3">
        <v>23.09805152665016</v>
      </c>
      <c r="C29" s="3">
        <v>120</v>
      </c>
      <c r="D29" s="3">
        <v>9</v>
      </c>
      <c r="E29" s="3" t="s">
        <v>173</v>
      </c>
    </row>
    <row r="30" spans="1:5" ht="14.25" hidden="1" customHeight="1" x14ac:dyDescent="0.3">
      <c r="A30" s="3" t="s">
        <v>155</v>
      </c>
      <c r="B30" s="3">
        <v>28.44660427759413</v>
      </c>
      <c r="C30" s="3">
        <v>120</v>
      </c>
      <c r="D30" s="3">
        <v>13</v>
      </c>
      <c r="E30" s="3" t="s">
        <v>174</v>
      </c>
    </row>
    <row r="31" spans="1:5" ht="14.25" hidden="1" customHeight="1" x14ac:dyDescent="0.3">
      <c r="A31" s="3" t="s">
        <v>160</v>
      </c>
      <c r="B31" s="3">
        <v>20.120591880110041</v>
      </c>
      <c r="C31" s="3">
        <v>120</v>
      </c>
      <c r="D31" s="3">
        <v>12</v>
      </c>
      <c r="E31" s="3" t="s">
        <v>329</v>
      </c>
    </row>
    <row r="32" spans="1:5" ht="14.25" hidden="1" customHeight="1" x14ac:dyDescent="0.3">
      <c r="A32" s="3" t="s">
        <v>165</v>
      </c>
      <c r="B32" s="3">
        <v>30.18614631376985</v>
      </c>
      <c r="C32" s="3">
        <v>120</v>
      </c>
      <c r="D32" s="3">
        <v>12</v>
      </c>
      <c r="E32" s="3" t="s">
        <v>176</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autoFilter ref="A1:E32" xr:uid="{00000000-0009-0000-0000-000006000000}">
    <filterColumn colId="0">
      <filters>
        <filter val="2024-11-15 18:00"/>
        <filter val="2024-11-16 18:00"/>
        <filter val="2024-11-17 18:00"/>
        <filter val="2024-11-18 18:00"/>
        <filter val="2024-11-19 18:00"/>
        <filter val="2024-11-20 18:00"/>
        <filter val="2024-11-21 18:00"/>
        <filter val="2024-11-22 18:00"/>
      </filters>
    </filterColumn>
  </autoFilter>
  <pageMargins left="0.7" right="0.7" top="0.75" bottom="0.75" header="0" footer="0"/>
  <pageSetup orientation="landscape"/>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filterMode="1"/>
  <dimension ref="A1:L1000"/>
  <sheetViews>
    <sheetView workbookViewId="0"/>
  </sheetViews>
  <sheetFormatPr baseColWidth="10" defaultColWidth="14.44140625" defaultRowHeight="15" customHeight="1" x14ac:dyDescent="0.3"/>
  <cols>
    <col min="1" max="1" width="28" customWidth="1"/>
    <col min="2" max="3" width="10.6640625" customWidth="1"/>
    <col min="4" max="4" width="19.44140625" customWidth="1"/>
    <col min="5" max="10" width="10.6640625" customWidth="1"/>
    <col min="11" max="11" width="21.6640625" customWidth="1"/>
    <col min="12" max="26" width="10.6640625" customWidth="1"/>
  </cols>
  <sheetData>
    <row r="1" spans="1:12" ht="14.25" customHeight="1" x14ac:dyDescent="0.3">
      <c r="A1" s="1" t="s">
        <v>0</v>
      </c>
      <c r="B1" s="1" t="s">
        <v>1</v>
      </c>
      <c r="C1" s="1" t="s">
        <v>2</v>
      </c>
      <c r="D1" s="1" t="s">
        <v>8</v>
      </c>
      <c r="E1" s="2" t="s">
        <v>14</v>
      </c>
      <c r="I1" s="34"/>
      <c r="J1" s="34"/>
      <c r="K1" s="34"/>
      <c r="L1" s="34"/>
    </row>
    <row r="2" spans="1:12" ht="14.25" hidden="1" customHeight="1" x14ac:dyDescent="0.3">
      <c r="A2" s="3" t="s">
        <v>15</v>
      </c>
      <c r="B2" s="3">
        <v>35.583808440685459</v>
      </c>
      <c r="C2" s="3">
        <v>120</v>
      </c>
      <c r="D2" s="3">
        <v>9</v>
      </c>
      <c r="E2" s="3" t="s">
        <v>174</v>
      </c>
    </row>
    <row r="3" spans="1:12" ht="14.25" hidden="1" customHeight="1" x14ac:dyDescent="0.3">
      <c r="A3" s="3" t="s">
        <v>24</v>
      </c>
      <c r="B3" s="3">
        <v>18.919531259855241</v>
      </c>
      <c r="C3" s="3">
        <v>120</v>
      </c>
      <c r="D3" s="3">
        <v>11</v>
      </c>
      <c r="E3" s="3" t="s">
        <v>329</v>
      </c>
    </row>
    <row r="4" spans="1:12" ht="14.25" hidden="1" customHeight="1" x14ac:dyDescent="0.3">
      <c r="A4" s="3" t="s">
        <v>29</v>
      </c>
      <c r="B4" s="3">
        <v>19.648496572327211</v>
      </c>
      <c r="C4" s="3">
        <v>120</v>
      </c>
      <c r="D4" s="3">
        <v>11</v>
      </c>
      <c r="E4" s="3" t="s">
        <v>176</v>
      </c>
    </row>
    <row r="5" spans="1:12" ht="14.25" hidden="1" customHeight="1" x14ac:dyDescent="0.3">
      <c r="A5" s="3" t="s">
        <v>34</v>
      </c>
      <c r="B5" s="3">
        <v>10.57860014381631</v>
      </c>
      <c r="C5" s="3">
        <v>120</v>
      </c>
      <c r="D5" s="3">
        <v>10</v>
      </c>
      <c r="E5" s="3" t="s">
        <v>170</v>
      </c>
    </row>
    <row r="6" spans="1:12" ht="14.25" hidden="1" customHeight="1" x14ac:dyDescent="0.3">
      <c r="A6" s="3" t="s">
        <v>39</v>
      </c>
      <c r="B6" s="3">
        <v>18.90454501617625</v>
      </c>
      <c r="C6" s="3">
        <v>120</v>
      </c>
      <c r="D6" s="3">
        <v>10</v>
      </c>
      <c r="E6" s="3" t="s">
        <v>171</v>
      </c>
    </row>
    <row r="7" spans="1:12" ht="14.25" hidden="1" customHeight="1" x14ac:dyDescent="0.3">
      <c r="A7" s="3" t="s">
        <v>44</v>
      </c>
      <c r="B7" s="3">
        <v>22.865874544097949</v>
      </c>
      <c r="C7" s="3">
        <v>120</v>
      </c>
      <c r="D7" s="3">
        <v>9</v>
      </c>
      <c r="E7" s="3" t="s">
        <v>285</v>
      </c>
    </row>
    <row r="8" spans="1:12" ht="14.25" hidden="1" customHeight="1" x14ac:dyDescent="0.3">
      <c r="A8" s="3" t="s">
        <v>49</v>
      </c>
      <c r="B8" s="3">
        <v>6.622473411283436</v>
      </c>
      <c r="C8" s="3">
        <v>120</v>
      </c>
      <c r="D8" s="3">
        <v>8</v>
      </c>
      <c r="E8" s="3" t="s">
        <v>173</v>
      </c>
    </row>
    <row r="9" spans="1:12" ht="14.25" hidden="1" customHeight="1" x14ac:dyDescent="0.3">
      <c r="A9" s="3" t="s">
        <v>54</v>
      </c>
      <c r="B9" s="3">
        <v>19.683918982455921</v>
      </c>
      <c r="C9" s="3">
        <v>120</v>
      </c>
      <c r="D9" s="3">
        <v>10</v>
      </c>
      <c r="E9" s="3" t="s">
        <v>174</v>
      </c>
    </row>
    <row r="10" spans="1:12" ht="14.25" hidden="1" customHeight="1" x14ac:dyDescent="0.3">
      <c r="A10" s="3" t="s">
        <v>59</v>
      </c>
      <c r="B10" s="3">
        <v>19.63821444392968</v>
      </c>
      <c r="C10" s="3">
        <v>120</v>
      </c>
      <c r="D10" s="3">
        <v>6</v>
      </c>
      <c r="E10" s="3" t="s">
        <v>329</v>
      </c>
    </row>
    <row r="11" spans="1:12" ht="14.25" hidden="1" customHeight="1" x14ac:dyDescent="0.3">
      <c r="A11" s="3" t="s">
        <v>64</v>
      </c>
      <c r="B11" s="3">
        <v>24.031542112072081</v>
      </c>
      <c r="C11" s="3">
        <v>120</v>
      </c>
      <c r="D11" s="3">
        <v>10</v>
      </c>
      <c r="E11" s="3" t="s">
        <v>176</v>
      </c>
    </row>
    <row r="12" spans="1:12" ht="14.25" hidden="1" customHeight="1" x14ac:dyDescent="0.3">
      <c r="A12" s="3" t="s">
        <v>69</v>
      </c>
      <c r="B12" s="3">
        <v>15.259630887005921</v>
      </c>
      <c r="C12" s="3">
        <v>120</v>
      </c>
      <c r="D12" s="3">
        <v>12</v>
      </c>
      <c r="E12" s="3" t="s">
        <v>170</v>
      </c>
    </row>
    <row r="13" spans="1:12" ht="14.25" hidden="1" customHeight="1" x14ac:dyDescent="0.3">
      <c r="A13" s="3" t="s">
        <v>74</v>
      </c>
      <c r="B13" s="3">
        <v>21.97582988657296</v>
      </c>
      <c r="C13" s="3">
        <v>120</v>
      </c>
      <c r="D13" s="3">
        <v>12</v>
      </c>
      <c r="E13" s="3" t="s">
        <v>171</v>
      </c>
    </row>
    <row r="14" spans="1:12" ht="14.25" hidden="1" customHeight="1" x14ac:dyDescent="0.3">
      <c r="A14" s="3" t="s">
        <v>79</v>
      </c>
      <c r="B14" s="3">
        <v>20.49384450006303</v>
      </c>
      <c r="C14" s="3">
        <v>120</v>
      </c>
      <c r="D14" s="3">
        <v>10</v>
      </c>
      <c r="E14" s="3" t="s">
        <v>285</v>
      </c>
    </row>
    <row r="15" spans="1:12" ht="14.25" hidden="1" customHeight="1" x14ac:dyDescent="0.3">
      <c r="A15" s="3" t="s">
        <v>84</v>
      </c>
      <c r="B15" s="3">
        <v>3.4951411834086139</v>
      </c>
      <c r="C15" s="3">
        <v>120</v>
      </c>
      <c r="D15" s="3">
        <v>6</v>
      </c>
      <c r="E15" s="3" t="s">
        <v>173</v>
      </c>
    </row>
    <row r="16" spans="1:12" ht="14.25" customHeight="1" x14ac:dyDescent="0.3">
      <c r="A16" s="3" t="s">
        <v>89</v>
      </c>
      <c r="B16" s="3">
        <v>16.43553526733595</v>
      </c>
      <c r="C16" s="3">
        <v>120</v>
      </c>
      <c r="D16" s="3">
        <v>7</v>
      </c>
      <c r="E16" s="3" t="s">
        <v>174</v>
      </c>
    </row>
    <row r="17" spans="1:5" ht="14.25" customHeight="1" x14ac:dyDescent="0.3">
      <c r="A17" s="3" t="s">
        <v>94</v>
      </c>
      <c r="B17" s="3">
        <v>17.704588053684422</v>
      </c>
      <c r="C17" s="3">
        <v>120</v>
      </c>
      <c r="D17" s="3">
        <v>9</v>
      </c>
      <c r="E17" s="3" t="s">
        <v>329</v>
      </c>
    </row>
    <row r="18" spans="1:5" ht="14.25" customHeight="1" x14ac:dyDescent="0.3">
      <c r="A18" s="3" t="s">
        <v>99</v>
      </c>
      <c r="B18" s="3">
        <v>16.7935621859916</v>
      </c>
      <c r="C18" s="3">
        <v>120</v>
      </c>
      <c r="D18" s="3">
        <v>11</v>
      </c>
      <c r="E18" s="3" t="s">
        <v>176</v>
      </c>
    </row>
    <row r="19" spans="1:5" ht="14.25" customHeight="1" x14ac:dyDescent="0.3">
      <c r="A19" s="3" t="s">
        <v>104</v>
      </c>
      <c r="B19" s="3">
        <v>21.637838724725519</v>
      </c>
      <c r="C19" s="3">
        <v>120</v>
      </c>
      <c r="D19" s="3">
        <v>11</v>
      </c>
      <c r="E19" s="3" t="s">
        <v>170</v>
      </c>
    </row>
    <row r="20" spans="1:5" ht="14.25" customHeight="1" x14ac:dyDescent="0.3">
      <c r="A20" s="3" t="s">
        <v>109</v>
      </c>
      <c r="B20" s="3">
        <v>21.292561612569671</v>
      </c>
      <c r="C20" s="3">
        <v>120</v>
      </c>
      <c r="D20" s="3">
        <v>10</v>
      </c>
      <c r="E20" s="3" t="s">
        <v>171</v>
      </c>
    </row>
    <row r="21" spans="1:5" ht="14.25" customHeight="1" x14ac:dyDescent="0.3">
      <c r="A21" s="3" t="s">
        <v>114</v>
      </c>
      <c r="B21" s="3">
        <v>22.52749607214626</v>
      </c>
      <c r="C21" s="3">
        <v>120</v>
      </c>
      <c r="D21" s="3">
        <v>12</v>
      </c>
      <c r="E21" s="3" t="s">
        <v>285</v>
      </c>
    </row>
    <row r="22" spans="1:5" ht="14.25" customHeight="1" x14ac:dyDescent="0.3">
      <c r="A22" s="3" t="s">
        <v>119</v>
      </c>
      <c r="B22" s="3">
        <v>21.13484269119547</v>
      </c>
      <c r="C22" s="3">
        <v>120</v>
      </c>
      <c r="D22" s="3">
        <v>9</v>
      </c>
      <c r="E22" s="3" t="s">
        <v>173</v>
      </c>
    </row>
    <row r="23" spans="1:5" ht="14.25" customHeight="1" x14ac:dyDescent="0.3">
      <c r="A23" s="3" t="s">
        <v>124</v>
      </c>
      <c r="B23" s="3">
        <v>11.323532689150531</v>
      </c>
      <c r="C23" s="3">
        <v>120</v>
      </c>
      <c r="D23" s="3">
        <v>8</v>
      </c>
      <c r="E23" s="3" t="s">
        <v>174</v>
      </c>
    </row>
    <row r="24" spans="1:5" ht="14.25" hidden="1" customHeight="1" x14ac:dyDescent="0.3">
      <c r="A24" s="3" t="s">
        <v>129</v>
      </c>
      <c r="B24" s="3">
        <v>11.331777079522441</v>
      </c>
      <c r="C24" s="3">
        <v>120</v>
      </c>
      <c r="D24" s="3">
        <v>7</v>
      </c>
      <c r="E24" s="3" t="s">
        <v>329</v>
      </c>
    </row>
    <row r="25" spans="1:5" ht="14.25" hidden="1" customHeight="1" x14ac:dyDescent="0.3">
      <c r="A25" s="3" t="s">
        <v>134</v>
      </c>
      <c r="B25" s="3">
        <v>17.23327092670311</v>
      </c>
      <c r="C25" s="3">
        <v>120</v>
      </c>
      <c r="D25" s="3">
        <v>8</v>
      </c>
      <c r="E25" s="3" t="s">
        <v>176</v>
      </c>
    </row>
    <row r="26" spans="1:5" ht="14.25" hidden="1" customHeight="1" x14ac:dyDescent="0.3">
      <c r="A26" s="3" t="s">
        <v>139</v>
      </c>
      <c r="B26" s="3">
        <v>12.79318576213983</v>
      </c>
      <c r="C26" s="3">
        <v>120</v>
      </c>
      <c r="D26" s="3">
        <v>8</v>
      </c>
      <c r="E26" s="3" t="s">
        <v>170</v>
      </c>
    </row>
    <row r="27" spans="1:5" ht="14.25" hidden="1" customHeight="1" x14ac:dyDescent="0.3">
      <c r="A27" s="3" t="s">
        <v>144</v>
      </c>
      <c r="B27" s="3">
        <v>19.648496572327211</v>
      </c>
      <c r="C27" s="3">
        <v>120</v>
      </c>
      <c r="D27" s="3">
        <v>11</v>
      </c>
      <c r="E27" s="3" t="s">
        <v>171</v>
      </c>
    </row>
    <row r="28" spans="1:5" ht="14.25" hidden="1" customHeight="1" x14ac:dyDescent="0.3">
      <c r="A28" s="3" t="s">
        <v>145</v>
      </c>
      <c r="B28" s="3">
        <v>18.054153001387739</v>
      </c>
      <c r="C28" s="3">
        <v>120</v>
      </c>
      <c r="D28" s="3">
        <v>9</v>
      </c>
      <c r="E28" s="3" t="s">
        <v>285</v>
      </c>
    </row>
    <row r="29" spans="1:5" ht="14.25" hidden="1" customHeight="1" x14ac:dyDescent="0.3">
      <c r="A29" s="3" t="s">
        <v>150</v>
      </c>
      <c r="B29" s="3">
        <v>23.09805152665016</v>
      </c>
      <c r="C29" s="3">
        <v>120</v>
      </c>
      <c r="D29" s="3">
        <v>9</v>
      </c>
      <c r="E29" s="3" t="s">
        <v>173</v>
      </c>
    </row>
    <row r="30" spans="1:5" ht="14.25" hidden="1" customHeight="1" x14ac:dyDescent="0.3">
      <c r="A30" s="3" t="s">
        <v>155</v>
      </c>
      <c r="B30" s="3">
        <v>28.44660427759413</v>
      </c>
      <c r="C30" s="3">
        <v>120</v>
      </c>
      <c r="D30" s="3">
        <v>13</v>
      </c>
      <c r="E30" s="3" t="s">
        <v>174</v>
      </c>
    </row>
    <row r="31" spans="1:5" ht="14.25" hidden="1" customHeight="1" x14ac:dyDescent="0.3">
      <c r="A31" s="3" t="s">
        <v>160</v>
      </c>
      <c r="B31" s="3">
        <v>20.120591880110041</v>
      </c>
      <c r="C31" s="3">
        <v>120</v>
      </c>
      <c r="D31" s="3">
        <v>12</v>
      </c>
      <c r="E31" s="3" t="s">
        <v>329</v>
      </c>
    </row>
    <row r="32" spans="1:5" ht="14.25" hidden="1" customHeight="1" x14ac:dyDescent="0.3">
      <c r="A32" s="3" t="s">
        <v>165</v>
      </c>
      <c r="B32" s="3">
        <v>30.18614631376985</v>
      </c>
      <c r="C32" s="3">
        <v>120</v>
      </c>
      <c r="D32" s="3">
        <v>12</v>
      </c>
      <c r="E32" s="3" t="s">
        <v>176</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autoFilter ref="A1:E32" xr:uid="{00000000-0009-0000-0000-000007000000}">
    <filterColumn colId="0">
      <filters>
        <filter val="2024-11-22 18:00"/>
        <filter val="2024-11-23 18:00"/>
        <filter val="2024-11-24 18:00"/>
        <filter val="2024-11-25 18:00"/>
        <filter val="2024-11-26 18:00"/>
        <filter val="2024-11-27 18:00"/>
        <filter val="2024-11-28 18:00"/>
        <filter val="2024-11-29 18:00"/>
      </filters>
    </filterColumn>
  </autoFilter>
  <pageMargins left="0.7" right="0.7" top="0.75" bottom="0.75" header="0" footer="0"/>
  <pageSetup orientation="landscape"/>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filterMode="1"/>
  <dimension ref="A1:L1000"/>
  <sheetViews>
    <sheetView workbookViewId="0"/>
  </sheetViews>
  <sheetFormatPr baseColWidth="10" defaultColWidth="14.44140625" defaultRowHeight="15" customHeight="1" x14ac:dyDescent="0.3"/>
  <cols>
    <col min="1" max="1" width="28" customWidth="1"/>
    <col min="2" max="3" width="10.6640625" customWidth="1"/>
    <col min="4" max="4" width="19.44140625" customWidth="1"/>
    <col min="5" max="10" width="10.6640625" customWidth="1"/>
    <col min="11" max="11" width="21.6640625" customWidth="1"/>
    <col min="12" max="26" width="10.6640625" customWidth="1"/>
  </cols>
  <sheetData>
    <row r="1" spans="1:12" ht="14.25" customHeight="1" x14ac:dyDescent="0.3">
      <c r="A1" s="1" t="s">
        <v>0</v>
      </c>
      <c r="B1" s="1" t="s">
        <v>1</v>
      </c>
      <c r="C1" s="1" t="s">
        <v>2</v>
      </c>
      <c r="D1" s="1" t="s">
        <v>8</v>
      </c>
      <c r="E1" s="2" t="s">
        <v>14</v>
      </c>
      <c r="I1" s="34"/>
      <c r="J1" s="34"/>
      <c r="K1" s="34"/>
      <c r="L1" s="34"/>
    </row>
    <row r="2" spans="1:12" ht="14.25" hidden="1" customHeight="1" x14ac:dyDescent="0.3">
      <c r="A2" s="3" t="s">
        <v>15</v>
      </c>
      <c r="B2" s="3">
        <v>35.583808440685459</v>
      </c>
      <c r="C2" s="3">
        <v>120</v>
      </c>
      <c r="D2" s="3">
        <v>9</v>
      </c>
      <c r="E2" s="3" t="s">
        <v>174</v>
      </c>
    </row>
    <row r="3" spans="1:12" ht="14.25" hidden="1" customHeight="1" x14ac:dyDescent="0.3">
      <c r="A3" s="3" t="s">
        <v>24</v>
      </c>
      <c r="B3" s="3">
        <v>18.919531259855241</v>
      </c>
      <c r="C3" s="3">
        <v>120</v>
      </c>
      <c r="D3" s="3">
        <v>11</v>
      </c>
      <c r="E3" s="3" t="s">
        <v>329</v>
      </c>
    </row>
    <row r="4" spans="1:12" ht="14.25" hidden="1" customHeight="1" x14ac:dyDescent="0.3">
      <c r="A4" s="3" t="s">
        <v>29</v>
      </c>
      <c r="B4" s="3">
        <v>19.648496572327211</v>
      </c>
      <c r="C4" s="3">
        <v>120</v>
      </c>
      <c r="D4" s="3">
        <v>11</v>
      </c>
      <c r="E4" s="3" t="s">
        <v>176</v>
      </c>
    </row>
    <row r="5" spans="1:12" ht="14.25" hidden="1" customHeight="1" x14ac:dyDescent="0.3">
      <c r="A5" s="3" t="s">
        <v>34</v>
      </c>
      <c r="B5" s="3">
        <v>10.57860014381631</v>
      </c>
      <c r="C5" s="3">
        <v>120</v>
      </c>
      <c r="D5" s="3">
        <v>10</v>
      </c>
      <c r="E5" s="3" t="s">
        <v>170</v>
      </c>
    </row>
    <row r="6" spans="1:12" ht="14.25" hidden="1" customHeight="1" x14ac:dyDescent="0.3">
      <c r="A6" s="3" t="s">
        <v>39</v>
      </c>
      <c r="B6" s="3">
        <v>18.90454501617625</v>
      </c>
      <c r="C6" s="3">
        <v>120</v>
      </c>
      <c r="D6" s="3">
        <v>10</v>
      </c>
      <c r="E6" s="3" t="s">
        <v>171</v>
      </c>
    </row>
    <row r="7" spans="1:12" ht="14.25" hidden="1" customHeight="1" x14ac:dyDescent="0.3">
      <c r="A7" s="3" t="s">
        <v>44</v>
      </c>
      <c r="B7" s="3">
        <v>22.865874544097949</v>
      </c>
      <c r="C7" s="3">
        <v>120</v>
      </c>
      <c r="D7" s="3">
        <v>9</v>
      </c>
      <c r="E7" s="3" t="s">
        <v>285</v>
      </c>
    </row>
    <row r="8" spans="1:12" ht="14.25" hidden="1" customHeight="1" x14ac:dyDescent="0.3">
      <c r="A8" s="3" t="s">
        <v>49</v>
      </c>
      <c r="B8" s="3">
        <v>6.622473411283436</v>
      </c>
      <c r="C8" s="3">
        <v>120</v>
      </c>
      <c r="D8" s="3">
        <v>8</v>
      </c>
      <c r="E8" s="3" t="s">
        <v>173</v>
      </c>
    </row>
    <row r="9" spans="1:12" ht="14.25" hidden="1" customHeight="1" x14ac:dyDescent="0.3">
      <c r="A9" s="3" t="s">
        <v>54</v>
      </c>
      <c r="B9" s="3">
        <v>19.683918982455921</v>
      </c>
      <c r="C9" s="3">
        <v>120</v>
      </c>
      <c r="D9" s="3">
        <v>10</v>
      </c>
      <c r="E9" s="3" t="s">
        <v>174</v>
      </c>
    </row>
    <row r="10" spans="1:12" ht="14.25" hidden="1" customHeight="1" x14ac:dyDescent="0.3">
      <c r="A10" s="3" t="s">
        <v>59</v>
      </c>
      <c r="B10" s="3">
        <v>19.63821444392968</v>
      </c>
      <c r="C10" s="3">
        <v>120</v>
      </c>
      <c r="D10" s="3">
        <v>6</v>
      </c>
      <c r="E10" s="3" t="s">
        <v>329</v>
      </c>
    </row>
    <row r="11" spans="1:12" ht="14.25" hidden="1" customHeight="1" x14ac:dyDescent="0.3">
      <c r="A11" s="3" t="s">
        <v>64</v>
      </c>
      <c r="B11" s="3">
        <v>24.031542112072081</v>
      </c>
      <c r="C11" s="3">
        <v>120</v>
      </c>
      <c r="D11" s="3">
        <v>10</v>
      </c>
      <c r="E11" s="3" t="s">
        <v>176</v>
      </c>
    </row>
    <row r="12" spans="1:12" ht="14.25" hidden="1" customHeight="1" x14ac:dyDescent="0.3">
      <c r="A12" s="3" t="s">
        <v>69</v>
      </c>
      <c r="B12" s="3">
        <v>15.259630887005921</v>
      </c>
      <c r="C12" s="3">
        <v>120</v>
      </c>
      <c r="D12" s="3">
        <v>12</v>
      </c>
      <c r="E12" s="3" t="s">
        <v>170</v>
      </c>
    </row>
    <row r="13" spans="1:12" ht="14.25" hidden="1" customHeight="1" x14ac:dyDescent="0.3">
      <c r="A13" s="3" t="s">
        <v>74</v>
      </c>
      <c r="B13" s="3">
        <v>21.97582988657296</v>
      </c>
      <c r="C13" s="3">
        <v>120</v>
      </c>
      <c r="D13" s="3">
        <v>12</v>
      </c>
      <c r="E13" s="3" t="s">
        <v>171</v>
      </c>
    </row>
    <row r="14" spans="1:12" ht="14.25" hidden="1" customHeight="1" x14ac:dyDescent="0.3">
      <c r="A14" s="3" t="s">
        <v>79</v>
      </c>
      <c r="B14" s="3">
        <v>20.49384450006303</v>
      </c>
      <c r="C14" s="3">
        <v>120</v>
      </c>
      <c r="D14" s="3">
        <v>10</v>
      </c>
      <c r="E14" s="3" t="s">
        <v>285</v>
      </c>
    </row>
    <row r="15" spans="1:12" ht="14.25" hidden="1" customHeight="1" x14ac:dyDescent="0.3">
      <c r="A15" s="3" t="s">
        <v>84</v>
      </c>
      <c r="B15" s="3">
        <v>3.4951411834086139</v>
      </c>
      <c r="C15" s="3">
        <v>120</v>
      </c>
      <c r="D15" s="3">
        <v>6</v>
      </c>
      <c r="E15" s="3" t="s">
        <v>173</v>
      </c>
    </row>
    <row r="16" spans="1:12" ht="14.25" hidden="1" customHeight="1" x14ac:dyDescent="0.3">
      <c r="A16" s="3" t="s">
        <v>89</v>
      </c>
      <c r="B16" s="3">
        <v>16.43553526733595</v>
      </c>
      <c r="C16" s="3">
        <v>120</v>
      </c>
      <c r="D16" s="3">
        <v>7</v>
      </c>
      <c r="E16" s="3" t="s">
        <v>174</v>
      </c>
    </row>
    <row r="17" spans="1:5" ht="14.25" hidden="1" customHeight="1" x14ac:dyDescent="0.3">
      <c r="A17" s="3" t="s">
        <v>94</v>
      </c>
      <c r="B17" s="3">
        <v>17.704588053684422</v>
      </c>
      <c r="C17" s="3">
        <v>120</v>
      </c>
      <c r="D17" s="3">
        <v>9</v>
      </c>
      <c r="E17" s="3" t="s">
        <v>329</v>
      </c>
    </row>
    <row r="18" spans="1:5" ht="14.25" hidden="1" customHeight="1" x14ac:dyDescent="0.3">
      <c r="A18" s="3" t="s">
        <v>99</v>
      </c>
      <c r="B18" s="3">
        <v>16.7935621859916</v>
      </c>
      <c r="C18" s="3">
        <v>120</v>
      </c>
      <c r="D18" s="3">
        <v>11</v>
      </c>
      <c r="E18" s="3" t="s">
        <v>176</v>
      </c>
    </row>
    <row r="19" spans="1:5" ht="14.25" hidden="1" customHeight="1" x14ac:dyDescent="0.3">
      <c r="A19" s="3" t="s">
        <v>104</v>
      </c>
      <c r="B19" s="3">
        <v>21.637838724725519</v>
      </c>
      <c r="C19" s="3">
        <v>120</v>
      </c>
      <c r="D19" s="3">
        <v>11</v>
      </c>
      <c r="E19" s="3" t="s">
        <v>170</v>
      </c>
    </row>
    <row r="20" spans="1:5" ht="14.25" hidden="1" customHeight="1" x14ac:dyDescent="0.3">
      <c r="A20" s="3" t="s">
        <v>109</v>
      </c>
      <c r="B20" s="3">
        <v>21.292561612569671</v>
      </c>
      <c r="C20" s="3">
        <v>120</v>
      </c>
      <c r="D20" s="3">
        <v>10</v>
      </c>
      <c r="E20" s="3" t="s">
        <v>171</v>
      </c>
    </row>
    <row r="21" spans="1:5" ht="14.25" hidden="1" customHeight="1" x14ac:dyDescent="0.3">
      <c r="A21" s="3" t="s">
        <v>114</v>
      </c>
      <c r="B21" s="3">
        <v>22.52749607214626</v>
      </c>
      <c r="C21" s="3">
        <v>120</v>
      </c>
      <c r="D21" s="3">
        <v>12</v>
      </c>
      <c r="E21" s="3" t="s">
        <v>285</v>
      </c>
    </row>
    <row r="22" spans="1:5" ht="14.25" hidden="1" customHeight="1" x14ac:dyDescent="0.3">
      <c r="A22" s="3" t="s">
        <v>119</v>
      </c>
      <c r="B22" s="3">
        <v>21.13484269119547</v>
      </c>
      <c r="C22" s="3">
        <v>120</v>
      </c>
      <c r="D22" s="3">
        <v>9</v>
      </c>
      <c r="E22" s="3" t="s">
        <v>173</v>
      </c>
    </row>
    <row r="23" spans="1:5" ht="14.25" customHeight="1" x14ac:dyDescent="0.3">
      <c r="A23" s="3" t="s">
        <v>124</v>
      </c>
      <c r="B23" s="3">
        <v>11.323532689150531</v>
      </c>
      <c r="C23" s="3">
        <v>120</v>
      </c>
      <c r="D23" s="3">
        <v>8</v>
      </c>
      <c r="E23" s="3" t="s">
        <v>174</v>
      </c>
    </row>
    <row r="24" spans="1:5" ht="14.25" customHeight="1" x14ac:dyDescent="0.3">
      <c r="A24" s="3" t="s">
        <v>129</v>
      </c>
      <c r="B24" s="3">
        <v>11.331777079522441</v>
      </c>
      <c r="C24" s="3">
        <v>120</v>
      </c>
      <c r="D24" s="3">
        <v>7</v>
      </c>
      <c r="E24" s="3" t="s">
        <v>329</v>
      </c>
    </row>
    <row r="25" spans="1:5" ht="14.25" customHeight="1" x14ac:dyDescent="0.3">
      <c r="A25" s="3" t="s">
        <v>134</v>
      </c>
      <c r="B25" s="3">
        <v>17.23327092670311</v>
      </c>
      <c r="C25" s="3">
        <v>120</v>
      </c>
      <c r="D25" s="3">
        <v>8</v>
      </c>
      <c r="E25" s="3" t="s">
        <v>176</v>
      </c>
    </row>
    <row r="26" spans="1:5" ht="14.25" customHeight="1" x14ac:dyDescent="0.3">
      <c r="A26" s="3" t="s">
        <v>139</v>
      </c>
      <c r="B26" s="3">
        <v>12.79318576213983</v>
      </c>
      <c r="C26" s="3">
        <v>120</v>
      </c>
      <c r="D26" s="3">
        <v>8</v>
      </c>
      <c r="E26" s="3" t="s">
        <v>170</v>
      </c>
    </row>
    <row r="27" spans="1:5" ht="14.25" customHeight="1" x14ac:dyDescent="0.3">
      <c r="A27" s="3" t="s">
        <v>144</v>
      </c>
      <c r="B27" s="3">
        <v>19.648496572327211</v>
      </c>
      <c r="C27" s="3">
        <v>120</v>
      </c>
      <c r="D27" s="3">
        <v>11</v>
      </c>
      <c r="E27" s="3" t="s">
        <v>171</v>
      </c>
    </row>
    <row r="28" spans="1:5" ht="14.25" customHeight="1" x14ac:dyDescent="0.3">
      <c r="A28" s="3" t="s">
        <v>145</v>
      </c>
      <c r="B28" s="3">
        <v>18.054153001387739</v>
      </c>
      <c r="C28" s="3">
        <v>120</v>
      </c>
      <c r="D28" s="3">
        <v>9</v>
      </c>
      <c r="E28" s="3" t="s">
        <v>285</v>
      </c>
    </row>
    <row r="29" spans="1:5" ht="14.25" customHeight="1" x14ac:dyDescent="0.3">
      <c r="A29" s="3" t="s">
        <v>150</v>
      </c>
      <c r="B29" s="3">
        <v>23.09805152665016</v>
      </c>
      <c r="C29" s="3">
        <v>120</v>
      </c>
      <c r="D29" s="3">
        <v>9</v>
      </c>
      <c r="E29" s="3" t="s">
        <v>173</v>
      </c>
    </row>
    <row r="30" spans="1:5" ht="14.25" customHeight="1" x14ac:dyDescent="0.3">
      <c r="A30" s="3" t="s">
        <v>155</v>
      </c>
      <c r="B30" s="3">
        <v>28.44660427759413</v>
      </c>
      <c r="C30" s="3">
        <v>120</v>
      </c>
      <c r="D30" s="3">
        <v>13</v>
      </c>
      <c r="E30" s="3" t="s">
        <v>174</v>
      </c>
    </row>
    <row r="31" spans="1:5" ht="14.25" customHeight="1" x14ac:dyDescent="0.3">
      <c r="A31" s="3" t="s">
        <v>160</v>
      </c>
      <c r="B31" s="3">
        <v>20.120591880110041</v>
      </c>
      <c r="C31" s="3">
        <v>120</v>
      </c>
      <c r="D31" s="3">
        <v>12</v>
      </c>
      <c r="E31" s="3" t="s">
        <v>329</v>
      </c>
    </row>
    <row r="32" spans="1:5" ht="14.25" customHeight="1" x14ac:dyDescent="0.3">
      <c r="A32" s="3" t="s">
        <v>165</v>
      </c>
      <c r="B32" s="3">
        <v>30.18614631376985</v>
      </c>
      <c r="C32" s="3">
        <v>120</v>
      </c>
      <c r="D32" s="3">
        <v>12</v>
      </c>
      <c r="E32" s="3" t="s">
        <v>176</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autoFilter ref="A1:E32" xr:uid="{00000000-0009-0000-0000-000008000000}">
    <filterColumn colId="0">
      <filters>
        <filter val="2024-11-29 18:00"/>
        <filter val="2024-11-30 18:00"/>
        <filter val="2024-12-01 18:00"/>
        <filter val="2024-12-02 18:00"/>
        <filter val="2024-12-03 18:00"/>
        <filter val="2024-12-04 18:00"/>
        <filter val="2024-12-05 18:00"/>
        <filter val="2024-12-06 18:00"/>
        <filter val="2024-12-07 18:00"/>
        <filter val="2024-12-08 18:00"/>
      </filters>
    </filterColumn>
  </autoFilter>
  <pageMargins left="0.7" right="0.7" top="0.75" bottom="0.75" header="0" footer="0"/>
  <pageSetup orientation="landscape"/>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V1000"/>
  <sheetViews>
    <sheetView workbookViewId="0"/>
  </sheetViews>
  <sheetFormatPr baseColWidth="10" defaultColWidth="14.44140625" defaultRowHeight="15" customHeight="1" x14ac:dyDescent="0.3"/>
  <cols>
    <col min="1" max="1" width="32.44140625" customWidth="1"/>
    <col min="2" max="2" width="58.6640625" customWidth="1"/>
    <col min="3" max="3" width="21.88671875" customWidth="1"/>
    <col min="4" max="4" width="12" customWidth="1"/>
    <col min="5" max="11" width="10.6640625" customWidth="1"/>
    <col min="12" max="12" width="21.6640625" customWidth="1"/>
    <col min="13" max="13" width="37.6640625" customWidth="1"/>
    <col min="14" max="26" width="10.6640625" customWidth="1"/>
  </cols>
  <sheetData>
    <row r="1" spans="1:22" ht="14.25" customHeight="1" x14ac:dyDescent="0.3">
      <c r="A1" s="30" t="s">
        <v>330</v>
      </c>
      <c r="B1" s="13" t="s">
        <v>331</v>
      </c>
      <c r="C1" s="13" t="s">
        <v>332</v>
      </c>
      <c r="L1" s="18"/>
      <c r="T1" s="3" t="s">
        <v>201</v>
      </c>
      <c r="U1" s="18"/>
    </row>
    <row r="2" spans="1:22" ht="14.25" customHeight="1" x14ac:dyDescent="0.3">
      <c r="A2" s="3" t="s">
        <v>333</v>
      </c>
      <c r="B2" s="13" t="s">
        <v>201</v>
      </c>
      <c r="C2" s="13" t="s">
        <v>334</v>
      </c>
      <c r="D2" s="13" t="s">
        <v>335</v>
      </c>
      <c r="E2" s="13" t="s">
        <v>336</v>
      </c>
      <c r="F2" s="35" t="s">
        <v>337</v>
      </c>
      <c r="G2" s="35" t="s">
        <v>338</v>
      </c>
      <c r="H2" s="35" t="s">
        <v>339</v>
      </c>
      <c r="I2" s="35" t="s">
        <v>340</v>
      </c>
      <c r="J2" s="35" t="s">
        <v>341</v>
      </c>
      <c r="K2" s="35" t="s">
        <v>342</v>
      </c>
      <c r="L2" s="25" t="s">
        <v>208</v>
      </c>
      <c r="M2" s="36" t="s">
        <v>343</v>
      </c>
      <c r="N2" s="12" t="s">
        <v>344</v>
      </c>
      <c r="O2" s="12">
        <v>4</v>
      </c>
      <c r="P2" s="3" t="s">
        <v>345</v>
      </c>
      <c r="U2" s="18"/>
      <c r="V2" s="13"/>
    </row>
    <row r="3" spans="1:22" ht="14.25" customHeight="1" x14ac:dyDescent="0.3">
      <c r="A3" s="3">
        <v>1.247177188019948</v>
      </c>
      <c r="B3" s="3" t="s">
        <v>213</v>
      </c>
      <c r="C3" s="3">
        <v>3</v>
      </c>
      <c r="D3" s="3">
        <v>2</v>
      </c>
      <c r="E3" s="3">
        <v>4</v>
      </c>
      <c r="F3" s="3">
        <v>13</v>
      </c>
      <c r="G3" s="3">
        <v>8</v>
      </c>
      <c r="H3" s="3">
        <v>5</v>
      </c>
      <c r="I3" s="12">
        <v>2</v>
      </c>
      <c r="J3" s="12">
        <v>15</v>
      </c>
      <c r="K3" s="12">
        <v>11</v>
      </c>
      <c r="L3" s="25">
        <f t="shared" ref="L3:L22" si="0">AVERAGE(C3:K3)</f>
        <v>7</v>
      </c>
      <c r="N3" s="12" t="s">
        <v>243</v>
      </c>
      <c r="O3" s="12">
        <v>26</v>
      </c>
      <c r="P3" s="3" t="s">
        <v>346</v>
      </c>
      <c r="U3" s="18"/>
      <c r="V3" s="13"/>
    </row>
    <row r="4" spans="1:22" ht="14.25" customHeight="1" x14ac:dyDescent="0.3">
      <c r="A4" s="3">
        <v>1.1425292918330761</v>
      </c>
      <c r="B4" s="3" t="s">
        <v>215</v>
      </c>
      <c r="C4" s="3">
        <v>4</v>
      </c>
      <c r="D4" s="3">
        <v>1</v>
      </c>
      <c r="E4" s="3">
        <v>11</v>
      </c>
      <c r="F4" s="3">
        <v>5</v>
      </c>
      <c r="G4" s="3">
        <v>6</v>
      </c>
      <c r="H4" s="3">
        <v>8</v>
      </c>
      <c r="I4" s="12">
        <v>3</v>
      </c>
      <c r="J4" s="12">
        <v>7</v>
      </c>
      <c r="K4" s="12">
        <v>10</v>
      </c>
      <c r="L4" s="25">
        <f t="shared" si="0"/>
        <v>6.1111111111111107</v>
      </c>
      <c r="N4" s="12" t="s">
        <v>347</v>
      </c>
      <c r="O4" s="12">
        <v>16</v>
      </c>
      <c r="P4" s="3" t="s">
        <v>348</v>
      </c>
      <c r="U4" s="18"/>
      <c r="V4" s="13"/>
    </row>
    <row r="5" spans="1:22" ht="14.25" customHeight="1" x14ac:dyDescent="0.3">
      <c r="A5" s="3">
        <v>1.123713972805261</v>
      </c>
      <c r="B5" s="3" t="s">
        <v>216</v>
      </c>
      <c r="C5" s="3">
        <v>6</v>
      </c>
      <c r="D5" s="3">
        <v>7</v>
      </c>
      <c r="E5" s="3">
        <v>4</v>
      </c>
      <c r="F5" s="3">
        <v>1</v>
      </c>
      <c r="G5" s="3">
        <v>3</v>
      </c>
      <c r="H5" s="3">
        <v>6</v>
      </c>
      <c r="I5" s="12">
        <v>3</v>
      </c>
      <c r="J5" s="12">
        <v>8</v>
      </c>
      <c r="K5" s="12">
        <v>7</v>
      </c>
      <c r="L5" s="25">
        <f t="shared" si="0"/>
        <v>5</v>
      </c>
      <c r="N5" s="12" t="s">
        <v>346</v>
      </c>
      <c r="O5" s="12">
        <v>0</v>
      </c>
      <c r="P5" s="3" t="s">
        <v>234</v>
      </c>
      <c r="U5" s="18"/>
      <c r="V5" s="13"/>
    </row>
    <row r="6" spans="1:22" ht="14.25" customHeight="1" x14ac:dyDescent="0.3">
      <c r="A6" s="3">
        <v>1.1139196755889551</v>
      </c>
      <c r="B6" s="3" t="s">
        <v>217</v>
      </c>
      <c r="C6" s="3">
        <v>7</v>
      </c>
      <c r="D6" s="3">
        <v>4</v>
      </c>
      <c r="E6" s="3">
        <v>4</v>
      </c>
      <c r="F6" s="3">
        <v>2</v>
      </c>
      <c r="G6" s="3">
        <v>3</v>
      </c>
      <c r="H6" s="3">
        <v>1</v>
      </c>
      <c r="I6" s="12">
        <v>7</v>
      </c>
      <c r="J6" s="12">
        <v>4</v>
      </c>
      <c r="K6" s="12">
        <v>8</v>
      </c>
      <c r="L6" s="25">
        <f t="shared" si="0"/>
        <v>4.4444444444444446</v>
      </c>
      <c r="N6" s="12" t="s">
        <v>348</v>
      </c>
      <c r="O6" s="12">
        <v>5</v>
      </c>
      <c r="P6" s="3" t="s">
        <v>349</v>
      </c>
      <c r="U6" s="18"/>
      <c r="V6" s="13"/>
    </row>
    <row r="7" spans="1:22" ht="14.25" customHeight="1" x14ac:dyDescent="0.3">
      <c r="A7" s="3">
        <v>1.0416402811862899</v>
      </c>
      <c r="B7" s="3" t="s">
        <v>218</v>
      </c>
      <c r="C7" s="3">
        <v>5</v>
      </c>
      <c r="D7" s="3">
        <v>3</v>
      </c>
      <c r="E7" s="3">
        <v>1</v>
      </c>
      <c r="F7" s="3">
        <v>5</v>
      </c>
      <c r="G7" s="3">
        <v>6</v>
      </c>
      <c r="H7" s="3">
        <v>5</v>
      </c>
      <c r="I7" s="12">
        <v>3</v>
      </c>
      <c r="J7" s="12">
        <v>4</v>
      </c>
      <c r="K7" s="12">
        <v>0</v>
      </c>
      <c r="L7" s="25">
        <f t="shared" si="0"/>
        <v>3.5555555555555554</v>
      </c>
      <c r="N7" s="12" t="s">
        <v>350</v>
      </c>
      <c r="O7" s="12">
        <v>5</v>
      </c>
      <c r="P7" s="3" t="s">
        <v>347</v>
      </c>
      <c r="U7" s="18"/>
      <c r="V7" s="13"/>
    </row>
    <row r="8" spans="1:22" ht="14.25" customHeight="1" x14ac:dyDescent="0.3">
      <c r="A8" s="3">
        <v>0.99583449612816577</v>
      </c>
      <c r="B8" s="3" t="s">
        <v>220</v>
      </c>
      <c r="C8" s="3">
        <v>9</v>
      </c>
      <c r="D8" s="3">
        <v>3</v>
      </c>
      <c r="E8" s="3">
        <v>4</v>
      </c>
      <c r="F8" s="3">
        <v>19</v>
      </c>
      <c r="G8" s="3">
        <v>17</v>
      </c>
      <c r="H8" s="3">
        <v>17</v>
      </c>
      <c r="I8" s="12">
        <v>3</v>
      </c>
      <c r="J8" s="12">
        <v>4</v>
      </c>
      <c r="K8" s="12">
        <v>16</v>
      </c>
      <c r="L8" s="25">
        <f t="shared" si="0"/>
        <v>10.222222222222221</v>
      </c>
      <c r="N8" s="12" t="s">
        <v>345</v>
      </c>
      <c r="O8" s="12">
        <v>30</v>
      </c>
      <c r="P8" s="3" t="s">
        <v>351</v>
      </c>
      <c r="U8" s="18"/>
      <c r="V8" s="13"/>
    </row>
    <row r="9" spans="1:22" ht="14.25" customHeight="1" x14ac:dyDescent="0.3">
      <c r="A9" s="3">
        <v>0.9957863323050703</v>
      </c>
      <c r="B9" s="3" t="s">
        <v>223</v>
      </c>
      <c r="C9" s="3">
        <v>15</v>
      </c>
      <c r="D9" s="3">
        <v>4</v>
      </c>
      <c r="E9" s="3">
        <v>6</v>
      </c>
      <c r="F9" s="3">
        <v>6</v>
      </c>
      <c r="G9" s="3">
        <v>4</v>
      </c>
      <c r="H9" s="3">
        <v>1</v>
      </c>
      <c r="I9" s="12">
        <v>13</v>
      </c>
      <c r="J9" s="12">
        <v>6</v>
      </c>
      <c r="K9" s="12">
        <v>6</v>
      </c>
      <c r="L9" s="25">
        <f t="shared" si="0"/>
        <v>6.7777777777777777</v>
      </c>
      <c r="N9" s="12" t="s">
        <v>215</v>
      </c>
      <c r="O9" s="12">
        <v>10</v>
      </c>
      <c r="P9" s="3" t="s">
        <v>232</v>
      </c>
      <c r="U9" s="18"/>
      <c r="V9" s="13"/>
    </row>
    <row r="10" spans="1:22" ht="14.25" customHeight="1" x14ac:dyDescent="0.3">
      <c r="A10" s="3">
        <v>0.98995442105744402</v>
      </c>
      <c r="B10" s="3" t="s">
        <v>224</v>
      </c>
      <c r="C10" s="3">
        <v>2</v>
      </c>
      <c r="D10" s="3">
        <v>1</v>
      </c>
      <c r="E10" s="3">
        <v>1</v>
      </c>
      <c r="F10" s="3">
        <v>1</v>
      </c>
      <c r="G10" s="3">
        <v>8</v>
      </c>
      <c r="H10" s="3">
        <v>1</v>
      </c>
      <c r="I10" s="12">
        <v>1</v>
      </c>
      <c r="J10" s="12">
        <v>2</v>
      </c>
      <c r="K10" s="12">
        <v>0</v>
      </c>
      <c r="L10" s="25">
        <f t="shared" si="0"/>
        <v>1.8888888888888888</v>
      </c>
      <c r="N10" s="12" t="s">
        <v>234</v>
      </c>
      <c r="O10" s="12">
        <v>15</v>
      </c>
      <c r="P10" s="3" t="s">
        <v>352</v>
      </c>
      <c r="V10" s="13"/>
    </row>
    <row r="11" spans="1:22" ht="14.25" customHeight="1" x14ac:dyDescent="0.3">
      <c r="A11" s="3">
        <v>0.8928339600558084</v>
      </c>
      <c r="B11" s="3" t="s">
        <v>225</v>
      </c>
      <c r="C11" s="3">
        <v>3</v>
      </c>
      <c r="D11" s="3">
        <v>0</v>
      </c>
      <c r="E11" s="3">
        <v>0</v>
      </c>
      <c r="F11" s="3">
        <v>1</v>
      </c>
      <c r="G11" s="3">
        <v>2</v>
      </c>
      <c r="H11" s="3">
        <v>7</v>
      </c>
      <c r="I11" s="12">
        <v>6</v>
      </c>
      <c r="J11" s="12">
        <v>3</v>
      </c>
      <c r="K11" s="12">
        <v>2</v>
      </c>
      <c r="L11" s="25">
        <f t="shared" si="0"/>
        <v>2.6666666666666665</v>
      </c>
      <c r="N11" s="12" t="s">
        <v>232</v>
      </c>
      <c r="O11" s="12">
        <v>15</v>
      </c>
      <c r="P11" s="3" t="s">
        <v>350</v>
      </c>
      <c r="V11" s="13"/>
    </row>
    <row r="12" spans="1:22" ht="14.25" customHeight="1" x14ac:dyDescent="0.3">
      <c r="A12" s="3">
        <v>0.88597893866063815</v>
      </c>
      <c r="B12" s="3" t="s">
        <v>227</v>
      </c>
      <c r="C12" s="3">
        <v>2</v>
      </c>
      <c r="D12" s="3">
        <v>2</v>
      </c>
      <c r="E12" s="3">
        <v>1</v>
      </c>
      <c r="F12" s="3">
        <v>2</v>
      </c>
      <c r="G12" s="3">
        <v>1</v>
      </c>
      <c r="H12" s="3">
        <v>3</v>
      </c>
      <c r="I12" s="12">
        <v>2</v>
      </c>
      <c r="J12" s="12">
        <v>7</v>
      </c>
      <c r="K12" s="12">
        <v>2</v>
      </c>
      <c r="L12" s="25">
        <f t="shared" si="0"/>
        <v>2.4444444444444446</v>
      </c>
      <c r="N12" s="12" t="s">
        <v>351</v>
      </c>
      <c r="O12" s="12">
        <v>11</v>
      </c>
      <c r="P12" s="3" t="s">
        <v>353</v>
      </c>
      <c r="U12" s="18"/>
      <c r="V12" s="13"/>
    </row>
    <row r="13" spans="1:22" ht="14.25" customHeight="1" x14ac:dyDescent="0.3">
      <c r="A13" s="3">
        <v>-1.0923718971587979</v>
      </c>
      <c r="B13" s="3" t="s">
        <v>229</v>
      </c>
      <c r="C13" s="3">
        <v>5</v>
      </c>
      <c r="D13" s="3">
        <v>11</v>
      </c>
      <c r="E13" s="3">
        <v>8</v>
      </c>
      <c r="F13" s="3">
        <v>10</v>
      </c>
      <c r="G13" s="3">
        <v>10</v>
      </c>
      <c r="H13" s="3">
        <v>1</v>
      </c>
      <c r="I13" s="12">
        <v>4</v>
      </c>
      <c r="J13" s="12">
        <v>3</v>
      </c>
      <c r="K13" s="12">
        <v>8</v>
      </c>
      <c r="L13" s="25">
        <f t="shared" si="0"/>
        <v>6.666666666666667</v>
      </c>
      <c r="N13" s="12" t="s">
        <v>241</v>
      </c>
      <c r="O13" s="12">
        <v>12</v>
      </c>
      <c r="P13" s="3" t="s">
        <v>354</v>
      </c>
      <c r="U13" s="18"/>
      <c r="V13" s="13"/>
    </row>
    <row r="14" spans="1:22" ht="14.25" customHeight="1" x14ac:dyDescent="0.3">
      <c r="A14" s="3">
        <v>-1.1154133211974251</v>
      </c>
      <c r="B14" s="3" t="s">
        <v>232</v>
      </c>
      <c r="C14" s="3">
        <v>9</v>
      </c>
      <c r="D14" s="3">
        <v>7</v>
      </c>
      <c r="E14" s="3">
        <v>11</v>
      </c>
      <c r="F14" s="3">
        <v>10</v>
      </c>
      <c r="G14" s="3">
        <v>6</v>
      </c>
      <c r="H14" s="3">
        <v>16</v>
      </c>
      <c r="I14" s="12">
        <v>16</v>
      </c>
      <c r="J14" s="12">
        <v>3</v>
      </c>
      <c r="K14" s="12">
        <v>15</v>
      </c>
      <c r="L14" s="25">
        <f t="shared" si="0"/>
        <v>10.333333333333334</v>
      </c>
      <c r="N14" s="12" t="s">
        <v>355</v>
      </c>
      <c r="O14" s="12">
        <v>11</v>
      </c>
      <c r="P14" s="3" t="s">
        <v>356</v>
      </c>
      <c r="U14" s="18"/>
      <c r="V14" s="13"/>
    </row>
    <row r="15" spans="1:22" ht="14.25" customHeight="1" x14ac:dyDescent="0.3">
      <c r="A15" s="3">
        <v>-1.12017317951397</v>
      </c>
      <c r="B15" s="3" t="s">
        <v>234</v>
      </c>
      <c r="C15" s="3">
        <v>6</v>
      </c>
      <c r="D15" s="3">
        <v>7</v>
      </c>
      <c r="E15" s="3">
        <v>5</v>
      </c>
      <c r="F15" s="3">
        <v>13</v>
      </c>
      <c r="G15" s="3">
        <v>14</v>
      </c>
      <c r="H15" s="3">
        <v>14</v>
      </c>
      <c r="I15" s="12">
        <v>14</v>
      </c>
      <c r="J15" s="12">
        <v>9</v>
      </c>
      <c r="K15" s="12">
        <v>15</v>
      </c>
      <c r="L15" s="25">
        <f t="shared" si="0"/>
        <v>10.777777777777779</v>
      </c>
      <c r="N15" s="12" t="s">
        <v>349</v>
      </c>
      <c r="O15" s="12">
        <v>10</v>
      </c>
      <c r="P15" s="3" t="s">
        <v>215</v>
      </c>
      <c r="U15" s="18"/>
      <c r="V15" s="13"/>
    </row>
    <row r="16" spans="1:22" ht="14.25" customHeight="1" x14ac:dyDescent="0.3">
      <c r="A16" s="3">
        <v>-1.1339562965442611</v>
      </c>
      <c r="B16" s="3" t="s">
        <v>236</v>
      </c>
      <c r="C16" s="3">
        <v>13</v>
      </c>
      <c r="D16" s="3">
        <v>15</v>
      </c>
      <c r="E16" s="3">
        <v>15</v>
      </c>
      <c r="F16" s="3">
        <v>4</v>
      </c>
      <c r="G16" s="3">
        <v>7</v>
      </c>
      <c r="H16" s="3">
        <v>15</v>
      </c>
      <c r="I16" s="12">
        <v>12</v>
      </c>
      <c r="J16" s="12">
        <v>13</v>
      </c>
      <c r="K16" s="12">
        <v>12</v>
      </c>
      <c r="L16" s="25">
        <f t="shared" si="0"/>
        <v>11.777777777777779</v>
      </c>
      <c r="N16" s="12" t="s">
        <v>353</v>
      </c>
      <c r="O16" s="12">
        <v>16</v>
      </c>
      <c r="P16" s="3" t="s">
        <v>344</v>
      </c>
      <c r="U16" s="18"/>
      <c r="V16" s="13"/>
    </row>
    <row r="17" spans="1:22" ht="14.25" customHeight="1" x14ac:dyDescent="0.3">
      <c r="A17" s="3">
        <v>-1.1428327832816429</v>
      </c>
      <c r="B17" s="3" t="s">
        <v>238</v>
      </c>
      <c r="C17" s="3">
        <v>4</v>
      </c>
      <c r="D17" s="3">
        <v>5</v>
      </c>
      <c r="E17" s="3">
        <v>1</v>
      </c>
      <c r="F17" s="3">
        <v>4</v>
      </c>
      <c r="G17" s="3">
        <v>4</v>
      </c>
      <c r="H17" s="3">
        <v>2</v>
      </c>
      <c r="I17" s="12">
        <v>3</v>
      </c>
      <c r="J17" s="12">
        <v>5</v>
      </c>
      <c r="K17" s="12">
        <v>1</v>
      </c>
      <c r="L17" s="25">
        <f t="shared" si="0"/>
        <v>3.2222222222222223</v>
      </c>
      <c r="N17" s="12" t="s">
        <v>352</v>
      </c>
      <c r="O17" s="12">
        <v>1</v>
      </c>
      <c r="P17" s="3" t="s">
        <v>243</v>
      </c>
      <c r="U17" s="18"/>
      <c r="V17" s="13"/>
    </row>
    <row r="18" spans="1:22" ht="14.25" customHeight="1" x14ac:dyDescent="0.3">
      <c r="A18" s="3">
        <v>-1.1920893573654381</v>
      </c>
      <c r="B18" s="3" t="s">
        <v>239</v>
      </c>
      <c r="C18" s="3">
        <v>14</v>
      </c>
      <c r="D18" s="3">
        <v>12</v>
      </c>
      <c r="E18" s="3">
        <v>9</v>
      </c>
      <c r="F18" s="3">
        <v>13</v>
      </c>
      <c r="G18" s="3">
        <v>12</v>
      </c>
      <c r="H18" s="3">
        <v>12</v>
      </c>
      <c r="I18" s="12">
        <v>11</v>
      </c>
      <c r="J18" s="12">
        <v>14</v>
      </c>
      <c r="K18" s="12">
        <v>9</v>
      </c>
      <c r="L18" s="25">
        <f t="shared" si="0"/>
        <v>11.777777777777779</v>
      </c>
      <c r="N18" s="12" t="s">
        <v>357</v>
      </c>
      <c r="O18" s="12">
        <v>1</v>
      </c>
      <c r="P18" s="3" t="s">
        <v>240</v>
      </c>
      <c r="U18" s="18"/>
      <c r="V18" s="13"/>
    </row>
    <row r="19" spans="1:22" ht="14.25" customHeight="1" x14ac:dyDescent="0.3">
      <c r="A19" s="3">
        <v>-1.196962071035268</v>
      </c>
      <c r="B19" s="3" t="s">
        <v>240</v>
      </c>
      <c r="C19" s="3">
        <v>6</v>
      </c>
      <c r="D19" s="3">
        <v>15</v>
      </c>
      <c r="E19" s="3">
        <v>16</v>
      </c>
      <c r="F19" s="3">
        <v>15</v>
      </c>
      <c r="G19" s="3">
        <v>16</v>
      </c>
      <c r="H19" s="3">
        <v>12</v>
      </c>
      <c r="I19" s="12">
        <v>8</v>
      </c>
      <c r="J19" s="12">
        <v>18</v>
      </c>
      <c r="K19" s="12">
        <v>12</v>
      </c>
      <c r="L19" s="25">
        <f t="shared" si="0"/>
        <v>13.111111111111111</v>
      </c>
      <c r="U19" s="18"/>
      <c r="V19" s="13"/>
    </row>
    <row r="20" spans="1:22" ht="14.25" customHeight="1" x14ac:dyDescent="0.3">
      <c r="A20" s="3">
        <v>-1.2097705883740471</v>
      </c>
      <c r="B20" s="3" t="s">
        <v>241</v>
      </c>
      <c r="C20" s="3">
        <v>13</v>
      </c>
      <c r="D20" s="3">
        <v>12</v>
      </c>
      <c r="E20" s="3">
        <v>12</v>
      </c>
      <c r="F20" s="3">
        <v>15</v>
      </c>
      <c r="G20" s="3">
        <v>10</v>
      </c>
      <c r="H20" s="3">
        <v>3</v>
      </c>
      <c r="I20" s="12">
        <v>14</v>
      </c>
      <c r="J20" s="12">
        <v>10</v>
      </c>
      <c r="K20" s="12">
        <v>12</v>
      </c>
      <c r="L20" s="25">
        <f t="shared" si="0"/>
        <v>11.222222222222221</v>
      </c>
      <c r="N20" s="12" t="s">
        <v>356</v>
      </c>
      <c r="O20" s="12">
        <v>2</v>
      </c>
      <c r="P20" s="3" t="s">
        <v>241</v>
      </c>
      <c r="U20" s="18"/>
      <c r="V20" s="13"/>
    </row>
    <row r="21" spans="1:22" ht="14.25" customHeight="1" x14ac:dyDescent="0.3">
      <c r="A21" s="3">
        <v>-1.3367165560614409</v>
      </c>
      <c r="B21" s="3" t="s">
        <v>242</v>
      </c>
      <c r="C21" s="3">
        <v>12</v>
      </c>
      <c r="D21" s="3">
        <v>15</v>
      </c>
      <c r="E21" s="3">
        <v>16</v>
      </c>
      <c r="F21" s="3">
        <v>15</v>
      </c>
      <c r="G21" s="3">
        <v>12</v>
      </c>
      <c r="H21" s="3">
        <v>15</v>
      </c>
      <c r="I21" s="12">
        <v>11</v>
      </c>
      <c r="J21" s="12">
        <v>17</v>
      </c>
      <c r="K21" s="12">
        <v>8</v>
      </c>
      <c r="L21" s="25">
        <f t="shared" si="0"/>
        <v>13.444444444444445</v>
      </c>
      <c r="N21" s="12" t="s">
        <v>354</v>
      </c>
      <c r="O21" s="12">
        <v>5</v>
      </c>
      <c r="P21" s="3" t="s">
        <v>355</v>
      </c>
      <c r="U21" s="18"/>
      <c r="V21" s="13"/>
    </row>
    <row r="22" spans="1:22" ht="14.25" customHeight="1" x14ac:dyDescent="0.3">
      <c r="A22" s="3">
        <v>-1.679865001322572</v>
      </c>
      <c r="B22" s="3" t="s">
        <v>243</v>
      </c>
      <c r="C22" s="3">
        <v>4</v>
      </c>
      <c r="D22" s="3">
        <v>25</v>
      </c>
      <c r="E22" s="3">
        <v>27</v>
      </c>
      <c r="F22" s="3">
        <v>27</v>
      </c>
      <c r="G22" s="3">
        <v>23</v>
      </c>
      <c r="H22" s="3">
        <v>27</v>
      </c>
      <c r="I22" s="12">
        <v>25</v>
      </c>
      <c r="J22" s="12">
        <v>24</v>
      </c>
      <c r="K22" s="12">
        <v>26</v>
      </c>
      <c r="L22" s="25">
        <f t="shared" si="0"/>
        <v>23.111111111111111</v>
      </c>
      <c r="N22" s="12" t="s">
        <v>240</v>
      </c>
      <c r="O22" s="12">
        <v>12</v>
      </c>
      <c r="P22" s="3" t="s">
        <v>357</v>
      </c>
    </row>
    <row r="23" spans="1:22" ht="14.25" customHeight="1" x14ac:dyDescent="0.3">
      <c r="L23" s="18"/>
    </row>
    <row r="24" spans="1:22" ht="14.25" customHeight="1" x14ac:dyDescent="0.3">
      <c r="B24" s="13" t="s">
        <v>331</v>
      </c>
      <c r="C24" s="13" t="s">
        <v>358</v>
      </c>
      <c r="L24" s="18"/>
      <c r="O24" s="13"/>
    </row>
    <row r="25" spans="1:22" ht="14.25" customHeight="1" x14ac:dyDescent="0.3">
      <c r="B25" s="13" t="s">
        <v>201</v>
      </c>
      <c r="C25" s="35">
        <v>45938</v>
      </c>
      <c r="D25" s="35">
        <v>45945</v>
      </c>
      <c r="E25" s="35">
        <v>45952</v>
      </c>
      <c r="F25" s="35">
        <v>45959</v>
      </c>
      <c r="G25" s="35">
        <v>45966</v>
      </c>
      <c r="H25" s="35">
        <v>45973</v>
      </c>
      <c r="I25" s="35">
        <v>45980</v>
      </c>
      <c r="J25" s="35">
        <v>45987</v>
      </c>
      <c r="K25" s="35">
        <v>45994</v>
      </c>
      <c r="L25" s="25" t="s">
        <v>209</v>
      </c>
      <c r="P25" s="18"/>
    </row>
    <row r="26" spans="1:22" ht="14.25" customHeight="1" x14ac:dyDescent="0.3">
      <c r="A26" s="3">
        <v>1.247177188019948</v>
      </c>
      <c r="B26" s="3" t="s">
        <v>213</v>
      </c>
      <c r="C26" s="3">
        <v>5</v>
      </c>
      <c r="D26" s="3">
        <v>14</v>
      </c>
      <c r="E26" s="3">
        <v>2</v>
      </c>
      <c r="F26" s="3">
        <v>2</v>
      </c>
      <c r="G26" s="3">
        <v>1</v>
      </c>
      <c r="H26" s="3">
        <v>4</v>
      </c>
      <c r="I26" s="12">
        <v>4</v>
      </c>
      <c r="J26" s="12">
        <v>3</v>
      </c>
      <c r="K26" s="12">
        <v>16</v>
      </c>
      <c r="L26" s="25">
        <f t="shared" ref="L26:L45" si="1">AVERAGE(C26:K26)</f>
        <v>5.666666666666667</v>
      </c>
      <c r="P26" s="18"/>
    </row>
    <row r="27" spans="1:22" ht="14.25" customHeight="1" x14ac:dyDescent="0.3">
      <c r="A27" s="3">
        <v>1.1425292918330761</v>
      </c>
      <c r="B27" s="3" t="s">
        <v>215</v>
      </c>
      <c r="C27" s="3">
        <v>3</v>
      </c>
      <c r="D27" s="3">
        <v>5</v>
      </c>
      <c r="E27" s="3">
        <v>2</v>
      </c>
      <c r="F27" s="3">
        <v>7</v>
      </c>
      <c r="G27" s="3">
        <v>3</v>
      </c>
      <c r="H27" s="3">
        <v>2</v>
      </c>
      <c r="I27" s="12">
        <v>0</v>
      </c>
      <c r="J27" s="12">
        <v>5</v>
      </c>
      <c r="K27" s="12">
        <v>6</v>
      </c>
      <c r="L27" s="25">
        <f t="shared" si="1"/>
        <v>3.6666666666666665</v>
      </c>
      <c r="P27" s="18"/>
    </row>
    <row r="28" spans="1:22" ht="14.25" customHeight="1" x14ac:dyDescent="0.3">
      <c r="A28" s="3">
        <v>1.123713972805261</v>
      </c>
      <c r="B28" s="3" t="s">
        <v>216</v>
      </c>
      <c r="C28" s="3">
        <v>5</v>
      </c>
      <c r="D28" s="3">
        <v>4</v>
      </c>
      <c r="E28" s="3">
        <v>0</v>
      </c>
      <c r="F28" s="3">
        <v>4</v>
      </c>
      <c r="G28" s="3">
        <v>2</v>
      </c>
      <c r="H28" s="3">
        <v>8</v>
      </c>
      <c r="I28" s="12">
        <v>6</v>
      </c>
      <c r="J28" s="12">
        <v>7</v>
      </c>
      <c r="K28" s="12">
        <v>1</v>
      </c>
      <c r="L28" s="25">
        <f t="shared" si="1"/>
        <v>4.1111111111111107</v>
      </c>
      <c r="P28" s="18"/>
    </row>
    <row r="29" spans="1:22" ht="14.25" customHeight="1" x14ac:dyDescent="0.3">
      <c r="A29" s="3">
        <v>1.1139196755889551</v>
      </c>
      <c r="B29" s="3" t="s">
        <v>217</v>
      </c>
      <c r="C29" s="3">
        <v>7</v>
      </c>
      <c r="D29" s="3">
        <v>4</v>
      </c>
      <c r="E29" s="3">
        <v>0</v>
      </c>
      <c r="F29" s="3">
        <v>5</v>
      </c>
      <c r="G29" s="3">
        <v>1</v>
      </c>
      <c r="H29" s="3">
        <v>3</v>
      </c>
      <c r="I29" s="12">
        <v>8</v>
      </c>
      <c r="J29" s="12">
        <v>10</v>
      </c>
      <c r="K29" s="12">
        <v>4</v>
      </c>
      <c r="L29" s="25">
        <f t="shared" si="1"/>
        <v>4.666666666666667</v>
      </c>
      <c r="P29" s="18"/>
    </row>
    <row r="30" spans="1:22" ht="14.25" customHeight="1" x14ac:dyDescent="0.3">
      <c r="A30" s="3">
        <v>1.0416402811862899</v>
      </c>
      <c r="B30" s="3" t="s">
        <v>218</v>
      </c>
      <c r="C30" s="3">
        <v>3</v>
      </c>
      <c r="D30" s="3">
        <v>3</v>
      </c>
      <c r="E30" s="3">
        <v>0</v>
      </c>
      <c r="F30" s="3">
        <v>0</v>
      </c>
      <c r="G30" s="3">
        <v>6</v>
      </c>
      <c r="H30" s="3">
        <v>8</v>
      </c>
      <c r="I30" s="12">
        <v>2</v>
      </c>
      <c r="J30" s="12">
        <v>2</v>
      </c>
      <c r="K30" s="12">
        <v>0</v>
      </c>
      <c r="L30" s="25">
        <f t="shared" si="1"/>
        <v>2.6666666666666665</v>
      </c>
      <c r="P30" s="18"/>
    </row>
    <row r="31" spans="1:22" ht="14.25" customHeight="1" x14ac:dyDescent="0.3">
      <c r="A31" s="3">
        <v>0.99583449612816577</v>
      </c>
      <c r="B31" s="3" t="s">
        <v>220</v>
      </c>
      <c r="C31" s="3">
        <v>13</v>
      </c>
      <c r="D31" s="3">
        <v>8</v>
      </c>
      <c r="E31" s="3">
        <v>6</v>
      </c>
      <c r="F31" s="3">
        <v>19</v>
      </c>
      <c r="G31" s="3">
        <v>0</v>
      </c>
      <c r="H31" s="3">
        <v>7</v>
      </c>
      <c r="I31" s="12">
        <v>13</v>
      </c>
      <c r="J31" s="12">
        <v>4</v>
      </c>
      <c r="K31" s="12">
        <v>23</v>
      </c>
      <c r="L31" s="25">
        <f t="shared" si="1"/>
        <v>10.333333333333334</v>
      </c>
      <c r="P31" s="18"/>
    </row>
    <row r="32" spans="1:22" ht="14.25" customHeight="1" x14ac:dyDescent="0.3">
      <c r="A32" s="3">
        <v>0.9957863323050703</v>
      </c>
      <c r="B32" s="3" t="s">
        <v>223</v>
      </c>
      <c r="C32" s="3">
        <v>3</v>
      </c>
      <c r="D32" s="3">
        <v>11</v>
      </c>
      <c r="E32" s="3">
        <v>5</v>
      </c>
      <c r="F32" s="3">
        <v>4</v>
      </c>
      <c r="G32" s="3">
        <v>6</v>
      </c>
      <c r="H32" s="3">
        <v>4</v>
      </c>
      <c r="I32" s="12">
        <v>9</v>
      </c>
      <c r="J32" s="12">
        <v>9</v>
      </c>
      <c r="K32" s="12">
        <v>3</v>
      </c>
      <c r="L32" s="25">
        <f t="shared" si="1"/>
        <v>6</v>
      </c>
      <c r="P32" s="18"/>
    </row>
    <row r="33" spans="1:16" ht="14.25" customHeight="1" x14ac:dyDescent="0.3">
      <c r="A33" s="3">
        <v>0.98995442105744402</v>
      </c>
      <c r="B33" s="3" t="s">
        <v>224</v>
      </c>
      <c r="C33" s="3">
        <v>4</v>
      </c>
      <c r="D33" s="3">
        <v>1</v>
      </c>
      <c r="E33" s="3">
        <v>1</v>
      </c>
      <c r="F33" s="3">
        <v>0</v>
      </c>
      <c r="G33" s="3">
        <v>1</v>
      </c>
      <c r="H33" s="3">
        <v>1</v>
      </c>
      <c r="I33" s="12">
        <v>2</v>
      </c>
      <c r="J33" s="12">
        <v>3</v>
      </c>
      <c r="K33" s="12">
        <v>1</v>
      </c>
      <c r="L33" s="25">
        <f t="shared" si="1"/>
        <v>1.5555555555555556</v>
      </c>
      <c r="P33" s="18"/>
    </row>
    <row r="34" spans="1:16" ht="14.25" customHeight="1" x14ac:dyDescent="0.3">
      <c r="A34" s="3">
        <v>0.8928339600558084</v>
      </c>
      <c r="B34" s="3" t="s">
        <v>225</v>
      </c>
      <c r="C34" s="3">
        <v>6</v>
      </c>
      <c r="D34" s="3">
        <v>6</v>
      </c>
      <c r="E34" s="3">
        <v>3</v>
      </c>
      <c r="F34" s="3">
        <v>5</v>
      </c>
      <c r="G34" s="3">
        <v>8</v>
      </c>
      <c r="H34" s="3">
        <v>5</v>
      </c>
      <c r="I34" s="12">
        <v>0</v>
      </c>
      <c r="J34" s="12">
        <v>4</v>
      </c>
      <c r="K34" s="12">
        <v>8</v>
      </c>
      <c r="L34" s="25">
        <f t="shared" si="1"/>
        <v>5</v>
      </c>
      <c r="P34" s="18"/>
    </row>
    <row r="35" spans="1:16" ht="14.25" customHeight="1" x14ac:dyDescent="0.3">
      <c r="A35" s="3">
        <v>0.88597893866063815</v>
      </c>
      <c r="B35" s="3" t="s">
        <v>227</v>
      </c>
      <c r="C35" s="3">
        <v>10</v>
      </c>
      <c r="D35" s="3">
        <v>3</v>
      </c>
      <c r="E35" s="3">
        <v>2</v>
      </c>
      <c r="F35" s="3">
        <v>1</v>
      </c>
      <c r="G35" s="3">
        <v>0</v>
      </c>
      <c r="H35" s="3">
        <v>2</v>
      </c>
      <c r="I35" s="12">
        <v>3</v>
      </c>
      <c r="J35" s="12">
        <v>1</v>
      </c>
      <c r="K35" s="12">
        <v>9</v>
      </c>
      <c r="L35" s="25">
        <f t="shared" si="1"/>
        <v>3.4444444444444446</v>
      </c>
      <c r="P35" s="18"/>
    </row>
    <row r="36" spans="1:16" ht="14.25" customHeight="1" x14ac:dyDescent="0.3">
      <c r="A36" s="3">
        <v>-1.0923718971587979</v>
      </c>
      <c r="B36" s="3" t="s">
        <v>229</v>
      </c>
      <c r="C36" s="3">
        <v>13</v>
      </c>
      <c r="D36" s="3">
        <v>12</v>
      </c>
      <c r="E36" s="3">
        <v>14</v>
      </c>
      <c r="F36" s="3">
        <v>4</v>
      </c>
      <c r="G36" s="3">
        <v>4</v>
      </c>
      <c r="H36" s="3">
        <v>7</v>
      </c>
      <c r="I36" s="12">
        <v>9</v>
      </c>
      <c r="J36" s="12">
        <v>10</v>
      </c>
      <c r="K36" s="12">
        <v>8</v>
      </c>
      <c r="L36" s="25">
        <f t="shared" si="1"/>
        <v>9</v>
      </c>
      <c r="P36" s="18"/>
    </row>
    <row r="37" spans="1:16" ht="14.25" customHeight="1" x14ac:dyDescent="0.3">
      <c r="A37" s="3">
        <v>-1.1154133211974251</v>
      </c>
      <c r="B37" s="3" t="s">
        <v>232</v>
      </c>
      <c r="C37" s="3">
        <v>19</v>
      </c>
      <c r="D37" s="3">
        <v>17</v>
      </c>
      <c r="E37" s="3">
        <v>16</v>
      </c>
      <c r="F37" s="3">
        <v>13</v>
      </c>
      <c r="G37" s="3">
        <v>17</v>
      </c>
      <c r="H37" s="3">
        <v>1</v>
      </c>
      <c r="I37" s="12">
        <v>14</v>
      </c>
      <c r="J37" s="12">
        <v>14</v>
      </c>
      <c r="K37" s="12">
        <v>7</v>
      </c>
      <c r="L37" s="25">
        <f t="shared" si="1"/>
        <v>13.111111111111111</v>
      </c>
      <c r="P37" s="18"/>
    </row>
    <row r="38" spans="1:16" ht="14.25" customHeight="1" x14ac:dyDescent="0.3">
      <c r="A38" s="3">
        <v>-1.12017317951397</v>
      </c>
      <c r="B38" s="3" t="s">
        <v>234</v>
      </c>
      <c r="C38" s="3">
        <v>4</v>
      </c>
      <c r="D38" s="3">
        <v>8</v>
      </c>
      <c r="E38" s="3">
        <v>14</v>
      </c>
      <c r="F38" s="3">
        <v>11</v>
      </c>
      <c r="G38" s="3">
        <v>7</v>
      </c>
      <c r="H38" s="3">
        <v>5</v>
      </c>
      <c r="I38" s="12">
        <v>14</v>
      </c>
      <c r="J38" s="12">
        <v>10</v>
      </c>
      <c r="K38" s="12">
        <v>9</v>
      </c>
      <c r="L38" s="25">
        <f t="shared" si="1"/>
        <v>9.1111111111111107</v>
      </c>
      <c r="P38" s="18"/>
    </row>
    <row r="39" spans="1:16" ht="14.25" customHeight="1" x14ac:dyDescent="0.3">
      <c r="A39" s="3">
        <v>-1.1339562965442611</v>
      </c>
      <c r="B39" s="3" t="s">
        <v>236</v>
      </c>
      <c r="C39" s="3">
        <v>15</v>
      </c>
      <c r="D39" s="3">
        <v>15</v>
      </c>
      <c r="E39" s="3">
        <v>9</v>
      </c>
      <c r="F39" s="3">
        <v>5</v>
      </c>
      <c r="G39" s="3">
        <v>7</v>
      </c>
      <c r="H39" s="3">
        <v>14</v>
      </c>
      <c r="I39" s="12">
        <v>3</v>
      </c>
      <c r="J39" s="12">
        <v>8</v>
      </c>
      <c r="K39" s="12">
        <v>9</v>
      </c>
      <c r="L39" s="25">
        <f t="shared" si="1"/>
        <v>9.4444444444444446</v>
      </c>
      <c r="P39" s="18"/>
    </row>
    <row r="40" spans="1:16" ht="14.25" customHeight="1" x14ac:dyDescent="0.3">
      <c r="A40" s="3">
        <v>-1.1428327832816429</v>
      </c>
      <c r="B40" s="3" t="s">
        <v>238</v>
      </c>
      <c r="C40" s="3">
        <v>3</v>
      </c>
      <c r="D40" s="3">
        <v>4</v>
      </c>
      <c r="E40" s="3">
        <v>4</v>
      </c>
      <c r="F40" s="3">
        <v>1</v>
      </c>
      <c r="G40" s="3">
        <v>4</v>
      </c>
      <c r="H40" s="3">
        <v>4</v>
      </c>
      <c r="I40" s="12">
        <v>2</v>
      </c>
      <c r="J40" s="12">
        <v>1</v>
      </c>
      <c r="K40" s="12">
        <v>5</v>
      </c>
      <c r="L40" s="25">
        <f t="shared" si="1"/>
        <v>3.1111111111111112</v>
      </c>
      <c r="P40" s="18"/>
    </row>
    <row r="41" spans="1:16" ht="14.25" customHeight="1" x14ac:dyDescent="0.3">
      <c r="A41" s="3">
        <v>-1.1920893573654381</v>
      </c>
      <c r="B41" s="3" t="s">
        <v>239</v>
      </c>
      <c r="C41" s="3">
        <v>14</v>
      </c>
      <c r="D41" s="3">
        <v>9</v>
      </c>
      <c r="E41" s="3">
        <v>6</v>
      </c>
      <c r="F41" s="3">
        <v>15</v>
      </c>
      <c r="G41" s="3">
        <v>12</v>
      </c>
      <c r="H41" s="3">
        <v>6</v>
      </c>
      <c r="I41" s="12">
        <v>6</v>
      </c>
      <c r="J41" s="12">
        <v>14</v>
      </c>
      <c r="K41" s="12">
        <v>8</v>
      </c>
      <c r="L41" s="25">
        <f t="shared" si="1"/>
        <v>10</v>
      </c>
      <c r="P41" s="18"/>
    </row>
    <row r="42" spans="1:16" ht="14.25" customHeight="1" x14ac:dyDescent="0.3">
      <c r="A42" s="3">
        <v>-1.196962071035268</v>
      </c>
      <c r="B42" s="3" t="s">
        <v>240</v>
      </c>
      <c r="C42" s="3">
        <v>1</v>
      </c>
      <c r="D42" s="3">
        <v>6</v>
      </c>
      <c r="E42" s="3">
        <v>18</v>
      </c>
      <c r="F42" s="3">
        <v>16</v>
      </c>
      <c r="G42" s="3">
        <v>11</v>
      </c>
      <c r="H42" s="3">
        <v>16</v>
      </c>
      <c r="I42" s="12">
        <v>18</v>
      </c>
      <c r="J42" s="12">
        <v>2</v>
      </c>
      <c r="K42" s="12">
        <v>7</v>
      </c>
      <c r="L42" s="25">
        <f t="shared" si="1"/>
        <v>10.555555555555555</v>
      </c>
      <c r="P42" s="18"/>
    </row>
    <row r="43" spans="1:16" ht="14.25" customHeight="1" x14ac:dyDescent="0.3">
      <c r="A43" s="3">
        <v>-1.2097705883740471</v>
      </c>
      <c r="B43" s="3" t="s">
        <v>241</v>
      </c>
      <c r="C43" s="3">
        <v>4</v>
      </c>
      <c r="D43" s="3">
        <v>4</v>
      </c>
      <c r="E43" s="3">
        <v>14</v>
      </c>
      <c r="F43" s="3">
        <v>10</v>
      </c>
      <c r="G43" s="3">
        <v>12</v>
      </c>
      <c r="H43" s="3">
        <v>8</v>
      </c>
      <c r="I43" s="12">
        <v>14</v>
      </c>
      <c r="J43" s="12">
        <v>9</v>
      </c>
      <c r="K43" s="12">
        <v>3</v>
      </c>
      <c r="L43" s="25">
        <f t="shared" si="1"/>
        <v>8.6666666666666661</v>
      </c>
      <c r="P43" s="18"/>
    </row>
    <row r="44" spans="1:16" ht="14.25" customHeight="1" x14ac:dyDescent="0.3">
      <c r="A44" s="3">
        <v>-1.3367165560614409</v>
      </c>
      <c r="B44" s="3" t="s">
        <v>242</v>
      </c>
      <c r="C44" s="3">
        <v>12</v>
      </c>
      <c r="D44" s="3">
        <v>17</v>
      </c>
      <c r="E44" s="3">
        <v>16</v>
      </c>
      <c r="F44" s="3">
        <v>4</v>
      </c>
      <c r="G44" s="3">
        <v>14</v>
      </c>
      <c r="H44" s="3">
        <v>16</v>
      </c>
      <c r="I44" s="12">
        <v>14</v>
      </c>
      <c r="J44" s="12">
        <v>17</v>
      </c>
      <c r="K44" s="12">
        <v>12</v>
      </c>
      <c r="L44" s="25">
        <f t="shared" si="1"/>
        <v>13.555555555555555</v>
      </c>
      <c r="P44" s="18"/>
    </row>
    <row r="45" spans="1:16" ht="14.25" customHeight="1" x14ac:dyDescent="0.3">
      <c r="A45" s="3">
        <v>-1.679865001322572</v>
      </c>
      <c r="B45" s="3" t="s">
        <v>243</v>
      </c>
      <c r="C45" s="3">
        <v>24</v>
      </c>
      <c r="D45" s="3">
        <v>25</v>
      </c>
      <c r="E45" s="3">
        <v>27</v>
      </c>
      <c r="F45" s="3">
        <v>23</v>
      </c>
      <c r="G45" s="3">
        <v>23</v>
      </c>
      <c r="H45" s="3">
        <v>26</v>
      </c>
      <c r="I45" s="12">
        <v>26</v>
      </c>
      <c r="J45" s="12">
        <v>19</v>
      </c>
      <c r="K45" s="12">
        <v>22</v>
      </c>
      <c r="L45" s="25">
        <f t="shared" si="1"/>
        <v>23.888888888888889</v>
      </c>
    </row>
    <row r="46" spans="1:16" ht="14.25" customHeight="1" x14ac:dyDescent="0.3">
      <c r="I46" s="12"/>
      <c r="L46" s="18"/>
    </row>
    <row r="47" spans="1:16" ht="14.25" customHeight="1" x14ac:dyDescent="0.3">
      <c r="L47" s="18"/>
    </row>
    <row r="48" spans="1:16" ht="14.25" customHeight="1" x14ac:dyDescent="0.3">
      <c r="B48" s="13" t="s">
        <v>331</v>
      </c>
      <c r="C48" s="13" t="s">
        <v>359</v>
      </c>
      <c r="L48" s="18"/>
    </row>
    <row r="49" spans="1:12" ht="14.25" customHeight="1" x14ac:dyDescent="0.3">
      <c r="B49" s="13" t="s">
        <v>201</v>
      </c>
      <c r="C49" s="35">
        <v>45939</v>
      </c>
      <c r="D49" s="35">
        <v>45946</v>
      </c>
      <c r="E49" s="35">
        <v>45953</v>
      </c>
      <c r="F49" s="35">
        <v>45960</v>
      </c>
      <c r="G49" s="35">
        <v>45967</v>
      </c>
      <c r="H49" s="35">
        <v>45974</v>
      </c>
      <c r="I49" s="35">
        <v>45981</v>
      </c>
      <c r="J49" s="35">
        <v>45988</v>
      </c>
      <c r="K49" s="35">
        <v>45995</v>
      </c>
      <c r="L49" s="25" t="s">
        <v>211</v>
      </c>
    </row>
    <row r="50" spans="1:12" ht="14.25" customHeight="1" x14ac:dyDescent="0.3">
      <c r="A50" s="3">
        <v>1.247177188019948</v>
      </c>
      <c r="B50" s="3" t="s">
        <v>213</v>
      </c>
      <c r="C50" s="3">
        <v>3</v>
      </c>
      <c r="D50" s="3">
        <v>4</v>
      </c>
      <c r="E50" s="3">
        <v>3</v>
      </c>
      <c r="F50" s="3">
        <v>0</v>
      </c>
      <c r="G50" s="3">
        <v>1</v>
      </c>
      <c r="H50" s="3">
        <v>4</v>
      </c>
      <c r="I50" s="12">
        <v>1</v>
      </c>
      <c r="J50" s="12">
        <v>3</v>
      </c>
      <c r="K50" s="12">
        <v>14</v>
      </c>
      <c r="L50" s="25">
        <f t="shared" ref="L50:L69" si="2">AVERAGE(C50:K50)</f>
        <v>3.6666666666666665</v>
      </c>
    </row>
    <row r="51" spans="1:12" ht="14.25" customHeight="1" x14ac:dyDescent="0.3">
      <c r="A51" s="3">
        <v>1.1425292918330761</v>
      </c>
      <c r="B51" s="3" t="s">
        <v>215</v>
      </c>
      <c r="C51" s="3">
        <v>3</v>
      </c>
      <c r="D51" s="3">
        <v>9</v>
      </c>
      <c r="E51" s="3">
        <v>0</v>
      </c>
      <c r="F51" s="3">
        <v>6</v>
      </c>
      <c r="G51" s="3">
        <v>2</v>
      </c>
      <c r="H51" s="3">
        <v>10</v>
      </c>
      <c r="I51" s="12">
        <v>8</v>
      </c>
      <c r="J51" s="12">
        <v>2</v>
      </c>
      <c r="K51" s="12">
        <v>2</v>
      </c>
      <c r="L51" s="25">
        <f t="shared" si="2"/>
        <v>4.666666666666667</v>
      </c>
    </row>
    <row r="52" spans="1:12" ht="14.25" customHeight="1" x14ac:dyDescent="0.3">
      <c r="A52" s="3">
        <v>1.123713972805261</v>
      </c>
      <c r="B52" s="3" t="s">
        <v>216</v>
      </c>
      <c r="C52" s="3">
        <v>3</v>
      </c>
      <c r="D52" s="3">
        <v>2</v>
      </c>
      <c r="E52" s="3">
        <v>7</v>
      </c>
      <c r="F52" s="3">
        <v>4</v>
      </c>
      <c r="G52" s="3">
        <v>4</v>
      </c>
      <c r="H52" s="3">
        <v>6</v>
      </c>
      <c r="I52" s="12">
        <v>5</v>
      </c>
      <c r="J52" s="12">
        <v>1</v>
      </c>
      <c r="K52" s="12">
        <v>2</v>
      </c>
      <c r="L52" s="25">
        <f t="shared" si="2"/>
        <v>3.7777777777777777</v>
      </c>
    </row>
    <row r="53" spans="1:12" ht="14.25" customHeight="1" x14ac:dyDescent="0.3">
      <c r="A53" s="3">
        <v>1.1139196755889551</v>
      </c>
      <c r="B53" s="3" t="s">
        <v>217</v>
      </c>
      <c r="C53" s="3">
        <v>10</v>
      </c>
      <c r="D53" s="3">
        <v>4</v>
      </c>
      <c r="E53" s="3">
        <v>9</v>
      </c>
      <c r="F53" s="3">
        <v>5</v>
      </c>
      <c r="G53" s="3">
        <v>1</v>
      </c>
      <c r="H53" s="3">
        <v>7</v>
      </c>
      <c r="I53" s="12">
        <v>5</v>
      </c>
      <c r="J53" s="12">
        <v>6</v>
      </c>
      <c r="K53" s="12">
        <v>5</v>
      </c>
      <c r="L53" s="25">
        <f t="shared" si="2"/>
        <v>5.7777777777777777</v>
      </c>
    </row>
    <row r="54" spans="1:12" ht="14.25" customHeight="1" x14ac:dyDescent="0.3">
      <c r="A54" s="3">
        <v>1.0416402811862899</v>
      </c>
      <c r="B54" s="3" t="s">
        <v>218</v>
      </c>
      <c r="C54" s="3">
        <v>1</v>
      </c>
      <c r="D54" s="3">
        <v>6</v>
      </c>
      <c r="E54" s="3">
        <v>0</v>
      </c>
      <c r="F54" s="3">
        <v>1</v>
      </c>
      <c r="G54" s="3">
        <v>0</v>
      </c>
      <c r="H54" s="3">
        <v>1</v>
      </c>
      <c r="I54" s="12">
        <v>0</v>
      </c>
      <c r="J54" s="12">
        <v>3</v>
      </c>
      <c r="K54" s="12">
        <v>1</v>
      </c>
      <c r="L54" s="25">
        <f t="shared" si="2"/>
        <v>1.4444444444444444</v>
      </c>
    </row>
    <row r="55" spans="1:12" ht="14.25" customHeight="1" x14ac:dyDescent="0.3">
      <c r="A55" s="3">
        <v>0.99583449612816577</v>
      </c>
      <c r="B55" s="3" t="s">
        <v>220</v>
      </c>
      <c r="C55" s="3">
        <v>3</v>
      </c>
      <c r="D55" s="3">
        <v>15</v>
      </c>
      <c r="E55" s="3">
        <v>2</v>
      </c>
      <c r="F55" s="3">
        <v>2</v>
      </c>
      <c r="G55" s="3">
        <v>0</v>
      </c>
      <c r="H55" s="3">
        <v>2</v>
      </c>
      <c r="I55" s="12">
        <v>8</v>
      </c>
      <c r="J55" s="12">
        <v>12</v>
      </c>
      <c r="K55" s="12">
        <v>7</v>
      </c>
      <c r="L55" s="25">
        <f t="shared" si="2"/>
        <v>5.666666666666667</v>
      </c>
    </row>
    <row r="56" spans="1:12" ht="14.25" customHeight="1" x14ac:dyDescent="0.3">
      <c r="A56" s="3">
        <v>0.9957863323050703</v>
      </c>
      <c r="B56" s="3" t="s">
        <v>223</v>
      </c>
      <c r="C56" s="3">
        <v>11</v>
      </c>
      <c r="D56" s="3">
        <v>14</v>
      </c>
      <c r="E56" s="3">
        <v>12</v>
      </c>
      <c r="F56" s="3">
        <v>7</v>
      </c>
      <c r="G56" s="3">
        <v>7</v>
      </c>
      <c r="H56" s="3">
        <v>3</v>
      </c>
      <c r="I56" s="12">
        <v>8</v>
      </c>
      <c r="J56" s="12">
        <v>9</v>
      </c>
      <c r="K56" s="12">
        <v>10</v>
      </c>
      <c r="L56" s="25">
        <f t="shared" si="2"/>
        <v>9</v>
      </c>
    </row>
    <row r="57" spans="1:12" ht="14.25" customHeight="1" x14ac:dyDescent="0.3">
      <c r="A57" s="3">
        <v>0.98995442105744402</v>
      </c>
      <c r="B57" s="3" t="s">
        <v>224</v>
      </c>
      <c r="C57" s="3">
        <v>0</v>
      </c>
      <c r="D57" s="3">
        <v>0</v>
      </c>
      <c r="E57" s="3">
        <v>0</v>
      </c>
      <c r="F57" s="3">
        <v>0</v>
      </c>
      <c r="G57" s="3">
        <v>5</v>
      </c>
      <c r="H57" s="3">
        <v>0</v>
      </c>
      <c r="I57" s="12">
        <v>1</v>
      </c>
      <c r="J57" s="12">
        <v>2</v>
      </c>
      <c r="K57" s="12">
        <v>0</v>
      </c>
      <c r="L57" s="25">
        <f t="shared" si="2"/>
        <v>0.88888888888888884</v>
      </c>
    </row>
    <row r="58" spans="1:12" ht="14.25" customHeight="1" x14ac:dyDescent="0.3">
      <c r="A58" s="3">
        <v>0.8928339600558084</v>
      </c>
      <c r="B58" s="3" t="s">
        <v>225</v>
      </c>
      <c r="C58" s="3">
        <v>5</v>
      </c>
      <c r="D58" s="3">
        <v>0</v>
      </c>
      <c r="E58" s="3">
        <v>2</v>
      </c>
      <c r="F58" s="3">
        <v>4</v>
      </c>
      <c r="G58" s="3">
        <v>12</v>
      </c>
      <c r="H58" s="3">
        <v>0</v>
      </c>
      <c r="I58" s="12">
        <v>9</v>
      </c>
      <c r="J58" s="12">
        <v>6</v>
      </c>
      <c r="K58" s="12">
        <v>3</v>
      </c>
      <c r="L58" s="25">
        <f t="shared" si="2"/>
        <v>4.5555555555555554</v>
      </c>
    </row>
    <row r="59" spans="1:12" ht="14.25" customHeight="1" x14ac:dyDescent="0.3">
      <c r="A59" s="3">
        <v>0.88597893866063815</v>
      </c>
      <c r="B59" s="3" t="s">
        <v>227</v>
      </c>
      <c r="C59" s="3">
        <v>6</v>
      </c>
      <c r="D59" s="3">
        <v>0</v>
      </c>
      <c r="E59" s="3">
        <v>3</v>
      </c>
      <c r="F59" s="3">
        <v>5</v>
      </c>
      <c r="G59" s="3">
        <v>7</v>
      </c>
      <c r="H59" s="3">
        <v>11</v>
      </c>
      <c r="I59" s="12">
        <v>0</v>
      </c>
      <c r="J59" s="12">
        <v>4</v>
      </c>
      <c r="K59" s="12">
        <v>5</v>
      </c>
      <c r="L59" s="25">
        <f t="shared" si="2"/>
        <v>4.5555555555555554</v>
      </c>
    </row>
    <row r="60" spans="1:12" ht="14.25" customHeight="1" x14ac:dyDescent="0.3">
      <c r="A60" s="3">
        <v>-1.0923718971587979</v>
      </c>
      <c r="B60" s="3" t="s">
        <v>229</v>
      </c>
      <c r="C60" s="3">
        <v>9</v>
      </c>
      <c r="D60" s="3">
        <v>13</v>
      </c>
      <c r="E60" s="3">
        <v>10</v>
      </c>
      <c r="F60" s="3">
        <v>13</v>
      </c>
      <c r="G60" s="3">
        <v>14</v>
      </c>
      <c r="H60" s="3">
        <v>7</v>
      </c>
      <c r="I60" s="12">
        <v>8</v>
      </c>
      <c r="J60" s="12">
        <v>4</v>
      </c>
      <c r="K60" s="12">
        <v>7</v>
      </c>
      <c r="L60" s="25">
        <f t="shared" si="2"/>
        <v>9.4444444444444446</v>
      </c>
    </row>
    <row r="61" spans="1:12" ht="14.25" customHeight="1" x14ac:dyDescent="0.3">
      <c r="A61" s="3">
        <v>-1.1154133211974251</v>
      </c>
      <c r="B61" s="3" t="s">
        <v>232</v>
      </c>
      <c r="C61" s="3">
        <v>15</v>
      </c>
      <c r="D61" s="3">
        <v>15</v>
      </c>
      <c r="E61" s="3">
        <v>10</v>
      </c>
      <c r="F61" s="3">
        <v>16</v>
      </c>
      <c r="G61" s="3">
        <v>13</v>
      </c>
      <c r="H61" s="3">
        <v>12</v>
      </c>
      <c r="I61" s="12">
        <v>12</v>
      </c>
      <c r="J61" s="12">
        <v>7</v>
      </c>
      <c r="K61" s="12">
        <v>18</v>
      </c>
      <c r="L61" s="25">
        <f t="shared" si="2"/>
        <v>13.111111111111111</v>
      </c>
    </row>
    <row r="62" spans="1:12" ht="14.25" customHeight="1" x14ac:dyDescent="0.3">
      <c r="A62" s="3">
        <v>-1.12017317951397</v>
      </c>
      <c r="B62" s="3" t="s">
        <v>234</v>
      </c>
      <c r="C62" s="3">
        <v>2</v>
      </c>
      <c r="D62" s="3">
        <v>8</v>
      </c>
      <c r="E62" s="3">
        <v>5</v>
      </c>
      <c r="F62" s="3">
        <v>5</v>
      </c>
      <c r="G62" s="3">
        <v>13</v>
      </c>
      <c r="H62" s="3">
        <v>5</v>
      </c>
      <c r="I62" s="12">
        <v>10</v>
      </c>
      <c r="J62" s="12">
        <v>6</v>
      </c>
      <c r="K62" s="12">
        <v>9</v>
      </c>
      <c r="L62" s="25">
        <f t="shared" si="2"/>
        <v>7</v>
      </c>
    </row>
    <row r="63" spans="1:12" ht="14.25" customHeight="1" x14ac:dyDescent="0.3">
      <c r="A63" s="3">
        <v>-1.1339562965442611</v>
      </c>
      <c r="B63" s="3" t="s">
        <v>236</v>
      </c>
      <c r="C63" s="3">
        <v>8</v>
      </c>
      <c r="D63" s="3">
        <v>6</v>
      </c>
      <c r="E63" s="3">
        <v>9</v>
      </c>
      <c r="F63" s="3">
        <v>10</v>
      </c>
      <c r="G63" s="3">
        <v>12</v>
      </c>
      <c r="H63" s="3">
        <v>1</v>
      </c>
      <c r="I63" s="12">
        <v>4</v>
      </c>
      <c r="J63" s="12">
        <v>7</v>
      </c>
      <c r="K63" s="12">
        <v>1</v>
      </c>
      <c r="L63" s="25">
        <f t="shared" si="2"/>
        <v>6.4444444444444446</v>
      </c>
    </row>
    <row r="64" spans="1:12" ht="14.25" customHeight="1" x14ac:dyDescent="0.3">
      <c r="A64" s="3">
        <v>-1.1428327832816429</v>
      </c>
      <c r="B64" s="3" t="s">
        <v>238</v>
      </c>
      <c r="C64" s="3">
        <v>3</v>
      </c>
      <c r="D64" s="3">
        <v>4</v>
      </c>
      <c r="E64" s="3">
        <v>4</v>
      </c>
      <c r="F64" s="3">
        <v>4</v>
      </c>
      <c r="G64" s="3">
        <v>4</v>
      </c>
      <c r="H64" s="3">
        <v>2</v>
      </c>
      <c r="I64" s="12">
        <v>1</v>
      </c>
      <c r="J64" s="12">
        <v>0</v>
      </c>
      <c r="K64" s="12">
        <v>5</v>
      </c>
      <c r="L64" s="25">
        <f t="shared" si="2"/>
        <v>3</v>
      </c>
    </row>
    <row r="65" spans="1:12" ht="14.25" customHeight="1" x14ac:dyDescent="0.3">
      <c r="A65" s="3">
        <v>-1.1920893573654381</v>
      </c>
      <c r="B65" s="3" t="s">
        <v>239</v>
      </c>
      <c r="C65" s="3">
        <v>13</v>
      </c>
      <c r="D65" s="3">
        <v>7</v>
      </c>
      <c r="E65" s="3">
        <v>13</v>
      </c>
      <c r="F65" s="3">
        <v>9</v>
      </c>
      <c r="G65" s="3">
        <v>12</v>
      </c>
      <c r="H65" s="3">
        <v>14</v>
      </c>
      <c r="I65" s="12">
        <v>8</v>
      </c>
      <c r="J65" s="12">
        <v>10</v>
      </c>
      <c r="K65" s="12">
        <v>6</v>
      </c>
      <c r="L65" s="25">
        <f t="shared" si="2"/>
        <v>10.222222222222221</v>
      </c>
    </row>
    <row r="66" spans="1:12" ht="14.25" customHeight="1" x14ac:dyDescent="0.3">
      <c r="A66" s="3">
        <v>-1.196962071035268</v>
      </c>
      <c r="B66" s="3" t="s">
        <v>240</v>
      </c>
      <c r="C66" s="3">
        <v>5</v>
      </c>
      <c r="D66" s="3">
        <v>14</v>
      </c>
      <c r="E66" s="3">
        <v>7</v>
      </c>
      <c r="F66" s="3">
        <v>18</v>
      </c>
      <c r="G66" s="3">
        <v>4</v>
      </c>
      <c r="H66" s="3">
        <v>15</v>
      </c>
      <c r="I66" s="12">
        <v>17</v>
      </c>
      <c r="J66" s="12">
        <v>12</v>
      </c>
      <c r="K66" s="12">
        <v>8</v>
      </c>
      <c r="L66" s="25">
        <f t="shared" si="2"/>
        <v>11.111111111111111</v>
      </c>
    </row>
    <row r="67" spans="1:12" ht="14.25" customHeight="1" x14ac:dyDescent="0.3">
      <c r="A67" s="3">
        <v>-1.2097705883740471</v>
      </c>
      <c r="B67" s="3" t="s">
        <v>241</v>
      </c>
      <c r="C67" s="3">
        <v>7</v>
      </c>
      <c r="D67" s="3">
        <v>6</v>
      </c>
      <c r="E67" s="3">
        <v>6</v>
      </c>
      <c r="F67" s="3">
        <v>5</v>
      </c>
      <c r="G67" s="3">
        <v>9</v>
      </c>
      <c r="H67" s="3">
        <v>4</v>
      </c>
      <c r="I67" s="12">
        <v>14</v>
      </c>
      <c r="J67" s="12">
        <v>4</v>
      </c>
      <c r="K67" s="12">
        <v>11</v>
      </c>
      <c r="L67" s="25">
        <f t="shared" si="2"/>
        <v>7.333333333333333</v>
      </c>
    </row>
    <row r="68" spans="1:12" ht="14.25" customHeight="1" x14ac:dyDescent="0.3">
      <c r="A68" s="3">
        <v>-1.3367165560614409</v>
      </c>
      <c r="B68" s="3" t="s">
        <v>242</v>
      </c>
      <c r="C68" s="3">
        <v>16</v>
      </c>
      <c r="D68" s="3">
        <v>12</v>
      </c>
      <c r="E68" s="3">
        <v>16</v>
      </c>
      <c r="F68" s="3">
        <v>13</v>
      </c>
      <c r="G68" s="3">
        <v>16</v>
      </c>
      <c r="H68" s="3">
        <v>9</v>
      </c>
      <c r="I68" s="12">
        <v>6</v>
      </c>
      <c r="J68" s="12">
        <v>9</v>
      </c>
      <c r="K68" s="12">
        <v>3</v>
      </c>
      <c r="L68" s="25">
        <f t="shared" si="2"/>
        <v>11.111111111111111</v>
      </c>
    </row>
    <row r="69" spans="1:12" ht="14.25" customHeight="1" x14ac:dyDescent="0.3">
      <c r="A69" s="3">
        <v>-1.679865001322572</v>
      </c>
      <c r="B69" s="3" t="s">
        <v>243</v>
      </c>
      <c r="C69" s="3">
        <v>19</v>
      </c>
      <c r="D69" s="3">
        <v>24</v>
      </c>
      <c r="E69" s="3">
        <v>23</v>
      </c>
      <c r="F69" s="3">
        <v>25</v>
      </c>
      <c r="G69" s="3">
        <v>25</v>
      </c>
      <c r="H69" s="3">
        <v>27</v>
      </c>
      <c r="I69" s="12">
        <v>27</v>
      </c>
      <c r="J69" s="12">
        <v>26</v>
      </c>
      <c r="K69" s="12">
        <v>21</v>
      </c>
      <c r="L69" s="25">
        <f t="shared" si="2"/>
        <v>24.111111111111111</v>
      </c>
    </row>
    <row r="70" spans="1:12" ht="14.25" customHeight="1" x14ac:dyDescent="0.3">
      <c r="L70" s="18"/>
    </row>
    <row r="71" spans="1:12" ht="14.25" customHeight="1" x14ac:dyDescent="0.3">
      <c r="L71" s="18"/>
    </row>
    <row r="72" spans="1:12" ht="14.25" customHeight="1" x14ac:dyDescent="0.3">
      <c r="B72" s="13" t="s">
        <v>331</v>
      </c>
      <c r="C72" s="13" t="s">
        <v>360</v>
      </c>
      <c r="L72" s="18"/>
    </row>
    <row r="73" spans="1:12" ht="14.25" customHeight="1" x14ac:dyDescent="0.3">
      <c r="B73" s="13" t="s">
        <v>201</v>
      </c>
      <c r="C73" s="35">
        <v>45940</v>
      </c>
      <c r="D73" s="35">
        <v>45947</v>
      </c>
      <c r="E73" s="35">
        <v>45954</v>
      </c>
      <c r="F73" s="35">
        <v>45961</v>
      </c>
      <c r="G73" s="35">
        <v>45968</v>
      </c>
      <c r="H73" s="35">
        <v>45975</v>
      </c>
      <c r="I73" s="35">
        <v>45982</v>
      </c>
      <c r="J73" s="35">
        <v>45989</v>
      </c>
      <c r="K73" s="35">
        <v>45996</v>
      </c>
      <c r="L73" s="25" t="s">
        <v>212</v>
      </c>
    </row>
    <row r="74" spans="1:12" ht="14.25" customHeight="1" x14ac:dyDescent="0.3">
      <c r="A74" s="3">
        <v>1.247177188019948</v>
      </c>
      <c r="B74" s="3" t="s">
        <v>213</v>
      </c>
      <c r="C74" s="3">
        <v>13</v>
      </c>
      <c r="D74" s="12">
        <v>1</v>
      </c>
      <c r="E74" s="3">
        <v>10</v>
      </c>
      <c r="F74" s="3">
        <v>7</v>
      </c>
      <c r="G74" s="3">
        <v>2</v>
      </c>
      <c r="H74" s="3">
        <v>4</v>
      </c>
      <c r="I74" s="12">
        <v>14</v>
      </c>
      <c r="J74" s="12">
        <v>6</v>
      </c>
      <c r="K74" s="12">
        <v>3</v>
      </c>
      <c r="L74" s="25">
        <f t="shared" ref="L74:L93" si="3">AVERAGE(C74:K74)</f>
        <v>6.666666666666667</v>
      </c>
    </row>
    <row r="75" spans="1:12" ht="14.25" customHeight="1" x14ac:dyDescent="0.3">
      <c r="A75" s="3">
        <v>1.1425292918330761</v>
      </c>
      <c r="B75" s="3" t="s">
        <v>215</v>
      </c>
      <c r="C75" s="3">
        <v>13</v>
      </c>
      <c r="D75" s="12">
        <v>4</v>
      </c>
      <c r="E75" s="3">
        <v>7</v>
      </c>
      <c r="F75" s="3">
        <v>1</v>
      </c>
      <c r="G75" s="3">
        <v>6</v>
      </c>
      <c r="H75" s="3">
        <v>8</v>
      </c>
      <c r="I75" s="12">
        <v>3</v>
      </c>
      <c r="J75" s="12">
        <v>5</v>
      </c>
      <c r="K75" s="12">
        <v>8</v>
      </c>
      <c r="L75" s="25">
        <f t="shared" si="3"/>
        <v>6.1111111111111107</v>
      </c>
    </row>
    <row r="76" spans="1:12" ht="14.25" customHeight="1" x14ac:dyDescent="0.3">
      <c r="A76" s="3">
        <v>1.123713972805261</v>
      </c>
      <c r="B76" s="3" t="s">
        <v>216</v>
      </c>
      <c r="C76" s="3">
        <v>10</v>
      </c>
      <c r="D76" s="12">
        <v>1</v>
      </c>
      <c r="E76" s="3">
        <v>8</v>
      </c>
      <c r="F76" s="3">
        <v>1</v>
      </c>
      <c r="G76" s="3">
        <v>6</v>
      </c>
      <c r="H76" s="3">
        <v>9</v>
      </c>
      <c r="I76" s="12">
        <v>6</v>
      </c>
      <c r="J76" s="12">
        <v>8</v>
      </c>
      <c r="K76" s="12">
        <v>5</v>
      </c>
      <c r="L76" s="25">
        <f t="shared" si="3"/>
        <v>6</v>
      </c>
    </row>
    <row r="77" spans="1:12" ht="14.25" customHeight="1" x14ac:dyDescent="0.3">
      <c r="A77" s="3">
        <v>1.1139196755889551</v>
      </c>
      <c r="B77" s="3" t="s">
        <v>217</v>
      </c>
      <c r="C77" s="3">
        <v>1</v>
      </c>
      <c r="D77" s="12">
        <v>5</v>
      </c>
      <c r="E77" s="3">
        <v>2</v>
      </c>
      <c r="F77" s="3">
        <v>2</v>
      </c>
      <c r="G77" s="3">
        <v>0</v>
      </c>
      <c r="H77" s="3">
        <v>2</v>
      </c>
      <c r="I77" s="12">
        <v>9</v>
      </c>
      <c r="J77" s="12">
        <v>5</v>
      </c>
      <c r="K77" s="12">
        <v>4</v>
      </c>
      <c r="L77" s="25">
        <f t="shared" si="3"/>
        <v>3.3333333333333335</v>
      </c>
    </row>
    <row r="78" spans="1:12" ht="14.25" customHeight="1" x14ac:dyDescent="0.3">
      <c r="A78" s="3">
        <v>1.0416402811862899</v>
      </c>
      <c r="B78" s="3" t="s">
        <v>218</v>
      </c>
      <c r="C78" s="3">
        <v>1</v>
      </c>
      <c r="D78" s="12">
        <v>7</v>
      </c>
      <c r="E78" s="3">
        <v>3</v>
      </c>
      <c r="F78" s="3">
        <v>5</v>
      </c>
      <c r="G78" s="3">
        <v>1</v>
      </c>
      <c r="H78" s="3">
        <v>2</v>
      </c>
      <c r="I78" s="12">
        <v>10</v>
      </c>
      <c r="J78" s="12">
        <v>5</v>
      </c>
      <c r="K78" s="12">
        <v>2</v>
      </c>
      <c r="L78" s="25">
        <f t="shared" si="3"/>
        <v>4</v>
      </c>
    </row>
    <row r="79" spans="1:12" ht="14.25" customHeight="1" x14ac:dyDescent="0.3">
      <c r="A79" s="3">
        <v>0.99583449612816577</v>
      </c>
      <c r="B79" s="3" t="s">
        <v>220</v>
      </c>
      <c r="C79" s="3">
        <v>8</v>
      </c>
      <c r="D79" s="12">
        <v>6</v>
      </c>
      <c r="E79" s="3">
        <v>11</v>
      </c>
      <c r="F79" s="3">
        <v>3</v>
      </c>
      <c r="G79" s="3">
        <v>0</v>
      </c>
      <c r="H79" s="3">
        <v>5</v>
      </c>
      <c r="I79" s="12">
        <v>8</v>
      </c>
      <c r="J79" s="12">
        <v>4</v>
      </c>
      <c r="K79" s="12">
        <v>2</v>
      </c>
      <c r="L79" s="25">
        <f t="shared" si="3"/>
        <v>5.2222222222222223</v>
      </c>
    </row>
    <row r="80" spans="1:12" ht="14.25" customHeight="1" x14ac:dyDescent="0.3">
      <c r="A80" s="3">
        <v>0.9957863323050703</v>
      </c>
      <c r="B80" s="3" t="s">
        <v>223</v>
      </c>
      <c r="C80" s="3">
        <v>3</v>
      </c>
      <c r="D80" s="12">
        <v>12</v>
      </c>
      <c r="E80" s="3">
        <v>7</v>
      </c>
      <c r="F80" s="3">
        <v>4</v>
      </c>
      <c r="G80" s="3">
        <v>5</v>
      </c>
      <c r="H80" s="3">
        <v>14</v>
      </c>
      <c r="I80" s="12">
        <v>8</v>
      </c>
      <c r="J80" s="12">
        <v>5</v>
      </c>
      <c r="K80" s="12">
        <v>13</v>
      </c>
      <c r="L80" s="25">
        <f t="shared" si="3"/>
        <v>7.8888888888888893</v>
      </c>
    </row>
    <row r="81" spans="1:12" ht="14.25" customHeight="1" x14ac:dyDescent="0.3">
      <c r="A81" s="3">
        <v>0.98995442105744402</v>
      </c>
      <c r="B81" s="3" t="s">
        <v>224</v>
      </c>
      <c r="C81" s="3">
        <v>1</v>
      </c>
      <c r="D81" s="12">
        <v>4</v>
      </c>
      <c r="E81" s="3">
        <v>5</v>
      </c>
      <c r="F81" s="3">
        <v>9</v>
      </c>
      <c r="G81" s="3">
        <v>1</v>
      </c>
      <c r="H81" s="3">
        <v>4</v>
      </c>
      <c r="I81" s="12">
        <v>0</v>
      </c>
      <c r="J81" s="12">
        <v>4</v>
      </c>
      <c r="K81" s="12">
        <v>0</v>
      </c>
      <c r="L81" s="25">
        <f t="shared" si="3"/>
        <v>3.1111111111111112</v>
      </c>
    </row>
    <row r="82" spans="1:12" ht="14.25" customHeight="1" x14ac:dyDescent="0.3">
      <c r="A82" s="3">
        <v>0.8928339600558084</v>
      </c>
      <c r="B82" s="3" t="s">
        <v>225</v>
      </c>
      <c r="C82" s="3">
        <v>2</v>
      </c>
      <c r="D82" s="12">
        <v>0</v>
      </c>
      <c r="E82" s="3">
        <v>9</v>
      </c>
      <c r="F82" s="3">
        <v>5</v>
      </c>
      <c r="G82" s="3">
        <v>4</v>
      </c>
      <c r="H82" s="3">
        <v>11</v>
      </c>
      <c r="I82" s="12">
        <v>6</v>
      </c>
      <c r="J82" s="12">
        <v>2</v>
      </c>
      <c r="K82" s="12">
        <v>0</v>
      </c>
      <c r="L82" s="25">
        <f t="shared" si="3"/>
        <v>4.333333333333333</v>
      </c>
    </row>
    <row r="83" spans="1:12" ht="14.25" customHeight="1" x14ac:dyDescent="0.3">
      <c r="A83" s="3">
        <v>0.88597893866063815</v>
      </c>
      <c r="B83" s="3" t="s">
        <v>227</v>
      </c>
      <c r="C83" s="3">
        <v>8</v>
      </c>
      <c r="D83" s="12">
        <v>3</v>
      </c>
      <c r="E83" s="3">
        <v>4</v>
      </c>
      <c r="F83" s="3">
        <v>6</v>
      </c>
      <c r="G83" s="3">
        <v>6</v>
      </c>
      <c r="H83" s="3">
        <v>7</v>
      </c>
      <c r="I83" s="12">
        <v>6</v>
      </c>
      <c r="J83" s="12">
        <v>2</v>
      </c>
      <c r="K83" s="12">
        <v>1</v>
      </c>
      <c r="L83" s="25">
        <f t="shared" si="3"/>
        <v>4.7777777777777777</v>
      </c>
    </row>
    <row r="84" spans="1:12" ht="14.25" customHeight="1" x14ac:dyDescent="0.3">
      <c r="A84" s="3">
        <v>-1.0923718971587979</v>
      </c>
      <c r="B84" s="3" t="s">
        <v>229</v>
      </c>
      <c r="C84" s="3">
        <v>13</v>
      </c>
      <c r="D84" s="12">
        <v>6</v>
      </c>
      <c r="E84" s="3">
        <v>10</v>
      </c>
      <c r="F84" s="3">
        <v>13</v>
      </c>
      <c r="G84" s="3">
        <v>3</v>
      </c>
      <c r="H84" s="3">
        <v>8</v>
      </c>
      <c r="I84" s="12">
        <v>12</v>
      </c>
      <c r="J84" s="12">
        <v>2</v>
      </c>
      <c r="K84" s="12">
        <v>8</v>
      </c>
      <c r="L84" s="25">
        <f t="shared" si="3"/>
        <v>8.3333333333333339</v>
      </c>
    </row>
    <row r="85" spans="1:12" ht="14.25" customHeight="1" x14ac:dyDescent="0.3">
      <c r="A85" s="3">
        <v>-1.1154133211974251</v>
      </c>
      <c r="B85" s="3" t="s">
        <v>232</v>
      </c>
      <c r="C85" s="3">
        <v>14</v>
      </c>
      <c r="D85" s="12">
        <v>18</v>
      </c>
      <c r="E85" s="3">
        <v>10</v>
      </c>
      <c r="F85" s="3">
        <v>15</v>
      </c>
      <c r="G85" s="3">
        <v>15</v>
      </c>
      <c r="H85" s="3">
        <v>6</v>
      </c>
      <c r="I85" s="12">
        <v>12</v>
      </c>
      <c r="J85" s="12">
        <v>16</v>
      </c>
      <c r="K85" s="12">
        <v>16</v>
      </c>
      <c r="L85" s="25">
        <f t="shared" si="3"/>
        <v>13.555555555555555</v>
      </c>
    </row>
    <row r="86" spans="1:12" ht="14.25" customHeight="1" x14ac:dyDescent="0.3">
      <c r="A86" s="3">
        <v>-1.12017317951397</v>
      </c>
      <c r="B86" s="3" t="s">
        <v>234</v>
      </c>
      <c r="C86" s="3">
        <v>12</v>
      </c>
      <c r="D86" s="12">
        <v>9</v>
      </c>
      <c r="E86" s="3">
        <v>6</v>
      </c>
      <c r="F86" s="3">
        <v>13</v>
      </c>
      <c r="G86" s="3">
        <v>15</v>
      </c>
      <c r="H86" s="3">
        <v>8</v>
      </c>
      <c r="I86" s="12">
        <v>1</v>
      </c>
      <c r="J86" s="12">
        <v>4</v>
      </c>
      <c r="K86" s="12">
        <v>12</v>
      </c>
      <c r="L86" s="25">
        <f t="shared" si="3"/>
        <v>8.8888888888888893</v>
      </c>
    </row>
    <row r="87" spans="1:12" ht="14.25" customHeight="1" x14ac:dyDescent="0.3">
      <c r="A87" s="3">
        <v>-1.1339562965442611</v>
      </c>
      <c r="B87" s="3" t="s">
        <v>236</v>
      </c>
      <c r="C87" s="3">
        <v>15</v>
      </c>
      <c r="D87" s="12">
        <v>15</v>
      </c>
      <c r="E87" s="3">
        <v>5</v>
      </c>
      <c r="F87" s="3">
        <v>15</v>
      </c>
      <c r="G87" s="3">
        <v>11</v>
      </c>
      <c r="H87" s="3">
        <v>10</v>
      </c>
      <c r="I87" s="12">
        <v>3</v>
      </c>
      <c r="J87" s="12">
        <v>6</v>
      </c>
      <c r="K87" s="12">
        <v>15</v>
      </c>
      <c r="L87" s="25">
        <f t="shared" si="3"/>
        <v>10.555555555555555</v>
      </c>
    </row>
    <row r="88" spans="1:12" ht="14.25" customHeight="1" x14ac:dyDescent="0.3">
      <c r="A88" s="3">
        <v>-1.1428327832816429</v>
      </c>
      <c r="B88" s="3" t="s">
        <v>238</v>
      </c>
      <c r="C88" s="3">
        <v>2</v>
      </c>
      <c r="D88" s="12">
        <v>4</v>
      </c>
      <c r="E88" s="3">
        <v>5</v>
      </c>
      <c r="F88" s="3">
        <v>4</v>
      </c>
      <c r="G88" s="3">
        <v>4</v>
      </c>
      <c r="H88" s="3">
        <v>2</v>
      </c>
      <c r="I88" s="12">
        <v>4</v>
      </c>
      <c r="J88" s="12">
        <v>0</v>
      </c>
      <c r="K88" s="12">
        <v>3</v>
      </c>
      <c r="L88" s="25">
        <f t="shared" si="3"/>
        <v>3.1111111111111112</v>
      </c>
    </row>
    <row r="89" spans="1:12" ht="14.25" customHeight="1" x14ac:dyDescent="0.3">
      <c r="A89" s="3">
        <v>-1.1920893573654381</v>
      </c>
      <c r="B89" s="3" t="s">
        <v>239</v>
      </c>
      <c r="C89" s="3">
        <v>13</v>
      </c>
      <c r="D89" s="12">
        <v>11</v>
      </c>
      <c r="E89" s="3">
        <v>4</v>
      </c>
      <c r="F89" s="3">
        <v>13</v>
      </c>
      <c r="G89" s="3">
        <v>9</v>
      </c>
      <c r="H89" s="3">
        <v>6</v>
      </c>
      <c r="I89" s="12">
        <v>6</v>
      </c>
      <c r="J89" s="12">
        <v>13</v>
      </c>
      <c r="K89" s="12">
        <v>8</v>
      </c>
      <c r="L89" s="25">
        <f t="shared" si="3"/>
        <v>9.2222222222222214</v>
      </c>
    </row>
    <row r="90" spans="1:12" ht="14.25" customHeight="1" x14ac:dyDescent="0.3">
      <c r="A90" s="3">
        <v>-1.196962071035268</v>
      </c>
      <c r="B90" s="3" t="s">
        <v>240</v>
      </c>
      <c r="C90" s="3">
        <v>13</v>
      </c>
      <c r="D90" s="12">
        <v>17</v>
      </c>
      <c r="E90" s="3">
        <v>7</v>
      </c>
      <c r="F90" s="3">
        <v>17</v>
      </c>
      <c r="G90" s="3">
        <v>11</v>
      </c>
      <c r="H90" s="3">
        <v>14</v>
      </c>
      <c r="I90" s="12">
        <v>15</v>
      </c>
      <c r="J90" s="12">
        <v>7</v>
      </c>
      <c r="K90" s="12">
        <v>13</v>
      </c>
      <c r="L90" s="25">
        <f t="shared" si="3"/>
        <v>12.666666666666666</v>
      </c>
    </row>
    <row r="91" spans="1:12" ht="14.25" customHeight="1" x14ac:dyDescent="0.3">
      <c r="A91" s="3">
        <v>-1.2097705883740471</v>
      </c>
      <c r="B91" s="3" t="s">
        <v>241</v>
      </c>
      <c r="C91" s="3">
        <v>14</v>
      </c>
      <c r="D91" s="12">
        <v>6</v>
      </c>
      <c r="E91" s="3">
        <v>10</v>
      </c>
      <c r="F91" s="3">
        <v>13</v>
      </c>
      <c r="G91" s="3">
        <v>11</v>
      </c>
      <c r="H91" s="3">
        <v>8</v>
      </c>
      <c r="I91" s="12">
        <v>13</v>
      </c>
      <c r="J91" s="12">
        <v>9</v>
      </c>
      <c r="K91" s="12">
        <v>14</v>
      </c>
      <c r="L91" s="25">
        <f t="shared" si="3"/>
        <v>10.888888888888889</v>
      </c>
    </row>
    <row r="92" spans="1:12" ht="14.25" customHeight="1" x14ac:dyDescent="0.3">
      <c r="A92" s="3">
        <v>-1.3367165560614409</v>
      </c>
      <c r="B92" s="3" t="s">
        <v>242</v>
      </c>
      <c r="C92" s="3">
        <v>14</v>
      </c>
      <c r="D92" s="12">
        <v>15</v>
      </c>
      <c r="E92" s="3">
        <v>15</v>
      </c>
      <c r="F92" s="3">
        <v>6</v>
      </c>
      <c r="G92" s="3">
        <v>15</v>
      </c>
      <c r="H92" s="3">
        <v>12</v>
      </c>
      <c r="I92" s="12">
        <v>14</v>
      </c>
      <c r="J92" s="12">
        <v>12</v>
      </c>
      <c r="K92" s="12">
        <v>14</v>
      </c>
      <c r="L92" s="25">
        <f t="shared" si="3"/>
        <v>13</v>
      </c>
    </row>
    <row r="93" spans="1:12" ht="14.25" customHeight="1" x14ac:dyDescent="0.3">
      <c r="A93" s="3">
        <v>-1.679865001322572</v>
      </c>
      <c r="B93" s="3" t="s">
        <v>243</v>
      </c>
      <c r="C93" s="3">
        <v>24</v>
      </c>
      <c r="D93" s="12">
        <v>24</v>
      </c>
      <c r="E93" s="3">
        <v>26</v>
      </c>
      <c r="F93" s="3">
        <v>18</v>
      </c>
      <c r="G93" s="3">
        <v>23</v>
      </c>
      <c r="H93" s="3">
        <v>26</v>
      </c>
      <c r="I93" s="12">
        <v>23</v>
      </c>
      <c r="J93" s="12">
        <v>26</v>
      </c>
      <c r="K93" s="12">
        <v>26</v>
      </c>
      <c r="L93" s="25">
        <f t="shared" si="3"/>
        <v>24</v>
      </c>
    </row>
    <row r="94" spans="1:12" ht="14.25" customHeight="1" x14ac:dyDescent="0.3">
      <c r="L94" s="18"/>
    </row>
    <row r="95" spans="1:12" ht="14.25" customHeight="1" x14ac:dyDescent="0.3">
      <c r="L95" s="18"/>
    </row>
    <row r="96" spans="1:12" ht="14.25" customHeight="1" x14ac:dyDescent="0.3">
      <c r="B96" s="13" t="s">
        <v>331</v>
      </c>
      <c r="C96" s="13" t="s">
        <v>361</v>
      </c>
      <c r="F96" s="3" t="s">
        <v>362</v>
      </c>
      <c r="J96" s="3" t="s">
        <v>363</v>
      </c>
      <c r="L96" s="18"/>
    </row>
    <row r="97" spans="1:12" ht="14.25" customHeight="1" x14ac:dyDescent="0.3">
      <c r="B97" s="13" t="s">
        <v>201</v>
      </c>
      <c r="C97" s="35">
        <v>45941</v>
      </c>
      <c r="D97" s="35">
        <v>45948</v>
      </c>
      <c r="E97" s="35">
        <v>45955</v>
      </c>
      <c r="F97" s="35">
        <v>45962</v>
      </c>
      <c r="G97" s="35">
        <v>45969</v>
      </c>
      <c r="H97" s="35">
        <v>45976</v>
      </c>
      <c r="I97" s="35">
        <v>45983</v>
      </c>
      <c r="J97" s="35">
        <v>45990</v>
      </c>
      <c r="K97" s="35">
        <v>45997</v>
      </c>
      <c r="L97" s="25" t="s">
        <v>188</v>
      </c>
    </row>
    <row r="98" spans="1:12" ht="14.25" customHeight="1" x14ac:dyDescent="0.3">
      <c r="A98" s="3">
        <v>1.247177188019948</v>
      </c>
      <c r="B98" s="3" t="s">
        <v>213</v>
      </c>
      <c r="C98" s="3">
        <v>5</v>
      </c>
      <c r="D98" s="3">
        <v>9</v>
      </c>
      <c r="E98" s="3">
        <v>4</v>
      </c>
      <c r="F98" s="3">
        <v>3</v>
      </c>
      <c r="G98" s="3">
        <v>11</v>
      </c>
      <c r="H98" s="3">
        <v>6</v>
      </c>
      <c r="I98" s="12">
        <v>7</v>
      </c>
      <c r="J98" s="3">
        <v>3</v>
      </c>
      <c r="K98" s="12">
        <v>6</v>
      </c>
      <c r="L98" s="37">
        <f t="shared" ref="L98:L117" si="4">AVERAGE(C98:K98)</f>
        <v>6</v>
      </c>
    </row>
    <row r="99" spans="1:12" ht="14.25" customHeight="1" x14ac:dyDescent="0.3">
      <c r="A99" s="3">
        <v>1.1425292918330761</v>
      </c>
      <c r="B99" s="3" t="s">
        <v>215</v>
      </c>
      <c r="C99" s="3">
        <v>6</v>
      </c>
      <c r="D99" s="3">
        <v>0</v>
      </c>
      <c r="E99" s="3">
        <v>0</v>
      </c>
      <c r="F99" s="3">
        <v>4</v>
      </c>
      <c r="G99" s="3">
        <v>4</v>
      </c>
      <c r="H99" s="3">
        <v>7</v>
      </c>
      <c r="I99" s="12">
        <v>10</v>
      </c>
      <c r="J99" s="3">
        <v>4</v>
      </c>
      <c r="K99" s="12">
        <v>2</v>
      </c>
      <c r="L99" s="37">
        <f t="shared" si="4"/>
        <v>4.1111111111111107</v>
      </c>
    </row>
    <row r="100" spans="1:12" ht="14.25" customHeight="1" x14ac:dyDescent="0.3">
      <c r="A100" s="3">
        <v>1.123713972805261</v>
      </c>
      <c r="B100" s="3" t="s">
        <v>216</v>
      </c>
      <c r="C100" s="3">
        <v>6</v>
      </c>
      <c r="D100" s="3">
        <v>1</v>
      </c>
      <c r="E100" s="3">
        <v>2</v>
      </c>
      <c r="F100" s="3">
        <v>2</v>
      </c>
      <c r="G100" s="3">
        <v>0</v>
      </c>
      <c r="H100" s="3">
        <v>4</v>
      </c>
      <c r="I100" s="12">
        <v>5</v>
      </c>
      <c r="J100" s="3">
        <v>2</v>
      </c>
      <c r="K100" s="12">
        <v>3</v>
      </c>
      <c r="L100" s="37">
        <f t="shared" si="4"/>
        <v>2.7777777777777777</v>
      </c>
    </row>
    <row r="101" spans="1:12" ht="14.25" customHeight="1" x14ac:dyDescent="0.3">
      <c r="A101" s="3">
        <v>1.1139196755889551</v>
      </c>
      <c r="B101" s="3" t="s">
        <v>217</v>
      </c>
      <c r="C101" s="3">
        <v>3</v>
      </c>
      <c r="D101" s="3">
        <v>2</v>
      </c>
      <c r="E101" s="3">
        <v>7</v>
      </c>
      <c r="F101" s="3">
        <v>2</v>
      </c>
      <c r="G101" s="3">
        <v>1</v>
      </c>
      <c r="H101" s="3">
        <v>4</v>
      </c>
      <c r="I101" s="12">
        <v>3</v>
      </c>
      <c r="J101" s="3">
        <v>2</v>
      </c>
      <c r="K101" s="12">
        <v>1</v>
      </c>
      <c r="L101" s="37">
        <f t="shared" si="4"/>
        <v>2.7777777777777777</v>
      </c>
    </row>
    <row r="102" spans="1:12" ht="14.25" customHeight="1" x14ac:dyDescent="0.3">
      <c r="A102" s="3">
        <v>1.0416402811862899</v>
      </c>
      <c r="B102" s="3" t="s">
        <v>218</v>
      </c>
      <c r="C102" s="3">
        <v>0</v>
      </c>
      <c r="D102" s="3">
        <v>1</v>
      </c>
      <c r="E102" s="3">
        <v>3</v>
      </c>
      <c r="F102" s="3">
        <v>2</v>
      </c>
      <c r="G102" s="3">
        <v>0</v>
      </c>
      <c r="H102" s="3">
        <v>3</v>
      </c>
      <c r="I102" s="12">
        <v>5</v>
      </c>
      <c r="J102" s="3">
        <v>2</v>
      </c>
      <c r="K102" s="12">
        <v>0</v>
      </c>
      <c r="L102" s="37">
        <f t="shared" si="4"/>
        <v>1.7777777777777777</v>
      </c>
    </row>
    <row r="103" spans="1:12" ht="14.25" customHeight="1" x14ac:dyDescent="0.3">
      <c r="A103" s="3">
        <v>0.99583449612816577</v>
      </c>
      <c r="B103" s="3" t="s">
        <v>220</v>
      </c>
      <c r="C103" s="3">
        <v>1</v>
      </c>
      <c r="D103" s="3">
        <v>2</v>
      </c>
      <c r="E103" s="3">
        <v>19</v>
      </c>
      <c r="F103" s="3">
        <v>8</v>
      </c>
      <c r="G103" s="3">
        <v>1</v>
      </c>
      <c r="H103" s="3">
        <v>2</v>
      </c>
      <c r="I103" s="12">
        <v>4</v>
      </c>
      <c r="J103" s="3">
        <v>8</v>
      </c>
      <c r="K103" s="12">
        <v>3</v>
      </c>
      <c r="L103" s="37">
        <f t="shared" si="4"/>
        <v>5.333333333333333</v>
      </c>
    </row>
    <row r="104" spans="1:12" ht="14.25" customHeight="1" x14ac:dyDescent="0.3">
      <c r="A104" s="3">
        <v>0.9957863323050703</v>
      </c>
      <c r="B104" s="3" t="s">
        <v>223</v>
      </c>
      <c r="C104" s="3">
        <v>9</v>
      </c>
      <c r="D104" s="3">
        <v>11</v>
      </c>
      <c r="E104" s="3">
        <v>2</v>
      </c>
      <c r="F104" s="3">
        <v>3</v>
      </c>
      <c r="G104" s="3">
        <v>0</v>
      </c>
      <c r="H104" s="3">
        <v>6</v>
      </c>
      <c r="I104" s="12">
        <v>0</v>
      </c>
      <c r="J104" s="3">
        <v>3</v>
      </c>
      <c r="K104" s="12">
        <v>10</v>
      </c>
      <c r="L104" s="37">
        <f t="shared" si="4"/>
        <v>4.8888888888888893</v>
      </c>
    </row>
    <row r="105" spans="1:12" ht="14.25" customHeight="1" x14ac:dyDescent="0.3">
      <c r="A105" s="3">
        <v>0.98995442105744402</v>
      </c>
      <c r="B105" s="3" t="s">
        <v>224</v>
      </c>
      <c r="C105" s="3">
        <v>2</v>
      </c>
      <c r="D105" s="3">
        <v>10</v>
      </c>
      <c r="E105" s="3">
        <v>0</v>
      </c>
      <c r="F105" s="3">
        <v>2</v>
      </c>
      <c r="G105" s="3">
        <v>0</v>
      </c>
      <c r="H105" s="3">
        <v>4</v>
      </c>
      <c r="I105" s="12">
        <v>0</v>
      </c>
      <c r="J105" s="3">
        <v>2</v>
      </c>
      <c r="K105" s="12">
        <v>1</v>
      </c>
      <c r="L105" s="37">
        <f t="shared" si="4"/>
        <v>2.3333333333333335</v>
      </c>
    </row>
    <row r="106" spans="1:12" ht="14.25" customHeight="1" x14ac:dyDescent="0.3">
      <c r="A106" s="3">
        <v>0.8928339600558084</v>
      </c>
      <c r="B106" s="3" t="s">
        <v>225</v>
      </c>
      <c r="C106" s="3">
        <v>2</v>
      </c>
      <c r="D106" s="3">
        <v>4</v>
      </c>
      <c r="E106" s="3">
        <v>1</v>
      </c>
      <c r="F106" s="3">
        <v>3</v>
      </c>
      <c r="G106" s="3">
        <v>0</v>
      </c>
      <c r="H106" s="3">
        <v>3</v>
      </c>
      <c r="I106" s="12">
        <v>4</v>
      </c>
      <c r="J106" s="3">
        <v>3</v>
      </c>
      <c r="K106" s="12">
        <v>2</v>
      </c>
      <c r="L106" s="37">
        <f t="shared" si="4"/>
        <v>2.4444444444444446</v>
      </c>
    </row>
    <row r="107" spans="1:12" ht="14.25" customHeight="1" x14ac:dyDescent="0.3">
      <c r="A107" s="3">
        <v>0.88597893866063815</v>
      </c>
      <c r="B107" s="3" t="s">
        <v>227</v>
      </c>
      <c r="C107" s="3">
        <v>4</v>
      </c>
      <c r="D107" s="3">
        <v>2</v>
      </c>
      <c r="E107" s="3">
        <v>2</v>
      </c>
      <c r="F107" s="3">
        <v>2</v>
      </c>
      <c r="G107" s="3">
        <v>6</v>
      </c>
      <c r="H107" s="3">
        <v>3</v>
      </c>
      <c r="I107" s="12">
        <v>10</v>
      </c>
      <c r="J107" s="3">
        <v>2</v>
      </c>
      <c r="K107" s="12">
        <v>9</v>
      </c>
      <c r="L107" s="37">
        <f t="shared" si="4"/>
        <v>4.4444444444444446</v>
      </c>
    </row>
    <row r="108" spans="1:12" ht="14.25" customHeight="1" x14ac:dyDescent="0.3">
      <c r="A108" s="3">
        <v>-1.0923718971587979</v>
      </c>
      <c r="B108" s="3" t="s">
        <v>229</v>
      </c>
      <c r="C108" s="3">
        <v>15</v>
      </c>
      <c r="D108" s="3">
        <v>14</v>
      </c>
      <c r="E108" s="3">
        <v>12</v>
      </c>
      <c r="F108" s="3">
        <v>11</v>
      </c>
      <c r="G108" s="3">
        <v>6</v>
      </c>
      <c r="H108" s="3">
        <v>9</v>
      </c>
      <c r="I108" s="12">
        <v>8</v>
      </c>
      <c r="J108" s="3">
        <v>11</v>
      </c>
      <c r="K108" s="12">
        <v>11</v>
      </c>
      <c r="L108" s="37">
        <f t="shared" si="4"/>
        <v>10.777777777777779</v>
      </c>
    </row>
    <row r="109" spans="1:12" ht="14.25" customHeight="1" x14ac:dyDescent="0.3">
      <c r="A109" s="3">
        <v>-1.1154133211974251</v>
      </c>
      <c r="B109" s="3" t="s">
        <v>232</v>
      </c>
      <c r="C109" s="3">
        <v>19</v>
      </c>
      <c r="D109" s="3">
        <v>19</v>
      </c>
      <c r="E109" s="3">
        <v>18</v>
      </c>
      <c r="F109" s="3">
        <v>14</v>
      </c>
      <c r="G109" s="3">
        <v>17</v>
      </c>
      <c r="H109" s="3">
        <v>11</v>
      </c>
      <c r="I109" s="12">
        <v>12</v>
      </c>
      <c r="J109" s="3">
        <v>14</v>
      </c>
      <c r="K109" s="12">
        <v>19</v>
      </c>
      <c r="L109" s="37">
        <f t="shared" si="4"/>
        <v>15.888888888888889</v>
      </c>
    </row>
    <row r="110" spans="1:12" ht="14.25" customHeight="1" x14ac:dyDescent="0.3">
      <c r="A110" s="3">
        <v>-1.12017317951397</v>
      </c>
      <c r="B110" s="3" t="s">
        <v>234</v>
      </c>
      <c r="C110" s="3">
        <v>11</v>
      </c>
      <c r="D110" s="3">
        <v>15</v>
      </c>
      <c r="E110" s="3">
        <v>8</v>
      </c>
      <c r="F110" s="3">
        <v>11</v>
      </c>
      <c r="G110" s="3">
        <v>15</v>
      </c>
      <c r="H110" s="3">
        <v>10</v>
      </c>
      <c r="I110" s="12">
        <v>4</v>
      </c>
      <c r="J110" s="3">
        <v>11</v>
      </c>
      <c r="K110" s="12">
        <v>9</v>
      </c>
      <c r="L110" s="37">
        <f t="shared" si="4"/>
        <v>10.444444444444445</v>
      </c>
    </row>
    <row r="111" spans="1:12" ht="14.25" customHeight="1" x14ac:dyDescent="0.3">
      <c r="A111" s="3">
        <v>-1.1339562965442611</v>
      </c>
      <c r="B111" s="3" t="s">
        <v>236</v>
      </c>
      <c r="C111" s="3">
        <v>15</v>
      </c>
      <c r="D111" s="3">
        <v>11</v>
      </c>
      <c r="E111" s="3">
        <v>5</v>
      </c>
      <c r="F111" s="3">
        <v>11</v>
      </c>
      <c r="G111" s="3">
        <v>13</v>
      </c>
      <c r="H111" s="3">
        <v>3</v>
      </c>
      <c r="I111" s="12">
        <v>12</v>
      </c>
      <c r="J111" s="3">
        <v>11</v>
      </c>
      <c r="K111" s="12">
        <v>2</v>
      </c>
      <c r="L111" s="37">
        <f t="shared" si="4"/>
        <v>9.2222222222222214</v>
      </c>
    </row>
    <row r="112" spans="1:12" ht="14.25" customHeight="1" x14ac:dyDescent="0.3">
      <c r="A112" s="3">
        <v>-1.1428327832816429</v>
      </c>
      <c r="B112" s="3" t="s">
        <v>238</v>
      </c>
      <c r="C112" s="3">
        <v>2</v>
      </c>
      <c r="D112" s="3">
        <v>4</v>
      </c>
      <c r="E112" s="3">
        <v>4</v>
      </c>
      <c r="F112" s="3">
        <v>3</v>
      </c>
      <c r="G112" s="3">
        <v>3</v>
      </c>
      <c r="H112" s="3">
        <v>2</v>
      </c>
      <c r="I112" s="12">
        <v>4</v>
      </c>
      <c r="J112" s="3">
        <v>3</v>
      </c>
      <c r="K112" s="12">
        <v>3</v>
      </c>
      <c r="L112" s="37">
        <f t="shared" si="4"/>
        <v>3.1111111111111112</v>
      </c>
    </row>
    <row r="113" spans="1:12" ht="14.25" customHeight="1" x14ac:dyDescent="0.3">
      <c r="A113" s="3">
        <v>-1.1920893573654381</v>
      </c>
      <c r="B113" s="3" t="s">
        <v>239</v>
      </c>
      <c r="C113" s="3">
        <v>15</v>
      </c>
      <c r="D113" s="3">
        <v>15</v>
      </c>
      <c r="E113" s="3">
        <v>9</v>
      </c>
      <c r="F113" s="3">
        <v>11</v>
      </c>
      <c r="G113" s="3">
        <v>15</v>
      </c>
      <c r="H113" s="3">
        <v>13</v>
      </c>
      <c r="I113" s="12">
        <v>8</v>
      </c>
      <c r="J113" s="3">
        <v>11</v>
      </c>
      <c r="K113" s="12">
        <v>6</v>
      </c>
      <c r="L113" s="37">
        <f t="shared" si="4"/>
        <v>11.444444444444445</v>
      </c>
    </row>
    <row r="114" spans="1:12" ht="14.25" customHeight="1" x14ac:dyDescent="0.3">
      <c r="A114" s="3">
        <v>-1.196962071035268</v>
      </c>
      <c r="B114" s="3" t="s">
        <v>240</v>
      </c>
      <c r="C114" s="3">
        <v>12</v>
      </c>
      <c r="D114" s="3">
        <v>14</v>
      </c>
      <c r="E114" s="3">
        <v>12</v>
      </c>
      <c r="F114" s="3">
        <v>14</v>
      </c>
      <c r="G114" s="3">
        <v>11</v>
      </c>
      <c r="H114" s="3">
        <v>13</v>
      </c>
      <c r="I114" s="12">
        <v>19</v>
      </c>
      <c r="J114" s="3">
        <v>14</v>
      </c>
      <c r="K114" s="12">
        <v>17</v>
      </c>
      <c r="L114" s="37">
        <f t="shared" si="4"/>
        <v>14</v>
      </c>
    </row>
    <row r="115" spans="1:12" ht="14.25" customHeight="1" x14ac:dyDescent="0.3">
      <c r="A115" s="3">
        <v>-1.2097705883740471</v>
      </c>
      <c r="B115" s="3" t="s">
        <v>241</v>
      </c>
      <c r="C115" s="3">
        <v>11</v>
      </c>
      <c r="D115" s="3">
        <v>14</v>
      </c>
      <c r="E115" s="3">
        <v>10</v>
      </c>
      <c r="F115" s="3">
        <v>11</v>
      </c>
      <c r="G115" s="3">
        <v>13</v>
      </c>
      <c r="H115" s="3">
        <v>13</v>
      </c>
      <c r="I115" s="12">
        <v>5</v>
      </c>
      <c r="J115" s="3">
        <v>11</v>
      </c>
      <c r="K115" s="12">
        <v>10</v>
      </c>
      <c r="L115" s="37">
        <f t="shared" si="4"/>
        <v>10.888888888888889</v>
      </c>
    </row>
    <row r="116" spans="1:12" ht="14.25" customHeight="1" x14ac:dyDescent="0.3">
      <c r="A116" s="3">
        <v>-1.3367165560614409</v>
      </c>
      <c r="B116" s="3" t="s">
        <v>242</v>
      </c>
      <c r="C116" s="3">
        <v>10</v>
      </c>
      <c r="D116" s="3">
        <v>10</v>
      </c>
      <c r="E116" s="3">
        <v>17</v>
      </c>
      <c r="F116" s="3">
        <v>12</v>
      </c>
      <c r="G116" s="3">
        <v>15</v>
      </c>
      <c r="H116" s="3">
        <v>8</v>
      </c>
      <c r="I116" s="12">
        <v>15</v>
      </c>
      <c r="J116" s="3">
        <v>12</v>
      </c>
      <c r="K116" s="12">
        <v>14</v>
      </c>
      <c r="L116" s="37">
        <f t="shared" si="4"/>
        <v>12.555555555555555</v>
      </c>
    </row>
    <row r="117" spans="1:12" ht="14.25" customHeight="1" x14ac:dyDescent="0.3">
      <c r="A117" s="3">
        <v>-1.679865001322572</v>
      </c>
      <c r="B117" s="3" t="s">
        <v>243</v>
      </c>
      <c r="C117" s="3">
        <v>21</v>
      </c>
      <c r="D117" s="3">
        <v>27</v>
      </c>
      <c r="E117" s="3">
        <v>26</v>
      </c>
      <c r="F117" s="3">
        <v>21</v>
      </c>
      <c r="G117" s="3">
        <v>25</v>
      </c>
      <c r="H117" s="3">
        <v>27</v>
      </c>
      <c r="I117" s="12">
        <v>27</v>
      </c>
      <c r="J117" s="3">
        <v>21</v>
      </c>
      <c r="K117" s="12">
        <v>21</v>
      </c>
      <c r="L117" s="37">
        <f t="shared" si="4"/>
        <v>24</v>
      </c>
    </row>
    <row r="118" spans="1:12" ht="14.25" customHeight="1" x14ac:dyDescent="0.3">
      <c r="L118" s="18"/>
    </row>
    <row r="119" spans="1:12" ht="14.25" customHeight="1" x14ac:dyDescent="0.3">
      <c r="L119" s="18"/>
    </row>
    <row r="120" spans="1:12" ht="14.25" customHeight="1" x14ac:dyDescent="0.3">
      <c r="B120" s="13" t="s">
        <v>331</v>
      </c>
      <c r="C120" s="13" t="s">
        <v>364</v>
      </c>
      <c r="L120" s="18"/>
    </row>
    <row r="121" spans="1:12" ht="14.25" customHeight="1" x14ac:dyDescent="0.3">
      <c r="B121" s="13" t="s">
        <v>201</v>
      </c>
      <c r="C121" s="35">
        <v>45942</v>
      </c>
      <c r="D121" s="35">
        <v>45949</v>
      </c>
      <c r="E121" s="35">
        <v>45956</v>
      </c>
      <c r="F121" s="35">
        <v>45963</v>
      </c>
      <c r="G121" s="35">
        <v>45970</v>
      </c>
      <c r="H121" s="35">
        <v>45977</v>
      </c>
      <c r="I121" s="35">
        <v>45984</v>
      </c>
      <c r="J121" s="35">
        <v>45991</v>
      </c>
      <c r="K121" s="35">
        <v>45998</v>
      </c>
      <c r="L121" s="25" t="s">
        <v>202</v>
      </c>
    </row>
    <row r="122" spans="1:12" ht="14.25" customHeight="1" x14ac:dyDescent="0.3">
      <c r="A122" s="3">
        <v>1.247177188019948</v>
      </c>
      <c r="B122" s="3" t="s">
        <v>213</v>
      </c>
      <c r="C122" s="3">
        <v>2</v>
      </c>
      <c r="D122" s="3">
        <v>2</v>
      </c>
      <c r="E122" s="3">
        <v>1</v>
      </c>
      <c r="F122" s="3">
        <v>8</v>
      </c>
      <c r="G122" s="3">
        <v>2</v>
      </c>
      <c r="H122" s="3">
        <v>0</v>
      </c>
      <c r="I122" s="12">
        <v>7</v>
      </c>
      <c r="J122" s="12">
        <v>2</v>
      </c>
      <c r="K122" s="12">
        <v>6</v>
      </c>
      <c r="L122" s="25">
        <f t="shared" ref="L122:L141" si="5">AVERAGE(C122:K122)</f>
        <v>3.3333333333333335</v>
      </c>
    </row>
    <row r="123" spans="1:12" ht="14.25" customHeight="1" x14ac:dyDescent="0.3">
      <c r="A123" s="3">
        <v>1.1425292918330761</v>
      </c>
      <c r="B123" s="3" t="s">
        <v>215</v>
      </c>
      <c r="C123" s="3">
        <v>4</v>
      </c>
      <c r="D123" s="3">
        <v>4</v>
      </c>
      <c r="E123" s="3">
        <v>13</v>
      </c>
      <c r="F123" s="3">
        <v>4</v>
      </c>
      <c r="G123" s="3">
        <v>5</v>
      </c>
      <c r="H123" s="3">
        <v>7</v>
      </c>
      <c r="I123" s="12">
        <v>7</v>
      </c>
      <c r="J123" s="12">
        <v>5</v>
      </c>
      <c r="K123" s="12">
        <v>1</v>
      </c>
      <c r="L123" s="25">
        <f t="shared" si="5"/>
        <v>5.5555555555555554</v>
      </c>
    </row>
    <row r="124" spans="1:12" ht="14.25" customHeight="1" x14ac:dyDescent="0.3">
      <c r="A124" s="3">
        <v>1.123713972805261</v>
      </c>
      <c r="B124" s="3" t="s">
        <v>216</v>
      </c>
      <c r="C124" s="3">
        <v>0</v>
      </c>
      <c r="D124" s="3">
        <v>0</v>
      </c>
      <c r="E124" s="3">
        <v>6</v>
      </c>
      <c r="F124" s="3">
        <v>1</v>
      </c>
      <c r="G124" s="3">
        <v>5</v>
      </c>
      <c r="H124" s="3">
        <v>4</v>
      </c>
      <c r="I124" s="12">
        <v>4</v>
      </c>
      <c r="J124" s="12">
        <v>3</v>
      </c>
      <c r="K124" s="12">
        <v>6</v>
      </c>
      <c r="L124" s="25">
        <f t="shared" si="5"/>
        <v>3.2222222222222223</v>
      </c>
    </row>
    <row r="125" spans="1:12" ht="14.25" customHeight="1" x14ac:dyDescent="0.3">
      <c r="A125" s="3">
        <v>1.1139196755889551</v>
      </c>
      <c r="B125" s="3" t="s">
        <v>217</v>
      </c>
      <c r="C125" s="3">
        <v>3</v>
      </c>
      <c r="D125" s="3">
        <v>1</v>
      </c>
      <c r="E125" s="3">
        <v>1</v>
      </c>
      <c r="F125" s="3">
        <v>4</v>
      </c>
      <c r="G125" s="3">
        <v>1</v>
      </c>
      <c r="H125" s="3">
        <v>8</v>
      </c>
      <c r="I125" s="12">
        <v>0</v>
      </c>
      <c r="J125" s="12">
        <v>5</v>
      </c>
      <c r="K125" s="12">
        <v>2</v>
      </c>
      <c r="L125" s="25">
        <f t="shared" si="5"/>
        <v>2.7777777777777777</v>
      </c>
    </row>
    <row r="126" spans="1:12" ht="14.25" customHeight="1" x14ac:dyDescent="0.3">
      <c r="A126" s="3">
        <v>1.0416402811862899</v>
      </c>
      <c r="B126" s="3" t="s">
        <v>218</v>
      </c>
      <c r="C126" s="3">
        <v>3</v>
      </c>
      <c r="D126" s="3">
        <v>2</v>
      </c>
      <c r="E126" s="3">
        <v>2</v>
      </c>
      <c r="F126" s="3">
        <v>4</v>
      </c>
      <c r="G126" s="3">
        <v>9</v>
      </c>
      <c r="H126" s="3">
        <v>5</v>
      </c>
      <c r="I126" s="12">
        <v>0</v>
      </c>
      <c r="J126" s="12">
        <v>1</v>
      </c>
      <c r="K126" s="12">
        <v>1</v>
      </c>
      <c r="L126" s="25">
        <f t="shared" si="5"/>
        <v>3</v>
      </c>
    </row>
    <row r="127" spans="1:12" ht="14.25" customHeight="1" x14ac:dyDescent="0.3">
      <c r="A127" s="3">
        <v>0.99583449612816577</v>
      </c>
      <c r="B127" s="3" t="s">
        <v>220</v>
      </c>
      <c r="C127" s="3">
        <v>5</v>
      </c>
      <c r="D127" s="3">
        <v>2</v>
      </c>
      <c r="E127" s="3">
        <v>6</v>
      </c>
      <c r="F127" s="3">
        <v>4</v>
      </c>
      <c r="G127" s="3">
        <v>21</v>
      </c>
      <c r="H127" s="3">
        <v>2</v>
      </c>
      <c r="I127" s="12">
        <v>17</v>
      </c>
      <c r="J127" s="12">
        <v>9</v>
      </c>
      <c r="K127" s="12">
        <v>6</v>
      </c>
      <c r="L127" s="25">
        <f t="shared" si="5"/>
        <v>8</v>
      </c>
    </row>
    <row r="128" spans="1:12" ht="14.25" customHeight="1" x14ac:dyDescent="0.3">
      <c r="A128" s="3">
        <v>0.9957863323050703</v>
      </c>
      <c r="B128" s="3" t="s">
        <v>223</v>
      </c>
      <c r="C128" s="3">
        <v>12</v>
      </c>
      <c r="D128" s="3">
        <v>1</v>
      </c>
      <c r="E128" s="3">
        <v>5</v>
      </c>
      <c r="F128" s="3">
        <v>2</v>
      </c>
      <c r="G128" s="3">
        <v>1</v>
      </c>
      <c r="H128" s="3">
        <v>3</v>
      </c>
      <c r="I128" s="12">
        <v>0</v>
      </c>
      <c r="J128" s="12">
        <v>12</v>
      </c>
      <c r="K128" s="12">
        <v>4</v>
      </c>
      <c r="L128" s="25">
        <f t="shared" si="5"/>
        <v>4.4444444444444446</v>
      </c>
    </row>
    <row r="129" spans="1:12" ht="14.25" customHeight="1" x14ac:dyDescent="0.3">
      <c r="A129" s="3">
        <v>0.98995442105744402</v>
      </c>
      <c r="B129" s="3" t="s">
        <v>224</v>
      </c>
      <c r="C129" s="3">
        <v>1</v>
      </c>
      <c r="D129" s="3">
        <v>6</v>
      </c>
      <c r="E129" s="3">
        <v>6</v>
      </c>
      <c r="F129" s="3">
        <v>0</v>
      </c>
      <c r="G129" s="3">
        <v>2</v>
      </c>
      <c r="H129" s="3">
        <v>5</v>
      </c>
      <c r="I129" s="12">
        <v>3</v>
      </c>
      <c r="J129" s="12">
        <v>5</v>
      </c>
      <c r="K129" s="12">
        <v>6</v>
      </c>
      <c r="L129" s="25">
        <f t="shared" si="5"/>
        <v>3.7777777777777777</v>
      </c>
    </row>
    <row r="130" spans="1:12" ht="14.25" customHeight="1" x14ac:dyDescent="0.3">
      <c r="A130" s="3">
        <v>0.8928339600558084</v>
      </c>
      <c r="B130" s="3" t="s">
        <v>225</v>
      </c>
      <c r="C130" s="3">
        <v>3</v>
      </c>
      <c r="D130" s="3">
        <v>2</v>
      </c>
      <c r="E130" s="3">
        <v>6</v>
      </c>
      <c r="F130" s="3">
        <v>7</v>
      </c>
      <c r="G130" s="3">
        <v>4</v>
      </c>
      <c r="H130" s="3">
        <v>4</v>
      </c>
      <c r="I130" s="12">
        <v>9</v>
      </c>
      <c r="J130" s="12">
        <v>13</v>
      </c>
      <c r="K130" s="12">
        <v>5</v>
      </c>
      <c r="L130" s="25">
        <f t="shared" si="5"/>
        <v>5.8888888888888893</v>
      </c>
    </row>
    <row r="131" spans="1:12" ht="14.25" customHeight="1" x14ac:dyDescent="0.3">
      <c r="A131" s="3">
        <v>0.88597893866063815</v>
      </c>
      <c r="B131" s="3" t="s">
        <v>227</v>
      </c>
      <c r="C131" s="3">
        <v>1</v>
      </c>
      <c r="D131" s="3">
        <v>4</v>
      </c>
      <c r="E131" s="3">
        <v>3</v>
      </c>
      <c r="F131" s="3">
        <v>0</v>
      </c>
      <c r="G131" s="3">
        <v>1</v>
      </c>
      <c r="H131" s="3">
        <v>1</v>
      </c>
      <c r="I131" s="12">
        <v>1</v>
      </c>
      <c r="J131" s="12">
        <v>2</v>
      </c>
      <c r="K131" s="12">
        <v>10</v>
      </c>
      <c r="L131" s="25">
        <f t="shared" si="5"/>
        <v>2.5555555555555554</v>
      </c>
    </row>
    <row r="132" spans="1:12" ht="14.25" customHeight="1" x14ac:dyDescent="0.3">
      <c r="A132" s="3">
        <v>-1.0923718971587979</v>
      </c>
      <c r="B132" s="3" t="s">
        <v>229</v>
      </c>
      <c r="C132" s="3">
        <v>14</v>
      </c>
      <c r="D132" s="3">
        <v>12</v>
      </c>
      <c r="E132" s="3">
        <v>11</v>
      </c>
      <c r="F132" s="3">
        <v>14</v>
      </c>
      <c r="G132" s="3">
        <v>5</v>
      </c>
      <c r="H132" s="3">
        <v>12</v>
      </c>
      <c r="I132" s="12">
        <v>7</v>
      </c>
      <c r="J132" s="12">
        <v>2</v>
      </c>
      <c r="K132" s="12">
        <v>13</v>
      </c>
      <c r="L132" s="25">
        <f t="shared" si="5"/>
        <v>10</v>
      </c>
    </row>
    <row r="133" spans="1:12" ht="14.25" customHeight="1" x14ac:dyDescent="0.3">
      <c r="A133" s="3">
        <v>-1.1154133211974251</v>
      </c>
      <c r="B133" s="3" t="s">
        <v>232</v>
      </c>
      <c r="C133" s="3">
        <v>19</v>
      </c>
      <c r="D133" s="3">
        <v>13</v>
      </c>
      <c r="E133" s="3">
        <v>14</v>
      </c>
      <c r="F133" s="3">
        <v>18</v>
      </c>
      <c r="G133" s="3">
        <v>16</v>
      </c>
      <c r="H133" s="3">
        <v>7</v>
      </c>
      <c r="I133" s="12">
        <v>19</v>
      </c>
      <c r="J133" s="12">
        <v>14</v>
      </c>
      <c r="K133" s="12">
        <v>13</v>
      </c>
      <c r="L133" s="25">
        <f t="shared" si="5"/>
        <v>14.777777777777779</v>
      </c>
    </row>
    <row r="134" spans="1:12" ht="14.25" customHeight="1" x14ac:dyDescent="0.3">
      <c r="A134" s="3">
        <v>-1.12017317951397</v>
      </c>
      <c r="B134" s="3" t="s">
        <v>234</v>
      </c>
      <c r="C134" s="3">
        <v>12</v>
      </c>
      <c r="D134" s="3">
        <v>10</v>
      </c>
      <c r="E134" s="3">
        <v>11</v>
      </c>
      <c r="F134" s="3">
        <v>14</v>
      </c>
      <c r="G134" s="3">
        <v>14</v>
      </c>
      <c r="H134" s="3">
        <v>13</v>
      </c>
      <c r="I134" s="12">
        <v>9</v>
      </c>
      <c r="J134" s="12">
        <v>16</v>
      </c>
      <c r="K134" s="12">
        <v>16</v>
      </c>
      <c r="L134" s="25">
        <f t="shared" si="5"/>
        <v>12.777777777777779</v>
      </c>
    </row>
    <row r="135" spans="1:12" ht="14.25" customHeight="1" x14ac:dyDescent="0.3">
      <c r="A135" s="3">
        <v>-1.1339562965442611</v>
      </c>
      <c r="B135" s="3" t="s">
        <v>236</v>
      </c>
      <c r="C135" s="3">
        <v>15</v>
      </c>
      <c r="D135" s="3">
        <v>15</v>
      </c>
      <c r="E135" s="3">
        <v>15</v>
      </c>
      <c r="F135" s="3">
        <v>8</v>
      </c>
      <c r="G135" s="3">
        <v>15</v>
      </c>
      <c r="H135" s="3">
        <v>11</v>
      </c>
      <c r="I135" s="12">
        <v>8</v>
      </c>
      <c r="J135" s="12">
        <v>13</v>
      </c>
      <c r="K135" s="12">
        <v>9</v>
      </c>
      <c r="L135" s="25">
        <f t="shared" si="5"/>
        <v>12.111111111111111</v>
      </c>
    </row>
    <row r="136" spans="1:12" ht="14.25" customHeight="1" x14ac:dyDescent="0.3">
      <c r="A136" s="3">
        <v>-1.1428327832816429</v>
      </c>
      <c r="B136" s="3" t="s">
        <v>238</v>
      </c>
      <c r="C136" s="3">
        <v>2</v>
      </c>
      <c r="D136" s="3">
        <v>4</v>
      </c>
      <c r="E136" s="3">
        <v>3</v>
      </c>
      <c r="F136" s="3">
        <v>4</v>
      </c>
      <c r="G136" s="3">
        <v>1</v>
      </c>
      <c r="H136" s="3">
        <v>2</v>
      </c>
      <c r="I136" s="12">
        <v>3</v>
      </c>
      <c r="J136" s="12">
        <v>4</v>
      </c>
      <c r="K136" s="12">
        <v>2</v>
      </c>
      <c r="L136" s="25">
        <f t="shared" si="5"/>
        <v>2.7777777777777777</v>
      </c>
    </row>
    <row r="137" spans="1:12" ht="14.25" customHeight="1" x14ac:dyDescent="0.3">
      <c r="A137" s="3">
        <v>-1.1920893573654381</v>
      </c>
      <c r="B137" s="3" t="s">
        <v>239</v>
      </c>
      <c r="C137" s="3">
        <v>12</v>
      </c>
      <c r="D137" s="3">
        <v>7</v>
      </c>
      <c r="E137" s="3">
        <v>12</v>
      </c>
      <c r="F137" s="3">
        <v>12</v>
      </c>
      <c r="G137" s="3">
        <v>11</v>
      </c>
      <c r="H137" s="3">
        <v>11</v>
      </c>
      <c r="I137" s="12">
        <v>8</v>
      </c>
      <c r="J137" s="12">
        <v>9</v>
      </c>
      <c r="K137" s="12">
        <v>9</v>
      </c>
      <c r="L137" s="25">
        <f t="shared" si="5"/>
        <v>10.111111111111111</v>
      </c>
    </row>
    <row r="138" spans="1:12" ht="14.25" customHeight="1" x14ac:dyDescent="0.3">
      <c r="A138" s="3">
        <v>-1.196962071035268</v>
      </c>
      <c r="B138" s="3" t="s">
        <v>240</v>
      </c>
      <c r="C138" s="3">
        <v>15</v>
      </c>
      <c r="D138" s="3">
        <v>17</v>
      </c>
      <c r="E138" s="3">
        <v>19</v>
      </c>
      <c r="F138" s="3">
        <v>12</v>
      </c>
      <c r="G138" s="3">
        <v>19</v>
      </c>
      <c r="H138" s="3">
        <v>6</v>
      </c>
      <c r="I138" s="12">
        <v>19</v>
      </c>
      <c r="J138" s="12">
        <v>15</v>
      </c>
      <c r="K138" s="12">
        <v>19</v>
      </c>
      <c r="L138" s="25">
        <f t="shared" si="5"/>
        <v>15.666666666666666</v>
      </c>
    </row>
    <row r="139" spans="1:12" ht="14.25" customHeight="1" x14ac:dyDescent="0.3">
      <c r="A139" s="3">
        <v>-1.2097705883740471</v>
      </c>
      <c r="B139" s="3" t="s">
        <v>241</v>
      </c>
      <c r="C139" s="3">
        <v>10</v>
      </c>
      <c r="D139" s="3">
        <v>13</v>
      </c>
      <c r="E139" s="3">
        <v>11</v>
      </c>
      <c r="F139" s="3">
        <v>14</v>
      </c>
      <c r="G139" s="3">
        <v>12</v>
      </c>
      <c r="H139" s="3">
        <v>12</v>
      </c>
      <c r="I139" s="12">
        <v>11</v>
      </c>
      <c r="J139" s="12">
        <v>15</v>
      </c>
      <c r="K139" s="12">
        <v>11</v>
      </c>
      <c r="L139" s="25">
        <f t="shared" si="5"/>
        <v>12.111111111111111</v>
      </c>
    </row>
    <row r="140" spans="1:12" ht="14.25" customHeight="1" x14ac:dyDescent="0.3">
      <c r="A140" s="3">
        <v>-1.3367165560614409</v>
      </c>
      <c r="B140" s="3" t="s">
        <v>242</v>
      </c>
      <c r="C140" s="3">
        <v>2</v>
      </c>
      <c r="D140" s="3">
        <v>16</v>
      </c>
      <c r="E140" s="3">
        <v>11</v>
      </c>
      <c r="F140" s="3">
        <v>15</v>
      </c>
      <c r="G140" s="3">
        <v>9</v>
      </c>
      <c r="H140" s="3">
        <v>17</v>
      </c>
      <c r="I140" s="12">
        <v>16</v>
      </c>
      <c r="J140" s="12">
        <v>12</v>
      </c>
      <c r="K140" s="12">
        <v>10</v>
      </c>
      <c r="L140" s="25">
        <f t="shared" si="5"/>
        <v>12</v>
      </c>
    </row>
    <row r="141" spans="1:12" ht="14.25" customHeight="1" x14ac:dyDescent="0.3">
      <c r="A141" s="3">
        <v>-1.679865001322572</v>
      </c>
      <c r="B141" s="3" t="s">
        <v>243</v>
      </c>
      <c r="C141" s="3">
        <v>9</v>
      </c>
      <c r="D141" s="3">
        <v>18</v>
      </c>
      <c r="E141" s="3">
        <v>21</v>
      </c>
      <c r="F141" s="3">
        <v>18</v>
      </c>
      <c r="G141" s="3">
        <v>18</v>
      </c>
      <c r="H141" s="3">
        <v>26</v>
      </c>
      <c r="I141" s="12">
        <v>21</v>
      </c>
      <c r="J141" s="12">
        <v>13</v>
      </c>
      <c r="K141" s="12">
        <v>25</v>
      </c>
      <c r="L141" s="25">
        <f t="shared" si="5"/>
        <v>18.777777777777779</v>
      </c>
    </row>
    <row r="142" spans="1:12" ht="14.25" customHeight="1" x14ac:dyDescent="0.3">
      <c r="L142" s="18"/>
    </row>
    <row r="143" spans="1:12" ht="14.25" customHeight="1" x14ac:dyDescent="0.3">
      <c r="L143" s="18"/>
    </row>
    <row r="144" spans="1:12" ht="14.25" customHeight="1" x14ac:dyDescent="0.3">
      <c r="B144" s="13" t="s">
        <v>331</v>
      </c>
      <c r="C144" s="13" t="s">
        <v>365</v>
      </c>
      <c r="D144" s="3" t="s">
        <v>366</v>
      </c>
      <c r="E144" s="3" t="s">
        <v>367</v>
      </c>
      <c r="F144" s="3" t="s">
        <v>368</v>
      </c>
      <c r="L144" s="18"/>
    </row>
    <row r="145" spans="1:12" ht="14.25" customHeight="1" x14ac:dyDescent="0.3">
      <c r="B145" s="13" t="s">
        <v>201</v>
      </c>
      <c r="C145" s="35">
        <v>45943</v>
      </c>
      <c r="D145" s="35">
        <v>45950</v>
      </c>
      <c r="E145" s="35">
        <v>45957</v>
      </c>
      <c r="F145" s="35">
        <v>45964</v>
      </c>
      <c r="G145" s="35">
        <v>45971</v>
      </c>
      <c r="H145" s="35">
        <v>45978</v>
      </c>
      <c r="I145" s="35">
        <v>45985</v>
      </c>
      <c r="J145" s="35">
        <v>45992</v>
      </c>
      <c r="K145" s="35">
        <v>45999</v>
      </c>
      <c r="L145" s="25" t="s">
        <v>206</v>
      </c>
    </row>
    <row r="146" spans="1:12" ht="14.25" customHeight="1" x14ac:dyDescent="0.3">
      <c r="A146" s="3">
        <v>1.247177188019948</v>
      </c>
      <c r="B146" s="3" t="s">
        <v>213</v>
      </c>
      <c r="C146" s="3">
        <v>1</v>
      </c>
      <c r="D146" s="3">
        <v>3</v>
      </c>
      <c r="E146" s="3">
        <v>3</v>
      </c>
      <c r="F146" s="3">
        <v>3</v>
      </c>
      <c r="G146" s="3">
        <v>1</v>
      </c>
      <c r="H146" s="3">
        <v>0</v>
      </c>
      <c r="I146" s="12">
        <v>4</v>
      </c>
      <c r="J146" s="12">
        <v>12</v>
      </c>
      <c r="K146" s="12">
        <v>1</v>
      </c>
      <c r="L146" s="25">
        <f t="shared" ref="L146:L165" si="6">AVERAGE(C146:K146)</f>
        <v>3.1111111111111112</v>
      </c>
    </row>
    <row r="147" spans="1:12" ht="14.25" customHeight="1" x14ac:dyDescent="0.3">
      <c r="A147" s="3">
        <v>1.1425292918330761</v>
      </c>
      <c r="B147" s="3" t="s">
        <v>215</v>
      </c>
      <c r="C147" s="3">
        <v>3</v>
      </c>
      <c r="D147" s="3">
        <v>4</v>
      </c>
      <c r="E147" s="3">
        <v>4</v>
      </c>
      <c r="F147" s="3">
        <v>4</v>
      </c>
      <c r="G147" s="3">
        <v>7</v>
      </c>
      <c r="H147" s="3">
        <v>6</v>
      </c>
      <c r="I147" s="12">
        <v>4</v>
      </c>
      <c r="J147" s="12">
        <v>6</v>
      </c>
      <c r="K147" s="12">
        <v>4</v>
      </c>
      <c r="L147" s="25">
        <f t="shared" si="6"/>
        <v>4.666666666666667</v>
      </c>
    </row>
    <row r="148" spans="1:12" ht="14.25" customHeight="1" x14ac:dyDescent="0.3">
      <c r="A148" s="3">
        <v>1.123713972805261</v>
      </c>
      <c r="B148" s="3" t="s">
        <v>216</v>
      </c>
      <c r="C148" s="3">
        <v>2</v>
      </c>
      <c r="D148" s="3">
        <v>2</v>
      </c>
      <c r="E148" s="3">
        <v>2</v>
      </c>
      <c r="F148" s="3">
        <v>2</v>
      </c>
      <c r="G148" s="3">
        <v>6</v>
      </c>
      <c r="H148" s="3">
        <v>5</v>
      </c>
      <c r="I148" s="12">
        <v>3</v>
      </c>
      <c r="J148" s="12">
        <v>3</v>
      </c>
      <c r="K148" s="12">
        <v>4</v>
      </c>
      <c r="L148" s="25">
        <f t="shared" si="6"/>
        <v>3.2222222222222223</v>
      </c>
    </row>
    <row r="149" spans="1:12" ht="14.25" customHeight="1" x14ac:dyDescent="0.3">
      <c r="A149" s="3">
        <v>1.1139196755889551</v>
      </c>
      <c r="B149" s="3" t="s">
        <v>217</v>
      </c>
      <c r="C149" s="3">
        <v>1</v>
      </c>
      <c r="D149" s="3">
        <v>2</v>
      </c>
      <c r="E149" s="3">
        <v>2</v>
      </c>
      <c r="F149" s="3">
        <v>2</v>
      </c>
      <c r="G149" s="3">
        <v>3</v>
      </c>
      <c r="H149" s="3">
        <v>4</v>
      </c>
      <c r="I149" s="12">
        <v>5</v>
      </c>
      <c r="J149" s="12">
        <v>5</v>
      </c>
      <c r="K149" s="12">
        <v>2</v>
      </c>
      <c r="L149" s="25">
        <f t="shared" si="6"/>
        <v>2.8888888888888888</v>
      </c>
    </row>
    <row r="150" spans="1:12" ht="14.25" customHeight="1" x14ac:dyDescent="0.3">
      <c r="A150" s="3">
        <v>1.0416402811862899</v>
      </c>
      <c r="B150" s="3" t="s">
        <v>218</v>
      </c>
      <c r="C150" s="3">
        <v>4</v>
      </c>
      <c r="D150" s="3">
        <v>2</v>
      </c>
      <c r="E150" s="3">
        <v>2</v>
      </c>
      <c r="F150" s="3">
        <v>2</v>
      </c>
      <c r="G150" s="3">
        <v>1</v>
      </c>
      <c r="H150" s="3">
        <v>6</v>
      </c>
      <c r="I150" s="12">
        <v>8</v>
      </c>
      <c r="J150" s="12">
        <v>0</v>
      </c>
      <c r="K150" s="12">
        <v>1</v>
      </c>
      <c r="L150" s="25">
        <f t="shared" si="6"/>
        <v>2.8888888888888888</v>
      </c>
    </row>
    <row r="151" spans="1:12" ht="14.25" customHeight="1" x14ac:dyDescent="0.3">
      <c r="A151" s="3">
        <v>0.99583449612816577</v>
      </c>
      <c r="B151" s="3" t="s">
        <v>220</v>
      </c>
      <c r="C151" s="3">
        <v>10</v>
      </c>
      <c r="D151" s="3">
        <v>8</v>
      </c>
      <c r="E151" s="3">
        <v>8</v>
      </c>
      <c r="F151" s="3">
        <v>8</v>
      </c>
      <c r="G151" s="3">
        <v>3</v>
      </c>
      <c r="H151" s="3">
        <v>0</v>
      </c>
      <c r="I151" s="12">
        <v>6</v>
      </c>
      <c r="J151" s="12">
        <v>5</v>
      </c>
      <c r="K151" s="12">
        <v>1</v>
      </c>
      <c r="L151" s="25">
        <f t="shared" si="6"/>
        <v>5.4444444444444446</v>
      </c>
    </row>
    <row r="152" spans="1:12" ht="14.25" customHeight="1" x14ac:dyDescent="0.3">
      <c r="A152" s="3">
        <v>0.9957863323050703</v>
      </c>
      <c r="B152" s="3" t="s">
        <v>223</v>
      </c>
      <c r="C152" s="3">
        <v>0</v>
      </c>
      <c r="D152" s="3">
        <v>3</v>
      </c>
      <c r="E152" s="3">
        <v>3</v>
      </c>
      <c r="F152" s="3">
        <v>3</v>
      </c>
      <c r="G152" s="3">
        <v>3</v>
      </c>
      <c r="H152" s="3">
        <v>1</v>
      </c>
      <c r="I152" s="12">
        <v>6</v>
      </c>
      <c r="J152" s="12">
        <v>5</v>
      </c>
      <c r="K152" s="12">
        <v>3</v>
      </c>
      <c r="L152" s="25">
        <f t="shared" si="6"/>
        <v>3</v>
      </c>
    </row>
    <row r="153" spans="1:12" ht="14.25" customHeight="1" x14ac:dyDescent="0.3">
      <c r="A153" s="3">
        <v>0.98995442105744402</v>
      </c>
      <c r="B153" s="3" t="s">
        <v>224</v>
      </c>
      <c r="C153" s="3">
        <v>0</v>
      </c>
      <c r="D153" s="3">
        <v>2</v>
      </c>
      <c r="E153" s="3">
        <v>2</v>
      </c>
      <c r="F153" s="3">
        <v>2</v>
      </c>
      <c r="G153" s="3">
        <v>0</v>
      </c>
      <c r="H153" s="3">
        <v>4</v>
      </c>
      <c r="I153" s="12">
        <v>3</v>
      </c>
      <c r="J153" s="12">
        <v>0</v>
      </c>
      <c r="K153" s="12">
        <v>4</v>
      </c>
      <c r="L153" s="25">
        <f t="shared" si="6"/>
        <v>1.8888888888888888</v>
      </c>
    </row>
    <row r="154" spans="1:12" ht="14.25" customHeight="1" x14ac:dyDescent="0.3">
      <c r="A154" s="3">
        <v>0.8928339600558084</v>
      </c>
      <c r="B154" s="3" t="s">
        <v>225</v>
      </c>
      <c r="C154" s="3">
        <v>0</v>
      </c>
      <c r="D154" s="3">
        <v>3</v>
      </c>
      <c r="E154" s="3">
        <v>3</v>
      </c>
      <c r="F154" s="3">
        <v>3</v>
      </c>
      <c r="G154" s="3">
        <v>2</v>
      </c>
      <c r="H154" s="3">
        <v>5</v>
      </c>
      <c r="I154" s="12">
        <v>3</v>
      </c>
      <c r="J154" s="12">
        <v>6</v>
      </c>
      <c r="K154" s="12">
        <v>5</v>
      </c>
      <c r="L154" s="25">
        <f t="shared" si="6"/>
        <v>3.3333333333333335</v>
      </c>
    </row>
    <row r="155" spans="1:12" ht="14.25" customHeight="1" x14ac:dyDescent="0.3">
      <c r="A155" s="3">
        <v>0.88597893866063815</v>
      </c>
      <c r="B155" s="3" t="s">
        <v>227</v>
      </c>
      <c r="C155" s="3">
        <v>8</v>
      </c>
      <c r="D155" s="3">
        <v>2</v>
      </c>
      <c r="E155" s="3">
        <v>2</v>
      </c>
      <c r="F155" s="3">
        <v>2</v>
      </c>
      <c r="G155" s="3">
        <v>1</v>
      </c>
      <c r="H155" s="3">
        <v>2</v>
      </c>
      <c r="I155" s="12">
        <v>9</v>
      </c>
      <c r="J155" s="12">
        <v>5</v>
      </c>
      <c r="K155" s="12">
        <v>3</v>
      </c>
      <c r="L155" s="25">
        <f t="shared" si="6"/>
        <v>3.7777777777777777</v>
      </c>
    </row>
    <row r="156" spans="1:12" ht="14.25" customHeight="1" x14ac:dyDescent="0.3">
      <c r="A156" s="3">
        <v>-1.0923718971587979</v>
      </c>
      <c r="B156" s="3" t="s">
        <v>229</v>
      </c>
      <c r="C156" s="3">
        <v>10</v>
      </c>
      <c r="D156" s="3">
        <v>11</v>
      </c>
      <c r="E156" s="3">
        <v>11</v>
      </c>
      <c r="F156" s="3">
        <v>11</v>
      </c>
      <c r="G156" s="3">
        <v>11</v>
      </c>
      <c r="H156" s="3">
        <v>11</v>
      </c>
      <c r="I156" s="12">
        <v>7</v>
      </c>
      <c r="J156" s="12">
        <v>7</v>
      </c>
      <c r="K156" s="12">
        <v>10</v>
      </c>
      <c r="L156" s="25">
        <f t="shared" si="6"/>
        <v>9.8888888888888893</v>
      </c>
    </row>
    <row r="157" spans="1:12" ht="14.25" customHeight="1" x14ac:dyDescent="0.3">
      <c r="A157" s="3">
        <v>-1.1154133211974251</v>
      </c>
      <c r="B157" s="3" t="s">
        <v>232</v>
      </c>
      <c r="C157" s="3">
        <v>17</v>
      </c>
      <c r="D157" s="3">
        <v>14</v>
      </c>
      <c r="E157" s="3">
        <v>14</v>
      </c>
      <c r="F157" s="3">
        <v>14</v>
      </c>
      <c r="G157" s="3">
        <v>13</v>
      </c>
      <c r="H157" s="3">
        <v>12</v>
      </c>
      <c r="I157" s="12">
        <v>16</v>
      </c>
      <c r="J157" s="12">
        <v>15</v>
      </c>
      <c r="K157" s="12">
        <v>15</v>
      </c>
      <c r="L157" s="25">
        <f t="shared" si="6"/>
        <v>14.444444444444445</v>
      </c>
    </row>
    <row r="158" spans="1:12" ht="14.25" customHeight="1" x14ac:dyDescent="0.3">
      <c r="A158" s="3">
        <v>-1.12017317951397</v>
      </c>
      <c r="B158" s="3" t="s">
        <v>234</v>
      </c>
      <c r="C158" s="3">
        <v>14</v>
      </c>
      <c r="D158" s="3">
        <v>11</v>
      </c>
      <c r="E158" s="3">
        <v>11</v>
      </c>
      <c r="F158" s="3">
        <v>11</v>
      </c>
      <c r="G158" s="3">
        <v>12</v>
      </c>
      <c r="H158" s="3">
        <v>14</v>
      </c>
      <c r="I158" s="12">
        <v>6</v>
      </c>
      <c r="J158" s="12">
        <v>14</v>
      </c>
      <c r="K158" s="12">
        <v>12</v>
      </c>
      <c r="L158" s="25">
        <f t="shared" si="6"/>
        <v>11.666666666666666</v>
      </c>
    </row>
    <row r="159" spans="1:12" ht="14.25" customHeight="1" x14ac:dyDescent="0.3">
      <c r="A159" s="3">
        <v>-1.1339562965442611</v>
      </c>
      <c r="B159" s="3" t="s">
        <v>236</v>
      </c>
      <c r="C159" s="3">
        <v>15</v>
      </c>
      <c r="D159" s="3">
        <v>11</v>
      </c>
      <c r="E159" s="3">
        <v>11</v>
      </c>
      <c r="F159" s="3">
        <v>11</v>
      </c>
      <c r="G159" s="3">
        <v>15</v>
      </c>
      <c r="H159" s="3">
        <v>13</v>
      </c>
      <c r="I159" s="12">
        <v>14</v>
      </c>
      <c r="J159" s="12">
        <v>13</v>
      </c>
      <c r="K159" s="12">
        <v>14</v>
      </c>
      <c r="L159" s="25">
        <f t="shared" si="6"/>
        <v>13</v>
      </c>
    </row>
    <row r="160" spans="1:12" ht="14.25" customHeight="1" x14ac:dyDescent="0.3">
      <c r="A160" s="3">
        <v>-1.1428327832816429</v>
      </c>
      <c r="B160" s="3" t="s">
        <v>238</v>
      </c>
      <c r="C160" s="3">
        <v>1</v>
      </c>
      <c r="D160" s="3">
        <v>3</v>
      </c>
      <c r="E160" s="3">
        <v>3</v>
      </c>
      <c r="F160" s="3">
        <v>3</v>
      </c>
      <c r="G160" s="3">
        <v>1</v>
      </c>
      <c r="H160" s="3">
        <v>2</v>
      </c>
      <c r="I160" s="12">
        <v>3</v>
      </c>
      <c r="J160" s="12">
        <v>4</v>
      </c>
      <c r="K160" s="12">
        <v>2</v>
      </c>
      <c r="L160" s="25">
        <f t="shared" si="6"/>
        <v>2.4444444444444446</v>
      </c>
    </row>
    <row r="161" spans="1:12" ht="14.25" customHeight="1" x14ac:dyDescent="0.3">
      <c r="A161" s="3">
        <v>-1.1920893573654381</v>
      </c>
      <c r="B161" s="3" t="s">
        <v>239</v>
      </c>
      <c r="C161" s="3">
        <v>13</v>
      </c>
      <c r="D161" s="3">
        <v>11</v>
      </c>
      <c r="E161" s="3">
        <v>11</v>
      </c>
      <c r="F161" s="3">
        <v>11</v>
      </c>
      <c r="G161" s="3">
        <v>15</v>
      </c>
      <c r="H161" s="3">
        <v>11</v>
      </c>
      <c r="I161" s="12">
        <v>10</v>
      </c>
      <c r="J161" s="12">
        <v>12</v>
      </c>
      <c r="K161" s="12">
        <v>9</v>
      </c>
      <c r="L161" s="25">
        <f t="shared" si="6"/>
        <v>11.444444444444445</v>
      </c>
    </row>
    <row r="162" spans="1:12" ht="14.25" customHeight="1" x14ac:dyDescent="0.3">
      <c r="A162" s="3">
        <v>-1.196962071035268</v>
      </c>
      <c r="B162" s="3" t="s">
        <v>240</v>
      </c>
      <c r="C162" s="3">
        <v>13</v>
      </c>
      <c r="D162" s="3">
        <v>14</v>
      </c>
      <c r="E162" s="3">
        <v>14</v>
      </c>
      <c r="F162" s="3">
        <v>14</v>
      </c>
      <c r="G162" s="3">
        <v>17</v>
      </c>
      <c r="H162" s="3">
        <v>10</v>
      </c>
      <c r="I162" s="12">
        <v>17</v>
      </c>
      <c r="J162" s="12">
        <v>16</v>
      </c>
      <c r="K162" s="12">
        <v>18</v>
      </c>
      <c r="L162" s="25">
        <f t="shared" si="6"/>
        <v>14.777777777777779</v>
      </c>
    </row>
    <row r="163" spans="1:12" ht="14.25" customHeight="1" x14ac:dyDescent="0.3">
      <c r="A163" s="3">
        <v>-1.2097705883740471</v>
      </c>
      <c r="B163" s="3" t="s">
        <v>241</v>
      </c>
      <c r="C163" s="3">
        <v>11</v>
      </c>
      <c r="D163" s="3">
        <v>11</v>
      </c>
      <c r="E163" s="3">
        <v>11</v>
      </c>
      <c r="F163" s="3">
        <v>11</v>
      </c>
      <c r="G163" s="3">
        <v>6</v>
      </c>
      <c r="H163" s="3">
        <v>14</v>
      </c>
      <c r="I163" s="12">
        <v>14</v>
      </c>
      <c r="J163" s="12">
        <v>13</v>
      </c>
      <c r="K163" s="12">
        <v>15</v>
      </c>
      <c r="L163" s="25">
        <f t="shared" si="6"/>
        <v>11.777777777777779</v>
      </c>
    </row>
    <row r="164" spans="1:12" ht="14.25" customHeight="1" x14ac:dyDescent="0.3">
      <c r="A164" s="3">
        <v>-1.3367165560614409</v>
      </c>
      <c r="B164" s="3" t="s">
        <v>242</v>
      </c>
      <c r="C164" s="3">
        <v>5</v>
      </c>
      <c r="D164" s="3">
        <v>12</v>
      </c>
      <c r="E164" s="3">
        <v>12</v>
      </c>
      <c r="F164" s="3">
        <v>12</v>
      </c>
      <c r="G164" s="3">
        <v>15</v>
      </c>
      <c r="H164" s="3">
        <v>16</v>
      </c>
      <c r="I164" s="12">
        <v>16</v>
      </c>
      <c r="J164" s="12">
        <v>12</v>
      </c>
      <c r="K164" s="12">
        <v>5</v>
      </c>
      <c r="L164" s="25">
        <f t="shared" si="6"/>
        <v>11.666666666666666</v>
      </c>
    </row>
    <row r="165" spans="1:12" ht="14.25" customHeight="1" x14ac:dyDescent="0.3">
      <c r="A165" s="3">
        <v>-1.679865001322572</v>
      </c>
      <c r="B165" s="3" t="s">
        <v>243</v>
      </c>
      <c r="C165" s="3">
        <v>7</v>
      </c>
      <c r="D165" s="3">
        <v>21</v>
      </c>
      <c r="E165" s="3">
        <v>21</v>
      </c>
      <c r="F165" s="3">
        <v>21</v>
      </c>
      <c r="G165" s="3">
        <v>23</v>
      </c>
      <c r="H165" s="3">
        <v>20</v>
      </c>
      <c r="I165" s="12">
        <v>26</v>
      </c>
      <c r="J165" s="12">
        <v>27</v>
      </c>
      <c r="K165" s="12">
        <v>26</v>
      </c>
      <c r="L165" s="25">
        <f t="shared" si="6"/>
        <v>21.333333333333332</v>
      </c>
    </row>
    <row r="166" spans="1:12" ht="14.25" customHeight="1" x14ac:dyDescent="0.3">
      <c r="L166" s="18"/>
    </row>
    <row r="167" spans="1:12" ht="14.25" customHeight="1" x14ac:dyDescent="0.3">
      <c r="L167" s="18"/>
    </row>
    <row r="168" spans="1:12" ht="14.25" customHeight="1" x14ac:dyDescent="0.3">
      <c r="L168" s="18"/>
    </row>
    <row r="169" spans="1:12" ht="14.25" customHeight="1" x14ac:dyDescent="0.3">
      <c r="L169" s="18"/>
    </row>
    <row r="170" spans="1:12" ht="14.25" customHeight="1" x14ac:dyDescent="0.3">
      <c r="L170" s="18"/>
    </row>
    <row r="171" spans="1:12" ht="14.25" customHeight="1" x14ac:dyDescent="0.3">
      <c r="L171" s="18"/>
    </row>
    <row r="172" spans="1:12" ht="14.25" customHeight="1" x14ac:dyDescent="0.3">
      <c r="L172" s="18"/>
    </row>
    <row r="173" spans="1:12" ht="14.25" customHeight="1" x14ac:dyDescent="0.3">
      <c r="L173" s="18"/>
    </row>
    <row r="174" spans="1:12" ht="14.25" customHeight="1" x14ac:dyDescent="0.3">
      <c r="L174" s="18"/>
    </row>
    <row r="175" spans="1:12" ht="14.25" customHeight="1" x14ac:dyDescent="0.3">
      <c r="L175" s="18"/>
    </row>
    <row r="176" spans="1:12" ht="14.25" customHeight="1" x14ac:dyDescent="0.3">
      <c r="L176" s="18"/>
    </row>
    <row r="177" spans="12:12" ht="14.25" customHeight="1" x14ac:dyDescent="0.3">
      <c r="L177" s="18"/>
    </row>
    <row r="178" spans="12:12" ht="14.25" customHeight="1" x14ac:dyDescent="0.3">
      <c r="L178" s="18"/>
    </row>
    <row r="179" spans="12:12" ht="14.25" customHeight="1" x14ac:dyDescent="0.3">
      <c r="L179" s="18"/>
    </row>
    <row r="180" spans="12:12" ht="14.25" customHeight="1" x14ac:dyDescent="0.3">
      <c r="L180" s="18"/>
    </row>
    <row r="181" spans="12:12" ht="14.25" customHeight="1" x14ac:dyDescent="0.3">
      <c r="L181" s="18"/>
    </row>
    <row r="182" spans="12:12" ht="14.25" customHeight="1" x14ac:dyDescent="0.3">
      <c r="L182" s="18"/>
    </row>
    <row r="183" spans="12:12" ht="14.25" customHeight="1" x14ac:dyDescent="0.3">
      <c r="L183" s="18"/>
    </row>
    <row r="184" spans="12:12" ht="14.25" customHeight="1" x14ac:dyDescent="0.3">
      <c r="L184" s="18"/>
    </row>
    <row r="185" spans="12:12" ht="14.25" customHeight="1" x14ac:dyDescent="0.3">
      <c r="L185" s="18"/>
    </row>
    <row r="186" spans="12:12" ht="14.25" customHeight="1" x14ac:dyDescent="0.3">
      <c r="L186" s="18"/>
    </row>
    <row r="187" spans="12:12" ht="14.25" customHeight="1" x14ac:dyDescent="0.3">
      <c r="L187" s="18"/>
    </row>
    <row r="188" spans="12:12" ht="14.25" customHeight="1" x14ac:dyDescent="0.3">
      <c r="L188" s="18"/>
    </row>
    <row r="189" spans="12:12" ht="14.25" customHeight="1" x14ac:dyDescent="0.3">
      <c r="L189" s="18"/>
    </row>
    <row r="190" spans="12:12" ht="14.25" customHeight="1" x14ac:dyDescent="0.3">
      <c r="L190" s="18"/>
    </row>
    <row r="191" spans="12:12" ht="14.25" customHeight="1" x14ac:dyDescent="0.3">
      <c r="L191" s="18"/>
    </row>
    <row r="192" spans="12:12" ht="14.25" customHeight="1" x14ac:dyDescent="0.3">
      <c r="L192" s="18"/>
    </row>
    <row r="193" spans="12:12" ht="14.25" customHeight="1" x14ac:dyDescent="0.3">
      <c r="L193" s="18"/>
    </row>
    <row r="194" spans="12:12" ht="14.25" customHeight="1" x14ac:dyDescent="0.3">
      <c r="L194" s="18"/>
    </row>
    <row r="195" spans="12:12" ht="14.25" customHeight="1" x14ac:dyDescent="0.3">
      <c r="L195" s="18"/>
    </row>
    <row r="196" spans="12:12" ht="14.25" customHeight="1" x14ac:dyDescent="0.3">
      <c r="L196" s="18"/>
    </row>
    <row r="197" spans="12:12" ht="14.25" customHeight="1" x14ac:dyDescent="0.3">
      <c r="L197" s="18"/>
    </row>
    <row r="198" spans="12:12" ht="14.25" customHeight="1" x14ac:dyDescent="0.3">
      <c r="L198" s="18"/>
    </row>
    <row r="199" spans="12:12" ht="14.25" customHeight="1" x14ac:dyDescent="0.3">
      <c r="L199" s="18"/>
    </row>
    <row r="200" spans="12:12" ht="14.25" customHeight="1" x14ac:dyDescent="0.3">
      <c r="L200" s="18"/>
    </row>
    <row r="201" spans="12:12" ht="14.25" customHeight="1" x14ac:dyDescent="0.3">
      <c r="L201" s="18"/>
    </row>
    <row r="202" spans="12:12" ht="14.25" customHeight="1" x14ac:dyDescent="0.3">
      <c r="L202" s="18"/>
    </row>
    <row r="203" spans="12:12" ht="14.25" customHeight="1" x14ac:dyDescent="0.3">
      <c r="L203" s="18"/>
    </row>
    <row r="204" spans="12:12" ht="14.25" customHeight="1" x14ac:dyDescent="0.3">
      <c r="L204" s="18"/>
    </row>
    <row r="205" spans="12:12" ht="14.25" customHeight="1" x14ac:dyDescent="0.3">
      <c r="L205" s="18"/>
    </row>
    <row r="206" spans="12:12" ht="14.25" customHeight="1" x14ac:dyDescent="0.3">
      <c r="L206" s="18"/>
    </row>
    <row r="207" spans="12:12" ht="14.25" customHeight="1" x14ac:dyDescent="0.3">
      <c r="L207" s="18"/>
    </row>
    <row r="208" spans="12:12" ht="14.25" customHeight="1" x14ac:dyDescent="0.3">
      <c r="L208" s="18"/>
    </row>
    <row r="209" spans="12:12" ht="14.25" customHeight="1" x14ac:dyDescent="0.3">
      <c r="L209" s="18"/>
    </row>
    <row r="210" spans="12:12" ht="14.25" customHeight="1" x14ac:dyDescent="0.3">
      <c r="L210" s="18"/>
    </row>
    <row r="211" spans="12:12" ht="14.25" customHeight="1" x14ac:dyDescent="0.3">
      <c r="L211" s="18"/>
    </row>
    <row r="212" spans="12:12" ht="14.25" customHeight="1" x14ac:dyDescent="0.3">
      <c r="L212" s="18"/>
    </row>
    <row r="213" spans="12:12" ht="14.25" customHeight="1" x14ac:dyDescent="0.3">
      <c r="L213" s="18"/>
    </row>
    <row r="214" spans="12:12" ht="14.25" customHeight="1" x14ac:dyDescent="0.3">
      <c r="L214" s="18"/>
    </row>
    <row r="215" spans="12:12" ht="14.25" customHeight="1" x14ac:dyDescent="0.3">
      <c r="L215" s="18"/>
    </row>
    <row r="216" spans="12:12" ht="14.25" customHeight="1" x14ac:dyDescent="0.3">
      <c r="L216" s="18"/>
    </row>
    <row r="217" spans="12:12" ht="14.25" customHeight="1" x14ac:dyDescent="0.3">
      <c r="L217" s="18"/>
    </row>
    <row r="218" spans="12:12" ht="14.25" customHeight="1" x14ac:dyDescent="0.3">
      <c r="L218" s="18"/>
    </row>
    <row r="219" spans="12:12" ht="14.25" customHeight="1" x14ac:dyDescent="0.3">
      <c r="L219" s="18"/>
    </row>
    <row r="220" spans="12:12" ht="14.25" customHeight="1" x14ac:dyDescent="0.3">
      <c r="L220" s="18"/>
    </row>
    <row r="221" spans="12:12" ht="14.25" customHeight="1" x14ac:dyDescent="0.3">
      <c r="L221" s="18"/>
    </row>
    <row r="222" spans="12:12" ht="14.25" customHeight="1" x14ac:dyDescent="0.3">
      <c r="L222" s="18"/>
    </row>
    <row r="223" spans="12:12" ht="14.25" customHeight="1" x14ac:dyDescent="0.3">
      <c r="L223" s="18"/>
    </row>
    <row r="224" spans="12:12" ht="14.25" customHeight="1" x14ac:dyDescent="0.3">
      <c r="L224" s="18"/>
    </row>
    <row r="225" spans="12:12" ht="14.25" customHeight="1" x14ac:dyDescent="0.3">
      <c r="L225" s="18"/>
    </row>
    <row r="226" spans="12:12" ht="14.25" customHeight="1" x14ac:dyDescent="0.3">
      <c r="L226" s="18"/>
    </row>
    <row r="227" spans="12:12" ht="14.25" customHeight="1" x14ac:dyDescent="0.3">
      <c r="L227" s="18"/>
    </row>
    <row r="228" spans="12:12" ht="14.25" customHeight="1" x14ac:dyDescent="0.3">
      <c r="L228" s="18"/>
    </row>
    <row r="229" spans="12:12" ht="14.25" customHeight="1" x14ac:dyDescent="0.3">
      <c r="L229" s="18"/>
    </row>
    <row r="230" spans="12:12" ht="14.25" customHeight="1" x14ac:dyDescent="0.3">
      <c r="L230" s="18"/>
    </row>
    <row r="231" spans="12:12" ht="14.25" customHeight="1" x14ac:dyDescent="0.3">
      <c r="L231" s="18"/>
    </row>
    <row r="232" spans="12:12" ht="14.25" customHeight="1" x14ac:dyDescent="0.3">
      <c r="L232" s="18"/>
    </row>
    <row r="233" spans="12:12" ht="14.25" customHeight="1" x14ac:dyDescent="0.3">
      <c r="L233" s="18"/>
    </row>
    <row r="234" spans="12:12" ht="14.25" customHeight="1" x14ac:dyDescent="0.3">
      <c r="L234" s="18"/>
    </row>
    <row r="235" spans="12:12" ht="14.25" customHeight="1" x14ac:dyDescent="0.3">
      <c r="L235" s="18"/>
    </row>
    <row r="236" spans="12:12" ht="14.25" customHeight="1" x14ac:dyDescent="0.3">
      <c r="L236" s="18"/>
    </row>
    <row r="237" spans="12:12" ht="14.25" customHeight="1" x14ac:dyDescent="0.3">
      <c r="L237" s="18"/>
    </row>
    <row r="238" spans="12:12" ht="14.25" customHeight="1" x14ac:dyDescent="0.3">
      <c r="L238" s="18"/>
    </row>
    <row r="239" spans="12:12" ht="14.25" customHeight="1" x14ac:dyDescent="0.3">
      <c r="L239" s="18"/>
    </row>
    <row r="240" spans="12:12" ht="14.25" customHeight="1" x14ac:dyDescent="0.3">
      <c r="L240" s="18"/>
    </row>
    <row r="241" spans="12:12" ht="14.25" customHeight="1" x14ac:dyDescent="0.3">
      <c r="L241" s="18"/>
    </row>
    <row r="242" spans="12:12" ht="14.25" customHeight="1" x14ac:dyDescent="0.3">
      <c r="L242" s="18"/>
    </row>
    <row r="243" spans="12:12" ht="14.25" customHeight="1" x14ac:dyDescent="0.3">
      <c r="L243" s="18"/>
    </row>
    <row r="244" spans="12:12" ht="14.25" customHeight="1" x14ac:dyDescent="0.3">
      <c r="L244" s="18"/>
    </row>
    <row r="245" spans="12:12" ht="14.25" customHeight="1" x14ac:dyDescent="0.3">
      <c r="L245" s="18"/>
    </row>
    <row r="246" spans="12:12" ht="14.25" customHeight="1" x14ac:dyDescent="0.3">
      <c r="L246" s="18"/>
    </row>
    <row r="247" spans="12:12" ht="14.25" customHeight="1" x14ac:dyDescent="0.3">
      <c r="L247" s="18"/>
    </row>
    <row r="248" spans="12:12" ht="14.25" customHeight="1" x14ac:dyDescent="0.3">
      <c r="L248" s="18"/>
    </row>
    <row r="249" spans="12:12" ht="14.25" customHeight="1" x14ac:dyDescent="0.3">
      <c r="L249" s="18"/>
    </row>
    <row r="250" spans="12:12" ht="14.25" customHeight="1" x14ac:dyDescent="0.3">
      <c r="L250" s="18"/>
    </row>
    <row r="251" spans="12:12" ht="14.25" customHeight="1" x14ac:dyDescent="0.3">
      <c r="L251" s="18"/>
    </row>
    <row r="252" spans="12:12" ht="14.25" customHeight="1" x14ac:dyDescent="0.3">
      <c r="L252" s="18"/>
    </row>
    <row r="253" spans="12:12" ht="14.25" customHeight="1" x14ac:dyDescent="0.3">
      <c r="L253" s="18"/>
    </row>
    <row r="254" spans="12:12" ht="14.25" customHeight="1" x14ac:dyDescent="0.3">
      <c r="L254" s="18"/>
    </row>
    <row r="255" spans="12:12" ht="14.25" customHeight="1" x14ac:dyDescent="0.3">
      <c r="L255" s="18"/>
    </row>
    <row r="256" spans="12:12" ht="14.25" customHeight="1" x14ac:dyDescent="0.3">
      <c r="L256" s="18"/>
    </row>
    <row r="257" spans="12:12" ht="14.25" customHeight="1" x14ac:dyDescent="0.3">
      <c r="L257" s="18"/>
    </row>
    <row r="258" spans="12:12" ht="14.25" customHeight="1" x14ac:dyDescent="0.3">
      <c r="L258" s="18"/>
    </row>
    <row r="259" spans="12:12" ht="14.25" customHeight="1" x14ac:dyDescent="0.3">
      <c r="L259" s="18"/>
    </row>
    <row r="260" spans="12:12" ht="14.25" customHeight="1" x14ac:dyDescent="0.3">
      <c r="L260" s="18"/>
    </row>
    <row r="261" spans="12:12" ht="14.25" customHeight="1" x14ac:dyDescent="0.3">
      <c r="L261" s="18"/>
    </row>
    <row r="262" spans="12:12" ht="14.25" customHeight="1" x14ac:dyDescent="0.3">
      <c r="L262" s="18"/>
    </row>
    <row r="263" spans="12:12" ht="14.25" customHeight="1" x14ac:dyDescent="0.3">
      <c r="L263" s="18"/>
    </row>
    <row r="264" spans="12:12" ht="14.25" customHeight="1" x14ac:dyDescent="0.3">
      <c r="L264" s="18"/>
    </row>
    <row r="265" spans="12:12" ht="14.25" customHeight="1" x14ac:dyDescent="0.3">
      <c r="L265" s="18"/>
    </row>
    <row r="266" spans="12:12" ht="14.25" customHeight="1" x14ac:dyDescent="0.3">
      <c r="L266" s="18"/>
    </row>
    <row r="267" spans="12:12" ht="14.25" customHeight="1" x14ac:dyDescent="0.3">
      <c r="L267" s="18"/>
    </row>
    <row r="268" spans="12:12" ht="14.25" customHeight="1" x14ac:dyDescent="0.3">
      <c r="L268" s="18"/>
    </row>
    <row r="269" spans="12:12" ht="14.25" customHeight="1" x14ac:dyDescent="0.3">
      <c r="L269" s="18"/>
    </row>
    <row r="270" spans="12:12" ht="14.25" customHeight="1" x14ac:dyDescent="0.3">
      <c r="L270" s="18"/>
    </row>
    <row r="271" spans="12:12" ht="14.25" customHeight="1" x14ac:dyDescent="0.3">
      <c r="L271" s="18"/>
    </row>
    <row r="272" spans="12:12" ht="14.25" customHeight="1" x14ac:dyDescent="0.3">
      <c r="L272" s="18"/>
    </row>
    <row r="273" spans="12:12" ht="14.25" customHeight="1" x14ac:dyDescent="0.3">
      <c r="L273" s="18"/>
    </row>
    <row r="274" spans="12:12" ht="14.25" customHeight="1" x14ac:dyDescent="0.3">
      <c r="L274" s="18"/>
    </row>
    <row r="275" spans="12:12" ht="14.25" customHeight="1" x14ac:dyDescent="0.3">
      <c r="L275" s="18"/>
    </row>
    <row r="276" spans="12:12" ht="14.25" customHeight="1" x14ac:dyDescent="0.3">
      <c r="L276" s="18"/>
    </row>
    <row r="277" spans="12:12" ht="14.25" customHeight="1" x14ac:dyDescent="0.3">
      <c r="L277" s="18"/>
    </row>
    <row r="278" spans="12:12" ht="14.25" customHeight="1" x14ac:dyDescent="0.3">
      <c r="L278" s="18"/>
    </row>
    <row r="279" spans="12:12" ht="14.25" customHeight="1" x14ac:dyDescent="0.3">
      <c r="L279" s="18"/>
    </row>
    <row r="280" spans="12:12" ht="14.25" customHeight="1" x14ac:dyDescent="0.3">
      <c r="L280" s="18"/>
    </row>
    <row r="281" spans="12:12" ht="14.25" customHeight="1" x14ac:dyDescent="0.3">
      <c r="L281" s="18"/>
    </row>
    <row r="282" spans="12:12" ht="14.25" customHeight="1" x14ac:dyDescent="0.3">
      <c r="L282" s="18"/>
    </row>
    <row r="283" spans="12:12" ht="14.25" customHeight="1" x14ac:dyDescent="0.3">
      <c r="L283" s="18"/>
    </row>
    <row r="284" spans="12:12" ht="14.25" customHeight="1" x14ac:dyDescent="0.3">
      <c r="L284" s="18"/>
    </row>
    <row r="285" spans="12:12" ht="14.25" customHeight="1" x14ac:dyDescent="0.3">
      <c r="L285" s="18"/>
    </row>
    <row r="286" spans="12:12" ht="14.25" customHeight="1" x14ac:dyDescent="0.3">
      <c r="L286" s="18"/>
    </row>
    <row r="287" spans="12:12" ht="14.25" customHeight="1" x14ac:dyDescent="0.3">
      <c r="L287" s="18"/>
    </row>
    <row r="288" spans="12:12" ht="14.25" customHeight="1" x14ac:dyDescent="0.3">
      <c r="L288" s="18"/>
    </row>
    <row r="289" spans="12:12" ht="14.25" customHeight="1" x14ac:dyDescent="0.3">
      <c r="L289" s="18"/>
    </row>
    <row r="290" spans="12:12" ht="14.25" customHeight="1" x14ac:dyDescent="0.3">
      <c r="L290" s="18"/>
    </row>
    <row r="291" spans="12:12" ht="14.25" customHeight="1" x14ac:dyDescent="0.3">
      <c r="L291" s="18"/>
    </row>
    <row r="292" spans="12:12" ht="14.25" customHeight="1" x14ac:dyDescent="0.3">
      <c r="L292" s="18"/>
    </row>
    <row r="293" spans="12:12" ht="14.25" customHeight="1" x14ac:dyDescent="0.3">
      <c r="L293" s="18"/>
    </row>
    <row r="294" spans="12:12" ht="14.25" customHeight="1" x14ac:dyDescent="0.3">
      <c r="L294" s="18"/>
    </row>
    <row r="295" spans="12:12" ht="14.25" customHeight="1" x14ac:dyDescent="0.3">
      <c r="L295" s="18"/>
    </row>
    <row r="296" spans="12:12" ht="14.25" customHeight="1" x14ac:dyDescent="0.3">
      <c r="L296" s="18"/>
    </row>
    <row r="297" spans="12:12" ht="14.25" customHeight="1" x14ac:dyDescent="0.3">
      <c r="L297" s="18"/>
    </row>
    <row r="298" spans="12:12" ht="14.25" customHeight="1" x14ac:dyDescent="0.3">
      <c r="L298" s="18"/>
    </row>
    <row r="299" spans="12:12" ht="14.25" customHeight="1" x14ac:dyDescent="0.3">
      <c r="L299" s="18"/>
    </row>
    <row r="300" spans="12:12" ht="14.25" customHeight="1" x14ac:dyDescent="0.3">
      <c r="L300" s="18"/>
    </row>
    <row r="301" spans="12:12" ht="14.25" customHeight="1" x14ac:dyDescent="0.3">
      <c r="L301" s="18"/>
    </row>
    <row r="302" spans="12:12" ht="14.25" customHeight="1" x14ac:dyDescent="0.3">
      <c r="L302" s="18"/>
    </row>
    <row r="303" spans="12:12" ht="14.25" customHeight="1" x14ac:dyDescent="0.3">
      <c r="L303" s="18"/>
    </row>
    <row r="304" spans="12:12" ht="14.25" customHeight="1" x14ac:dyDescent="0.3">
      <c r="L304" s="18"/>
    </row>
    <row r="305" spans="12:12" ht="14.25" customHeight="1" x14ac:dyDescent="0.3">
      <c r="L305" s="18"/>
    </row>
    <row r="306" spans="12:12" ht="14.25" customHeight="1" x14ac:dyDescent="0.3">
      <c r="L306" s="18"/>
    </row>
    <row r="307" spans="12:12" ht="14.25" customHeight="1" x14ac:dyDescent="0.3">
      <c r="L307" s="18"/>
    </row>
    <row r="308" spans="12:12" ht="14.25" customHeight="1" x14ac:dyDescent="0.3">
      <c r="L308" s="18"/>
    </row>
    <row r="309" spans="12:12" ht="14.25" customHeight="1" x14ac:dyDescent="0.3">
      <c r="L309" s="18"/>
    </row>
    <row r="310" spans="12:12" ht="14.25" customHeight="1" x14ac:dyDescent="0.3">
      <c r="L310" s="18"/>
    </row>
    <row r="311" spans="12:12" ht="14.25" customHeight="1" x14ac:dyDescent="0.3">
      <c r="L311" s="18"/>
    </row>
    <row r="312" spans="12:12" ht="14.25" customHeight="1" x14ac:dyDescent="0.3">
      <c r="L312" s="18"/>
    </row>
    <row r="313" spans="12:12" ht="14.25" customHeight="1" x14ac:dyDescent="0.3">
      <c r="L313" s="18"/>
    </row>
    <row r="314" spans="12:12" ht="14.25" customHeight="1" x14ac:dyDescent="0.3">
      <c r="L314" s="18"/>
    </row>
    <row r="315" spans="12:12" ht="14.25" customHeight="1" x14ac:dyDescent="0.3">
      <c r="L315" s="18"/>
    </row>
    <row r="316" spans="12:12" ht="14.25" customHeight="1" x14ac:dyDescent="0.3">
      <c r="L316" s="18"/>
    </row>
    <row r="317" spans="12:12" ht="14.25" customHeight="1" x14ac:dyDescent="0.3">
      <c r="L317" s="18"/>
    </row>
    <row r="318" spans="12:12" ht="14.25" customHeight="1" x14ac:dyDescent="0.3">
      <c r="L318" s="18"/>
    </row>
    <row r="319" spans="12:12" ht="14.25" customHeight="1" x14ac:dyDescent="0.3">
      <c r="L319" s="18"/>
    </row>
    <row r="320" spans="12:12" ht="14.25" customHeight="1" x14ac:dyDescent="0.3">
      <c r="L320" s="18"/>
    </row>
    <row r="321" spans="12:12" ht="14.25" customHeight="1" x14ac:dyDescent="0.3">
      <c r="L321" s="18"/>
    </row>
    <row r="322" spans="12:12" ht="14.25" customHeight="1" x14ac:dyDescent="0.3">
      <c r="L322" s="18"/>
    </row>
    <row r="323" spans="12:12" ht="14.25" customHeight="1" x14ac:dyDescent="0.3">
      <c r="L323" s="18"/>
    </row>
    <row r="324" spans="12:12" ht="14.25" customHeight="1" x14ac:dyDescent="0.3">
      <c r="L324" s="18"/>
    </row>
    <row r="325" spans="12:12" ht="14.25" customHeight="1" x14ac:dyDescent="0.3">
      <c r="L325" s="18"/>
    </row>
    <row r="326" spans="12:12" ht="14.25" customHeight="1" x14ac:dyDescent="0.3">
      <c r="L326" s="18"/>
    </row>
    <row r="327" spans="12:12" ht="14.25" customHeight="1" x14ac:dyDescent="0.3">
      <c r="L327" s="18"/>
    </row>
    <row r="328" spans="12:12" ht="14.25" customHeight="1" x14ac:dyDescent="0.3">
      <c r="L328" s="18"/>
    </row>
    <row r="329" spans="12:12" ht="14.25" customHeight="1" x14ac:dyDescent="0.3">
      <c r="L329" s="18"/>
    </row>
    <row r="330" spans="12:12" ht="14.25" customHeight="1" x14ac:dyDescent="0.3">
      <c r="L330" s="18"/>
    </row>
    <row r="331" spans="12:12" ht="14.25" customHeight="1" x14ac:dyDescent="0.3">
      <c r="L331" s="18"/>
    </row>
    <row r="332" spans="12:12" ht="14.25" customHeight="1" x14ac:dyDescent="0.3">
      <c r="L332" s="18"/>
    </row>
    <row r="333" spans="12:12" ht="14.25" customHeight="1" x14ac:dyDescent="0.3">
      <c r="L333" s="18"/>
    </row>
    <row r="334" spans="12:12" ht="14.25" customHeight="1" x14ac:dyDescent="0.3">
      <c r="L334" s="18"/>
    </row>
    <row r="335" spans="12:12" ht="14.25" customHeight="1" x14ac:dyDescent="0.3">
      <c r="L335" s="18"/>
    </row>
    <row r="336" spans="12:12" ht="14.25" customHeight="1" x14ac:dyDescent="0.3">
      <c r="L336" s="18"/>
    </row>
    <row r="337" spans="12:12" ht="14.25" customHeight="1" x14ac:dyDescent="0.3">
      <c r="L337" s="18"/>
    </row>
    <row r="338" spans="12:12" ht="14.25" customHeight="1" x14ac:dyDescent="0.3">
      <c r="L338" s="18"/>
    </row>
    <row r="339" spans="12:12" ht="14.25" customHeight="1" x14ac:dyDescent="0.3">
      <c r="L339" s="18"/>
    </row>
    <row r="340" spans="12:12" ht="14.25" customHeight="1" x14ac:dyDescent="0.3">
      <c r="L340" s="18"/>
    </row>
    <row r="341" spans="12:12" ht="14.25" customHeight="1" x14ac:dyDescent="0.3">
      <c r="L341" s="18"/>
    </row>
    <row r="342" spans="12:12" ht="14.25" customHeight="1" x14ac:dyDescent="0.3">
      <c r="L342" s="18"/>
    </row>
    <row r="343" spans="12:12" ht="14.25" customHeight="1" x14ac:dyDescent="0.3">
      <c r="L343" s="18"/>
    </row>
    <row r="344" spans="12:12" ht="14.25" customHeight="1" x14ac:dyDescent="0.3">
      <c r="L344" s="18"/>
    </row>
    <row r="345" spans="12:12" ht="14.25" customHeight="1" x14ac:dyDescent="0.3">
      <c r="L345" s="18"/>
    </row>
    <row r="346" spans="12:12" ht="14.25" customHeight="1" x14ac:dyDescent="0.3">
      <c r="L346" s="18"/>
    </row>
    <row r="347" spans="12:12" ht="14.25" customHeight="1" x14ac:dyDescent="0.3">
      <c r="L347" s="18"/>
    </row>
    <row r="348" spans="12:12" ht="14.25" customHeight="1" x14ac:dyDescent="0.3">
      <c r="L348" s="18"/>
    </row>
    <row r="349" spans="12:12" ht="14.25" customHeight="1" x14ac:dyDescent="0.3">
      <c r="L349" s="18"/>
    </row>
    <row r="350" spans="12:12" ht="14.25" customHeight="1" x14ac:dyDescent="0.3">
      <c r="L350" s="18"/>
    </row>
    <row r="351" spans="12:12" ht="14.25" customHeight="1" x14ac:dyDescent="0.3">
      <c r="L351" s="18"/>
    </row>
    <row r="352" spans="12:12" ht="14.25" customHeight="1" x14ac:dyDescent="0.3">
      <c r="L352" s="18"/>
    </row>
    <row r="353" spans="12:12" ht="14.25" customHeight="1" x14ac:dyDescent="0.3">
      <c r="L353" s="18"/>
    </row>
    <row r="354" spans="12:12" ht="14.25" customHeight="1" x14ac:dyDescent="0.3">
      <c r="L354" s="18"/>
    </row>
    <row r="355" spans="12:12" ht="14.25" customHeight="1" x14ac:dyDescent="0.3">
      <c r="L355" s="18"/>
    </row>
    <row r="356" spans="12:12" ht="14.25" customHeight="1" x14ac:dyDescent="0.3">
      <c r="L356" s="18"/>
    </row>
    <row r="357" spans="12:12" ht="14.25" customHeight="1" x14ac:dyDescent="0.3">
      <c r="L357" s="18"/>
    </row>
    <row r="358" spans="12:12" ht="14.25" customHeight="1" x14ac:dyDescent="0.3">
      <c r="L358" s="18"/>
    </row>
    <row r="359" spans="12:12" ht="14.25" customHeight="1" x14ac:dyDescent="0.3">
      <c r="L359" s="18"/>
    </row>
    <row r="360" spans="12:12" ht="14.25" customHeight="1" x14ac:dyDescent="0.3">
      <c r="L360" s="18"/>
    </row>
    <row r="361" spans="12:12" ht="14.25" customHeight="1" x14ac:dyDescent="0.3">
      <c r="L361" s="18"/>
    </row>
    <row r="362" spans="12:12" ht="14.25" customHeight="1" x14ac:dyDescent="0.3">
      <c r="L362" s="18"/>
    </row>
    <row r="363" spans="12:12" ht="14.25" customHeight="1" x14ac:dyDescent="0.3">
      <c r="L363" s="18"/>
    </row>
    <row r="364" spans="12:12" ht="14.25" customHeight="1" x14ac:dyDescent="0.3">
      <c r="L364" s="18"/>
    </row>
    <row r="365" spans="12:12" ht="14.25" customHeight="1" x14ac:dyDescent="0.3">
      <c r="L365" s="18"/>
    </row>
    <row r="366" spans="12:12" ht="14.25" customHeight="1" x14ac:dyDescent="0.3">
      <c r="L366" s="18"/>
    </row>
    <row r="367" spans="12:12" ht="14.25" customHeight="1" x14ac:dyDescent="0.3">
      <c r="L367" s="18"/>
    </row>
    <row r="368" spans="12:12" ht="14.25" customHeight="1" x14ac:dyDescent="0.3">
      <c r="L368" s="18"/>
    </row>
    <row r="369" spans="12:12" ht="14.25" customHeight="1" x14ac:dyDescent="0.3">
      <c r="L369" s="18"/>
    </row>
    <row r="370" spans="12:12" ht="14.25" customHeight="1" x14ac:dyDescent="0.3">
      <c r="L370" s="18"/>
    </row>
    <row r="371" spans="12:12" ht="14.25" customHeight="1" x14ac:dyDescent="0.3">
      <c r="L371" s="18"/>
    </row>
    <row r="372" spans="12:12" ht="14.25" customHeight="1" x14ac:dyDescent="0.3">
      <c r="L372" s="18"/>
    </row>
    <row r="373" spans="12:12" ht="14.25" customHeight="1" x14ac:dyDescent="0.3">
      <c r="L373" s="18"/>
    </row>
    <row r="374" spans="12:12" ht="14.25" customHeight="1" x14ac:dyDescent="0.3">
      <c r="L374" s="18"/>
    </row>
    <row r="375" spans="12:12" ht="14.25" customHeight="1" x14ac:dyDescent="0.3">
      <c r="L375" s="18"/>
    </row>
    <row r="376" spans="12:12" ht="14.25" customHeight="1" x14ac:dyDescent="0.3">
      <c r="L376" s="18"/>
    </row>
    <row r="377" spans="12:12" ht="14.25" customHeight="1" x14ac:dyDescent="0.3">
      <c r="L377" s="18"/>
    </row>
    <row r="378" spans="12:12" ht="14.25" customHeight="1" x14ac:dyDescent="0.3">
      <c r="L378" s="18"/>
    </row>
    <row r="379" spans="12:12" ht="14.25" customHeight="1" x14ac:dyDescent="0.3">
      <c r="L379" s="18"/>
    </row>
    <row r="380" spans="12:12" ht="14.25" customHeight="1" x14ac:dyDescent="0.3">
      <c r="L380" s="18"/>
    </row>
    <row r="381" spans="12:12" ht="14.25" customHeight="1" x14ac:dyDescent="0.3">
      <c r="L381" s="18"/>
    </row>
    <row r="382" spans="12:12" ht="14.25" customHeight="1" x14ac:dyDescent="0.3">
      <c r="L382" s="18"/>
    </row>
    <row r="383" spans="12:12" ht="14.25" customHeight="1" x14ac:dyDescent="0.3">
      <c r="L383" s="18"/>
    </row>
    <row r="384" spans="12:12" ht="14.25" customHeight="1" x14ac:dyDescent="0.3">
      <c r="L384" s="18"/>
    </row>
    <row r="385" spans="12:12" ht="14.25" customHeight="1" x14ac:dyDescent="0.3">
      <c r="L385" s="18"/>
    </row>
    <row r="386" spans="12:12" ht="14.25" customHeight="1" x14ac:dyDescent="0.3">
      <c r="L386" s="18"/>
    </row>
    <row r="387" spans="12:12" ht="14.25" customHeight="1" x14ac:dyDescent="0.3">
      <c r="L387" s="18"/>
    </row>
    <row r="388" spans="12:12" ht="14.25" customHeight="1" x14ac:dyDescent="0.3">
      <c r="L388" s="18"/>
    </row>
    <row r="389" spans="12:12" ht="14.25" customHeight="1" x14ac:dyDescent="0.3">
      <c r="L389" s="18"/>
    </row>
    <row r="390" spans="12:12" ht="14.25" customHeight="1" x14ac:dyDescent="0.3">
      <c r="L390" s="18"/>
    </row>
    <row r="391" spans="12:12" ht="14.25" customHeight="1" x14ac:dyDescent="0.3">
      <c r="L391" s="18"/>
    </row>
    <row r="392" spans="12:12" ht="14.25" customHeight="1" x14ac:dyDescent="0.3">
      <c r="L392" s="18"/>
    </row>
    <row r="393" spans="12:12" ht="14.25" customHeight="1" x14ac:dyDescent="0.3">
      <c r="L393" s="18"/>
    </row>
    <row r="394" spans="12:12" ht="14.25" customHeight="1" x14ac:dyDescent="0.3">
      <c r="L394" s="18"/>
    </row>
    <row r="395" spans="12:12" ht="14.25" customHeight="1" x14ac:dyDescent="0.3">
      <c r="L395" s="18"/>
    </row>
    <row r="396" spans="12:12" ht="14.25" customHeight="1" x14ac:dyDescent="0.3">
      <c r="L396" s="18"/>
    </row>
    <row r="397" spans="12:12" ht="14.25" customHeight="1" x14ac:dyDescent="0.3">
      <c r="L397" s="18"/>
    </row>
    <row r="398" spans="12:12" ht="14.25" customHeight="1" x14ac:dyDescent="0.3">
      <c r="L398" s="18"/>
    </row>
    <row r="399" spans="12:12" ht="14.25" customHeight="1" x14ac:dyDescent="0.3">
      <c r="L399" s="18"/>
    </row>
    <row r="400" spans="12:12" ht="14.25" customHeight="1" x14ac:dyDescent="0.3">
      <c r="L400" s="18"/>
    </row>
    <row r="401" spans="12:12" ht="14.25" customHeight="1" x14ac:dyDescent="0.3">
      <c r="L401" s="18"/>
    </row>
    <row r="402" spans="12:12" ht="14.25" customHeight="1" x14ac:dyDescent="0.3">
      <c r="L402" s="18"/>
    </row>
    <row r="403" spans="12:12" ht="14.25" customHeight="1" x14ac:dyDescent="0.3">
      <c r="L403" s="18"/>
    </row>
    <row r="404" spans="12:12" ht="14.25" customHeight="1" x14ac:dyDescent="0.3">
      <c r="L404" s="18"/>
    </row>
    <row r="405" spans="12:12" ht="14.25" customHeight="1" x14ac:dyDescent="0.3">
      <c r="L405" s="18"/>
    </row>
    <row r="406" spans="12:12" ht="14.25" customHeight="1" x14ac:dyDescent="0.3">
      <c r="L406" s="18"/>
    </row>
    <row r="407" spans="12:12" ht="14.25" customHeight="1" x14ac:dyDescent="0.3">
      <c r="L407" s="18"/>
    </row>
    <row r="408" spans="12:12" ht="14.25" customHeight="1" x14ac:dyDescent="0.3">
      <c r="L408" s="18"/>
    </row>
    <row r="409" spans="12:12" ht="14.25" customHeight="1" x14ac:dyDescent="0.3">
      <c r="L409" s="18"/>
    </row>
    <row r="410" spans="12:12" ht="14.25" customHeight="1" x14ac:dyDescent="0.3">
      <c r="L410" s="18"/>
    </row>
    <row r="411" spans="12:12" ht="14.25" customHeight="1" x14ac:dyDescent="0.3">
      <c r="L411" s="18"/>
    </row>
    <row r="412" spans="12:12" ht="14.25" customHeight="1" x14ac:dyDescent="0.3">
      <c r="L412" s="18"/>
    </row>
    <row r="413" spans="12:12" ht="14.25" customHeight="1" x14ac:dyDescent="0.3">
      <c r="L413" s="18"/>
    </row>
    <row r="414" spans="12:12" ht="14.25" customHeight="1" x14ac:dyDescent="0.3">
      <c r="L414" s="18"/>
    </row>
    <row r="415" spans="12:12" ht="14.25" customHeight="1" x14ac:dyDescent="0.3">
      <c r="L415" s="18"/>
    </row>
    <row r="416" spans="12:12" ht="14.25" customHeight="1" x14ac:dyDescent="0.3">
      <c r="L416" s="18"/>
    </row>
    <row r="417" spans="12:12" ht="14.25" customHeight="1" x14ac:dyDescent="0.3">
      <c r="L417" s="18"/>
    </row>
    <row r="418" spans="12:12" ht="14.25" customHeight="1" x14ac:dyDescent="0.3">
      <c r="L418" s="18"/>
    </row>
    <row r="419" spans="12:12" ht="14.25" customHeight="1" x14ac:dyDescent="0.3">
      <c r="L419" s="18"/>
    </row>
    <row r="420" spans="12:12" ht="14.25" customHeight="1" x14ac:dyDescent="0.3">
      <c r="L420" s="18"/>
    </row>
    <row r="421" spans="12:12" ht="14.25" customHeight="1" x14ac:dyDescent="0.3">
      <c r="L421" s="18"/>
    </row>
    <row r="422" spans="12:12" ht="14.25" customHeight="1" x14ac:dyDescent="0.3">
      <c r="L422" s="18"/>
    </row>
    <row r="423" spans="12:12" ht="14.25" customHeight="1" x14ac:dyDescent="0.3">
      <c r="L423" s="18"/>
    </row>
    <row r="424" spans="12:12" ht="14.25" customHeight="1" x14ac:dyDescent="0.3">
      <c r="L424" s="18"/>
    </row>
    <row r="425" spans="12:12" ht="14.25" customHeight="1" x14ac:dyDescent="0.3">
      <c r="L425" s="18"/>
    </row>
    <row r="426" spans="12:12" ht="14.25" customHeight="1" x14ac:dyDescent="0.3">
      <c r="L426" s="18"/>
    </row>
    <row r="427" spans="12:12" ht="14.25" customHeight="1" x14ac:dyDescent="0.3">
      <c r="L427" s="18"/>
    </row>
    <row r="428" spans="12:12" ht="14.25" customHeight="1" x14ac:dyDescent="0.3">
      <c r="L428" s="18"/>
    </row>
    <row r="429" spans="12:12" ht="14.25" customHeight="1" x14ac:dyDescent="0.3">
      <c r="L429" s="18"/>
    </row>
    <row r="430" spans="12:12" ht="14.25" customHeight="1" x14ac:dyDescent="0.3">
      <c r="L430" s="18"/>
    </row>
    <row r="431" spans="12:12" ht="14.25" customHeight="1" x14ac:dyDescent="0.3">
      <c r="L431" s="18"/>
    </row>
    <row r="432" spans="12:12" ht="14.25" customHeight="1" x14ac:dyDescent="0.3">
      <c r="L432" s="18"/>
    </row>
    <row r="433" spans="12:12" ht="14.25" customHeight="1" x14ac:dyDescent="0.3">
      <c r="L433" s="18"/>
    </row>
    <row r="434" spans="12:12" ht="14.25" customHeight="1" x14ac:dyDescent="0.3">
      <c r="L434" s="18"/>
    </row>
    <row r="435" spans="12:12" ht="14.25" customHeight="1" x14ac:dyDescent="0.3">
      <c r="L435" s="18"/>
    </row>
    <row r="436" spans="12:12" ht="14.25" customHeight="1" x14ac:dyDescent="0.3">
      <c r="L436" s="18"/>
    </row>
    <row r="437" spans="12:12" ht="14.25" customHeight="1" x14ac:dyDescent="0.3">
      <c r="L437" s="18"/>
    </row>
    <row r="438" spans="12:12" ht="14.25" customHeight="1" x14ac:dyDescent="0.3">
      <c r="L438" s="18"/>
    </row>
    <row r="439" spans="12:12" ht="14.25" customHeight="1" x14ac:dyDescent="0.3">
      <c r="L439" s="18"/>
    </row>
    <row r="440" spans="12:12" ht="14.25" customHeight="1" x14ac:dyDescent="0.3">
      <c r="L440" s="18"/>
    </row>
    <row r="441" spans="12:12" ht="14.25" customHeight="1" x14ac:dyDescent="0.3">
      <c r="L441" s="18"/>
    </row>
    <row r="442" spans="12:12" ht="14.25" customHeight="1" x14ac:dyDescent="0.3">
      <c r="L442" s="18"/>
    </row>
    <row r="443" spans="12:12" ht="14.25" customHeight="1" x14ac:dyDescent="0.3">
      <c r="L443" s="18"/>
    </row>
    <row r="444" spans="12:12" ht="14.25" customHeight="1" x14ac:dyDescent="0.3">
      <c r="L444" s="18"/>
    </row>
    <row r="445" spans="12:12" ht="14.25" customHeight="1" x14ac:dyDescent="0.3">
      <c r="L445" s="18"/>
    </row>
    <row r="446" spans="12:12" ht="14.25" customHeight="1" x14ac:dyDescent="0.3">
      <c r="L446" s="18"/>
    </row>
    <row r="447" spans="12:12" ht="14.25" customHeight="1" x14ac:dyDescent="0.3">
      <c r="L447" s="18"/>
    </row>
    <row r="448" spans="12:12" ht="14.25" customHeight="1" x14ac:dyDescent="0.3">
      <c r="L448" s="18"/>
    </row>
    <row r="449" spans="12:12" ht="14.25" customHeight="1" x14ac:dyDescent="0.3">
      <c r="L449" s="18"/>
    </row>
    <row r="450" spans="12:12" ht="14.25" customHeight="1" x14ac:dyDescent="0.3">
      <c r="L450" s="18"/>
    </row>
    <row r="451" spans="12:12" ht="14.25" customHeight="1" x14ac:dyDescent="0.3">
      <c r="L451" s="18"/>
    </row>
    <row r="452" spans="12:12" ht="14.25" customHeight="1" x14ac:dyDescent="0.3">
      <c r="L452" s="18"/>
    </row>
    <row r="453" spans="12:12" ht="14.25" customHeight="1" x14ac:dyDescent="0.3">
      <c r="L453" s="18"/>
    </row>
    <row r="454" spans="12:12" ht="14.25" customHeight="1" x14ac:dyDescent="0.3">
      <c r="L454" s="18"/>
    </row>
    <row r="455" spans="12:12" ht="14.25" customHeight="1" x14ac:dyDescent="0.3">
      <c r="L455" s="18"/>
    </row>
    <row r="456" spans="12:12" ht="14.25" customHeight="1" x14ac:dyDescent="0.3">
      <c r="L456" s="18"/>
    </row>
    <row r="457" spans="12:12" ht="14.25" customHeight="1" x14ac:dyDescent="0.3">
      <c r="L457" s="18"/>
    </row>
    <row r="458" spans="12:12" ht="14.25" customHeight="1" x14ac:dyDescent="0.3">
      <c r="L458" s="18"/>
    </row>
    <row r="459" spans="12:12" ht="14.25" customHeight="1" x14ac:dyDescent="0.3">
      <c r="L459" s="18"/>
    </row>
    <row r="460" spans="12:12" ht="14.25" customHeight="1" x14ac:dyDescent="0.3">
      <c r="L460" s="18"/>
    </row>
    <row r="461" spans="12:12" ht="14.25" customHeight="1" x14ac:dyDescent="0.3">
      <c r="L461" s="18"/>
    </row>
    <row r="462" spans="12:12" ht="14.25" customHeight="1" x14ac:dyDescent="0.3">
      <c r="L462" s="18"/>
    </row>
    <row r="463" spans="12:12" ht="14.25" customHeight="1" x14ac:dyDescent="0.3">
      <c r="L463" s="18"/>
    </row>
    <row r="464" spans="12:12" ht="14.25" customHeight="1" x14ac:dyDescent="0.3">
      <c r="L464" s="18"/>
    </row>
    <row r="465" spans="12:12" ht="14.25" customHeight="1" x14ac:dyDescent="0.3">
      <c r="L465" s="18"/>
    </row>
    <row r="466" spans="12:12" ht="14.25" customHeight="1" x14ac:dyDescent="0.3">
      <c r="L466" s="18"/>
    </row>
    <row r="467" spans="12:12" ht="14.25" customHeight="1" x14ac:dyDescent="0.3">
      <c r="L467" s="18"/>
    </row>
    <row r="468" spans="12:12" ht="14.25" customHeight="1" x14ac:dyDescent="0.3">
      <c r="L468" s="18"/>
    </row>
    <row r="469" spans="12:12" ht="14.25" customHeight="1" x14ac:dyDescent="0.3">
      <c r="L469" s="18"/>
    </row>
    <row r="470" spans="12:12" ht="14.25" customHeight="1" x14ac:dyDescent="0.3">
      <c r="L470" s="18"/>
    </row>
    <row r="471" spans="12:12" ht="14.25" customHeight="1" x14ac:dyDescent="0.3">
      <c r="L471" s="18"/>
    </row>
    <row r="472" spans="12:12" ht="14.25" customHeight="1" x14ac:dyDescent="0.3">
      <c r="L472" s="18"/>
    </row>
    <row r="473" spans="12:12" ht="14.25" customHeight="1" x14ac:dyDescent="0.3">
      <c r="L473" s="18"/>
    </row>
    <row r="474" spans="12:12" ht="14.25" customHeight="1" x14ac:dyDescent="0.3">
      <c r="L474" s="18"/>
    </row>
    <row r="475" spans="12:12" ht="14.25" customHeight="1" x14ac:dyDescent="0.3">
      <c r="L475" s="18"/>
    </row>
    <row r="476" spans="12:12" ht="14.25" customHeight="1" x14ac:dyDescent="0.3">
      <c r="L476" s="18"/>
    </row>
    <row r="477" spans="12:12" ht="14.25" customHeight="1" x14ac:dyDescent="0.3">
      <c r="L477" s="18"/>
    </row>
    <row r="478" spans="12:12" ht="14.25" customHeight="1" x14ac:dyDescent="0.3">
      <c r="L478" s="18"/>
    </row>
    <row r="479" spans="12:12" ht="14.25" customHeight="1" x14ac:dyDescent="0.3">
      <c r="L479" s="18"/>
    </row>
    <row r="480" spans="12:12" ht="14.25" customHeight="1" x14ac:dyDescent="0.3">
      <c r="L480" s="18"/>
    </row>
    <row r="481" spans="12:12" ht="14.25" customHeight="1" x14ac:dyDescent="0.3">
      <c r="L481" s="18"/>
    </row>
    <row r="482" spans="12:12" ht="14.25" customHeight="1" x14ac:dyDescent="0.3">
      <c r="L482" s="18"/>
    </row>
    <row r="483" spans="12:12" ht="14.25" customHeight="1" x14ac:dyDescent="0.3">
      <c r="L483" s="18"/>
    </row>
    <row r="484" spans="12:12" ht="14.25" customHeight="1" x14ac:dyDescent="0.3">
      <c r="L484" s="18"/>
    </row>
    <row r="485" spans="12:12" ht="14.25" customHeight="1" x14ac:dyDescent="0.3">
      <c r="L485" s="18"/>
    </row>
    <row r="486" spans="12:12" ht="14.25" customHeight="1" x14ac:dyDescent="0.3">
      <c r="L486" s="18"/>
    </row>
    <row r="487" spans="12:12" ht="14.25" customHeight="1" x14ac:dyDescent="0.3">
      <c r="L487" s="18"/>
    </row>
    <row r="488" spans="12:12" ht="14.25" customHeight="1" x14ac:dyDescent="0.3">
      <c r="L488" s="18"/>
    </row>
    <row r="489" spans="12:12" ht="14.25" customHeight="1" x14ac:dyDescent="0.3">
      <c r="L489" s="18"/>
    </row>
    <row r="490" spans="12:12" ht="14.25" customHeight="1" x14ac:dyDescent="0.3">
      <c r="L490" s="18"/>
    </row>
    <row r="491" spans="12:12" ht="14.25" customHeight="1" x14ac:dyDescent="0.3">
      <c r="L491" s="18"/>
    </row>
    <row r="492" spans="12:12" ht="14.25" customHeight="1" x14ac:dyDescent="0.3">
      <c r="L492" s="18"/>
    </row>
    <row r="493" spans="12:12" ht="14.25" customHeight="1" x14ac:dyDescent="0.3">
      <c r="L493" s="18"/>
    </row>
    <row r="494" spans="12:12" ht="14.25" customHeight="1" x14ac:dyDescent="0.3">
      <c r="L494" s="18"/>
    </row>
    <row r="495" spans="12:12" ht="14.25" customHeight="1" x14ac:dyDescent="0.3">
      <c r="L495" s="18"/>
    </row>
    <row r="496" spans="12:12" ht="14.25" customHeight="1" x14ac:dyDescent="0.3">
      <c r="L496" s="18"/>
    </row>
    <row r="497" spans="12:12" ht="14.25" customHeight="1" x14ac:dyDescent="0.3">
      <c r="L497" s="18"/>
    </row>
    <row r="498" spans="12:12" ht="14.25" customHeight="1" x14ac:dyDescent="0.3">
      <c r="L498" s="18"/>
    </row>
    <row r="499" spans="12:12" ht="14.25" customHeight="1" x14ac:dyDescent="0.3">
      <c r="L499" s="18"/>
    </row>
    <row r="500" spans="12:12" ht="14.25" customHeight="1" x14ac:dyDescent="0.3">
      <c r="L500" s="18"/>
    </row>
    <row r="501" spans="12:12" ht="14.25" customHeight="1" x14ac:dyDescent="0.3">
      <c r="L501" s="18"/>
    </row>
    <row r="502" spans="12:12" ht="14.25" customHeight="1" x14ac:dyDescent="0.3">
      <c r="L502" s="18"/>
    </row>
    <row r="503" spans="12:12" ht="14.25" customHeight="1" x14ac:dyDescent="0.3">
      <c r="L503" s="18"/>
    </row>
    <row r="504" spans="12:12" ht="14.25" customHeight="1" x14ac:dyDescent="0.3">
      <c r="L504" s="18"/>
    </row>
    <row r="505" spans="12:12" ht="14.25" customHeight="1" x14ac:dyDescent="0.3">
      <c r="L505" s="18"/>
    </row>
    <row r="506" spans="12:12" ht="14.25" customHeight="1" x14ac:dyDescent="0.3">
      <c r="L506" s="18"/>
    </row>
    <row r="507" spans="12:12" ht="14.25" customHeight="1" x14ac:dyDescent="0.3">
      <c r="L507" s="18"/>
    </row>
    <row r="508" spans="12:12" ht="14.25" customHeight="1" x14ac:dyDescent="0.3">
      <c r="L508" s="18"/>
    </row>
    <row r="509" spans="12:12" ht="14.25" customHeight="1" x14ac:dyDescent="0.3">
      <c r="L509" s="18"/>
    </row>
    <row r="510" spans="12:12" ht="14.25" customHeight="1" x14ac:dyDescent="0.3">
      <c r="L510" s="18"/>
    </row>
    <row r="511" spans="12:12" ht="14.25" customHeight="1" x14ac:dyDescent="0.3">
      <c r="L511" s="18"/>
    </row>
    <row r="512" spans="12:12" ht="14.25" customHeight="1" x14ac:dyDescent="0.3">
      <c r="L512" s="18"/>
    </row>
    <row r="513" spans="12:12" ht="14.25" customHeight="1" x14ac:dyDescent="0.3">
      <c r="L513" s="18"/>
    </row>
    <row r="514" spans="12:12" ht="14.25" customHeight="1" x14ac:dyDescent="0.3">
      <c r="L514" s="18"/>
    </row>
    <row r="515" spans="12:12" ht="14.25" customHeight="1" x14ac:dyDescent="0.3">
      <c r="L515" s="18"/>
    </row>
    <row r="516" spans="12:12" ht="14.25" customHeight="1" x14ac:dyDescent="0.3">
      <c r="L516" s="18"/>
    </row>
    <row r="517" spans="12:12" ht="14.25" customHeight="1" x14ac:dyDescent="0.3">
      <c r="L517" s="18"/>
    </row>
    <row r="518" spans="12:12" ht="14.25" customHeight="1" x14ac:dyDescent="0.3">
      <c r="L518" s="18"/>
    </row>
    <row r="519" spans="12:12" ht="14.25" customHeight="1" x14ac:dyDescent="0.3">
      <c r="L519" s="18"/>
    </row>
    <row r="520" spans="12:12" ht="14.25" customHeight="1" x14ac:dyDescent="0.3">
      <c r="L520" s="18"/>
    </row>
    <row r="521" spans="12:12" ht="14.25" customHeight="1" x14ac:dyDescent="0.3">
      <c r="L521" s="18"/>
    </row>
    <row r="522" spans="12:12" ht="14.25" customHeight="1" x14ac:dyDescent="0.3">
      <c r="L522" s="18"/>
    </row>
    <row r="523" spans="12:12" ht="14.25" customHeight="1" x14ac:dyDescent="0.3">
      <c r="L523" s="18"/>
    </row>
    <row r="524" spans="12:12" ht="14.25" customHeight="1" x14ac:dyDescent="0.3">
      <c r="L524" s="18"/>
    </row>
    <row r="525" spans="12:12" ht="14.25" customHeight="1" x14ac:dyDescent="0.3">
      <c r="L525" s="18"/>
    </row>
    <row r="526" spans="12:12" ht="14.25" customHeight="1" x14ac:dyDescent="0.3">
      <c r="L526" s="18"/>
    </row>
    <row r="527" spans="12:12" ht="14.25" customHeight="1" x14ac:dyDescent="0.3">
      <c r="L527" s="18"/>
    </row>
    <row r="528" spans="12:12" ht="14.25" customHeight="1" x14ac:dyDescent="0.3">
      <c r="L528" s="18"/>
    </row>
    <row r="529" spans="12:12" ht="14.25" customHeight="1" x14ac:dyDescent="0.3">
      <c r="L529" s="18"/>
    </row>
    <row r="530" spans="12:12" ht="14.25" customHeight="1" x14ac:dyDescent="0.3">
      <c r="L530" s="18"/>
    </row>
    <row r="531" spans="12:12" ht="14.25" customHeight="1" x14ac:dyDescent="0.3">
      <c r="L531" s="18"/>
    </row>
    <row r="532" spans="12:12" ht="14.25" customHeight="1" x14ac:dyDescent="0.3">
      <c r="L532" s="18"/>
    </row>
    <row r="533" spans="12:12" ht="14.25" customHeight="1" x14ac:dyDescent="0.3">
      <c r="L533" s="18"/>
    </row>
    <row r="534" spans="12:12" ht="14.25" customHeight="1" x14ac:dyDescent="0.3">
      <c r="L534" s="18"/>
    </row>
    <row r="535" spans="12:12" ht="14.25" customHeight="1" x14ac:dyDescent="0.3">
      <c r="L535" s="18"/>
    </row>
    <row r="536" spans="12:12" ht="14.25" customHeight="1" x14ac:dyDescent="0.3">
      <c r="L536" s="18"/>
    </row>
    <row r="537" spans="12:12" ht="14.25" customHeight="1" x14ac:dyDescent="0.3">
      <c r="L537" s="18"/>
    </row>
    <row r="538" spans="12:12" ht="14.25" customHeight="1" x14ac:dyDescent="0.3">
      <c r="L538" s="18"/>
    </row>
    <row r="539" spans="12:12" ht="14.25" customHeight="1" x14ac:dyDescent="0.3">
      <c r="L539" s="18"/>
    </row>
    <row r="540" spans="12:12" ht="14.25" customHeight="1" x14ac:dyDescent="0.3">
      <c r="L540" s="18"/>
    </row>
    <row r="541" spans="12:12" ht="14.25" customHeight="1" x14ac:dyDescent="0.3">
      <c r="L541" s="18"/>
    </row>
    <row r="542" spans="12:12" ht="14.25" customHeight="1" x14ac:dyDescent="0.3">
      <c r="L542" s="18"/>
    </row>
    <row r="543" spans="12:12" ht="14.25" customHeight="1" x14ac:dyDescent="0.3">
      <c r="L543" s="18"/>
    </row>
    <row r="544" spans="12:12" ht="14.25" customHeight="1" x14ac:dyDescent="0.3">
      <c r="L544" s="18"/>
    </row>
    <row r="545" spans="12:12" ht="14.25" customHeight="1" x14ac:dyDescent="0.3">
      <c r="L545" s="18"/>
    </row>
    <row r="546" spans="12:12" ht="14.25" customHeight="1" x14ac:dyDescent="0.3">
      <c r="L546" s="18"/>
    </row>
    <row r="547" spans="12:12" ht="14.25" customHeight="1" x14ac:dyDescent="0.3">
      <c r="L547" s="18"/>
    </row>
    <row r="548" spans="12:12" ht="14.25" customHeight="1" x14ac:dyDescent="0.3">
      <c r="L548" s="18"/>
    </row>
    <row r="549" spans="12:12" ht="14.25" customHeight="1" x14ac:dyDescent="0.3">
      <c r="L549" s="18"/>
    </row>
    <row r="550" spans="12:12" ht="14.25" customHeight="1" x14ac:dyDescent="0.3">
      <c r="L550" s="18"/>
    </row>
    <row r="551" spans="12:12" ht="14.25" customHeight="1" x14ac:dyDescent="0.3">
      <c r="L551" s="18"/>
    </row>
    <row r="552" spans="12:12" ht="14.25" customHeight="1" x14ac:dyDescent="0.3">
      <c r="L552" s="18"/>
    </row>
    <row r="553" spans="12:12" ht="14.25" customHeight="1" x14ac:dyDescent="0.3">
      <c r="L553" s="18"/>
    </row>
    <row r="554" spans="12:12" ht="14.25" customHeight="1" x14ac:dyDescent="0.3">
      <c r="L554" s="18"/>
    </row>
    <row r="555" spans="12:12" ht="14.25" customHeight="1" x14ac:dyDescent="0.3">
      <c r="L555" s="18"/>
    </row>
    <row r="556" spans="12:12" ht="14.25" customHeight="1" x14ac:dyDescent="0.3">
      <c r="L556" s="18"/>
    </row>
    <row r="557" spans="12:12" ht="14.25" customHeight="1" x14ac:dyDescent="0.3">
      <c r="L557" s="18"/>
    </row>
    <row r="558" spans="12:12" ht="14.25" customHeight="1" x14ac:dyDescent="0.3">
      <c r="L558" s="18"/>
    </row>
    <row r="559" spans="12:12" ht="14.25" customHeight="1" x14ac:dyDescent="0.3">
      <c r="L559" s="18"/>
    </row>
    <row r="560" spans="12:12" ht="14.25" customHeight="1" x14ac:dyDescent="0.3">
      <c r="L560" s="18"/>
    </row>
    <row r="561" spans="12:12" ht="14.25" customHeight="1" x14ac:dyDescent="0.3">
      <c r="L561" s="18"/>
    </row>
    <row r="562" spans="12:12" ht="14.25" customHeight="1" x14ac:dyDescent="0.3">
      <c r="L562" s="18"/>
    </row>
    <row r="563" spans="12:12" ht="14.25" customHeight="1" x14ac:dyDescent="0.3">
      <c r="L563" s="18"/>
    </row>
    <row r="564" spans="12:12" ht="14.25" customHeight="1" x14ac:dyDescent="0.3">
      <c r="L564" s="18"/>
    </row>
    <row r="565" spans="12:12" ht="14.25" customHeight="1" x14ac:dyDescent="0.3">
      <c r="L565" s="18"/>
    </row>
    <row r="566" spans="12:12" ht="14.25" customHeight="1" x14ac:dyDescent="0.3">
      <c r="L566" s="18"/>
    </row>
    <row r="567" spans="12:12" ht="14.25" customHeight="1" x14ac:dyDescent="0.3">
      <c r="L567" s="18"/>
    </row>
    <row r="568" spans="12:12" ht="14.25" customHeight="1" x14ac:dyDescent="0.3">
      <c r="L568" s="18"/>
    </row>
    <row r="569" spans="12:12" ht="14.25" customHeight="1" x14ac:dyDescent="0.3">
      <c r="L569" s="18"/>
    </row>
    <row r="570" spans="12:12" ht="14.25" customHeight="1" x14ac:dyDescent="0.3">
      <c r="L570" s="18"/>
    </row>
    <row r="571" spans="12:12" ht="14.25" customHeight="1" x14ac:dyDescent="0.3">
      <c r="L571" s="18"/>
    </row>
    <row r="572" spans="12:12" ht="14.25" customHeight="1" x14ac:dyDescent="0.3">
      <c r="L572" s="18"/>
    </row>
    <row r="573" spans="12:12" ht="14.25" customHeight="1" x14ac:dyDescent="0.3">
      <c r="L573" s="18"/>
    </row>
    <row r="574" spans="12:12" ht="14.25" customHeight="1" x14ac:dyDescent="0.3">
      <c r="L574" s="18"/>
    </row>
    <row r="575" spans="12:12" ht="14.25" customHeight="1" x14ac:dyDescent="0.3">
      <c r="L575" s="18"/>
    </row>
    <row r="576" spans="12:12" ht="14.25" customHeight="1" x14ac:dyDescent="0.3">
      <c r="L576" s="18"/>
    </row>
    <row r="577" spans="12:12" ht="14.25" customHeight="1" x14ac:dyDescent="0.3">
      <c r="L577" s="18"/>
    </row>
    <row r="578" spans="12:12" ht="14.25" customHeight="1" x14ac:dyDescent="0.3">
      <c r="L578" s="18"/>
    </row>
    <row r="579" spans="12:12" ht="14.25" customHeight="1" x14ac:dyDescent="0.3">
      <c r="L579" s="18"/>
    </row>
    <row r="580" spans="12:12" ht="14.25" customHeight="1" x14ac:dyDescent="0.3">
      <c r="L580" s="18"/>
    </row>
    <row r="581" spans="12:12" ht="14.25" customHeight="1" x14ac:dyDescent="0.3">
      <c r="L581" s="18"/>
    </row>
    <row r="582" spans="12:12" ht="14.25" customHeight="1" x14ac:dyDescent="0.3">
      <c r="L582" s="18"/>
    </row>
    <row r="583" spans="12:12" ht="14.25" customHeight="1" x14ac:dyDescent="0.3">
      <c r="L583" s="18"/>
    </row>
    <row r="584" spans="12:12" ht="14.25" customHeight="1" x14ac:dyDescent="0.3">
      <c r="L584" s="18"/>
    </row>
    <row r="585" spans="12:12" ht="14.25" customHeight="1" x14ac:dyDescent="0.3">
      <c r="L585" s="18"/>
    </row>
    <row r="586" spans="12:12" ht="14.25" customHeight="1" x14ac:dyDescent="0.3">
      <c r="L586" s="18"/>
    </row>
    <row r="587" spans="12:12" ht="14.25" customHeight="1" x14ac:dyDescent="0.3">
      <c r="L587" s="18"/>
    </row>
    <row r="588" spans="12:12" ht="14.25" customHeight="1" x14ac:dyDescent="0.3">
      <c r="L588" s="18"/>
    </row>
    <row r="589" spans="12:12" ht="14.25" customHeight="1" x14ac:dyDescent="0.3">
      <c r="L589" s="18"/>
    </row>
    <row r="590" spans="12:12" ht="14.25" customHeight="1" x14ac:dyDescent="0.3">
      <c r="L590" s="18"/>
    </row>
    <row r="591" spans="12:12" ht="14.25" customHeight="1" x14ac:dyDescent="0.3">
      <c r="L591" s="18"/>
    </row>
    <row r="592" spans="12:12" ht="14.25" customHeight="1" x14ac:dyDescent="0.3">
      <c r="L592" s="18"/>
    </row>
    <row r="593" spans="12:12" ht="14.25" customHeight="1" x14ac:dyDescent="0.3">
      <c r="L593" s="18"/>
    </row>
    <row r="594" spans="12:12" ht="14.25" customHeight="1" x14ac:dyDescent="0.3">
      <c r="L594" s="18"/>
    </row>
    <row r="595" spans="12:12" ht="14.25" customHeight="1" x14ac:dyDescent="0.3">
      <c r="L595" s="18"/>
    </row>
    <row r="596" spans="12:12" ht="14.25" customHeight="1" x14ac:dyDescent="0.3">
      <c r="L596" s="18"/>
    </row>
    <row r="597" spans="12:12" ht="14.25" customHeight="1" x14ac:dyDescent="0.3">
      <c r="L597" s="18"/>
    </row>
    <row r="598" spans="12:12" ht="14.25" customHeight="1" x14ac:dyDescent="0.3">
      <c r="L598" s="18"/>
    </row>
    <row r="599" spans="12:12" ht="14.25" customHeight="1" x14ac:dyDescent="0.3">
      <c r="L599" s="18"/>
    </row>
    <row r="600" spans="12:12" ht="14.25" customHeight="1" x14ac:dyDescent="0.3">
      <c r="L600" s="18"/>
    </row>
    <row r="601" spans="12:12" ht="14.25" customHeight="1" x14ac:dyDescent="0.3">
      <c r="L601" s="18"/>
    </row>
    <row r="602" spans="12:12" ht="14.25" customHeight="1" x14ac:dyDescent="0.3">
      <c r="L602" s="18"/>
    </row>
    <row r="603" spans="12:12" ht="14.25" customHeight="1" x14ac:dyDescent="0.3">
      <c r="L603" s="18"/>
    </row>
    <row r="604" spans="12:12" ht="14.25" customHeight="1" x14ac:dyDescent="0.3">
      <c r="L604" s="18"/>
    </row>
    <row r="605" spans="12:12" ht="14.25" customHeight="1" x14ac:dyDescent="0.3">
      <c r="L605" s="18"/>
    </row>
    <row r="606" spans="12:12" ht="14.25" customHeight="1" x14ac:dyDescent="0.3">
      <c r="L606" s="18"/>
    </row>
    <row r="607" spans="12:12" ht="14.25" customHeight="1" x14ac:dyDescent="0.3">
      <c r="L607" s="18"/>
    </row>
    <row r="608" spans="12:12" ht="14.25" customHeight="1" x14ac:dyDescent="0.3">
      <c r="L608" s="18"/>
    </row>
    <row r="609" spans="12:12" ht="14.25" customHeight="1" x14ac:dyDescent="0.3">
      <c r="L609" s="18"/>
    </row>
    <row r="610" spans="12:12" ht="14.25" customHeight="1" x14ac:dyDescent="0.3">
      <c r="L610" s="18"/>
    </row>
    <row r="611" spans="12:12" ht="14.25" customHeight="1" x14ac:dyDescent="0.3">
      <c r="L611" s="18"/>
    </row>
    <row r="612" spans="12:12" ht="14.25" customHeight="1" x14ac:dyDescent="0.3">
      <c r="L612" s="18"/>
    </row>
    <row r="613" spans="12:12" ht="14.25" customHeight="1" x14ac:dyDescent="0.3">
      <c r="L613" s="18"/>
    </row>
    <row r="614" spans="12:12" ht="14.25" customHeight="1" x14ac:dyDescent="0.3">
      <c r="L614" s="18"/>
    </row>
    <row r="615" spans="12:12" ht="14.25" customHeight="1" x14ac:dyDescent="0.3">
      <c r="L615" s="18"/>
    </row>
    <row r="616" spans="12:12" ht="14.25" customHeight="1" x14ac:dyDescent="0.3">
      <c r="L616" s="18"/>
    </row>
    <row r="617" spans="12:12" ht="14.25" customHeight="1" x14ac:dyDescent="0.3">
      <c r="L617" s="18"/>
    </row>
    <row r="618" spans="12:12" ht="14.25" customHeight="1" x14ac:dyDescent="0.3">
      <c r="L618" s="18"/>
    </row>
    <row r="619" spans="12:12" ht="14.25" customHeight="1" x14ac:dyDescent="0.3">
      <c r="L619" s="18"/>
    </row>
    <row r="620" spans="12:12" ht="14.25" customHeight="1" x14ac:dyDescent="0.3">
      <c r="L620" s="18"/>
    </row>
    <row r="621" spans="12:12" ht="14.25" customHeight="1" x14ac:dyDescent="0.3">
      <c r="L621" s="18"/>
    </row>
    <row r="622" spans="12:12" ht="14.25" customHeight="1" x14ac:dyDescent="0.3">
      <c r="L622" s="18"/>
    </row>
    <row r="623" spans="12:12" ht="14.25" customHeight="1" x14ac:dyDescent="0.3">
      <c r="L623" s="18"/>
    </row>
    <row r="624" spans="12:12" ht="14.25" customHeight="1" x14ac:dyDescent="0.3">
      <c r="L624" s="18"/>
    </row>
    <row r="625" spans="12:12" ht="14.25" customHeight="1" x14ac:dyDescent="0.3">
      <c r="L625" s="18"/>
    </row>
    <row r="626" spans="12:12" ht="14.25" customHeight="1" x14ac:dyDescent="0.3">
      <c r="L626" s="18"/>
    </row>
    <row r="627" spans="12:12" ht="14.25" customHeight="1" x14ac:dyDescent="0.3">
      <c r="L627" s="18"/>
    </row>
    <row r="628" spans="12:12" ht="14.25" customHeight="1" x14ac:dyDescent="0.3">
      <c r="L628" s="18"/>
    </row>
    <row r="629" spans="12:12" ht="14.25" customHeight="1" x14ac:dyDescent="0.3">
      <c r="L629" s="18"/>
    </row>
    <row r="630" spans="12:12" ht="14.25" customHeight="1" x14ac:dyDescent="0.3">
      <c r="L630" s="18"/>
    </row>
    <row r="631" spans="12:12" ht="14.25" customHeight="1" x14ac:dyDescent="0.3">
      <c r="L631" s="18"/>
    </row>
    <row r="632" spans="12:12" ht="14.25" customHeight="1" x14ac:dyDescent="0.3">
      <c r="L632" s="18"/>
    </row>
    <row r="633" spans="12:12" ht="14.25" customHeight="1" x14ac:dyDescent="0.3">
      <c r="L633" s="18"/>
    </row>
    <row r="634" spans="12:12" ht="14.25" customHeight="1" x14ac:dyDescent="0.3">
      <c r="L634" s="18"/>
    </row>
    <row r="635" spans="12:12" ht="14.25" customHeight="1" x14ac:dyDescent="0.3">
      <c r="L635" s="18"/>
    </row>
    <row r="636" spans="12:12" ht="14.25" customHeight="1" x14ac:dyDescent="0.3">
      <c r="L636" s="18"/>
    </row>
    <row r="637" spans="12:12" ht="14.25" customHeight="1" x14ac:dyDescent="0.3">
      <c r="L637" s="18"/>
    </row>
    <row r="638" spans="12:12" ht="14.25" customHeight="1" x14ac:dyDescent="0.3">
      <c r="L638" s="18"/>
    </row>
    <row r="639" spans="12:12" ht="14.25" customHeight="1" x14ac:dyDescent="0.3">
      <c r="L639" s="18"/>
    </row>
    <row r="640" spans="12:12" ht="14.25" customHeight="1" x14ac:dyDescent="0.3">
      <c r="L640" s="18"/>
    </row>
    <row r="641" spans="12:12" ht="14.25" customHeight="1" x14ac:dyDescent="0.3">
      <c r="L641" s="18"/>
    </row>
    <row r="642" spans="12:12" ht="14.25" customHeight="1" x14ac:dyDescent="0.3">
      <c r="L642" s="18"/>
    </row>
    <row r="643" spans="12:12" ht="14.25" customHeight="1" x14ac:dyDescent="0.3">
      <c r="L643" s="18"/>
    </row>
    <row r="644" spans="12:12" ht="14.25" customHeight="1" x14ac:dyDescent="0.3">
      <c r="L644" s="18"/>
    </row>
    <row r="645" spans="12:12" ht="14.25" customHeight="1" x14ac:dyDescent="0.3">
      <c r="L645" s="18"/>
    </row>
    <row r="646" spans="12:12" ht="14.25" customHeight="1" x14ac:dyDescent="0.3">
      <c r="L646" s="18"/>
    </row>
    <row r="647" spans="12:12" ht="14.25" customHeight="1" x14ac:dyDescent="0.3">
      <c r="L647" s="18"/>
    </row>
    <row r="648" spans="12:12" ht="14.25" customHeight="1" x14ac:dyDescent="0.3">
      <c r="L648" s="18"/>
    </row>
    <row r="649" spans="12:12" ht="14.25" customHeight="1" x14ac:dyDescent="0.3">
      <c r="L649" s="18"/>
    </row>
    <row r="650" spans="12:12" ht="14.25" customHeight="1" x14ac:dyDescent="0.3">
      <c r="L650" s="18"/>
    </row>
    <row r="651" spans="12:12" ht="14.25" customHeight="1" x14ac:dyDescent="0.3">
      <c r="L651" s="18"/>
    </row>
    <row r="652" spans="12:12" ht="14.25" customHeight="1" x14ac:dyDescent="0.3">
      <c r="L652" s="18"/>
    </row>
    <row r="653" spans="12:12" ht="14.25" customHeight="1" x14ac:dyDescent="0.3">
      <c r="L653" s="18"/>
    </row>
    <row r="654" spans="12:12" ht="14.25" customHeight="1" x14ac:dyDescent="0.3">
      <c r="L654" s="18"/>
    </row>
    <row r="655" spans="12:12" ht="14.25" customHeight="1" x14ac:dyDescent="0.3">
      <c r="L655" s="18"/>
    </row>
    <row r="656" spans="12:12" ht="14.25" customHeight="1" x14ac:dyDescent="0.3">
      <c r="L656" s="18"/>
    </row>
    <row r="657" spans="12:12" ht="14.25" customHeight="1" x14ac:dyDescent="0.3">
      <c r="L657" s="18"/>
    </row>
    <row r="658" spans="12:12" ht="14.25" customHeight="1" x14ac:dyDescent="0.3">
      <c r="L658" s="18"/>
    </row>
    <row r="659" spans="12:12" ht="14.25" customHeight="1" x14ac:dyDescent="0.3">
      <c r="L659" s="18"/>
    </row>
    <row r="660" spans="12:12" ht="14.25" customHeight="1" x14ac:dyDescent="0.3">
      <c r="L660" s="18"/>
    </row>
    <row r="661" spans="12:12" ht="14.25" customHeight="1" x14ac:dyDescent="0.3">
      <c r="L661" s="18"/>
    </row>
    <row r="662" spans="12:12" ht="14.25" customHeight="1" x14ac:dyDescent="0.3">
      <c r="L662" s="18"/>
    </row>
    <row r="663" spans="12:12" ht="14.25" customHeight="1" x14ac:dyDescent="0.3">
      <c r="L663" s="18"/>
    </row>
    <row r="664" spans="12:12" ht="14.25" customHeight="1" x14ac:dyDescent="0.3">
      <c r="L664" s="18"/>
    </row>
    <row r="665" spans="12:12" ht="14.25" customHeight="1" x14ac:dyDescent="0.3">
      <c r="L665" s="18"/>
    </row>
    <row r="666" spans="12:12" ht="14.25" customHeight="1" x14ac:dyDescent="0.3">
      <c r="L666" s="18"/>
    </row>
    <row r="667" spans="12:12" ht="14.25" customHeight="1" x14ac:dyDescent="0.3">
      <c r="L667" s="18"/>
    </row>
    <row r="668" spans="12:12" ht="14.25" customHeight="1" x14ac:dyDescent="0.3">
      <c r="L668" s="18"/>
    </row>
    <row r="669" spans="12:12" ht="14.25" customHeight="1" x14ac:dyDescent="0.3">
      <c r="L669" s="18"/>
    </row>
    <row r="670" spans="12:12" ht="14.25" customHeight="1" x14ac:dyDescent="0.3">
      <c r="L670" s="18"/>
    </row>
    <row r="671" spans="12:12" ht="14.25" customHeight="1" x14ac:dyDescent="0.3">
      <c r="L671" s="18"/>
    </row>
    <row r="672" spans="12:12" ht="14.25" customHeight="1" x14ac:dyDescent="0.3">
      <c r="L672" s="18"/>
    </row>
    <row r="673" spans="12:12" ht="14.25" customHeight="1" x14ac:dyDescent="0.3">
      <c r="L673" s="18"/>
    </row>
    <row r="674" spans="12:12" ht="14.25" customHeight="1" x14ac:dyDescent="0.3">
      <c r="L674" s="18"/>
    </row>
    <row r="675" spans="12:12" ht="14.25" customHeight="1" x14ac:dyDescent="0.3">
      <c r="L675" s="18"/>
    </row>
    <row r="676" spans="12:12" ht="14.25" customHeight="1" x14ac:dyDescent="0.3">
      <c r="L676" s="18"/>
    </row>
    <row r="677" spans="12:12" ht="14.25" customHeight="1" x14ac:dyDescent="0.3">
      <c r="L677" s="18"/>
    </row>
    <row r="678" spans="12:12" ht="14.25" customHeight="1" x14ac:dyDescent="0.3">
      <c r="L678" s="18"/>
    </row>
    <row r="679" spans="12:12" ht="14.25" customHeight="1" x14ac:dyDescent="0.3">
      <c r="L679" s="18"/>
    </row>
    <row r="680" spans="12:12" ht="14.25" customHeight="1" x14ac:dyDescent="0.3">
      <c r="L680" s="18"/>
    </row>
    <row r="681" spans="12:12" ht="14.25" customHeight="1" x14ac:dyDescent="0.3">
      <c r="L681" s="18"/>
    </row>
    <row r="682" spans="12:12" ht="14.25" customHeight="1" x14ac:dyDescent="0.3">
      <c r="L682" s="18"/>
    </row>
    <row r="683" spans="12:12" ht="14.25" customHeight="1" x14ac:dyDescent="0.3">
      <c r="L683" s="18"/>
    </row>
    <row r="684" spans="12:12" ht="14.25" customHeight="1" x14ac:dyDescent="0.3">
      <c r="L684" s="18"/>
    </row>
    <row r="685" spans="12:12" ht="14.25" customHeight="1" x14ac:dyDescent="0.3">
      <c r="L685" s="18"/>
    </row>
    <row r="686" spans="12:12" ht="14.25" customHeight="1" x14ac:dyDescent="0.3">
      <c r="L686" s="18"/>
    </row>
    <row r="687" spans="12:12" ht="14.25" customHeight="1" x14ac:dyDescent="0.3">
      <c r="L687" s="18"/>
    </row>
    <row r="688" spans="12:12" ht="14.25" customHeight="1" x14ac:dyDescent="0.3">
      <c r="L688" s="18"/>
    </row>
    <row r="689" spans="12:12" ht="14.25" customHeight="1" x14ac:dyDescent="0.3">
      <c r="L689" s="18"/>
    </row>
    <row r="690" spans="12:12" ht="14.25" customHeight="1" x14ac:dyDescent="0.3">
      <c r="L690" s="18"/>
    </row>
    <row r="691" spans="12:12" ht="14.25" customHeight="1" x14ac:dyDescent="0.3">
      <c r="L691" s="18"/>
    </row>
    <row r="692" spans="12:12" ht="14.25" customHeight="1" x14ac:dyDescent="0.3">
      <c r="L692" s="18"/>
    </row>
    <row r="693" spans="12:12" ht="14.25" customHeight="1" x14ac:dyDescent="0.3">
      <c r="L693" s="18"/>
    </row>
    <row r="694" spans="12:12" ht="14.25" customHeight="1" x14ac:dyDescent="0.3">
      <c r="L694" s="18"/>
    </row>
    <row r="695" spans="12:12" ht="14.25" customHeight="1" x14ac:dyDescent="0.3">
      <c r="L695" s="18"/>
    </row>
    <row r="696" spans="12:12" ht="14.25" customHeight="1" x14ac:dyDescent="0.3">
      <c r="L696" s="18"/>
    </row>
    <row r="697" spans="12:12" ht="14.25" customHeight="1" x14ac:dyDescent="0.3">
      <c r="L697" s="18"/>
    </row>
    <row r="698" spans="12:12" ht="14.25" customHeight="1" x14ac:dyDescent="0.3">
      <c r="L698" s="18"/>
    </row>
    <row r="699" spans="12:12" ht="14.25" customHeight="1" x14ac:dyDescent="0.3">
      <c r="L699" s="18"/>
    </row>
    <row r="700" spans="12:12" ht="14.25" customHeight="1" x14ac:dyDescent="0.3">
      <c r="L700" s="18"/>
    </row>
    <row r="701" spans="12:12" ht="14.25" customHeight="1" x14ac:dyDescent="0.3">
      <c r="L701" s="18"/>
    </row>
    <row r="702" spans="12:12" ht="14.25" customHeight="1" x14ac:dyDescent="0.3">
      <c r="L702" s="18"/>
    </row>
    <row r="703" spans="12:12" ht="14.25" customHeight="1" x14ac:dyDescent="0.3">
      <c r="L703" s="18"/>
    </row>
    <row r="704" spans="12:12" ht="14.25" customHeight="1" x14ac:dyDescent="0.3">
      <c r="L704" s="18"/>
    </row>
    <row r="705" spans="12:12" ht="14.25" customHeight="1" x14ac:dyDescent="0.3">
      <c r="L705" s="18"/>
    </row>
    <row r="706" spans="12:12" ht="14.25" customHeight="1" x14ac:dyDescent="0.3">
      <c r="L706" s="18"/>
    </row>
    <row r="707" spans="12:12" ht="14.25" customHeight="1" x14ac:dyDescent="0.3">
      <c r="L707" s="18"/>
    </row>
    <row r="708" spans="12:12" ht="14.25" customHeight="1" x14ac:dyDescent="0.3">
      <c r="L708" s="18"/>
    </row>
    <row r="709" spans="12:12" ht="14.25" customHeight="1" x14ac:dyDescent="0.3">
      <c r="L709" s="18"/>
    </row>
    <row r="710" spans="12:12" ht="14.25" customHeight="1" x14ac:dyDescent="0.3">
      <c r="L710" s="18"/>
    </row>
    <row r="711" spans="12:12" ht="14.25" customHeight="1" x14ac:dyDescent="0.3">
      <c r="L711" s="18"/>
    </row>
    <row r="712" spans="12:12" ht="14.25" customHeight="1" x14ac:dyDescent="0.3">
      <c r="L712" s="18"/>
    </row>
    <row r="713" spans="12:12" ht="14.25" customHeight="1" x14ac:dyDescent="0.3">
      <c r="L713" s="18"/>
    </row>
    <row r="714" spans="12:12" ht="14.25" customHeight="1" x14ac:dyDescent="0.3">
      <c r="L714" s="18"/>
    </row>
    <row r="715" spans="12:12" ht="14.25" customHeight="1" x14ac:dyDescent="0.3">
      <c r="L715" s="18"/>
    </row>
    <row r="716" spans="12:12" ht="14.25" customHeight="1" x14ac:dyDescent="0.3">
      <c r="L716" s="18"/>
    </row>
    <row r="717" spans="12:12" ht="14.25" customHeight="1" x14ac:dyDescent="0.3">
      <c r="L717" s="18"/>
    </row>
    <row r="718" spans="12:12" ht="14.25" customHeight="1" x14ac:dyDescent="0.3">
      <c r="L718" s="18"/>
    </row>
    <row r="719" spans="12:12" ht="14.25" customHeight="1" x14ac:dyDescent="0.3">
      <c r="L719" s="18"/>
    </row>
    <row r="720" spans="12:12" ht="14.25" customHeight="1" x14ac:dyDescent="0.3">
      <c r="L720" s="18"/>
    </row>
    <row r="721" spans="12:12" ht="14.25" customHeight="1" x14ac:dyDescent="0.3">
      <c r="L721" s="18"/>
    </row>
    <row r="722" spans="12:12" ht="14.25" customHeight="1" x14ac:dyDescent="0.3">
      <c r="L722" s="18"/>
    </row>
    <row r="723" spans="12:12" ht="14.25" customHeight="1" x14ac:dyDescent="0.3">
      <c r="L723" s="18"/>
    </row>
    <row r="724" spans="12:12" ht="14.25" customHeight="1" x14ac:dyDescent="0.3">
      <c r="L724" s="18"/>
    </row>
    <row r="725" spans="12:12" ht="14.25" customHeight="1" x14ac:dyDescent="0.3">
      <c r="L725" s="18"/>
    </row>
    <row r="726" spans="12:12" ht="14.25" customHeight="1" x14ac:dyDescent="0.3">
      <c r="L726" s="18"/>
    </row>
    <row r="727" spans="12:12" ht="14.25" customHeight="1" x14ac:dyDescent="0.3">
      <c r="L727" s="18"/>
    </row>
    <row r="728" spans="12:12" ht="14.25" customHeight="1" x14ac:dyDescent="0.3">
      <c r="L728" s="18"/>
    </row>
    <row r="729" spans="12:12" ht="14.25" customHeight="1" x14ac:dyDescent="0.3">
      <c r="L729" s="18"/>
    </row>
    <row r="730" spans="12:12" ht="14.25" customHeight="1" x14ac:dyDescent="0.3">
      <c r="L730" s="18"/>
    </row>
    <row r="731" spans="12:12" ht="14.25" customHeight="1" x14ac:dyDescent="0.3">
      <c r="L731" s="18"/>
    </row>
    <row r="732" spans="12:12" ht="14.25" customHeight="1" x14ac:dyDescent="0.3">
      <c r="L732" s="18"/>
    </row>
    <row r="733" spans="12:12" ht="14.25" customHeight="1" x14ac:dyDescent="0.3">
      <c r="L733" s="18"/>
    </row>
    <row r="734" spans="12:12" ht="14.25" customHeight="1" x14ac:dyDescent="0.3">
      <c r="L734" s="18"/>
    </row>
    <row r="735" spans="12:12" ht="14.25" customHeight="1" x14ac:dyDescent="0.3">
      <c r="L735" s="18"/>
    </row>
    <row r="736" spans="12:12" ht="14.25" customHeight="1" x14ac:dyDescent="0.3">
      <c r="L736" s="18"/>
    </row>
    <row r="737" spans="12:12" ht="14.25" customHeight="1" x14ac:dyDescent="0.3">
      <c r="L737" s="18"/>
    </row>
    <row r="738" spans="12:12" ht="14.25" customHeight="1" x14ac:dyDescent="0.3">
      <c r="L738" s="18"/>
    </row>
    <row r="739" spans="12:12" ht="14.25" customHeight="1" x14ac:dyDescent="0.3">
      <c r="L739" s="18"/>
    </row>
    <row r="740" spans="12:12" ht="14.25" customHeight="1" x14ac:dyDescent="0.3">
      <c r="L740" s="18"/>
    </row>
    <row r="741" spans="12:12" ht="14.25" customHeight="1" x14ac:dyDescent="0.3">
      <c r="L741" s="18"/>
    </row>
    <row r="742" spans="12:12" ht="14.25" customHeight="1" x14ac:dyDescent="0.3">
      <c r="L742" s="18"/>
    </row>
    <row r="743" spans="12:12" ht="14.25" customHeight="1" x14ac:dyDescent="0.3">
      <c r="L743" s="18"/>
    </row>
    <row r="744" spans="12:12" ht="14.25" customHeight="1" x14ac:dyDescent="0.3">
      <c r="L744" s="18"/>
    </row>
    <row r="745" spans="12:12" ht="14.25" customHeight="1" x14ac:dyDescent="0.3">
      <c r="L745" s="18"/>
    </row>
    <row r="746" spans="12:12" ht="14.25" customHeight="1" x14ac:dyDescent="0.3">
      <c r="L746" s="18"/>
    </row>
    <row r="747" spans="12:12" ht="14.25" customHeight="1" x14ac:dyDescent="0.3">
      <c r="L747" s="18"/>
    </row>
    <row r="748" spans="12:12" ht="14.25" customHeight="1" x14ac:dyDescent="0.3">
      <c r="L748" s="18"/>
    </row>
    <row r="749" spans="12:12" ht="14.25" customHeight="1" x14ac:dyDescent="0.3">
      <c r="L749" s="18"/>
    </row>
    <row r="750" spans="12:12" ht="14.25" customHeight="1" x14ac:dyDescent="0.3">
      <c r="L750" s="18"/>
    </row>
    <row r="751" spans="12:12" ht="14.25" customHeight="1" x14ac:dyDescent="0.3">
      <c r="L751" s="18"/>
    </row>
    <row r="752" spans="12:12" ht="14.25" customHeight="1" x14ac:dyDescent="0.3">
      <c r="L752" s="18"/>
    </row>
    <row r="753" spans="12:12" ht="14.25" customHeight="1" x14ac:dyDescent="0.3">
      <c r="L753" s="18"/>
    </row>
    <row r="754" spans="12:12" ht="14.25" customHeight="1" x14ac:dyDescent="0.3">
      <c r="L754" s="18"/>
    </row>
    <row r="755" spans="12:12" ht="14.25" customHeight="1" x14ac:dyDescent="0.3">
      <c r="L755" s="18"/>
    </row>
    <row r="756" spans="12:12" ht="14.25" customHeight="1" x14ac:dyDescent="0.3">
      <c r="L756" s="18"/>
    </row>
    <row r="757" spans="12:12" ht="14.25" customHeight="1" x14ac:dyDescent="0.3">
      <c r="L757" s="18"/>
    </row>
    <row r="758" spans="12:12" ht="14.25" customHeight="1" x14ac:dyDescent="0.3">
      <c r="L758" s="18"/>
    </row>
    <row r="759" spans="12:12" ht="14.25" customHeight="1" x14ac:dyDescent="0.3">
      <c r="L759" s="18"/>
    </row>
    <row r="760" spans="12:12" ht="14.25" customHeight="1" x14ac:dyDescent="0.3">
      <c r="L760" s="18"/>
    </row>
    <row r="761" spans="12:12" ht="14.25" customHeight="1" x14ac:dyDescent="0.3">
      <c r="L761" s="18"/>
    </row>
    <row r="762" spans="12:12" ht="14.25" customHeight="1" x14ac:dyDescent="0.3">
      <c r="L762" s="18"/>
    </row>
    <row r="763" spans="12:12" ht="14.25" customHeight="1" x14ac:dyDescent="0.3">
      <c r="L763" s="18"/>
    </row>
    <row r="764" spans="12:12" ht="14.25" customHeight="1" x14ac:dyDescent="0.3">
      <c r="L764" s="18"/>
    </row>
    <row r="765" spans="12:12" ht="14.25" customHeight="1" x14ac:dyDescent="0.3">
      <c r="L765" s="18"/>
    </row>
    <row r="766" spans="12:12" ht="14.25" customHeight="1" x14ac:dyDescent="0.3">
      <c r="L766" s="18"/>
    </row>
    <row r="767" spans="12:12" ht="14.25" customHeight="1" x14ac:dyDescent="0.3">
      <c r="L767" s="18"/>
    </row>
    <row r="768" spans="12:12" ht="14.25" customHeight="1" x14ac:dyDescent="0.3">
      <c r="L768" s="18"/>
    </row>
    <row r="769" spans="12:12" ht="14.25" customHeight="1" x14ac:dyDescent="0.3">
      <c r="L769" s="18"/>
    </row>
    <row r="770" spans="12:12" ht="14.25" customHeight="1" x14ac:dyDescent="0.3">
      <c r="L770" s="18"/>
    </row>
    <row r="771" spans="12:12" ht="14.25" customHeight="1" x14ac:dyDescent="0.3">
      <c r="L771" s="18"/>
    </row>
    <row r="772" spans="12:12" ht="14.25" customHeight="1" x14ac:dyDescent="0.3">
      <c r="L772" s="18"/>
    </row>
    <row r="773" spans="12:12" ht="14.25" customHeight="1" x14ac:dyDescent="0.3">
      <c r="L773" s="18"/>
    </row>
    <row r="774" spans="12:12" ht="14.25" customHeight="1" x14ac:dyDescent="0.3">
      <c r="L774" s="18"/>
    </row>
    <row r="775" spans="12:12" ht="14.25" customHeight="1" x14ac:dyDescent="0.3">
      <c r="L775" s="18"/>
    </row>
    <row r="776" spans="12:12" ht="14.25" customHeight="1" x14ac:dyDescent="0.3">
      <c r="L776" s="18"/>
    </row>
    <row r="777" spans="12:12" ht="14.25" customHeight="1" x14ac:dyDescent="0.3">
      <c r="L777" s="18"/>
    </row>
    <row r="778" spans="12:12" ht="14.25" customHeight="1" x14ac:dyDescent="0.3">
      <c r="L778" s="18"/>
    </row>
    <row r="779" spans="12:12" ht="14.25" customHeight="1" x14ac:dyDescent="0.3">
      <c r="L779" s="18"/>
    </row>
    <row r="780" spans="12:12" ht="14.25" customHeight="1" x14ac:dyDescent="0.3">
      <c r="L780" s="18"/>
    </row>
    <row r="781" spans="12:12" ht="14.25" customHeight="1" x14ac:dyDescent="0.3">
      <c r="L781" s="18"/>
    </row>
    <row r="782" spans="12:12" ht="14.25" customHeight="1" x14ac:dyDescent="0.3">
      <c r="L782" s="18"/>
    </row>
    <row r="783" spans="12:12" ht="14.25" customHeight="1" x14ac:dyDescent="0.3">
      <c r="L783" s="18"/>
    </row>
    <row r="784" spans="12:12" ht="14.25" customHeight="1" x14ac:dyDescent="0.3">
      <c r="L784" s="18"/>
    </row>
    <row r="785" spans="12:12" ht="14.25" customHeight="1" x14ac:dyDescent="0.3">
      <c r="L785" s="18"/>
    </row>
    <row r="786" spans="12:12" ht="14.25" customHeight="1" x14ac:dyDescent="0.3">
      <c r="L786" s="18"/>
    </row>
    <row r="787" spans="12:12" ht="14.25" customHeight="1" x14ac:dyDescent="0.3">
      <c r="L787" s="18"/>
    </row>
    <row r="788" spans="12:12" ht="14.25" customHeight="1" x14ac:dyDescent="0.3">
      <c r="L788" s="18"/>
    </row>
    <row r="789" spans="12:12" ht="14.25" customHeight="1" x14ac:dyDescent="0.3">
      <c r="L789" s="18"/>
    </row>
    <row r="790" spans="12:12" ht="14.25" customHeight="1" x14ac:dyDescent="0.3">
      <c r="L790" s="18"/>
    </row>
    <row r="791" spans="12:12" ht="14.25" customHeight="1" x14ac:dyDescent="0.3">
      <c r="L791" s="18"/>
    </row>
    <row r="792" spans="12:12" ht="14.25" customHeight="1" x14ac:dyDescent="0.3">
      <c r="L792" s="18"/>
    </row>
    <row r="793" spans="12:12" ht="14.25" customHeight="1" x14ac:dyDescent="0.3">
      <c r="L793" s="18"/>
    </row>
    <row r="794" spans="12:12" ht="14.25" customHeight="1" x14ac:dyDescent="0.3">
      <c r="L794" s="18"/>
    </row>
    <row r="795" spans="12:12" ht="14.25" customHeight="1" x14ac:dyDescent="0.3">
      <c r="L795" s="18"/>
    </row>
    <row r="796" spans="12:12" ht="14.25" customHeight="1" x14ac:dyDescent="0.3">
      <c r="L796" s="18"/>
    </row>
    <row r="797" spans="12:12" ht="14.25" customHeight="1" x14ac:dyDescent="0.3">
      <c r="L797" s="18"/>
    </row>
    <row r="798" spans="12:12" ht="14.25" customHeight="1" x14ac:dyDescent="0.3">
      <c r="L798" s="18"/>
    </row>
    <row r="799" spans="12:12" ht="14.25" customHeight="1" x14ac:dyDescent="0.3">
      <c r="L799" s="18"/>
    </row>
    <row r="800" spans="12:12" ht="14.25" customHeight="1" x14ac:dyDescent="0.3">
      <c r="L800" s="18"/>
    </row>
    <row r="801" spans="12:12" ht="14.25" customHeight="1" x14ac:dyDescent="0.3">
      <c r="L801" s="18"/>
    </row>
    <row r="802" spans="12:12" ht="14.25" customHeight="1" x14ac:dyDescent="0.3">
      <c r="L802" s="18"/>
    </row>
    <row r="803" spans="12:12" ht="14.25" customHeight="1" x14ac:dyDescent="0.3">
      <c r="L803" s="18"/>
    </row>
    <row r="804" spans="12:12" ht="14.25" customHeight="1" x14ac:dyDescent="0.3">
      <c r="L804" s="18"/>
    </row>
    <row r="805" spans="12:12" ht="14.25" customHeight="1" x14ac:dyDescent="0.3">
      <c r="L805" s="18"/>
    </row>
    <row r="806" spans="12:12" ht="14.25" customHeight="1" x14ac:dyDescent="0.3">
      <c r="L806" s="18"/>
    </row>
    <row r="807" spans="12:12" ht="14.25" customHeight="1" x14ac:dyDescent="0.3">
      <c r="L807" s="18"/>
    </row>
    <row r="808" spans="12:12" ht="14.25" customHeight="1" x14ac:dyDescent="0.3">
      <c r="L808" s="18"/>
    </row>
    <row r="809" spans="12:12" ht="14.25" customHeight="1" x14ac:dyDescent="0.3">
      <c r="L809" s="18"/>
    </row>
    <row r="810" spans="12:12" ht="14.25" customHeight="1" x14ac:dyDescent="0.3">
      <c r="L810" s="18"/>
    </row>
    <row r="811" spans="12:12" ht="14.25" customHeight="1" x14ac:dyDescent="0.3">
      <c r="L811" s="18"/>
    </row>
    <row r="812" spans="12:12" ht="14.25" customHeight="1" x14ac:dyDescent="0.3">
      <c r="L812" s="18"/>
    </row>
    <row r="813" spans="12:12" ht="14.25" customHeight="1" x14ac:dyDescent="0.3">
      <c r="L813" s="18"/>
    </row>
    <row r="814" spans="12:12" ht="14.25" customHeight="1" x14ac:dyDescent="0.3">
      <c r="L814" s="18"/>
    </row>
    <row r="815" spans="12:12" ht="14.25" customHeight="1" x14ac:dyDescent="0.3">
      <c r="L815" s="18"/>
    </row>
    <row r="816" spans="12:12" ht="14.25" customHeight="1" x14ac:dyDescent="0.3">
      <c r="L816" s="18"/>
    </row>
    <row r="817" spans="12:12" ht="14.25" customHeight="1" x14ac:dyDescent="0.3">
      <c r="L817" s="18"/>
    </row>
    <row r="818" spans="12:12" ht="14.25" customHeight="1" x14ac:dyDescent="0.3">
      <c r="L818" s="18"/>
    </row>
    <row r="819" spans="12:12" ht="14.25" customHeight="1" x14ac:dyDescent="0.3">
      <c r="L819" s="18"/>
    </row>
    <row r="820" spans="12:12" ht="14.25" customHeight="1" x14ac:dyDescent="0.3">
      <c r="L820" s="18"/>
    </row>
    <row r="821" spans="12:12" ht="14.25" customHeight="1" x14ac:dyDescent="0.3">
      <c r="L821" s="18"/>
    </row>
    <row r="822" spans="12:12" ht="14.25" customHeight="1" x14ac:dyDescent="0.3">
      <c r="L822" s="18"/>
    </row>
    <row r="823" spans="12:12" ht="14.25" customHeight="1" x14ac:dyDescent="0.3">
      <c r="L823" s="18"/>
    </row>
    <row r="824" spans="12:12" ht="14.25" customHeight="1" x14ac:dyDescent="0.3">
      <c r="L824" s="18"/>
    </row>
    <row r="825" spans="12:12" ht="14.25" customHeight="1" x14ac:dyDescent="0.3">
      <c r="L825" s="18"/>
    </row>
    <row r="826" spans="12:12" ht="14.25" customHeight="1" x14ac:dyDescent="0.3">
      <c r="L826" s="18"/>
    </row>
    <row r="827" spans="12:12" ht="14.25" customHeight="1" x14ac:dyDescent="0.3">
      <c r="L827" s="18"/>
    </row>
    <row r="828" spans="12:12" ht="14.25" customHeight="1" x14ac:dyDescent="0.3">
      <c r="L828" s="18"/>
    </row>
    <row r="829" spans="12:12" ht="14.25" customHeight="1" x14ac:dyDescent="0.3">
      <c r="L829" s="18"/>
    </row>
    <row r="830" spans="12:12" ht="14.25" customHeight="1" x14ac:dyDescent="0.3">
      <c r="L830" s="18"/>
    </row>
    <row r="831" spans="12:12" ht="14.25" customHeight="1" x14ac:dyDescent="0.3">
      <c r="L831" s="18"/>
    </row>
    <row r="832" spans="12:12" ht="14.25" customHeight="1" x14ac:dyDescent="0.3">
      <c r="L832" s="18"/>
    </row>
    <row r="833" spans="12:12" ht="14.25" customHeight="1" x14ac:dyDescent="0.3">
      <c r="L833" s="18"/>
    </row>
    <row r="834" spans="12:12" ht="14.25" customHeight="1" x14ac:dyDescent="0.3">
      <c r="L834" s="18"/>
    </row>
    <row r="835" spans="12:12" ht="14.25" customHeight="1" x14ac:dyDescent="0.3">
      <c r="L835" s="18"/>
    </row>
    <row r="836" spans="12:12" ht="14.25" customHeight="1" x14ac:dyDescent="0.3">
      <c r="L836" s="18"/>
    </row>
    <row r="837" spans="12:12" ht="14.25" customHeight="1" x14ac:dyDescent="0.3">
      <c r="L837" s="18"/>
    </row>
    <row r="838" spans="12:12" ht="14.25" customHeight="1" x14ac:dyDescent="0.3">
      <c r="L838" s="18"/>
    </row>
    <row r="839" spans="12:12" ht="14.25" customHeight="1" x14ac:dyDescent="0.3">
      <c r="L839" s="18"/>
    </row>
    <row r="840" spans="12:12" ht="14.25" customHeight="1" x14ac:dyDescent="0.3">
      <c r="L840" s="18"/>
    </row>
    <row r="841" spans="12:12" ht="14.25" customHeight="1" x14ac:dyDescent="0.3">
      <c r="L841" s="18"/>
    </row>
    <row r="842" spans="12:12" ht="14.25" customHeight="1" x14ac:dyDescent="0.3">
      <c r="L842" s="18"/>
    </row>
    <row r="843" spans="12:12" ht="14.25" customHeight="1" x14ac:dyDescent="0.3">
      <c r="L843" s="18"/>
    </row>
    <row r="844" spans="12:12" ht="14.25" customHeight="1" x14ac:dyDescent="0.3">
      <c r="L844" s="18"/>
    </row>
    <row r="845" spans="12:12" ht="14.25" customHeight="1" x14ac:dyDescent="0.3">
      <c r="L845" s="18"/>
    </row>
    <row r="846" spans="12:12" ht="14.25" customHeight="1" x14ac:dyDescent="0.3">
      <c r="L846" s="18"/>
    </row>
    <row r="847" spans="12:12" ht="14.25" customHeight="1" x14ac:dyDescent="0.3">
      <c r="L847" s="18"/>
    </row>
    <row r="848" spans="12:12" ht="14.25" customHeight="1" x14ac:dyDescent="0.3">
      <c r="L848" s="18"/>
    </row>
    <row r="849" spans="12:12" ht="14.25" customHeight="1" x14ac:dyDescent="0.3">
      <c r="L849" s="18"/>
    </row>
    <row r="850" spans="12:12" ht="14.25" customHeight="1" x14ac:dyDescent="0.3">
      <c r="L850" s="18"/>
    </row>
    <row r="851" spans="12:12" ht="14.25" customHeight="1" x14ac:dyDescent="0.3">
      <c r="L851" s="18"/>
    </row>
    <row r="852" spans="12:12" ht="14.25" customHeight="1" x14ac:dyDescent="0.3">
      <c r="L852" s="18"/>
    </row>
    <row r="853" spans="12:12" ht="14.25" customHeight="1" x14ac:dyDescent="0.3">
      <c r="L853" s="18"/>
    </row>
    <row r="854" spans="12:12" ht="14.25" customHeight="1" x14ac:dyDescent="0.3">
      <c r="L854" s="18"/>
    </row>
    <row r="855" spans="12:12" ht="14.25" customHeight="1" x14ac:dyDescent="0.3">
      <c r="L855" s="18"/>
    </row>
    <row r="856" spans="12:12" ht="14.25" customHeight="1" x14ac:dyDescent="0.3">
      <c r="L856" s="18"/>
    </row>
    <row r="857" spans="12:12" ht="14.25" customHeight="1" x14ac:dyDescent="0.3">
      <c r="L857" s="18"/>
    </row>
    <row r="858" spans="12:12" ht="14.25" customHeight="1" x14ac:dyDescent="0.3">
      <c r="L858" s="18"/>
    </row>
    <row r="859" spans="12:12" ht="14.25" customHeight="1" x14ac:dyDescent="0.3">
      <c r="L859" s="18"/>
    </row>
    <row r="860" spans="12:12" ht="14.25" customHeight="1" x14ac:dyDescent="0.3">
      <c r="L860" s="18"/>
    </row>
    <row r="861" spans="12:12" ht="14.25" customHeight="1" x14ac:dyDescent="0.3">
      <c r="L861" s="18"/>
    </row>
    <row r="862" spans="12:12" ht="14.25" customHeight="1" x14ac:dyDescent="0.3">
      <c r="L862" s="18"/>
    </row>
    <row r="863" spans="12:12" ht="14.25" customHeight="1" x14ac:dyDescent="0.3">
      <c r="L863" s="18"/>
    </row>
    <row r="864" spans="12:12" ht="14.25" customHeight="1" x14ac:dyDescent="0.3">
      <c r="L864" s="18"/>
    </row>
    <row r="865" spans="12:12" ht="14.25" customHeight="1" x14ac:dyDescent="0.3">
      <c r="L865" s="18"/>
    </row>
    <row r="866" spans="12:12" ht="14.25" customHeight="1" x14ac:dyDescent="0.3">
      <c r="L866" s="18"/>
    </row>
    <row r="867" spans="12:12" ht="14.25" customHeight="1" x14ac:dyDescent="0.3">
      <c r="L867" s="18"/>
    </row>
    <row r="868" spans="12:12" ht="14.25" customHeight="1" x14ac:dyDescent="0.3">
      <c r="L868" s="18"/>
    </row>
    <row r="869" spans="12:12" ht="14.25" customHeight="1" x14ac:dyDescent="0.3">
      <c r="L869" s="18"/>
    </row>
    <row r="870" spans="12:12" ht="14.25" customHeight="1" x14ac:dyDescent="0.3">
      <c r="L870" s="18"/>
    </row>
    <row r="871" spans="12:12" ht="14.25" customHeight="1" x14ac:dyDescent="0.3">
      <c r="L871" s="18"/>
    </row>
    <row r="872" spans="12:12" ht="14.25" customHeight="1" x14ac:dyDescent="0.3">
      <c r="L872" s="18"/>
    </row>
    <row r="873" spans="12:12" ht="14.25" customHeight="1" x14ac:dyDescent="0.3">
      <c r="L873" s="18"/>
    </row>
    <row r="874" spans="12:12" ht="14.25" customHeight="1" x14ac:dyDescent="0.3">
      <c r="L874" s="18"/>
    </row>
    <row r="875" spans="12:12" ht="14.25" customHeight="1" x14ac:dyDescent="0.3">
      <c r="L875" s="18"/>
    </row>
    <row r="876" spans="12:12" ht="14.25" customHeight="1" x14ac:dyDescent="0.3">
      <c r="L876" s="18"/>
    </row>
    <row r="877" spans="12:12" ht="14.25" customHeight="1" x14ac:dyDescent="0.3">
      <c r="L877" s="18"/>
    </row>
    <row r="878" spans="12:12" ht="14.25" customHeight="1" x14ac:dyDescent="0.3">
      <c r="L878" s="18"/>
    </row>
    <row r="879" spans="12:12" ht="14.25" customHeight="1" x14ac:dyDescent="0.3">
      <c r="L879" s="18"/>
    </row>
    <row r="880" spans="12:12" ht="14.25" customHeight="1" x14ac:dyDescent="0.3">
      <c r="L880" s="18"/>
    </row>
    <row r="881" spans="12:12" ht="14.25" customHeight="1" x14ac:dyDescent="0.3">
      <c r="L881" s="18"/>
    </row>
    <row r="882" spans="12:12" ht="14.25" customHeight="1" x14ac:dyDescent="0.3">
      <c r="L882" s="18"/>
    </row>
    <row r="883" spans="12:12" ht="14.25" customHeight="1" x14ac:dyDescent="0.3">
      <c r="L883" s="18"/>
    </row>
    <row r="884" spans="12:12" ht="14.25" customHeight="1" x14ac:dyDescent="0.3">
      <c r="L884" s="18"/>
    </row>
    <row r="885" spans="12:12" ht="14.25" customHeight="1" x14ac:dyDescent="0.3">
      <c r="L885" s="18"/>
    </row>
    <row r="886" spans="12:12" ht="14.25" customHeight="1" x14ac:dyDescent="0.3">
      <c r="L886" s="18"/>
    </row>
    <row r="887" spans="12:12" ht="14.25" customHeight="1" x14ac:dyDescent="0.3">
      <c r="L887" s="18"/>
    </row>
    <row r="888" spans="12:12" ht="14.25" customHeight="1" x14ac:dyDescent="0.3">
      <c r="L888" s="18"/>
    </row>
    <row r="889" spans="12:12" ht="14.25" customHeight="1" x14ac:dyDescent="0.3">
      <c r="L889" s="18"/>
    </row>
    <row r="890" spans="12:12" ht="14.25" customHeight="1" x14ac:dyDescent="0.3">
      <c r="L890" s="18"/>
    </row>
    <row r="891" spans="12:12" ht="14.25" customHeight="1" x14ac:dyDescent="0.3">
      <c r="L891" s="18"/>
    </row>
    <row r="892" spans="12:12" ht="14.25" customHeight="1" x14ac:dyDescent="0.3">
      <c r="L892" s="18"/>
    </row>
    <row r="893" spans="12:12" ht="14.25" customHeight="1" x14ac:dyDescent="0.3">
      <c r="L893" s="18"/>
    </row>
    <row r="894" spans="12:12" ht="14.25" customHeight="1" x14ac:dyDescent="0.3">
      <c r="L894" s="18"/>
    </row>
    <row r="895" spans="12:12" ht="14.25" customHeight="1" x14ac:dyDescent="0.3">
      <c r="L895" s="18"/>
    </row>
    <row r="896" spans="12:12" ht="14.25" customHeight="1" x14ac:dyDescent="0.3">
      <c r="L896" s="18"/>
    </row>
    <row r="897" spans="12:12" ht="14.25" customHeight="1" x14ac:dyDescent="0.3">
      <c r="L897" s="18"/>
    </row>
    <row r="898" spans="12:12" ht="14.25" customHeight="1" x14ac:dyDescent="0.3">
      <c r="L898" s="18"/>
    </row>
    <row r="899" spans="12:12" ht="14.25" customHeight="1" x14ac:dyDescent="0.3">
      <c r="L899" s="18"/>
    </row>
    <row r="900" spans="12:12" ht="14.25" customHeight="1" x14ac:dyDescent="0.3">
      <c r="L900" s="18"/>
    </row>
    <row r="901" spans="12:12" ht="14.25" customHeight="1" x14ac:dyDescent="0.3">
      <c r="L901" s="18"/>
    </row>
    <row r="902" spans="12:12" ht="14.25" customHeight="1" x14ac:dyDescent="0.3">
      <c r="L902" s="18"/>
    </row>
    <row r="903" spans="12:12" ht="14.25" customHeight="1" x14ac:dyDescent="0.3">
      <c r="L903" s="18"/>
    </row>
    <row r="904" spans="12:12" ht="14.25" customHeight="1" x14ac:dyDescent="0.3">
      <c r="L904" s="18"/>
    </row>
    <row r="905" spans="12:12" ht="14.25" customHeight="1" x14ac:dyDescent="0.3">
      <c r="L905" s="18"/>
    </row>
    <row r="906" spans="12:12" ht="14.25" customHeight="1" x14ac:dyDescent="0.3">
      <c r="L906" s="18"/>
    </row>
    <row r="907" spans="12:12" ht="14.25" customHeight="1" x14ac:dyDescent="0.3">
      <c r="L907" s="18"/>
    </row>
    <row r="908" spans="12:12" ht="14.25" customHeight="1" x14ac:dyDescent="0.3">
      <c r="L908" s="18"/>
    </row>
    <row r="909" spans="12:12" ht="14.25" customHeight="1" x14ac:dyDescent="0.3">
      <c r="L909" s="18"/>
    </row>
    <row r="910" spans="12:12" ht="14.25" customHeight="1" x14ac:dyDescent="0.3">
      <c r="L910" s="18"/>
    </row>
    <row r="911" spans="12:12" ht="14.25" customHeight="1" x14ac:dyDescent="0.3">
      <c r="L911" s="18"/>
    </row>
    <row r="912" spans="12:12" ht="14.25" customHeight="1" x14ac:dyDescent="0.3">
      <c r="L912" s="18"/>
    </row>
    <row r="913" spans="12:12" ht="14.25" customHeight="1" x14ac:dyDescent="0.3">
      <c r="L913" s="18"/>
    </row>
    <row r="914" spans="12:12" ht="14.25" customHeight="1" x14ac:dyDescent="0.3">
      <c r="L914" s="18"/>
    </row>
    <row r="915" spans="12:12" ht="14.25" customHeight="1" x14ac:dyDescent="0.3">
      <c r="L915" s="18"/>
    </row>
    <row r="916" spans="12:12" ht="14.25" customHeight="1" x14ac:dyDescent="0.3">
      <c r="L916" s="18"/>
    </row>
    <row r="917" spans="12:12" ht="14.25" customHeight="1" x14ac:dyDescent="0.3">
      <c r="L917" s="18"/>
    </row>
    <row r="918" spans="12:12" ht="14.25" customHeight="1" x14ac:dyDescent="0.3">
      <c r="L918" s="18"/>
    </row>
    <row r="919" spans="12:12" ht="14.25" customHeight="1" x14ac:dyDescent="0.3">
      <c r="L919" s="18"/>
    </row>
    <row r="920" spans="12:12" ht="14.25" customHeight="1" x14ac:dyDescent="0.3">
      <c r="L920" s="18"/>
    </row>
    <row r="921" spans="12:12" ht="14.25" customHeight="1" x14ac:dyDescent="0.3">
      <c r="L921" s="18"/>
    </row>
    <row r="922" spans="12:12" ht="14.25" customHeight="1" x14ac:dyDescent="0.3">
      <c r="L922" s="18"/>
    </row>
    <row r="923" spans="12:12" ht="14.25" customHeight="1" x14ac:dyDescent="0.3">
      <c r="L923" s="18"/>
    </row>
    <row r="924" spans="12:12" ht="14.25" customHeight="1" x14ac:dyDescent="0.3">
      <c r="L924" s="18"/>
    </row>
    <row r="925" spans="12:12" ht="14.25" customHeight="1" x14ac:dyDescent="0.3">
      <c r="L925" s="18"/>
    </row>
    <row r="926" spans="12:12" ht="14.25" customHeight="1" x14ac:dyDescent="0.3">
      <c r="L926" s="18"/>
    </row>
    <row r="927" spans="12:12" ht="14.25" customHeight="1" x14ac:dyDescent="0.3">
      <c r="L927" s="18"/>
    </row>
    <row r="928" spans="12:12" ht="14.25" customHeight="1" x14ac:dyDescent="0.3">
      <c r="L928" s="18"/>
    </row>
    <row r="929" spans="12:12" ht="14.25" customHeight="1" x14ac:dyDescent="0.3">
      <c r="L929" s="18"/>
    </row>
    <row r="930" spans="12:12" ht="14.25" customHeight="1" x14ac:dyDescent="0.3">
      <c r="L930" s="18"/>
    </row>
    <row r="931" spans="12:12" ht="14.25" customHeight="1" x14ac:dyDescent="0.3">
      <c r="L931" s="18"/>
    </row>
    <row r="932" spans="12:12" ht="14.25" customHeight="1" x14ac:dyDescent="0.3">
      <c r="L932" s="18"/>
    </row>
    <row r="933" spans="12:12" ht="14.25" customHeight="1" x14ac:dyDescent="0.3">
      <c r="L933" s="18"/>
    </row>
    <row r="934" spans="12:12" ht="14.25" customHeight="1" x14ac:dyDescent="0.3">
      <c r="L934" s="18"/>
    </row>
    <row r="935" spans="12:12" ht="14.25" customHeight="1" x14ac:dyDescent="0.3">
      <c r="L935" s="18"/>
    </row>
    <row r="936" spans="12:12" ht="14.25" customHeight="1" x14ac:dyDescent="0.3">
      <c r="L936" s="18"/>
    </row>
    <row r="937" spans="12:12" ht="14.25" customHeight="1" x14ac:dyDescent="0.3">
      <c r="L937" s="18"/>
    </row>
    <row r="938" spans="12:12" ht="14.25" customHeight="1" x14ac:dyDescent="0.3">
      <c r="L938" s="18"/>
    </row>
    <row r="939" spans="12:12" ht="14.25" customHeight="1" x14ac:dyDescent="0.3">
      <c r="L939" s="18"/>
    </row>
    <row r="940" spans="12:12" ht="14.25" customHeight="1" x14ac:dyDescent="0.3">
      <c r="L940" s="18"/>
    </row>
    <row r="941" spans="12:12" ht="14.25" customHeight="1" x14ac:dyDescent="0.3">
      <c r="L941" s="18"/>
    </row>
    <row r="942" spans="12:12" ht="14.25" customHeight="1" x14ac:dyDescent="0.3">
      <c r="L942" s="18"/>
    </row>
    <row r="943" spans="12:12" ht="14.25" customHeight="1" x14ac:dyDescent="0.3">
      <c r="L943" s="18"/>
    </row>
    <row r="944" spans="12:12" ht="14.25" customHeight="1" x14ac:dyDescent="0.3">
      <c r="L944" s="18"/>
    </row>
    <row r="945" spans="12:12" ht="14.25" customHeight="1" x14ac:dyDescent="0.3">
      <c r="L945" s="18"/>
    </row>
    <row r="946" spans="12:12" ht="14.25" customHeight="1" x14ac:dyDescent="0.3">
      <c r="L946" s="18"/>
    </row>
    <row r="947" spans="12:12" ht="14.25" customHeight="1" x14ac:dyDescent="0.3">
      <c r="L947" s="18"/>
    </row>
    <row r="948" spans="12:12" ht="14.25" customHeight="1" x14ac:dyDescent="0.3">
      <c r="L948" s="18"/>
    </row>
    <row r="949" spans="12:12" ht="14.25" customHeight="1" x14ac:dyDescent="0.3">
      <c r="L949" s="18"/>
    </row>
    <row r="950" spans="12:12" ht="14.25" customHeight="1" x14ac:dyDescent="0.3">
      <c r="L950" s="18"/>
    </row>
    <row r="951" spans="12:12" ht="14.25" customHeight="1" x14ac:dyDescent="0.3">
      <c r="L951" s="18"/>
    </row>
    <row r="952" spans="12:12" ht="14.25" customHeight="1" x14ac:dyDescent="0.3">
      <c r="L952" s="18"/>
    </row>
    <row r="953" spans="12:12" ht="14.25" customHeight="1" x14ac:dyDescent="0.3">
      <c r="L953" s="18"/>
    </row>
    <row r="954" spans="12:12" ht="14.25" customHeight="1" x14ac:dyDescent="0.3">
      <c r="L954" s="18"/>
    </row>
    <row r="955" spans="12:12" ht="14.25" customHeight="1" x14ac:dyDescent="0.3">
      <c r="L955" s="18"/>
    </row>
    <row r="956" spans="12:12" ht="14.25" customHeight="1" x14ac:dyDescent="0.3">
      <c r="L956" s="18"/>
    </row>
    <row r="957" spans="12:12" ht="14.25" customHeight="1" x14ac:dyDescent="0.3">
      <c r="L957" s="18"/>
    </row>
    <row r="958" spans="12:12" ht="14.25" customHeight="1" x14ac:dyDescent="0.3">
      <c r="L958" s="18"/>
    </row>
    <row r="959" spans="12:12" ht="14.25" customHeight="1" x14ac:dyDescent="0.3">
      <c r="L959" s="18"/>
    </row>
    <row r="960" spans="12:12" ht="14.25" customHeight="1" x14ac:dyDescent="0.3">
      <c r="L960" s="18"/>
    </row>
    <row r="961" spans="12:12" ht="14.25" customHeight="1" x14ac:dyDescent="0.3">
      <c r="L961" s="18"/>
    </row>
    <row r="962" spans="12:12" ht="14.25" customHeight="1" x14ac:dyDescent="0.3">
      <c r="L962" s="18"/>
    </row>
    <row r="963" spans="12:12" ht="14.25" customHeight="1" x14ac:dyDescent="0.3">
      <c r="L963" s="18"/>
    </row>
    <row r="964" spans="12:12" ht="14.25" customHeight="1" x14ac:dyDescent="0.3">
      <c r="L964" s="18"/>
    </row>
    <row r="965" spans="12:12" ht="14.25" customHeight="1" x14ac:dyDescent="0.3">
      <c r="L965" s="18"/>
    </row>
    <row r="966" spans="12:12" ht="14.25" customHeight="1" x14ac:dyDescent="0.3">
      <c r="L966" s="18"/>
    </row>
    <row r="967" spans="12:12" ht="14.25" customHeight="1" x14ac:dyDescent="0.3">
      <c r="L967" s="18"/>
    </row>
    <row r="968" spans="12:12" ht="14.25" customHeight="1" x14ac:dyDescent="0.3">
      <c r="L968" s="18"/>
    </row>
    <row r="969" spans="12:12" ht="14.25" customHeight="1" x14ac:dyDescent="0.3">
      <c r="L969" s="18"/>
    </row>
    <row r="970" spans="12:12" ht="14.25" customHeight="1" x14ac:dyDescent="0.3">
      <c r="L970" s="18"/>
    </row>
    <row r="971" spans="12:12" ht="14.25" customHeight="1" x14ac:dyDescent="0.3">
      <c r="L971" s="18"/>
    </row>
    <row r="972" spans="12:12" ht="14.25" customHeight="1" x14ac:dyDescent="0.3">
      <c r="L972" s="18"/>
    </row>
    <row r="973" spans="12:12" ht="14.25" customHeight="1" x14ac:dyDescent="0.3">
      <c r="L973" s="18"/>
    </row>
    <row r="974" spans="12:12" ht="14.25" customHeight="1" x14ac:dyDescent="0.3">
      <c r="L974" s="18"/>
    </row>
    <row r="975" spans="12:12" ht="14.25" customHeight="1" x14ac:dyDescent="0.3">
      <c r="L975" s="18"/>
    </row>
    <row r="976" spans="12:12" ht="14.25" customHeight="1" x14ac:dyDescent="0.3">
      <c r="L976" s="18"/>
    </row>
    <row r="977" spans="12:12" ht="14.25" customHeight="1" x14ac:dyDescent="0.3">
      <c r="L977" s="18"/>
    </row>
    <row r="978" spans="12:12" ht="14.25" customHeight="1" x14ac:dyDescent="0.3">
      <c r="L978" s="18"/>
    </row>
    <row r="979" spans="12:12" ht="14.25" customHeight="1" x14ac:dyDescent="0.3">
      <c r="L979" s="18"/>
    </row>
    <row r="980" spans="12:12" ht="14.25" customHeight="1" x14ac:dyDescent="0.3">
      <c r="L980" s="18"/>
    </row>
    <row r="981" spans="12:12" ht="14.25" customHeight="1" x14ac:dyDescent="0.3">
      <c r="L981" s="18"/>
    </row>
    <row r="982" spans="12:12" ht="14.25" customHeight="1" x14ac:dyDescent="0.3">
      <c r="L982" s="18"/>
    </row>
    <row r="983" spans="12:12" ht="14.25" customHeight="1" x14ac:dyDescent="0.3">
      <c r="L983" s="18"/>
    </row>
    <row r="984" spans="12:12" ht="14.25" customHeight="1" x14ac:dyDescent="0.3">
      <c r="L984" s="18"/>
    </row>
    <row r="985" spans="12:12" ht="14.25" customHeight="1" x14ac:dyDescent="0.3">
      <c r="L985" s="18"/>
    </row>
    <row r="986" spans="12:12" ht="14.25" customHeight="1" x14ac:dyDescent="0.3">
      <c r="L986" s="18"/>
    </row>
    <row r="987" spans="12:12" ht="14.25" customHeight="1" x14ac:dyDescent="0.3">
      <c r="L987" s="18"/>
    </row>
    <row r="988" spans="12:12" ht="14.25" customHeight="1" x14ac:dyDescent="0.3">
      <c r="L988" s="18"/>
    </row>
    <row r="989" spans="12:12" ht="14.25" customHeight="1" x14ac:dyDescent="0.3">
      <c r="L989" s="18"/>
    </row>
    <row r="990" spans="12:12" ht="14.25" customHeight="1" x14ac:dyDescent="0.3">
      <c r="L990" s="18"/>
    </row>
    <row r="991" spans="12:12" ht="14.25" customHeight="1" x14ac:dyDescent="0.3">
      <c r="L991" s="18"/>
    </row>
    <row r="992" spans="12:12" ht="14.25" customHeight="1" x14ac:dyDescent="0.3">
      <c r="L992" s="18"/>
    </row>
    <row r="993" spans="12:12" ht="14.25" customHeight="1" x14ac:dyDescent="0.3">
      <c r="L993" s="18"/>
    </row>
    <row r="994" spans="12:12" ht="14.25" customHeight="1" x14ac:dyDescent="0.3">
      <c r="L994" s="18"/>
    </row>
    <row r="995" spans="12:12" ht="14.25" customHeight="1" x14ac:dyDescent="0.3">
      <c r="L995" s="18"/>
    </row>
    <row r="996" spans="12:12" ht="14.25" customHeight="1" x14ac:dyDescent="0.3">
      <c r="L996" s="18"/>
    </row>
    <row r="997" spans="12:12" ht="14.25" customHeight="1" x14ac:dyDescent="0.3">
      <c r="L997" s="18"/>
    </row>
    <row r="998" spans="12:12" ht="14.25" customHeight="1" x14ac:dyDescent="0.3">
      <c r="L998" s="18"/>
    </row>
    <row r="999" spans="12:12" ht="14.25" customHeight="1" x14ac:dyDescent="0.3">
      <c r="L999" s="18"/>
    </row>
    <row r="1000" spans="12:12" ht="14.25" customHeight="1" x14ac:dyDescent="0.3">
      <c r="L1000" s="18"/>
    </row>
  </sheetData>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Z1000"/>
  <sheetViews>
    <sheetView topLeftCell="K1" workbookViewId="0">
      <selection activeCell="X9" sqref="X9"/>
    </sheetView>
  </sheetViews>
  <sheetFormatPr baseColWidth="10" defaultColWidth="14.44140625" defaultRowHeight="15" customHeight="1" x14ac:dyDescent="0.3"/>
  <cols>
    <col min="1" max="3" width="10.6640625" customWidth="1"/>
    <col min="4" max="4" width="37" customWidth="1"/>
    <col min="5" max="5" width="25.88671875" customWidth="1"/>
    <col min="6" max="6" width="28.44140625" customWidth="1"/>
    <col min="7" max="7" width="36.44140625" customWidth="1"/>
    <col min="8" max="8" width="39.33203125" customWidth="1"/>
    <col min="9" max="9" width="22.6640625" customWidth="1"/>
    <col min="10" max="10" width="33.6640625" customWidth="1"/>
    <col min="11" max="11" width="17.44140625" customWidth="1"/>
    <col min="12" max="26" width="10.6640625" customWidth="1"/>
  </cols>
  <sheetData>
    <row r="1" spans="1:25" ht="14.25" customHeight="1" x14ac:dyDescent="0.3">
      <c r="A1" s="3" t="s">
        <v>201</v>
      </c>
      <c r="B1" s="3" t="s">
        <v>192</v>
      </c>
      <c r="C1" s="3" t="s">
        <v>193</v>
      </c>
      <c r="D1" t="s">
        <v>11</v>
      </c>
      <c r="F1" s="3" t="s">
        <v>201</v>
      </c>
      <c r="G1" s="3" t="s">
        <v>192</v>
      </c>
      <c r="I1" s="1" t="s">
        <v>201</v>
      </c>
      <c r="J1" s="1" t="s">
        <v>369</v>
      </c>
      <c r="K1" s="1" t="s">
        <v>370</v>
      </c>
      <c r="L1" s="34" t="s">
        <v>333</v>
      </c>
      <c r="N1" s="3" t="s">
        <v>201</v>
      </c>
      <c r="O1" s="3" t="s">
        <v>192</v>
      </c>
      <c r="P1" s="3" t="s">
        <v>193</v>
      </c>
      <c r="Q1" t="s">
        <v>11</v>
      </c>
      <c r="V1" s="3" t="s">
        <v>201</v>
      </c>
      <c r="W1" s="3" t="s">
        <v>192</v>
      </c>
      <c r="X1" s="3" t="s">
        <v>193</v>
      </c>
      <c r="Y1" t="s">
        <v>11</v>
      </c>
    </row>
    <row r="2" spans="1:25" ht="14.25" customHeight="1" x14ac:dyDescent="0.3">
      <c r="A2" s="3" t="s">
        <v>213</v>
      </c>
      <c r="B2" s="3">
        <v>1.247177188019948</v>
      </c>
      <c r="C2" s="3">
        <v>17</v>
      </c>
      <c r="D2" t="s">
        <v>397</v>
      </c>
      <c r="F2" s="3" t="s">
        <v>213</v>
      </c>
      <c r="G2" s="3">
        <v>1.247177188019948</v>
      </c>
      <c r="I2" s="3" t="s">
        <v>213</v>
      </c>
      <c r="J2" s="3">
        <v>1</v>
      </c>
      <c r="K2" s="3" t="s">
        <v>371</v>
      </c>
      <c r="L2" s="3">
        <f t="shared" ref="L2:L21" si="0">VLOOKUP(I2,F:G,2,FALSE)</f>
        <v>1.247177188019948</v>
      </c>
      <c r="N2" s="3" t="s">
        <v>213</v>
      </c>
      <c r="O2" s="3">
        <v>1.247177188019948</v>
      </c>
      <c r="P2" s="3">
        <v>17</v>
      </c>
      <c r="Q2" t="s">
        <v>376</v>
      </c>
      <c r="V2" s="3" t="s">
        <v>213</v>
      </c>
      <c r="W2" s="3">
        <v>1.247177188019948</v>
      </c>
      <c r="X2" s="3">
        <v>17</v>
      </c>
      <c r="Y2" t="s">
        <v>397</v>
      </c>
    </row>
    <row r="3" spans="1:25" ht="14.25" customHeight="1" x14ac:dyDescent="0.3">
      <c r="A3" s="3" t="s">
        <v>217</v>
      </c>
      <c r="B3" s="3">
        <v>1.1139196755889551</v>
      </c>
      <c r="C3" s="3">
        <v>11</v>
      </c>
      <c r="D3" t="s">
        <v>398</v>
      </c>
      <c r="F3" s="3" t="s">
        <v>215</v>
      </c>
      <c r="G3" s="3">
        <v>1.1425292918330761</v>
      </c>
      <c r="I3" s="3" t="s">
        <v>215</v>
      </c>
      <c r="J3" s="3">
        <v>4</v>
      </c>
      <c r="K3" s="3" t="s">
        <v>371</v>
      </c>
      <c r="L3" s="3">
        <f t="shared" si="0"/>
        <v>1.1425292918330761</v>
      </c>
      <c r="N3" s="3" t="s">
        <v>215</v>
      </c>
      <c r="O3" s="3">
        <v>1.1425292918330761</v>
      </c>
      <c r="P3" s="3">
        <v>15</v>
      </c>
      <c r="Q3" t="s">
        <v>378</v>
      </c>
      <c r="V3" s="3" t="s">
        <v>215</v>
      </c>
      <c r="W3" s="3">
        <v>1.1425292918330761</v>
      </c>
      <c r="X3" s="3">
        <v>15</v>
      </c>
      <c r="Y3" t="s">
        <v>399</v>
      </c>
    </row>
    <row r="4" spans="1:25" ht="14.25" customHeight="1" x14ac:dyDescent="0.3">
      <c r="A4" s="3" t="s">
        <v>215</v>
      </c>
      <c r="B4" s="3">
        <v>1.1425292918330761</v>
      </c>
      <c r="C4" s="3">
        <v>15</v>
      </c>
      <c r="D4" t="s">
        <v>399</v>
      </c>
      <c r="F4" s="3" t="s">
        <v>216</v>
      </c>
      <c r="G4" s="3">
        <v>1.123713972805261</v>
      </c>
      <c r="I4" s="3" t="s">
        <v>216</v>
      </c>
      <c r="J4" s="3">
        <v>5</v>
      </c>
      <c r="K4" s="3" t="s">
        <v>371</v>
      </c>
      <c r="L4" s="3">
        <f t="shared" si="0"/>
        <v>1.123713972805261</v>
      </c>
      <c r="N4" s="3" t="s">
        <v>216</v>
      </c>
      <c r="O4" s="3">
        <v>1.123713972805261</v>
      </c>
      <c r="P4" s="3">
        <v>11</v>
      </c>
      <c r="Q4" t="s">
        <v>379</v>
      </c>
      <c r="V4" s="3" t="s">
        <v>216</v>
      </c>
      <c r="W4" s="3">
        <v>1.123713972805261</v>
      </c>
      <c r="X4" s="3">
        <v>11</v>
      </c>
      <c r="Y4" t="s">
        <v>398</v>
      </c>
    </row>
    <row r="5" spans="1:25" ht="14.25" customHeight="1" x14ac:dyDescent="0.3">
      <c r="A5" s="3" t="s">
        <v>216</v>
      </c>
      <c r="B5" s="3">
        <v>1.123713972805261</v>
      </c>
      <c r="C5" s="3">
        <v>11</v>
      </c>
      <c r="D5" t="s">
        <v>398</v>
      </c>
      <c r="F5" s="3" t="s">
        <v>217</v>
      </c>
      <c r="G5" s="3">
        <v>1.1139196755889551</v>
      </c>
      <c r="I5" s="3" t="s">
        <v>217</v>
      </c>
      <c r="J5" s="3">
        <v>2</v>
      </c>
      <c r="K5" s="3" t="s">
        <v>371</v>
      </c>
      <c r="L5" s="3">
        <f t="shared" si="0"/>
        <v>1.1139196755889551</v>
      </c>
      <c r="N5" s="3" t="s">
        <v>217</v>
      </c>
      <c r="O5" s="3">
        <v>1.1139196755889551</v>
      </c>
      <c r="P5" s="3">
        <v>11</v>
      </c>
      <c r="Q5" t="s">
        <v>377</v>
      </c>
      <c r="V5" s="3" t="s">
        <v>217</v>
      </c>
      <c r="W5" s="3">
        <v>1.1139196755889551</v>
      </c>
      <c r="X5" s="3">
        <v>11</v>
      </c>
      <c r="Y5" t="s">
        <v>398</v>
      </c>
    </row>
    <row r="6" spans="1:25" ht="14.25" customHeight="1" x14ac:dyDescent="0.3">
      <c r="A6" s="3" t="s">
        <v>238</v>
      </c>
      <c r="B6" s="3">
        <v>-1.1428327832816429</v>
      </c>
      <c r="C6" s="3">
        <v>7</v>
      </c>
      <c r="D6" t="s">
        <v>400</v>
      </c>
      <c r="F6" s="3" t="s">
        <v>218</v>
      </c>
      <c r="G6" s="3">
        <v>1.0416402811862899</v>
      </c>
      <c r="I6" s="3" t="s">
        <v>218</v>
      </c>
      <c r="J6" s="3">
        <v>0</v>
      </c>
      <c r="K6" s="3" t="s">
        <v>371</v>
      </c>
      <c r="L6" s="3">
        <f t="shared" si="0"/>
        <v>1.0416402811862899</v>
      </c>
      <c r="N6" s="3" t="s">
        <v>218</v>
      </c>
      <c r="O6" s="3">
        <v>1.0416402811862899</v>
      </c>
      <c r="P6" s="3">
        <v>11</v>
      </c>
      <c r="Q6" t="s">
        <v>393</v>
      </c>
      <c r="V6" s="3" t="s">
        <v>218</v>
      </c>
      <c r="W6" s="3">
        <v>1.0416402811862899</v>
      </c>
      <c r="X6" s="3">
        <v>11</v>
      </c>
      <c r="Y6" t="s">
        <v>398</v>
      </c>
    </row>
    <row r="7" spans="1:25" ht="14.25" customHeight="1" x14ac:dyDescent="0.3">
      <c r="A7" s="3" t="s">
        <v>239</v>
      </c>
      <c r="B7" s="3">
        <v>-1.1920893573654381</v>
      </c>
      <c r="C7" s="3">
        <v>15</v>
      </c>
      <c r="D7" t="s">
        <v>401</v>
      </c>
      <c r="F7" s="3" t="s">
        <v>220</v>
      </c>
      <c r="G7" s="3">
        <v>0.99583449612816577</v>
      </c>
      <c r="I7" s="3" t="s">
        <v>220</v>
      </c>
      <c r="J7" s="3">
        <v>1</v>
      </c>
      <c r="K7" s="3" t="s">
        <v>371</v>
      </c>
      <c r="L7" s="3">
        <f t="shared" si="0"/>
        <v>0.99583449612816577</v>
      </c>
      <c r="N7" s="3" t="s">
        <v>220</v>
      </c>
      <c r="O7" s="3">
        <v>0.99583449612816577</v>
      </c>
      <c r="P7" s="3">
        <v>29</v>
      </c>
      <c r="Q7" t="s">
        <v>385</v>
      </c>
      <c r="V7" s="3" t="s">
        <v>220</v>
      </c>
      <c r="W7" s="3">
        <v>0.99583449612816577</v>
      </c>
      <c r="X7" s="3">
        <v>29</v>
      </c>
      <c r="Y7" t="s">
        <v>404</v>
      </c>
    </row>
    <row r="8" spans="1:25" ht="14.25" customHeight="1" x14ac:dyDescent="0.3">
      <c r="A8" s="3" t="s">
        <v>229</v>
      </c>
      <c r="B8" s="3">
        <v>-1.0923718971587979</v>
      </c>
      <c r="C8" s="3">
        <v>15</v>
      </c>
      <c r="D8" t="s">
        <v>401</v>
      </c>
      <c r="F8" s="3" t="s">
        <v>223</v>
      </c>
      <c r="G8" s="3">
        <v>0.9957863323050703</v>
      </c>
      <c r="I8" s="3" t="s">
        <v>223</v>
      </c>
      <c r="J8" s="3">
        <v>1</v>
      </c>
      <c r="K8" s="3" t="s">
        <v>371</v>
      </c>
      <c r="L8" s="3">
        <f t="shared" si="0"/>
        <v>0.9957863323050703</v>
      </c>
      <c r="N8" s="3" t="s">
        <v>223</v>
      </c>
      <c r="O8" s="3">
        <v>0.9957863323050703</v>
      </c>
      <c r="P8" s="3">
        <v>15</v>
      </c>
      <c r="Q8" t="s">
        <v>383</v>
      </c>
      <c r="V8" s="3" t="s">
        <v>223</v>
      </c>
      <c r="W8" s="3">
        <v>0.9957863323050703</v>
      </c>
      <c r="X8" s="3">
        <v>15</v>
      </c>
      <c r="Y8" t="s">
        <v>402</v>
      </c>
    </row>
    <row r="9" spans="1:25" ht="14.25" customHeight="1" x14ac:dyDescent="0.3">
      <c r="A9" s="3" t="s">
        <v>223</v>
      </c>
      <c r="B9" s="3">
        <v>0.9957863323050703</v>
      </c>
      <c r="C9" s="3">
        <v>15</v>
      </c>
      <c r="D9" t="s">
        <v>402</v>
      </c>
      <c r="F9" s="3" t="s">
        <v>224</v>
      </c>
      <c r="G9" s="3">
        <v>0.98995442105744402</v>
      </c>
      <c r="I9" s="3" t="s">
        <v>224</v>
      </c>
      <c r="J9" s="3">
        <v>2</v>
      </c>
      <c r="K9" s="3" t="s">
        <v>371</v>
      </c>
      <c r="L9" s="3">
        <f t="shared" si="0"/>
        <v>0.98995442105744402</v>
      </c>
      <c r="N9" s="3" t="s">
        <v>224</v>
      </c>
      <c r="O9" s="3">
        <v>0.98995442105744402</v>
      </c>
      <c r="P9" s="3">
        <v>11</v>
      </c>
      <c r="Q9" t="s">
        <v>394</v>
      </c>
      <c r="V9" s="3" t="s">
        <v>224</v>
      </c>
      <c r="W9" s="3">
        <v>0.98995442105744402</v>
      </c>
      <c r="X9" s="3">
        <v>11</v>
      </c>
      <c r="Y9" t="s">
        <v>398</v>
      </c>
    </row>
    <row r="10" spans="1:25" ht="14.25" customHeight="1" x14ac:dyDescent="0.3">
      <c r="A10" s="3" t="s">
        <v>242</v>
      </c>
      <c r="B10" s="3">
        <v>-1.3367165560614409</v>
      </c>
      <c r="C10" s="3">
        <v>17</v>
      </c>
      <c r="D10" t="s">
        <v>403</v>
      </c>
      <c r="F10" s="3" t="s">
        <v>225</v>
      </c>
      <c r="G10" s="3">
        <v>0.8928339600558084</v>
      </c>
      <c r="I10" s="3" t="s">
        <v>225</v>
      </c>
      <c r="J10" s="3">
        <v>1</v>
      </c>
      <c r="K10" s="3" t="s">
        <v>371</v>
      </c>
      <c r="L10" s="3">
        <f t="shared" si="0"/>
        <v>0.8928339600558084</v>
      </c>
      <c r="N10" s="3" t="s">
        <v>225</v>
      </c>
      <c r="O10" s="3">
        <v>0.8928339600558084</v>
      </c>
      <c r="P10" s="3">
        <v>15</v>
      </c>
      <c r="Q10" t="s">
        <v>395</v>
      </c>
      <c r="V10" s="3" t="s">
        <v>225</v>
      </c>
      <c r="W10" s="3">
        <v>0.8928339600558084</v>
      </c>
      <c r="X10" s="3">
        <v>15</v>
      </c>
      <c r="Y10" t="s">
        <v>402</v>
      </c>
    </row>
    <row r="11" spans="1:25" ht="14.25" customHeight="1" x14ac:dyDescent="0.3">
      <c r="A11" s="3" t="s">
        <v>220</v>
      </c>
      <c r="B11" s="3">
        <v>0.99583449612816577</v>
      </c>
      <c r="C11" s="3">
        <v>29</v>
      </c>
      <c r="D11" t="s">
        <v>404</v>
      </c>
      <c r="F11" s="3" t="s">
        <v>227</v>
      </c>
      <c r="G11" s="3">
        <v>0.88597893866063815</v>
      </c>
      <c r="I11" s="3" t="s">
        <v>227</v>
      </c>
      <c r="J11" s="3">
        <v>0</v>
      </c>
      <c r="K11" s="3" t="s">
        <v>371</v>
      </c>
      <c r="L11" s="3">
        <f t="shared" si="0"/>
        <v>0.88597893866063815</v>
      </c>
      <c r="N11" s="3" t="s">
        <v>227</v>
      </c>
      <c r="O11" s="3">
        <v>0.88597893866063815</v>
      </c>
      <c r="P11" s="3">
        <v>11</v>
      </c>
      <c r="Q11" t="s">
        <v>387</v>
      </c>
      <c r="V11" s="3" t="s">
        <v>227</v>
      </c>
      <c r="W11" s="3">
        <v>0.88597893866063815</v>
      </c>
      <c r="X11" s="3">
        <v>11</v>
      </c>
      <c r="Y11" t="s">
        <v>398</v>
      </c>
    </row>
    <row r="12" spans="1:25" ht="14.25" customHeight="1" x14ac:dyDescent="0.3">
      <c r="A12" s="3" t="s">
        <v>236</v>
      </c>
      <c r="B12" s="3">
        <v>-1.1339562965442611</v>
      </c>
      <c r="C12" s="3">
        <v>15</v>
      </c>
      <c r="D12" t="s">
        <v>401</v>
      </c>
      <c r="F12" s="3" t="s">
        <v>229</v>
      </c>
      <c r="G12" s="3">
        <v>-1.0923718971587979</v>
      </c>
      <c r="I12" s="3" t="s">
        <v>229</v>
      </c>
      <c r="J12" s="3">
        <v>8</v>
      </c>
      <c r="K12" s="3" t="s">
        <v>371</v>
      </c>
      <c r="L12" s="3">
        <f t="shared" si="0"/>
        <v>-1.0923718971587979</v>
      </c>
      <c r="N12" s="3" t="s">
        <v>229</v>
      </c>
      <c r="O12" s="3">
        <v>-1.0923718971587979</v>
      </c>
      <c r="P12" s="3">
        <v>15</v>
      </c>
      <c r="Q12" t="s">
        <v>382</v>
      </c>
      <c r="V12" s="3" t="s">
        <v>229</v>
      </c>
      <c r="W12" s="3">
        <v>-1.0923718971587979</v>
      </c>
      <c r="X12" s="3">
        <v>15</v>
      </c>
      <c r="Y12" t="s">
        <v>401</v>
      </c>
    </row>
    <row r="13" spans="1:25" ht="14.25" customHeight="1" x14ac:dyDescent="0.3">
      <c r="A13" s="3" t="s">
        <v>227</v>
      </c>
      <c r="B13" s="3">
        <v>0.88597893866063815</v>
      </c>
      <c r="C13" s="3">
        <v>11</v>
      </c>
      <c r="D13" t="s">
        <v>398</v>
      </c>
      <c r="F13" s="3" t="s">
        <v>232</v>
      </c>
      <c r="G13" s="3">
        <v>-1.1154133211974251</v>
      </c>
      <c r="I13" s="3" t="s">
        <v>232</v>
      </c>
      <c r="J13" s="3">
        <v>16</v>
      </c>
      <c r="K13" s="3" t="s">
        <v>371</v>
      </c>
      <c r="L13" s="3">
        <f t="shared" si="0"/>
        <v>-1.1154133211974251</v>
      </c>
      <c r="N13" s="3" t="s">
        <v>232</v>
      </c>
      <c r="O13" s="3">
        <v>-1.1154133211974251</v>
      </c>
      <c r="P13" s="3">
        <v>19</v>
      </c>
      <c r="Q13" t="s">
        <v>389</v>
      </c>
      <c r="V13" s="3" t="s">
        <v>232</v>
      </c>
      <c r="W13" s="3">
        <v>-1.1154133211974251</v>
      </c>
      <c r="X13" s="3">
        <v>19</v>
      </c>
      <c r="Y13" t="s">
        <v>406</v>
      </c>
    </row>
    <row r="14" spans="1:25" ht="14.25" customHeight="1" x14ac:dyDescent="0.3">
      <c r="A14" s="3" t="s">
        <v>234</v>
      </c>
      <c r="B14" s="3">
        <v>-1.12017317951397</v>
      </c>
      <c r="C14" s="3">
        <v>16</v>
      </c>
      <c r="D14" t="s">
        <v>405</v>
      </c>
      <c r="F14" s="3" t="s">
        <v>234</v>
      </c>
      <c r="G14" s="3">
        <v>-1.12017317951397</v>
      </c>
      <c r="I14" s="3" t="s">
        <v>234</v>
      </c>
      <c r="J14" s="3">
        <v>12</v>
      </c>
      <c r="K14" s="3" t="s">
        <v>371</v>
      </c>
      <c r="L14" s="3">
        <f t="shared" si="0"/>
        <v>-1.12017317951397</v>
      </c>
      <c r="N14" s="3" t="s">
        <v>234</v>
      </c>
      <c r="O14" s="3">
        <v>-1.12017317951397</v>
      </c>
      <c r="P14" s="3">
        <v>16</v>
      </c>
      <c r="Q14" t="s">
        <v>388</v>
      </c>
      <c r="V14" s="3" t="s">
        <v>234</v>
      </c>
      <c r="W14" s="3">
        <v>-1.12017317951397</v>
      </c>
      <c r="X14" s="3">
        <v>16</v>
      </c>
      <c r="Y14" t="s">
        <v>405</v>
      </c>
    </row>
    <row r="15" spans="1:25" ht="14.25" customHeight="1" x14ac:dyDescent="0.3">
      <c r="A15" s="3" t="s">
        <v>232</v>
      </c>
      <c r="B15" s="3">
        <v>-1.1154133211974251</v>
      </c>
      <c r="C15" s="3">
        <v>19</v>
      </c>
      <c r="D15" t="s">
        <v>406</v>
      </c>
      <c r="F15" s="3" t="s">
        <v>236</v>
      </c>
      <c r="G15" s="3">
        <v>-1.1339562965442611</v>
      </c>
      <c r="I15" s="3" t="s">
        <v>236</v>
      </c>
      <c r="J15" s="3">
        <v>14</v>
      </c>
      <c r="K15" s="3" t="s">
        <v>371</v>
      </c>
      <c r="L15" s="3">
        <f t="shared" si="0"/>
        <v>-1.1339562965442611</v>
      </c>
      <c r="N15" s="3" t="s">
        <v>236</v>
      </c>
      <c r="O15" s="3">
        <v>-1.1339562965442611</v>
      </c>
      <c r="P15" s="3">
        <v>15</v>
      </c>
      <c r="Q15" t="s">
        <v>386</v>
      </c>
      <c r="V15" s="3" t="s">
        <v>236</v>
      </c>
      <c r="W15" s="3">
        <v>-1.1339562965442611</v>
      </c>
      <c r="X15" s="3">
        <v>15</v>
      </c>
      <c r="Y15" t="s">
        <v>401</v>
      </c>
    </row>
    <row r="16" spans="1:25" ht="14.25" customHeight="1" x14ac:dyDescent="0.3">
      <c r="A16" s="3" t="s">
        <v>243</v>
      </c>
      <c r="B16" s="3">
        <v>-1.679865001322572</v>
      </c>
      <c r="C16" s="3">
        <v>27</v>
      </c>
      <c r="D16" t="s">
        <v>407</v>
      </c>
      <c r="F16" s="3" t="s">
        <v>238</v>
      </c>
      <c r="G16" s="3">
        <v>-1.1428327832816429</v>
      </c>
      <c r="I16" s="3" t="s">
        <v>238</v>
      </c>
      <c r="J16" s="3">
        <v>2</v>
      </c>
      <c r="K16" s="3" t="s">
        <v>371</v>
      </c>
      <c r="L16" s="3">
        <f t="shared" si="0"/>
        <v>-1.1428327832816429</v>
      </c>
      <c r="N16" s="3" t="s">
        <v>238</v>
      </c>
      <c r="O16" s="3">
        <v>-1.1428327832816429</v>
      </c>
      <c r="P16" s="3">
        <v>7</v>
      </c>
      <c r="Q16" t="s">
        <v>380</v>
      </c>
      <c r="V16" s="3" t="s">
        <v>238</v>
      </c>
      <c r="W16" s="3">
        <v>-1.1428327832816429</v>
      </c>
      <c r="X16" s="3">
        <v>7</v>
      </c>
      <c r="Y16" t="s">
        <v>400</v>
      </c>
    </row>
    <row r="17" spans="1:26" ht="14.25" customHeight="1" x14ac:dyDescent="0.3">
      <c r="A17" s="3" t="s">
        <v>240</v>
      </c>
      <c r="B17" s="3">
        <v>-1.196962071035268</v>
      </c>
      <c r="C17" s="3">
        <v>19</v>
      </c>
      <c r="D17" t="s">
        <v>406</v>
      </c>
      <c r="F17" s="3" t="s">
        <v>239</v>
      </c>
      <c r="G17" s="3">
        <v>-1.1920893573654381</v>
      </c>
      <c r="I17" s="3" t="s">
        <v>239</v>
      </c>
      <c r="J17" s="3">
        <v>10</v>
      </c>
      <c r="K17" s="3" t="s">
        <v>371</v>
      </c>
      <c r="L17" s="3">
        <f t="shared" si="0"/>
        <v>-1.1920893573654381</v>
      </c>
      <c r="N17" s="3" t="s">
        <v>239</v>
      </c>
      <c r="O17" s="3">
        <v>-1.1920893573654381</v>
      </c>
      <c r="P17" s="3">
        <v>15</v>
      </c>
      <c r="Q17" t="s">
        <v>381</v>
      </c>
      <c r="V17" s="3" t="s">
        <v>239</v>
      </c>
      <c r="W17" s="3">
        <v>-1.1920893573654381</v>
      </c>
      <c r="X17" s="3">
        <v>15</v>
      </c>
      <c r="Y17" t="s">
        <v>401</v>
      </c>
    </row>
    <row r="18" spans="1:26" ht="14.25" customHeight="1" x14ac:dyDescent="0.3">
      <c r="A18" s="3" t="s">
        <v>241</v>
      </c>
      <c r="B18" s="3">
        <v>-1.2097705883740471</v>
      </c>
      <c r="C18" s="3">
        <v>15</v>
      </c>
      <c r="D18" t="s">
        <v>401</v>
      </c>
      <c r="F18" s="3" t="s">
        <v>240</v>
      </c>
      <c r="G18" s="3">
        <v>-1.196962071035268</v>
      </c>
      <c r="I18" s="3" t="s">
        <v>240</v>
      </c>
      <c r="J18" s="3">
        <v>18</v>
      </c>
      <c r="K18" s="3" t="s">
        <v>371</v>
      </c>
      <c r="L18" s="3">
        <f t="shared" si="0"/>
        <v>-1.196962071035268</v>
      </c>
      <c r="N18" s="3" t="s">
        <v>240</v>
      </c>
      <c r="O18" s="3">
        <v>-1.196962071035268</v>
      </c>
      <c r="P18" s="3">
        <v>19</v>
      </c>
      <c r="Q18" t="s">
        <v>391</v>
      </c>
      <c r="V18" s="3" t="s">
        <v>240</v>
      </c>
      <c r="W18" s="3">
        <v>-1.196962071035268</v>
      </c>
      <c r="X18" s="3">
        <v>19</v>
      </c>
      <c r="Y18" t="s">
        <v>406</v>
      </c>
    </row>
    <row r="19" spans="1:26" ht="14.25" customHeight="1" x14ac:dyDescent="0.3">
      <c r="A19" s="3" t="s">
        <v>218</v>
      </c>
      <c r="B19" s="3">
        <v>1.0416402811862899</v>
      </c>
      <c r="C19" s="3">
        <v>11</v>
      </c>
      <c r="D19" t="s">
        <v>398</v>
      </c>
      <c r="F19" s="3" t="s">
        <v>241</v>
      </c>
      <c r="G19" s="3">
        <v>-1.2097705883740471</v>
      </c>
      <c r="I19" s="3" t="s">
        <v>241</v>
      </c>
      <c r="J19" s="3">
        <v>13</v>
      </c>
      <c r="K19" s="3" t="s">
        <v>371</v>
      </c>
      <c r="L19" s="3">
        <f t="shared" si="0"/>
        <v>-1.2097705883740471</v>
      </c>
      <c r="N19" s="3" t="s">
        <v>241</v>
      </c>
      <c r="O19" s="3">
        <v>-1.2097705883740471</v>
      </c>
      <c r="P19" s="3">
        <v>15</v>
      </c>
      <c r="Q19" t="s">
        <v>392</v>
      </c>
      <c r="V19" s="3" t="s">
        <v>241</v>
      </c>
      <c r="W19" s="3">
        <v>-1.2097705883740471</v>
      </c>
      <c r="X19" s="3">
        <v>15</v>
      </c>
      <c r="Y19" t="s">
        <v>401</v>
      </c>
    </row>
    <row r="20" spans="1:26" ht="14.25" customHeight="1" x14ac:dyDescent="0.3">
      <c r="A20" s="3" t="s">
        <v>224</v>
      </c>
      <c r="B20" s="3">
        <v>0.98995442105744402</v>
      </c>
      <c r="C20" s="3">
        <v>11</v>
      </c>
      <c r="D20" t="s">
        <v>398</v>
      </c>
      <c r="F20" s="3" t="s">
        <v>242</v>
      </c>
      <c r="G20" s="3">
        <v>-1.3367165560614409</v>
      </c>
      <c r="I20" s="3" t="s">
        <v>242</v>
      </c>
      <c r="J20" s="3">
        <v>10</v>
      </c>
      <c r="K20" s="3" t="s">
        <v>371</v>
      </c>
      <c r="L20" s="3">
        <f t="shared" si="0"/>
        <v>-1.3367165560614409</v>
      </c>
      <c r="N20" s="3" t="s">
        <v>242</v>
      </c>
      <c r="O20" s="3">
        <v>-1.3367165560614409</v>
      </c>
      <c r="P20" s="3">
        <v>17</v>
      </c>
      <c r="Q20" t="s">
        <v>384</v>
      </c>
      <c r="V20" s="3" t="s">
        <v>242</v>
      </c>
      <c r="W20" s="3">
        <v>-1.3367165560614409</v>
      </c>
      <c r="X20" s="3">
        <v>17</v>
      </c>
      <c r="Y20" t="s">
        <v>403</v>
      </c>
    </row>
    <row r="21" spans="1:26" ht="14.25" customHeight="1" x14ac:dyDescent="0.3">
      <c r="A21" s="3" t="s">
        <v>225</v>
      </c>
      <c r="B21" s="3">
        <v>0.8928339600558084</v>
      </c>
      <c r="C21" s="3">
        <v>15</v>
      </c>
      <c r="D21" t="s">
        <v>402</v>
      </c>
      <c r="F21" s="3" t="s">
        <v>243</v>
      </c>
      <c r="G21" s="3">
        <v>-1.679865001322572</v>
      </c>
      <c r="I21" s="3" t="s">
        <v>243</v>
      </c>
      <c r="J21" s="3">
        <v>27</v>
      </c>
      <c r="K21" s="3" t="s">
        <v>371</v>
      </c>
      <c r="L21" s="3">
        <f t="shared" si="0"/>
        <v>-1.679865001322572</v>
      </c>
      <c r="N21" s="3" t="s">
        <v>243</v>
      </c>
      <c r="O21" s="3">
        <v>-1.679865001322572</v>
      </c>
      <c r="P21" s="3">
        <v>27</v>
      </c>
      <c r="Q21" t="s">
        <v>390</v>
      </c>
      <c r="V21" s="3" t="s">
        <v>243</v>
      </c>
      <c r="W21" s="3">
        <v>-1.679865001322572</v>
      </c>
      <c r="X21" s="3">
        <v>27</v>
      </c>
      <c r="Y21" t="s">
        <v>407</v>
      </c>
    </row>
    <row r="22" spans="1:26" ht="14.25" customHeight="1" x14ac:dyDescent="0.3"/>
    <row r="23" spans="1:26" ht="14.25" customHeight="1" x14ac:dyDescent="0.3"/>
    <row r="24" spans="1:26" ht="14.25" customHeight="1" x14ac:dyDescent="0.3">
      <c r="C24" s="3"/>
      <c r="D24" t="s">
        <v>376</v>
      </c>
      <c r="E24" t="str">
        <f t="shared" ref="E24:E43" si="1">MID(D24, FIND(",",D24)+2,LEN(D24))</f>
        <v>7.325839504304578</v>
      </c>
      <c r="F24" s="75" t="str">
        <f t="shared" ref="F24:F43" si="2">MID(D24, 1, FIND(",",D24)-1)</f>
        <v>10.92133768371537</v>
      </c>
      <c r="G24" s="76">
        <v>7325839504304570</v>
      </c>
      <c r="H24" s="78">
        <v>7.3258395043045699</v>
      </c>
      <c r="I24" s="78">
        <v>10.921337683715301</v>
      </c>
      <c r="J24" s="75">
        <v>7.3258395043045699</v>
      </c>
      <c r="K24" s="75">
        <v>10.921337683715301</v>
      </c>
      <c r="L24" t="str">
        <f>MID(J24,1, FIND(",",J24)-1)</f>
        <v>7</v>
      </c>
      <c r="M24" t="str">
        <f>MID(K24,1, FIND(",",K24)-1)</f>
        <v>10</v>
      </c>
      <c r="N24" s="78"/>
      <c r="O24">
        <v>7</v>
      </c>
      <c r="P24">
        <v>10</v>
      </c>
      <c r="Q24" t="str">
        <f>O24&amp;"-"&amp;P24</f>
        <v>7-10</v>
      </c>
    </row>
    <row r="25" spans="1:26" ht="14.25" customHeight="1" x14ac:dyDescent="0.3">
      <c r="D25" t="s">
        <v>377</v>
      </c>
      <c r="E25" t="str">
        <f t="shared" si="1"/>
        <v>4.592047557092723</v>
      </c>
      <c r="F25" s="74" t="str">
        <f t="shared" si="2"/>
        <v>7.5218721184962325</v>
      </c>
      <c r="G25" s="76">
        <v>4592047557092720</v>
      </c>
      <c r="H25" s="78">
        <v>4.5920475570927204</v>
      </c>
      <c r="I25" s="78">
        <v>7.5218721184962298</v>
      </c>
      <c r="J25" s="75">
        <v>4.5920475570927204</v>
      </c>
      <c r="K25" s="75">
        <v>7.5218721184962298</v>
      </c>
      <c r="L25" t="str">
        <f t="shared" ref="L25:L43" si="3">MID(J25,1, FIND(",",J25)-1)</f>
        <v>4</v>
      </c>
      <c r="M25" t="str">
        <f t="shared" ref="M25:M43" si="4">MID(K25,1, FIND(",",K25)-1)</f>
        <v>7</v>
      </c>
      <c r="N25" s="78"/>
      <c r="O25">
        <v>4</v>
      </c>
      <c r="P25">
        <v>7</v>
      </c>
      <c r="Q25" t="str">
        <f t="shared" ref="Q25:Q43" si="5">O25&amp;"-"&amp;P25</f>
        <v>4-7</v>
      </c>
    </row>
    <row r="26" spans="1:26" ht="14.25" customHeight="1" x14ac:dyDescent="0.3">
      <c r="D26" t="s">
        <v>378</v>
      </c>
      <c r="E26" t="str">
        <f t="shared" si="1"/>
        <v>6.043128267233983</v>
      </c>
      <c r="F26" s="74" t="str">
        <f t="shared" si="2"/>
        <v>10.099401024599093</v>
      </c>
      <c r="G26" s="76">
        <v>6043128267233980</v>
      </c>
      <c r="H26" s="78">
        <v>6.0431282672339801</v>
      </c>
      <c r="I26" s="78">
        <v>10.099401024599</v>
      </c>
      <c r="J26" s="75">
        <v>6.0431282672339801</v>
      </c>
      <c r="K26" s="75">
        <v>10.099401024599</v>
      </c>
      <c r="L26" t="str">
        <f t="shared" si="3"/>
        <v>6</v>
      </c>
      <c r="M26" t="str">
        <f t="shared" si="4"/>
        <v>10</v>
      </c>
      <c r="N26" s="78"/>
      <c r="O26">
        <v>6</v>
      </c>
      <c r="P26">
        <v>10</v>
      </c>
      <c r="Q26" t="str">
        <f t="shared" si="5"/>
        <v>6-10</v>
      </c>
    </row>
    <row r="27" spans="1:26" ht="14.25" customHeight="1" x14ac:dyDescent="0.3">
      <c r="D27" t="s">
        <v>379</v>
      </c>
      <c r="E27" t="str">
        <f t="shared" si="1"/>
        <v>4.798368075445993</v>
      </c>
      <c r="F27" s="74" t="str">
        <f t="shared" si="2"/>
        <v>7.325345897359268</v>
      </c>
      <c r="G27" s="76">
        <v>4798368075445990</v>
      </c>
      <c r="H27" s="78">
        <v>4.7983680754459899</v>
      </c>
      <c r="I27" s="78">
        <v>7.3253458973592602</v>
      </c>
      <c r="J27" s="75">
        <v>4.7983680754459899</v>
      </c>
      <c r="K27" s="75">
        <v>7.3253458973592602</v>
      </c>
      <c r="L27" t="str">
        <f t="shared" si="3"/>
        <v>4</v>
      </c>
      <c r="M27" t="str">
        <f t="shared" si="4"/>
        <v>7</v>
      </c>
      <c r="N27" s="78"/>
      <c r="O27">
        <v>4</v>
      </c>
      <c r="P27">
        <v>7</v>
      </c>
      <c r="Q27" t="str">
        <f t="shared" si="5"/>
        <v>4-7</v>
      </c>
    </row>
    <row r="28" spans="1:26" ht="14.25" customHeight="1" x14ac:dyDescent="0.3">
      <c r="D28" t="s">
        <v>380</v>
      </c>
      <c r="E28" t="str">
        <f t="shared" si="1"/>
        <v>1.8932472691161872</v>
      </c>
      <c r="F28" s="74" t="str">
        <f t="shared" si="2"/>
        <v>5.106752730883812</v>
      </c>
      <c r="G28" s="76">
        <v>1.89324726911618E+16</v>
      </c>
      <c r="H28" s="78">
        <v>1.8932472691161799</v>
      </c>
      <c r="I28" s="78">
        <v>5.1067527308838097</v>
      </c>
      <c r="J28" s="75">
        <v>1.8932472691161799</v>
      </c>
      <c r="K28" s="75">
        <v>5.1067527308838097</v>
      </c>
      <c r="L28" t="str">
        <f t="shared" si="3"/>
        <v>1</v>
      </c>
      <c r="M28" t="str">
        <f t="shared" si="4"/>
        <v>5</v>
      </c>
      <c r="N28" s="78"/>
      <c r="O28">
        <v>1</v>
      </c>
      <c r="P28">
        <v>5</v>
      </c>
      <c r="Q28" t="str">
        <f t="shared" si="5"/>
        <v>1-5</v>
      </c>
      <c r="R28" s="76"/>
      <c r="S28" s="76"/>
      <c r="T28" s="76"/>
      <c r="U28" s="76"/>
      <c r="V28" s="76"/>
      <c r="W28" s="76"/>
      <c r="X28" s="76"/>
      <c r="Y28" s="76"/>
      <c r="Z28" s="76"/>
    </row>
    <row r="29" spans="1:26" ht="14.25" customHeight="1" x14ac:dyDescent="0.3">
      <c r="D29" t="s">
        <v>381</v>
      </c>
      <c r="E29" t="str">
        <f t="shared" si="1"/>
        <v>1.68917576961271</v>
      </c>
      <c r="F29" s="74" t="str">
        <f t="shared" si="2"/>
        <v>13.31082423038729</v>
      </c>
      <c r="G29" s="76">
        <v>168917576961271</v>
      </c>
      <c r="H29" s="78">
        <v>1.6891757696127101</v>
      </c>
      <c r="I29" s="78">
        <v>13.310824230387199</v>
      </c>
      <c r="J29" s="75">
        <v>1.6891757696127101</v>
      </c>
      <c r="K29" s="75">
        <v>13.310824230387199</v>
      </c>
      <c r="L29" t="str">
        <f t="shared" si="3"/>
        <v>1</v>
      </c>
      <c r="M29" t="str">
        <f t="shared" si="4"/>
        <v>13</v>
      </c>
      <c r="N29" s="78"/>
      <c r="O29">
        <v>1</v>
      </c>
      <c r="P29">
        <v>13</v>
      </c>
      <c r="Q29" t="str">
        <f t="shared" si="5"/>
        <v>1-13</v>
      </c>
    </row>
    <row r="30" spans="1:26" ht="14.25" customHeight="1" x14ac:dyDescent="0.3">
      <c r="D30" t="s">
        <v>382</v>
      </c>
      <c r="E30" t="str">
        <f t="shared" si="1"/>
        <v>1.62859980139027</v>
      </c>
      <c r="F30" s="74" t="str">
        <f t="shared" si="2"/>
        <v>13.37140019860973</v>
      </c>
      <c r="G30" s="76">
        <v>162859980139027</v>
      </c>
      <c r="H30" s="78">
        <v>1.6285998013902701</v>
      </c>
      <c r="I30" s="78">
        <v>13.371400198609701</v>
      </c>
      <c r="J30" s="75">
        <v>1.6285998013902701</v>
      </c>
      <c r="K30" s="75">
        <v>13.371400198609701</v>
      </c>
      <c r="L30" t="str">
        <f t="shared" si="3"/>
        <v>1</v>
      </c>
      <c r="M30" t="str">
        <f t="shared" si="4"/>
        <v>13</v>
      </c>
      <c r="N30" s="78"/>
      <c r="O30">
        <v>1</v>
      </c>
      <c r="P30">
        <v>13</v>
      </c>
      <c r="Q30" t="str">
        <f t="shared" si="5"/>
        <v>1-13</v>
      </c>
    </row>
    <row r="31" spans="1:26" ht="14.25" customHeight="1" x14ac:dyDescent="0.3">
      <c r="D31" t="s">
        <v>383</v>
      </c>
      <c r="E31" t="str">
        <f t="shared" si="1"/>
        <v>6.1203691674766</v>
      </c>
      <c r="F31" s="74" t="str">
        <f t="shared" si="2"/>
        <v>9.87541716482847</v>
      </c>
      <c r="G31" s="76">
        <v>61203691674766</v>
      </c>
      <c r="H31" s="78">
        <v>6.1203691674765999</v>
      </c>
      <c r="I31" s="78">
        <v>9.8754171648284697</v>
      </c>
      <c r="J31" s="75">
        <v>6.1203691674765999</v>
      </c>
      <c r="K31" s="75">
        <v>9.8754171648284697</v>
      </c>
      <c r="L31" t="str">
        <f t="shared" si="3"/>
        <v>6</v>
      </c>
      <c r="M31" t="str">
        <f t="shared" si="4"/>
        <v>9</v>
      </c>
      <c r="N31" s="78"/>
      <c r="O31">
        <v>6</v>
      </c>
      <c r="P31">
        <v>9</v>
      </c>
      <c r="Q31" t="str">
        <f t="shared" si="5"/>
        <v>6-9</v>
      </c>
    </row>
    <row r="32" spans="1:26" ht="14.25" customHeight="1" x14ac:dyDescent="0.3">
      <c r="D32" t="s">
        <v>384</v>
      </c>
      <c r="E32" t="str">
        <f t="shared" si="1"/>
        <v>2.1204899040052947</v>
      </c>
      <c r="F32" s="74" t="str">
        <f t="shared" si="2"/>
        <v>14.879510095994704</v>
      </c>
      <c r="G32" s="76">
        <v>2.12048990400529E+16</v>
      </c>
      <c r="H32" s="78">
        <v>2.1204899040052898</v>
      </c>
      <c r="I32" s="78">
        <v>14.8795100959947</v>
      </c>
      <c r="J32" s="75">
        <v>2.1204899040052898</v>
      </c>
      <c r="K32" s="75">
        <v>14.8795100959947</v>
      </c>
      <c r="L32" t="str">
        <f t="shared" si="3"/>
        <v>2</v>
      </c>
      <c r="M32" t="str">
        <f t="shared" si="4"/>
        <v>14</v>
      </c>
      <c r="N32" s="78"/>
      <c r="O32">
        <v>2</v>
      </c>
      <c r="P32">
        <v>14</v>
      </c>
      <c r="Q32" t="str">
        <f t="shared" si="5"/>
        <v>2-14</v>
      </c>
    </row>
    <row r="33" spans="4:17" ht="14.25" customHeight="1" x14ac:dyDescent="0.3">
      <c r="D33" t="s">
        <v>385</v>
      </c>
      <c r="E33" t="str">
        <f t="shared" si="1"/>
        <v>10.90126051188401</v>
      </c>
      <c r="F33" s="74" t="str">
        <f t="shared" si="2"/>
        <v>19.094573984244157</v>
      </c>
      <c r="G33" s="76">
        <v>1090126051188400</v>
      </c>
      <c r="H33" s="78">
        <v>10.901260511884001</v>
      </c>
      <c r="I33" s="78">
        <v>19.0945739842441</v>
      </c>
      <c r="J33" s="75">
        <v>10.901260511884001</v>
      </c>
      <c r="K33" s="75">
        <v>19.0945739842441</v>
      </c>
      <c r="L33" t="str">
        <f t="shared" si="3"/>
        <v>10</v>
      </c>
      <c r="M33" t="str">
        <f t="shared" si="4"/>
        <v>19</v>
      </c>
      <c r="N33" s="78"/>
      <c r="O33">
        <v>10</v>
      </c>
      <c r="P33">
        <v>19</v>
      </c>
      <c r="Q33" t="str">
        <f t="shared" si="5"/>
        <v>10-19</v>
      </c>
    </row>
    <row r="34" spans="4:17" ht="14.25" customHeight="1" x14ac:dyDescent="0.3">
      <c r="D34" t="s">
        <v>386</v>
      </c>
      <c r="E34" t="str">
        <f t="shared" si="1"/>
        <v>1.5589208871234699</v>
      </c>
      <c r="F34" s="74" t="str">
        <f t="shared" si="2"/>
        <v>13.44107911287653</v>
      </c>
      <c r="G34" s="76">
        <v>1.55892088712346E+16</v>
      </c>
      <c r="H34" s="78">
        <v>1.5589208871234601</v>
      </c>
      <c r="I34" s="78">
        <v>13.441079112876499</v>
      </c>
      <c r="J34" s="75">
        <v>1.5589208871234601</v>
      </c>
      <c r="K34" s="75">
        <v>13.441079112876499</v>
      </c>
      <c r="L34" t="str">
        <f t="shared" si="3"/>
        <v>1</v>
      </c>
      <c r="M34" t="str">
        <f t="shared" si="4"/>
        <v>13</v>
      </c>
      <c r="N34" s="78"/>
      <c r="O34">
        <v>1</v>
      </c>
      <c r="P34">
        <v>13</v>
      </c>
      <c r="Q34" t="str">
        <f t="shared" si="5"/>
        <v>1-13</v>
      </c>
    </row>
    <row r="35" spans="4:17" ht="14.25" customHeight="1" x14ac:dyDescent="0.3">
      <c r="D35" t="s">
        <v>387</v>
      </c>
      <c r="E35" t="str">
        <f t="shared" si="1"/>
        <v>4.544114924477621</v>
      </c>
      <c r="F35" s="74" t="str">
        <f t="shared" si="2"/>
        <v>7.341864014183017</v>
      </c>
      <c r="G35" s="76">
        <v>4544114924477620</v>
      </c>
      <c r="H35" s="78">
        <v>4.5441149244776202</v>
      </c>
      <c r="I35" s="78">
        <v>7.3418640141830096</v>
      </c>
      <c r="J35" s="75">
        <v>4.5441149244776202</v>
      </c>
      <c r="K35" s="75">
        <v>7.3418640141830096</v>
      </c>
      <c r="L35" t="str">
        <f t="shared" si="3"/>
        <v>4</v>
      </c>
      <c r="M35" t="str">
        <f t="shared" si="4"/>
        <v>7</v>
      </c>
      <c r="N35" s="78"/>
      <c r="O35">
        <v>4</v>
      </c>
      <c r="P35">
        <v>7</v>
      </c>
      <c r="Q35" t="str">
        <f t="shared" si="5"/>
        <v>4-7</v>
      </c>
    </row>
    <row r="36" spans="4:17" ht="14.25" customHeight="1" x14ac:dyDescent="0.3">
      <c r="D36" t="s">
        <v>388</v>
      </c>
      <c r="E36" t="str">
        <f t="shared" si="1"/>
        <v>2.223104932141675</v>
      </c>
      <c r="F36" s="74" t="str">
        <f t="shared" si="2"/>
        <v>13.776895067858325</v>
      </c>
      <c r="G36" s="76">
        <v>2223104932141670</v>
      </c>
      <c r="H36" s="78">
        <v>2.2231049321416698</v>
      </c>
      <c r="I36" s="78">
        <v>13.7768950678583</v>
      </c>
      <c r="J36" s="75">
        <v>2.2231049321416698</v>
      </c>
      <c r="K36" s="75">
        <v>13.7768950678583</v>
      </c>
      <c r="L36" t="str">
        <f t="shared" si="3"/>
        <v>2</v>
      </c>
      <c r="M36" t="str">
        <f t="shared" si="4"/>
        <v>13</v>
      </c>
      <c r="N36" s="78"/>
      <c r="O36">
        <v>2</v>
      </c>
      <c r="P36">
        <v>13</v>
      </c>
      <c r="Q36" t="str">
        <f t="shared" si="5"/>
        <v>2-13</v>
      </c>
    </row>
    <row r="37" spans="4:17" ht="14.25" customHeight="1" x14ac:dyDescent="0.3">
      <c r="D37" t="s">
        <v>389</v>
      </c>
      <c r="E37" t="str">
        <f t="shared" si="1"/>
        <v>2.319430652101955</v>
      </c>
      <c r="F37" s="74" t="str">
        <f t="shared" si="2"/>
        <v>16.680569347898047</v>
      </c>
      <c r="G37" s="76">
        <v>2319430652101950</v>
      </c>
      <c r="H37" s="78">
        <v>2.3194306521019499</v>
      </c>
      <c r="I37" s="78">
        <v>16.680569347898</v>
      </c>
      <c r="J37" s="75">
        <v>2.3194306521019499</v>
      </c>
      <c r="K37" s="75">
        <v>16.680569347898</v>
      </c>
      <c r="L37" t="str">
        <f t="shared" si="3"/>
        <v>2</v>
      </c>
      <c r="M37" t="str">
        <f t="shared" si="4"/>
        <v>16</v>
      </c>
      <c r="N37" s="78"/>
      <c r="O37">
        <v>2</v>
      </c>
      <c r="P37">
        <v>16</v>
      </c>
      <c r="Q37" t="str">
        <f t="shared" si="5"/>
        <v>2-16</v>
      </c>
    </row>
    <row r="38" spans="4:17" ht="14.25" customHeight="1" x14ac:dyDescent="0.3">
      <c r="D38" t="s">
        <v>390</v>
      </c>
      <c r="E38" t="str">
        <f t="shared" si="1"/>
        <v>2.5032858707557506</v>
      </c>
      <c r="F38" s="74" t="str">
        <f t="shared" si="2"/>
        <v>24.496714129244246</v>
      </c>
      <c r="G38" s="76">
        <v>2.50328587075575E+16</v>
      </c>
      <c r="H38" s="78">
        <v>2.5032858707557502</v>
      </c>
      <c r="I38" s="78">
        <v>24.4967141292442</v>
      </c>
      <c r="J38" s="75">
        <v>2.5032858707557502</v>
      </c>
      <c r="K38" s="75">
        <v>24.4967141292442</v>
      </c>
      <c r="L38" t="str">
        <f t="shared" si="3"/>
        <v>2</v>
      </c>
      <c r="M38" t="str">
        <f t="shared" si="4"/>
        <v>24</v>
      </c>
      <c r="N38" s="78"/>
      <c r="O38">
        <v>2</v>
      </c>
      <c r="P38">
        <v>24</v>
      </c>
      <c r="Q38" t="str">
        <f t="shared" si="5"/>
        <v>2-24</v>
      </c>
    </row>
    <row r="39" spans="4:17" ht="14.25" customHeight="1" x14ac:dyDescent="0.3">
      <c r="D39" t="s">
        <v>391</v>
      </c>
      <c r="E39" t="str">
        <f t="shared" si="1"/>
        <v>2.3091691492883153</v>
      </c>
      <c r="F39" s="74" t="str">
        <f t="shared" si="2"/>
        <v>16.690830850711684</v>
      </c>
      <c r="G39" s="76">
        <v>2.30916914928831E+16</v>
      </c>
      <c r="H39" s="78">
        <v>2.30916914928831</v>
      </c>
      <c r="I39" s="78">
        <v>16.690830850711599</v>
      </c>
      <c r="J39" s="75">
        <v>2.30916914928831</v>
      </c>
      <c r="K39" s="75">
        <v>16.690830850711599</v>
      </c>
      <c r="L39" t="str">
        <f t="shared" si="3"/>
        <v>2</v>
      </c>
      <c r="M39" t="str">
        <f t="shared" si="4"/>
        <v>16</v>
      </c>
      <c r="N39" s="78"/>
      <c r="O39">
        <v>2</v>
      </c>
      <c r="P39">
        <v>16</v>
      </c>
      <c r="Q39" t="str">
        <f t="shared" si="5"/>
        <v>2-16</v>
      </c>
    </row>
    <row r="40" spans="4:17" ht="14.25" customHeight="1" x14ac:dyDescent="0.3">
      <c r="D40" t="s">
        <v>392</v>
      </c>
      <c r="E40" t="str">
        <f t="shared" si="1"/>
        <v>1.9006951340615696</v>
      </c>
      <c r="F40" s="74" t="str">
        <f t="shared" si="2"/>
        <v>13.09930486593843</v>
      </c>
      <c r="G40" s="76">
        <v>1.90069513406156E+16</v>
      </c>
      <c r="H40" s="78">
        <v>1.9006951340615601</v>
      </c>
      <c r="I40" s="78">
        <v>13.0993048659384</v>
      </c>
      <c r="J40" s="75">
        <v>1.9006951340615601</v>
      </c>
      <c r="K40" s="75">
        <v>13.0993048659384</v>
      </c>
      <c r="L40" t="str">
        <f t="shared" si="3"/>
        <v>1</v>
      </c>
      <c r="M40" t="str">
        <f t="shared" si="4"/>
        <v>13</v>
      </c>
      <c r="N40" s="78"/>
      <c r="O40">
        <v>1</v>
      </c>
      <c r="P40">
        <v>13</v>
      </c>
      <c r="Q40" t="str">
        <f t="shared" si="5"/>
        <v>1-13</v>
      </c>
    </row>
    <row r="41" spans="4:17" ht="14.25" customHeight="1" x14ac:dyDescent="0.3">
      <c r="D41" t="s">
        <v>393</v>
      </c>
      <c r="E41" t="str">
        <f t="shared" si="1"/>
        <v>4.803342484187981</v>
      </c>
      <c r="F41" s="74" t="str">
        <f t="shared" si="2"/>
        <v>7.2382977969983076</v>
      </c>
      <c r="G41" s="76">
        <v>4803342484187980</v>
      </c>
      <c r="H41" s="78">
        <v>4.8033424841879802</v>
      </c>
      <c r="I41" s="78">
        <v>7.2382977969982996</v>
      </c>
      <c r="J41" s="75">
        <v>4.8033424841879802</v>
      </c>
      <c r="K41" s="75">
        <v>7.2382977969982996</v>
      </c>
      <c r="L41" t="str">
        <f t="shared" si="3"/>
        <v>4</v>
      </c>
      <c r="M41" t="str">
        <f t="shared" si="4"/>
        <v>7</v>
      </c>
      <c r="N41" s="78"/>
      <c r="O41">
        <v>4</v>
      </c>
      <c r="P41">
        <v>7</v>
      </c>
      <c r="Q41" t="str">
        <f t="shared" si="5"/>
        <v>4-7</v>
      </c>
    </row>
    <row r="42" spans="4:17" ht="14.25" customHeight="1" x14ac:dyDescent="0.3">
      <c r="D42" t="s">
        <v>394</v>
      </c>
      <c r="E42" t="str">
        <f t="shared" si="1"/>
        <v>4.565814681564802</v>
      </c>
      <c r="F42" s="74" t="str">
        <f t="shared" si="2"/>
        <v>7.424139739492641</v>
      </c>
      <c r="G42" s="76">
        <v>4565814681564800</v>
      </c>
      <c r="H42" s="78">
        <v>4.5658146815647997</v>
      </c>
      <c r="I42" s="78">
        <v>7.4241397394926398</v>
      </c>
      <c r="J42" s="75">
        <v>4.5658146815647997</v>
      </c>
      <c r="K42" s="75">
        <v>7.4241397394926398</v>
      </c>
      <c r="L42" t="str">
        <f t="shared" si="3"/>
        <v>4</v>
      </c>
      <c r="M42" t="str">
        <f t="shared" si="4"/>
        <v>7</v>
      </c>
      <c r="N42" s="78"/>
      <c r="O42">
        <v>4</v>
      </c>
      <c r="P42">
        <v>7</v>
      </c>
      <c r="Q42" t="str">
        <f t="shared" si="5"/>
        <v>4-7</v>
      </c>
    </row>
    <row r="43" spans="4:17" ht="14.25" customHeight="1" x14ac:dyDescent="0.3">
      <c r="D43" t="s">
        <v>395</v>
      </c>
      <c r="E43" t="str">
        <f t="shared" si="1"/>
        <v>6.057803937988845</v>
      </c>
      <c r="F43" s="74" t="str">
        <f t="shared" si="2"/>
        <v>9.835030022066963</v>
      </c>
      <c r="G43" s="76">
        <v>6057803937988840</v>
      </c>
      <c r="H43" s="78">
        <v>6.0578039379888402</v>
      </c>
      <c r="I43" s="78">
        <v>9.8350300220669595</v>
      </c>
      <c r="J43" s="75">
        <v>6.0578039379888402</v>
      </c>
      <c r="K43" s="75">
        <v>9.8350300220669595</v>
      </c>
      <c r="L43" t="str">
        <f t="shared" si="3"/>
        <v>6</v>
      </c>
      <c r="M43" t="str">
        <f t="shared" si="4"/>
        <v>9</v>
      </c>
      <c r="N43" s="78"/>
      <c r="O43">
        <v>6</v>
      </c>
      <c r="P43">
        <v>9</v>
      </c>
      <c r="Q43" t="str">
        <f t="shared" si="5"/>
        <v>6-9</v>
      </c>
    </row>
    <row r="44" spans="4:17" ht="14.25" customHeight="1" x14ac:dyDescent="0.3">
      <c r="G44" s="74"/>
      <c r="H44" s="74"/>
    </row>
    <row r="45" spans="4:17" ht="14.25" customHeight="1" x14ac:dyDescent="0.3">
      <c r="D45" s="77"/>
      <c r="G45" s="74"/>
      <c r="H45" s="74"/>
    </row>
    <row r="46" spans="4:17" ht="14.25" customHeight="1" x14ac:dyDescent="0.3">
      <c r="D46" s="77"/>
    </row>
    <row r="47" spans="4:17" ht="14.25" customHeight="1" x14ac:dyDescent="0.3">
      <c r="D47" s="77"/>
    </row>
    <row r="48" spans="4:17" ht="14.25" customHeight="1" x14ac:dyDescent="0.3">
      <c r="D48" s="77"/>
    </row>
    <row r="49" spans="4:4" ht="14.25" customHeight="1" x14ac:dyDescent="0.3">
      <c r="D49" s="77"/>
    </row>
    <row r="50" spans="4:4" ht="14.25" customHeight="1" x14ac:dyDescent="0.3">
      <c r="D50" s="77"/>
    </row>
    <row r="51" spans="4:4" ht="14.25" customHeight="1" x14ac:dyDescent="0.3">
      <c r="D51" s="77"/>
    </row>
    <row r="52" spans="4:4" ht="14.25" customHeight="1" x14ac:dyDescent="0.3">
      <c r="D52" s="77"/>
    </row>
    <row r="53" spans="4:4" ht="14.25" customHeight="1" x14ac:dyDescent="0.3">
      <c r="D53" s="77"/>
    </row>
    <row r="54" spans="4:4" ht="14.25" customHeight="1" x14ac:dyDescent="0.3">
      <c r="D54" s="77"/>
    </row>
    <row r="55" spans="4:4" ht="14.25" customHeight="1" x14ac:dyDescent="0.3">
      <c r="D55" s="77"/>
    </row>
    <row r="56" spans="4:4" ht="14.25" customHeight="1" x14ac:dyDescent="0.3">
      <c r="D56" s="77"/>
    </row>
    <row r="57" spans="4:4" ht="14.25" customHeight="1" x14ac:dyDescent="0.3">
      <c r="D57" s="77"/>
    </row>
    <row r="58" spans="4:4" ht="14.25" customHeight="1" x14ac:dyDescent="0.3">
      <c r="D58" s="77"/>
    </row>
    <row r="59" spans="4:4" ht="14.25" customHeight="1" x14ac:dyDescent="0.3">
      <c r="D59" s="77"/>
    </row>
    <row r="60" spans="4:4" ht="14.25" customHeight="1" x14ac:dyDescent="0.3">
      <c r="D60" s="77"/>
    </row>
    <row r="61" spans="4:4" ht="14.25" customHeight="1" x14ac:dyDescent="0.3">
      <c r="D61" s="77"/>
    </row>
    <row r="62" spans="4:4" ht="14.25" customHeight="1" x14ac:dyDescent="0.3">
      <c r="D62" s="77"/>
    </row>
    <row r="63" spans="4:4" ht="14.25" customHeight="1" x14ac:dyDescent="0.3">
      <c r="D63" s="77"/>
    </row>
    <row r="64" spans="4:4" ht="14.25" customHeight="1" x14ac:dyDescent="0.3">
      <c r="D64" s="77"/>
    </row>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sortState xmlns:xlrd2="http://schemas.microsoft.com/office/spreadsheetml/2017/richdata2" ref="V2:Y21">
    <sortCondition descending="1" ref="W2:W21"/>
  </sortState>
  <conditionalFormatting sqref="I3">
    <cfRule type="cellIs" dxfId="1" priority="1" operator="equal">
      <formula>$F$3</formula>
    </cfRule>
  </conditionalFormatting>
  <pageMargins left="0.7" right="0.7" top="0.75" bottom="0.75"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P1000"/>
  <sheetViews>
    <sheetView workbookViewId="0"/>
  </sheetViews>
  <sheetFormatPr baseColWidth="10" defaultColWidth="14.44140625" defaultRowHeight="15" customHeight="1" x14ac:dyDescent="0.3"/>
  <cols>
    <col min="1" max="4" width="10.6640625" customWidth="1"/>
    <col min="5" max="5" width="11.44140625" customWidth="1"/>
    <col min="6" max="6" width="17.5546875" customWidth="1"/>
    <col min="7" max="8" width="10.6640625" customWidth="1"/>
    <col min="9" max="9" width="22.6640625" customWidth="1"/>
    <col min="10" max="10" width="19.33203125" customWidth="1"/>
    <col min="11" max="11" width="17.44140625" customWidth="1"/>
    <col min="12" max="26" width="10.6640625" customWidth="1"/>
  </cols>
  <sheetData>
    <row r="1" spans="1:16" ht="14.25" customHeight="1" x14ac:dyDescent="0.3">
      <c r="A1" s="3" t="s">
        <v>201</v>
      </c>
      <c r="B1" s="3" t="s">
        <v>192</v>
      </c>
      <c r="C1" s="3" t="s">
        <v>193</v>
      </c>
      <c r="F1" s="3" t="s">
        <v>201</v>
      </c>
      <c r="G1" s="3" t="s">
        <v>192</v>
      </c>
      <c r="I1" s="1" t="s">
        <v>201</v>
      </c>
      <c r="J1" s="1" t="s">
        <v>369</v>
      </c>
      <c r="K1" s="1" t="s">
        <v>370</v>
      </c>
      <c r="L1" s="34" t="s">
        <v>333</v>
      </c>
      <c r="N1" s="34"/>
      <c r="O1" s="34"/>
      <c r="P1" s="34"/>
    </row>
    <row r="2" spans="1:16" ht="14.25" customHeight="1" x14ac:dyDescent="0.3">
      <c r="A2" s="3" t="s">
        <v>213</v>
      </c>
      <c r="B2" s="3">
        <v>1.247177188019948</v>
      </c>
      <c r="C2" s="3">
        <v>17</v>
      </c>
      <c r="F2" s="3" t="s">
        <v>213</v>
      </c>
      <c r="G2" s="3">
        <v>1.247177188019948</v>
      </c>
      <c r="I2" s="3" t="s">
        <v>213</v>
      </c>
      <c r="J2" s="3">
        <v>1</v>
      </c>
      <c r="K2" s="3" t="s">
        <v>372</v>
      </c>
      <c r="L2" s="3">
        <f t="shared" ref="L2:L21" si="0">VLOOKUP(I2,F:G,2,FALSE)</f>
        <v>1.247177188019948</v>
      </c>
    </row>
    <row r="3" spans="1:16" ht="14.25" customHeight="1" x14ac:dyDescent="0.3">
      <c r="A3" s="3" t="s">
        <v>217</v>
      </c>
      <c r="B3" s="3">
        <v>1.1139196755889551</v>
      </c>
      <c r="C3" s="3">
        <v>11</v>
      </c>
      <c r="F3" s="3" t="s">
        <v>215</v>
      </c>
      <c r="G3" s="3">
        <v>1.1425292918330761</v>
      </c>
      <c r="I3" s="3" t="s">
        <v>215</v>
      </c>
      <c r="J3" s="3">
        <v>4</v>
      </c>
      <c r="K3" s="3" t="s">
        <v>372</v>
      </c>
      <c r="L3" s="3">
        <f t="shared" si="0"/>
        <v>1.1425292918330761</v>
      </c>
    </row>
    <row r="4" spans="1:16" ht="14.25" customHeight="1" x14ac:dyDescent="0.3">
      <c r="A4" s="3" t="s">
        <v>215</v>
      </c>
      <c r="B4" s="3">
        <v>1.1425292918330761</v>
      </c>
      <c r="C4" s="3">
        <v>15</v>
      </c>
      <c r="F4" s="3" t="s">
        <v>216</v>
      </c>
      <c r="G4" s="3">
        <v>1.123713972805261</v>
      </c>
      <c r="I4" s="3" t="s">
        <v>216</v>
      </c>
      <c r="J4" s="3">
        <v>5</v>
      </c>
      <c r="K4" s="3" t="s">
        <v>372</v>
      </c>
      <c r="L4" s="3">
        <f t="shared" si="0"/>
        <v>1.123713972805261</v>
      </c>
    </row>
    <row r="5" spans="1:16" ht="14.25" customHeight="1" x14ac:dyDescent="0.3">
      <c r="A5" s="3" t="s">
        <v>216</v>
      </c>
      <c r="B5" s="3">
        <v>1.123713972805261</v>
      </c>
      <c r="C5" s="3">
        <v>11</v>
      </c>
      <c r="F5" s="3" t="s">
        <v>217</v>
      </c>
      <c r="G5" s="3">
        <v>1.1139196755889551</v>
      </c>
      <c r="I5" s="3" t="s">
        <v>217</v>
      </c>
      <c r="J5" s="3">
        <v>2</v>
      </c>
      <c r="K5" s="3" t="s">
        <v>372</v>
      </c>
      <c r="L5" s="3">
        <f t="shared" si="0"/>
        <v>1.1139196755889551</v>
      </c>
    </row>
    <row r="6" spans="1:16" ht="14.25" customHeight="1" x14ac:dyDescent="0.3">
      <c r="A6" s="3" t="s">
        <v>238</v>
      </c>
      <c r="B6" s="3">
        <v>-1.1428327832816429</v>
      </c>
      <c r="C6" s="3">
        <v>7</v>
      </c>
      <c r="F6" s="3" t="s">
        <v>218</v>
      </c>
      <c r="G6" s="3">
        <v>1.0416402811862899</v>
      </c>
      <c r="I6" s="3" t="s">
        <v>218</v>
      </c>
      <c r="J6" s="3">
        <v>0</v>
      </c>
      <c r="K6" s="3" t="s">
        <v>372</v>
      </c>
      <c r="L6" s="3">
        <f t="shared" si="0"/>
        <v>1.0416402811862899</v>
      </c>
    </row>
    <row r="7" spans="1:16" ht="14.25" customHeight="1" x14ac:dyDescent="0.3">
      <c r="A7" s="3" t="s">
        <v>239</v>
      </c>
      <c r="B7" s="3">
        <v>-1.1920893573654381</v>
      </c>
      <c r="C7" s="3">
        <v>15</v>
      </c>
      <c r="F7" s="3" t="s">
        <v>220</v>
      </c>
      <c r="G7" s="3">
        <v>0.99583449612816577</v>
      </c>
      <c r="I7" s="3" t="s">
        <v>220</v>
      </c>
      <c r="J7" s="3">
        <v>1</v>
      </c>
      <c r="K7" s="3" t="s">
        <v>372</v>
      </c>
      <c r="L7" s="3">
        <f t="shared" si="0"/>
        <v>0.99583449612816577</v>
      </c>
    </row>
    <row r="8" spans="1:16" ht="14.25" customHeight="1" x14ac:dyDescent="0.3">
      <c r="A8" s="3" t="s">
        <v>229</v>
      </c>
      <c r="B8" s="3">
        <v>-1.0923718971587979</v>
      </c>
      <c r="C8" s="3">
        <v>15</v>
      </c>
      <c r="F8" s="3" t="s">
        <v>223</v>
      </c>
      <c r="G8" s="3">
        <v>0.9957863323050703</v>
      </c>
      <c r="I8" s="3" t="s">
        <v>223</v>
      </c>
      <c r="J8" s="3">
        <v>1</v>
      </c>
      <c r="K8" s="3" t="s">
        <v>372</v>
      </c>
      <c r="L8" s="3">
        <f t="shared" si="0"/>
        <v>0.9957863323050703</v>
      </c>
    </row>
    <row r="9" spans="1:16" ht="14.25" customHeight="1" x14ac:dyDescent="0.3">
      <c r="A9" s="3" t="s">
        <v>223</v>
      </c>
      <c r="B9" s="3">
        <v>0.9957863323050703</v>
      </c>
      <c r="C9" s="3">
        <v>15</v>
      </c>
      <c r="F9" s="3" t="s">
        <v>224</v>
      </c>
      <c r="G9" s="3">
        <v>0.98995442105744402</v>
      </c>
      <c r="I9" s="3" t="s">
        <v>224</v>
      </c>
      <c r="J9" s="3">
        <v>2</v>
      </c>
      <c r="K9" s="3" t="s">
        <v>372</v>
      </c>
      <c r="L9" s="3">
        <f t="shared" si="0"/>
        <v>0.98995442105744402</v>
      </c>
    </row>
    <row r="10" spans="1:16" ht="14.25" customHeight="1" x14ac:dyDescent="0.3">
      <c r="A10" s="3" t="s">
        <v>242</v>
      </c>
      <c r="B10" s="3">
        <v>-1.3367165560614409</v>
      </c>
      <c r="C10" s="3">
        <v>17</v>
      </c>
      <c r="F10" s="3" t="s">
        <v>225</v>
      </c>
      <c r="G10" s="3">
        <v>0.8928339600558084</v>
      </c>
      <c r="I10" s="3" t="s">
        <v>225</v>
      </c>
      <c r="J10" s="3">
        <v>1</v>
      </c>
      <c r="K10" s="3" t="s">
        <v>372</v>
      </c>
      <c r="L10" s="3">
        <f t="shared" si="0"/>
        <v>0.8928339600558084</v>
      </c>
    </row>
    <row r="11" spans="1:16" ht="14.25" customHeight="1" x14ac:dyDescent="0.3">
      <c r="A11" s="3" t="s">
        <v>220</v>
      </c>
      <c r="B11" s="3">
        <v>0.99583449612816577</v>
      </c>
      <c r="C11" s="3">
        <v>29</v>
      </c>
      <c r="F11" s="3" t="s">
        <v>227</v>
      </c>
      <c r="G11" s="3">
        <v>0.88597893866063815</v>
      </c>
      <c r="I11" s="3" t="s">
        <v>227</v>
      </c>
      <c r="J11" s="3">
        <v>0</v>
      </c>
      <c r="K11" s="3" t="s">
        <v>372</v>
      </c>
      <c r="L11" s="3">
        <f t="shared" si="0"/>
        <v>0.88597893866063815</v>
      </c>
    </row>
    <row r="12" spans="1:16" ht="14.25" customHeight="1" x14ac:dyDescent="0.3">
      <c r="A12" s="3" t="s">
        <v>236</v>
      </c>
      <c r="B12" s="3">
        <v>-1.1339562965442611</v>
      </c>
      <c r="C12" s="3">
        <v>15</v>
      </c>
      <c r="F12" s="3" t="s">
        <v>229</v>
      </c>
      <c r="G12" s="3">
        <v>-1.0923718971587979</v>
      </c>
      <c r="I12" s="3" t="s">
        <v>229</v>
      </c>
      <c r="J12" s="3">
        <v>8</v>
      </c>
      <c r="K12" s="3" t="s">
        <v>372</v>
      </c>
      <c r="L12" s="3">
        <f t="shared" si="0"/>
        <v>-1.0923718971587979</v>
      </c>
    </row>
    <row r="13" spans="1:16" ht="14.25" customHeight="1" x14ac:dyDescent="0.3">
      <c r="A13" s="3" t="s">
        <v>227</v>
      </c>
      <c r="B13" s="3">
        <v>0.88597893866063815</v>
      </c>
      <c r="C13" s="3">
        <v>11</v>
      </c>
      <c r="F13" s="3" t="s">
        <v>232</v>
      </c>
      <c r="G13" s="3">
        <v>-1.1154133211974251</v>
      </c>
      <c r="I13" s="3" t="s">
        <v>232</v>
      </c>
      <c r="J13" s="3">
        <v>17</v>
      </c>
      <c r="K13" s="3" t="s">
        <v>372</v>
      </c>
      <c r="L13" s="3">
        <f t="shared" si="0"/>
        <v>-1.1154133211974251</v>
      </c>
    </row>
    <row r="14" spans="1:16" ht="14.25" customHeight="1" x14ac:dyDescent="0.3">
      <c r="A14" s="3" t="s">
        <v>234</v>
      </c>
      <c r="B14" s="3">
        <v>-1.12017317951397</v>
      </c>
      <c r="C14" s="3">
        <v>16</v>
      </c>
      <c r="F14" s="3" t="s">
        <v>234</v>
      </c>
      <c r="G14" s="3">
        <v>-1.12017317951397</v>
      </c>
      <c r="I14" s="3" t="s">
        <v>234</v>
      </c>
      <c r="J14" s="3">
        <v>12</v>
      </c>
      <c r="K14" s="3" t="s">
        <v>372</v>
      </c>
      <c r="L14" s="3">
        <f t="shared" si="0"/>
        <v>-1.12017317951397</v>
      </c>
    </row>
    <row r="15" spans="1:16" ht="14.25" customHeight="1" x14ac:dyDescent="0.3">
      <c r="A15" s="3" t="s">
        <v>232</v>
      </c>
      <c r="B15" s="3">
        <v>-1.1154133211974251</v>
      </c>
      <c r="C15" s="3">
        <v>19</v>
      </c>
      <c r="F15" s="3" t="s">
        <v>236</v>
      </c>
      <c r="G15" s="3">
        <v>-1.1339562965442611</v>
      </c>
      <c r="I15" s="3" t="s">
        <v>236</v>
      </c>
      <c r="J15" s="3">
        <v>14</v>
      </c>
      <c r="K15" s="3" t="s">
        <v>372</v>
      </c>
      <c r="L15" s="3">
        <f t="shared" si="0"/>
        <v>-1.1339562965442611</v>
      </c>
    </row>
    <row r="16" spans="1:16" ht="14.25" customHeight="1" x14ac:dyDescent="0.3">
      <c r="A16" s="3" t="s">
        <v>243</v>
      </c>
      <c r="B16" s="3">
        <v>-1.679865001322572</v>
      </c>
      <c r="C16" s="3">
        <v>27</v>
      </c>
      <c r="F16" s="3" t="s">
        <v>238</v>
      </c>
      <c r="G16" s="3">
        <v>-1.1428327832816429</v>
      </c>
      <c r="I16" s="3" t="s">
        <v>238</v>
      </c>
      <c r="J16" s="3">
        <v>2</v>
      </c>
      <c r="K16" s="3" t="s">
        <v>372</v>
      </c>
      <c r="L16" s="3">
        <f t="shared" si="0"/>
        <v>-1.1428327832816429</v>
      </c>
    </row>
    <row r="17" spans="1:12" ht="14.25" customHeight="1" x14ac:dyDescent="0.3">
      <c r="A17" s="3" t="s">
        <v>240</v>
      </c>
      <c r="B17" s="3">
        <v>-1.196962071035268</v>
      </c>
      <c r="C17" s="3">
        <v>19</v>
      </c>
      <c r="F17" s="3" t="s">
        <v>239</v>
      </c>
      <c r="G17" s="3">
        <v>-1.1920893573654381</v>
      </c>
      <c r="I17" s="3" t="s">
        <v>239</v>
      </c>
      <c r="J17" s="3">
        <v>10</v>
      </c>
      <c r="K17" s="3" t="s">
        <v>372</v>
      </c>
      <c r="L17" s="3">
        <f t="shared" si="0"/>
        <v>-1.1920893573654381</v>
      </c>
    </row>
    <row r="18" spans="1:12" ht="14.25" customHeight="1" x14ac:dyDescent="0.3">
      <c r="A18" s="3" t="s">
        <v>241</v>
      </c>
      <c r="B18" s="3">
        <v>-1.2097705883740471</v>
      </c>
      <c r="C18" s="3">
        <v>15</v>
      </c>
      <c r="F18" s="3" t="s">
        <v>240</v>
      </c>
      <c r="G18" s="3">
        <v>-1.196962071035268</v>
      </c>
      <c r="I18" s="3" t="s">
        <v>240</v>
      </c>
      <c r="J18" s="3">
        <v>18</v>
      </c>
      <c r="K18" s="3" t="s">
        <v>372</v>
      </c>
      <c r="L18" s="3">
        <f t="shared" si="0"/>
        <v>-1.196962071035268</v>
      </c>
    </row>
    <row r="19" spans="1:12" ht="14.25" customHeight="1" x14ac:dyDescent="0.3">
      <c r="A19" s="3" t="s">
        <v>218</v>
      </c>
      <c r="B19" s="3">
        <v>1.0416402811862899</v>
      </c>
      <c r="C19" s="3">
        <v>11</v>
      </c>
      <c r="F19" s="3" t="s">
        <v>241</v>
      </c>
      <c r="G19" s="3">
        <v>-1.2097705883740471</v>
      </c>
      <c r="I19" s="3" t="s">
        <v>241</v>
      </c>
      <c r="J19" s="3">
        <v>14</v>
      </c>
      <c r="K19" s="3" t="s">
        <v>372</v>
      </c>
      <c r="L19" s="3">
        <f t="shared" si="0"/>
        <v>-1.2097705883740471</v>
      </c>
    </row>
    <row r="20" spans="1:12" ht="14.25" customHeight="1" x14ac:dyDescent="0.3">
      <c r="A20" s="3" t="s">
        <v>224</v>
      </c>
      <c r="B20" s="3">
        <v>0.98995442105744402</v>
      </c>
      <c r="C20" s="3">
        <v>11</v>
      </c>
      <c r="F20" s="3" t="s">
        <v>242</v>
      </c>
      <c r="G20" s="3">
        <v>-1.3367165560614409</v>
      </c>
      <c r="I20" s="3" t="s">
        <v>242</v>
      </c>
      <c r="J20" s="3">
        <v>8</v>
      </c>
      <c r="K20" s="3" t="s">
        <v>372</v>
      </c>
      <c r="L20" s="3">
        <f t="shared" si="0"/>
        <v>-1.3367165560614409</v>
      </c>
    </row>
    <row r="21" spans="1:12" ht="14.25" customHeight="1" x14ac:dyDescent="0.3">
      <c r="A21" s="3" t="s">
        <v>225</v>
      </c>
      <c r="B21" s="3">
        <v>0.8928339600558084</v>
      </c>
      <c r="C21" s="3">
        <v>15</v>
      </c>
      <c r="F21" s="3" t="s">
        <v>243</v>
      </c>
      <c r="G21" s="3">
        <v>-1.679865001322572</v>
      </c>
      <c r="I21" s="3" t="s">
        <v>243</v>
      </c>
      <c r="J21" s="3">
        <v>27</v>
      </c>
      <c r="K21" s="3" t="s">
        <v>372</v>
      </c>
      <c r="L21" s="3">
        <f t="shared" si="0"/>
        <v>-1.679865001322572</v>
      </c>
    </row>
    <row r="22" spans="1:12" ht="14.25" customHeight="1" x14ac:dyDescent="0.3"/>
    <row r="23" spans="1:12" ht="14.25" customHeight="1" x14ac:dyDescent="0.3"/>
    <row r="24" spans="1:12" ht="14.25" customHeight="1" x14ac:dyDescent="0.3"/>
    <row r="25" spans="1:12" ht="14.25" customHeight="1" x14ac:dyDescent="0.3"/>
    <row r="26" spans="1:12" ht="14.25" customHeight="1" x14ac:dyDescent="0.3"/>
    <row r="27" spans="1:12" ht="14.25" customHeight="1" x14ac:dyDescent="0.3"/>
    <row r="28" spans="1:12" ht="14.25" customHeight="1" x14ac:dyDescent="0.3"/>
    <row r="29" spans="1:12" ht="14.25" customHeight="1" x14ac:dyDescent="0.3"/>
    <row r="30" spans="1:12" ht="14.25" customHeight="1" x14ac:dyDescent="0.3"/>
    <row r="31" spans="1:12" ht="14.25" customHeight="1" x14ac:dyDescent="0.3"/>
    <row r="32" spans="1:1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conditionalFormatting sqref="I3">
    <cfRule type="cellIs" dxfId="0" priority="1" operator="equal">
      <formula>$F$3</formula>
    </cfRule>
  </conditionalFormatting>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12</vt:i4>
      </vt:variant>
    </vt:vector>
  </HeadingPairs>
  <TitlesOfParts>
    <vt:vector size="12" baseType="lpstr">
      <vt:lpstr>Sheet1</vt:lpstr>
      <vt:lpstr>GraficosLLyV</vt:lpstr>
      <vt:lpstr>120seg</vt:lpstr>
      <vt:lpstr>Copia de 120seg</vt:lpstr>
      <vt:lpstr>Hoja 1</vt:lpstr>
      <vt:lpstr>S1</vt:lpstr>
      <vt:lpstr>S2</vt:lpstr>
      <vt:lpstr>S3</vt:lpstr>
      <vt:lpstr>S4</vt:lpstr>
      <vt:lpstr>Promedio_meses</vt:lpstr>
      <vt:lpstr>buscarv (2)</vt:lpstr>
      <vt:lpstr>buscarv</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ACER</cp:lastModifiedBy>
  <dcterms:created xsi:type="dcterms:W3CDTF">2025-01-04T03:33:46Z</dcterms:created>
  <dcterms:modified xsi:type="dcterms:W3CDTF">2025-05-28T13:18:02Z</dcterms:modified>
</cp:coreProperties>
</file>