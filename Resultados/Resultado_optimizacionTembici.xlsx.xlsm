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2.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3.xml" ContentType="application/vnd.openxmlformats-officedocument.drawing+xml"/>
  <Override PartName="/xl/charts/chart29.xml" ContentType="application/vnd.openxmlformats-officedocument.drawingml.chart+xml"/>
  <Override PartName="/xl/drawings/drawing4.xml" ContentType="application/vnd.openxmlformats-officedocument.drawing+xml"/>
  <Override PartName="/xl/charts/chart30.xml" ContentType="application/vnd.openxmlformats-officedocument.drawingml.chart+xml"/>
  <Override PartName="/xl/drawings/drawing5.xml" ContentType="application/vnd.openxmlformats-officedocument.drawing+xml"/>
  <Override PartName="/xl/charts/chart31.xml" ContentType="application/vnd.openxmlformats-officedocument.drawingml.chart+xml"/>
  <Override PartName="/xl/drawings/drawing6.xml" ContentType="application/vnd.openxmlformats-officedocument.drawing+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CER\Downloads\"/>
    </mc:Choice>
  </mc:AlternateContent>
  <xr:revisionPtr revIDLastSave="0" documentId="13_ncr:1_{901EC22C-AEA2-424F-8670-AE89639DBC98}" xr6:coauthVersionLast="47" xr6:coauthVersionMax="47" xr10:uidLastSave="{00000000-0000-0000-0000-000000000000}"/>
  <bookViews>
    <workbookView xWindow="-108" yWindow="-108" windowWidth="23256" windowHeight="12576" activeTab="3" xr2:uid="{00000000-000D-0000-FFFF-FFFF00000000}"/>
  </bookViews>
  <sheets>
    <sheet name="GraficosLLyV" sheetId="2" r:id="rId1"/>
    <sheet name="Sheet1" sheetId="1" r:id="rId2"/>
    <sheet name="Promedio_meses" sheetId="3" r:id="rId3"/>
    <sheet name="120segT" sheetId="4" r:id="rId4"/>
    <sheet name="Hoja4" sheetId="5" r:id="rId5"/>
    <sheet name="S1" sheetId="6" r:id="rId6"/>
    <sheet name="S2" sheetId="7" r:id="rId7"/>
    <sheet name="S3" sheetId="8" r:id="rId8"/>
    <sheet name="S4" sheetId="9" r:id="rId9"/>
    <sheet name="buscarv" sheetId="10" r:id="rId10"/>
    <sheet name="buscarv (2)" sheetId="11" r:id="rId11"/>
  </sheets>
  <externalReferences>
    <externalReference r:id="rId12"/>
  </externalReferences>
  <definedNames>
    <definedName name="_xlnm._FilterDatabase" localSheetId="5" hidden="1">'S1'!$A$1:$D$32</definedName>
    <definedName name="_xlnm._FilterDatabase" localSheetId="6" hidden="1">'S2'!$A$1:$D$32</definedName>
    <definedName name="_xlnm._FilterDatabase" localSheetId="7" hidden="1">'S3'!$A$1:$D$32</definedName>
    <definedName name="_xlnm._FilterDatabase" localSheetId="8" hidden="1">'S4'!$A$1:$D$32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5" roundtripDataChecksum="mLvP+iY+thlPcrHnyG1Bc0SUJqomp2AwTPM/JcLipJc="/>
    </ext>
  </extLst>
</workbook>
</file>

<file path=xl/calcChain.xml><?xml version="1.0" encoding="utf-8"?>
<calcChain xmlns="http://schemas.openxmlformats.org/spreadsheetml/2006/main">
  <c r="E27" i="11" l="1"/>
  <c r="E26" i="11"/>
  <c r="E38" i="11"/>
  <c r="E43" i="11"/>
  <c r="E44" i="11"/>
  <c r="E41" i="11"/>
  <c r="E37" i="11"/>
  <c r="E40" i="11"/>
  <c r="E42" i="11"/>
  <c r="E31" i="11"/>
  <c r="E32" i="11"/>
  <c r="E25" i="11"/>
  <c r="E28" i="11"/>
  <c r="E39" i="11"/>
  <c r="E35" i="11"/>
  <c r="E36" i="11"/>
  <c r="E34" i="11"/>
  <c r="E30" i="11"/>
  <c r="E29" i="11"/>
  <c r="E33" i="11"/>
  <c r="B26" i="11"/>
  <c r="B27" i="11"/>
  <c r="B28" i="11"/>
  <c r="B29" i="11"/>
  <c r="B30" i="11"/>
  <c r="B31" i="11"/>
  <c r="B32" i="11"/>
  <c r="B33" i="11"/>
  <c r="B34" i="11"/>
  <c r="B35" i="11"/>
  <c r="B36" i="11"/>
  <c r="B37" i="11"/>
  <c r="B38" i="11"/>
  <c r="B39" i="11"/>
  <c r="B40" i="11"/>
  <c r="B41" i="11"/>
  <c r="B42" i="11"/>
  <c r="B43" i="11"/>
  <c r="B44" i="11"/>
  <c r="B25" i="11"/>
  <c r="F2" i="11"/>
  <c r="CM119" i="4" l="1"/>
  <c r="CM120" i="4"/>
  <c r="CM121" i="4"/>
  <c r="CM122" i="4"/>
  <c r="CM123" i="4"/>
  <c r="CM124" i="4"/>
  <c r="CM125" i="4"/>
  <c r="CM126" i="4"/>
  <c r="CM127" i="4"/>
  <c r="CM128" i="4"/>
  <c r="CM129" i="4"/>
  <c r="CM130" i="4"/>
  <c r="CM131" i="4"/>
  <c r="CM132" i="4"/>
  <c r="CM133" i="4"/>
  <c r="CM134" i="4"/>
  <c r="CM135" i="4"/>
  <c r="CM136" i="4"/>
  <c r="CM137" i="4"/>
  <c r="CM118" i="4"/>
  <c r="BZ119" i="4"/>
  <c r="BZ120" i="4"/>
  <c r="BZ121" i="4"/>
  <c r="BZ122" i="4"/>
  <c r="BZ123" i="4"/>
  <c r="BZ124" i="4"/>
  <c r="BZ125" i="4"/>
  <c r="BZ126" i="4"/>
  <c r="BZ127" i="4"/>
  <c r="BZ128" i="4"/>
  <c r="BZ129" i="4"/>
  <c r="BZ130" i="4"/>
  <c r="BZ131" i="4"/>
  <c r="BZ132" i="4"/>
  <c r="BZ133" i="4"/>
  <c r="BZ134" i="4"/>
  <c r="BZ135" i="4"/>
  <c r="BZ136" i="4"/>
  <c r="BZ137" i="4"/>
  <c r="BZ118" i="4"/>
  <c r="BM119" i="4"/>
  <c r="BM120" i="4"/>
  <c r="BM121" i="4"/>
  <c r="BM122" i="4"/>
  <c r="BM123" i="4"/>
  <c r="BM124" i="4"/>
  <c r="BM125" i="4"/>
  <c r="BM126" i="4"/>
  <c r="BM127" i="4"/>
  <c r="BM128" i="4"/>
  <c r="BM129" i="4"/>
  <c r="BM130" i="4"/>
  <c r="BM131" i="4"/>
  <c r="BM132" i="4"/>
  <c r="BM133" i="4"/>
  <c r="BM134" i="4"/>
  <c r="BM135" i="4"/>
  <c r="BM136" i="4"/>
  <c r="BM137" i="4"/>
  <c r="BM118" i="4"/>
  <c r="AZ119" i="4"/>
  <c r="AZ120" i="4"/>
  <c r="AZ121" i="4"/>
  <c r="AZ122" i="4"/>
  <c r="AZ123" i="4"/>
  <c r="AZ124" i="4"/>
  <c r="AZ125" i="4"/>
  <c r="AZ126" i="4"/>
  <c r="AZ127" i="4"/>
  <c r="AZ128" i="4"/>
  <c r="AZ129" i="4"/>
  <c r="AZ130" i="4"/>
  <c r="AZ131" i="4"/>
  <c r="AZ132" i="4"/>
  <c r="AZ133" i="4"/>
  <c r="AZ134" i="4"/>
  <c r="AZ135" i="4"/>
  <c r="AZ136" i="4"/>
  <c r="AZ137" i="4"/>
  <c r="AZ118" i="4"/>
  <c r="AM119" i="4"/>
  <c r="AM120" i="4"/>
  <c r="AM121" i="4"/>
  <c r="AM122" i="4"/>
  <c r="AM123" i="4"/>
  <c r="AM124" i="4"/>
  <c r="AM125" i="4"/>
  <c r="AM126" i="4"/>
  <c r="AM127" i="4"/>
  <c r="AM128" i="4"/>
  <c r="AM129" i="4"/>
  <c r="AM130" i="4"/>
  <c r="AM131" i="4"/>
  <c r="AM132" i="4"/>
  <c r="AM133" i="4"/>
  <c r="AM134" i="4"/>
  <c r="AM135" i="4"/>
  <c r="AM136" i="4"/>
  <c r="AM137" i="4"/>
  <c r="AM118" i="4"/>
  <c r="Z119" i="4"/>
  <c r="Z120" i="4"/>
  <c r="Z121" i="4"/>
  <c r="Z122" i="4"/>
  <c r="Z123" i="4"/>
  <c r="Z124" i="4"/>
  <c r="Z125" i="4"/>
  <c r="Z126" i="4"/>
  <c r="Z127" i="4"/>
  <c r="Z128" i="4"/>
  <c r="Z129" i="4"/>
  <c r="Z130" i="4"/>
  <c r="Z131" i="4"/>
  <c r="Z132" i="4"/>
  <c r="Z133" i="4"/>
  <c r="Z134" i="4"/>
  <c r="Z135" i="4"/>
  <c r="Z136" i="4"/>
  <c r="Z137" i="4"/>
  <c r="Z118" i="4"/>
  <c r="M119" i="4"/>
  <c r="M120" i="4"/>
  <c r="M121" i="4"/>
  <c r="M122" i="4"/>
  <c r="M123" i="4"/>
  <c r="M124" i="4"/>
  <c r="M125" i="4"/>
  <c r="M126" i="4"/>
  <c r="M127" i="4"/>
  <c r="M128" i="4"/>
  <c r="M129" i="4"/>
  <c r="M130" i="4"/>
  <c r="M131" i="4"/>
  <c r="M132" i="4"/>
  <c r="M133" i="4"/>
  <c r="M134" i="4"/>
  <c r="M135" i="4"/>
  <c r="M136" i="4"/>
  <c r="M137" i="4"/>
  <c r="M118" i="4"/>
  <c r="CZ87" i="4"/>
  <c r="CZ88" i="4"/>
  <c r="CZ89" i="4"/>
  <c r="CZ90" i="4"/>
  <c r="CZ91" i="4"/>
  <c r="CZ92" i="4"/>
  <c r="CZ93" i="4"/>
  <c r="CZ94" i="4"/>
  <c r="CZ95" i="4"/>
  <c r="CZ96" i="4"/>
  <c r="CZ97" i="4"/>
  <c r="CZ98" i="4"/>
  <c r="CZ99" i="4"/>
  <c r="CZ100" i="4"/>
  <c r="CZ101" i="4"/>
  <c r="CZ102" i="4"/>
  <c r="CZ103" i="4"/>
  <c r="CZ104" i="4"/>
  <c r="CZ105" i="4"/>
  <c r="CZ86" i="4"/>
  <c r="CM87" i="4"/>
  <c r="CM88" i="4"/>
  <c r="CM89" i="4"/>
  <c r="CM90" i="4"/>
  <c r="CM91" i="4"/>
  <c r="CM92" i="4"/>
  <c r="CM93" i="4"/>
  <c r="CM94" i="4"/>
  <c r="CM95" i="4"/>
  <c r="CM96" i="4"/>
  <c r="CM97" i="4"/>
  <c r="CM98" i="4"/>
  <c r="CM99" i="4"/>
  <c r="CM100" i="4"/>
  <c r="CM101" i="4"/>
  <c r="CM102" i="4"/>
  <c r="CM103" i="4"/>
  <c r="CM104" i="4"/>
  <c r="CM105" i="4"/>
  <c r="CM86" i="4"/>
  <c r="BZ87" i="4"/>
  <c r="BZ88" i="4"/>
  <c r="BZ89" i="4"/>
  <c r="BZ90" i="4"/>
  <c r="BZ91" i="4"/>
  <c r="BZ92" i="4"/>
  <c r="BZ93" i="4"/>
  <c r="BZ94" i="4"/>
  <c r="BZ95" i="4"/>
  <c r="BZ96" i="4"/>
  <c r="BZ97" i="4"/>
  <c r="BZ98" i="4"/>
  <c r="BZ99" i="4"/>
  <c r="BZ100" i="4"/>
  <c r="BZ101" i="4"/>
  <c r="BZ102" i="4"/>
  <c r="BZ103" i="4"/>
  <c r="BZ104" i="4"/>
  <c r="BZ105" i="4"/>
  <c r="BZ86" i="4"/>
  <c r="BM87" i="4"/>
  <c r="BM88" i="4"/>
  <c r="BM89" i="4"/>
  <c r="BM90" i="4"/>
  <c r="BM91" i="4"/>
  <c r="BM92" i="4"/>
  <c r="BM93" i="4"/>
  <c r="BM94" i="4"/>
  <c r="BM95" i="4"/>
  <c r="BM96" i="4"/>
  <c r="BM97" i="4"/>
  <c r="BM98" i="4"/>
  <c r="BM99" i="4"/>
  <c r="BM100" i="4"/>
  <c r="BM101" i="4"/>
  <c r="BM102" i="4"/>
  <c r="BM103" i="4"/>
  <c r="BM104" i="4"/>
  <c r="BM105" i="4"/>
  <c r="BM86" i="4"/>
  <c r="AZ87" i="4"/>
  <c r="AZ88" i="4"/>
  <c r="AZ89" i="4"/>
  <c r="AZ90" i="4"/>
  <c r="AZ91" i="4"/>
  <c r="AZ92" i="4"/>
  <c r="AZ93" i="4"/>
  <c r="AZ94" i="4"/>
  <c r="AZ95" i="4"/>
  <c r="AZ96" i="4"/>
  <c r="AZ97" i="4"/>
  <c r="AZ98" i="4"/>
  <c r="AZ99" i="4"/>
  <c r="AZ100" i="4"/>
  <c r="AZ101" i="4"/>
  <c r="AZ102" i="4"/>
  <c r="AZ103" i="4"/>
  <c r="AZ104" i="4"/>
  <c r="AZ105" i="4"/>
  <c r="AZ86" i="4"/>
  <c r="AM87" i="4"/>
  <c r="AM88" i="4"/>
  <c r="AM89" i="4"/>
  <c r="AM90" i="4"/>
  <c r="AM91" i="4"/>
  <c r="AM92" i="4"/>
  <c r="AM93" i="4"/>
  <c r="AM94" i="4"/>
  <c r="AM95" i="4"/>
  <c r="AM96" i="4"/>
  <c r="AM97" i="4"/>
  <c r="AM98" i="4"/>
  <c r="AM99" i="4"/>
  <c r="AM100" i="4"/>
  <c r="AM101" i="4"/>
  <c r="AM102" i="4"/>
  <c r="AM103" i="4"/>
  <c r="AM104" i="4"/>
  <c r="AM105" i="4"/>
  <c r="AM86" i="4"/>
  <c r="Z87" i="4"/>
  <c r="Z88" i="4"/>
  <c r="Z89" i="4"/>
  <c r="Z90" i="4"/>
  <c r="Z91" i="4"/>
  <c r="Z92" i="4"/>
  <c r="Z93" i="4"/>
  <c r="Z94" i="4"/>
  <c r="Z95" i="4"/>
  <c r="Z96" i="4"/>
  <c r="Z97" i="4"/>
  <c r="Z98" i="4"/>
  <c r="Z99" i="4"/>
  <c r="Z100" i="4"/>
  <c r="Z101" i="4"/>
  <c r="Z102" i="4"/>
  <c r="Z103" i="4"/>
  <c r="Z104" i="4"/>
  <c r="Z105" i="4"/>
  <c r="Z86" i="4"/>
  <c r="M87" i="4"/>
  <c r="M88" i="4"/>
  <c r="M89" i="4"/>
  <c r="M90" i="4"/>
  <c r="M91" i="4"/>
  <c r="M92" i="4"/>
  <c r="M93" i="4"/>
  <c r="M94" i="4"/>
  <c r="M95" i="4"/>
  <c r="M96" i="4"/>
  <c r="M97" i="4"/>
  <c r="M98" i="4"/>
  <c r="M99" i="4"/>
  <c r="M100" i="4"/>
  <c r="M101" i="4"/>
  <c r="M102" i="4"/>
  <c r="M103" i="4"/>
  <c r="M104" i="4"/>
  <c r="M105" i="4"/>
  <c r="M86" i="4"/>
  <c r="CZ54" i="4"/>
  <c r="CZ55" i="4"/>
  <c r="CZ56" i="4"/>
  <c r="CZ57" i="4"/>
  <c r="CZ58" i="4"/>
  <c r="CZ59" i="4"/>
  <c r="CZ60" i="4"/>
  <c r="CZ61" i="4"/>
  <c r="CZ62" i="4"/>
  <c r="CZ63" i="4"/>
  <c r="CZ64" i="4"/>
  <c r="CZ65" i="4"/>
  <c r="CZ66" i="4"/>
  <c r="CZ67" i="4"/>
  <c r="CZ68" i="4"/>
  <c r="CZ69" i="4"/>
  <c r="CZ70" i="4"/>
  <c r="CZ71" i="4"/>
  <c r="CZ72" i="4"/>
  <c r="CZ53" i="4"/>
  <c r="CM54" i="4"/>
  <c r="CM55" i="4"/>
  <c r="CM56" i="4"/>
  <c r="CM57" i="4"/>
  <c r="CM58" i="4"/>
  <c r="CM59" i="4"/>
  <c r="CM60" i="4"/>
  <c r="CM61" i="4"/>
  <c r="CM62" i="4"/>
  <c r="CM63" i="4"/>
  <c r="CM64" i="4"/>
  <c r="CM65" i="4"/>
  <c r="CM66" i="4"/>
  <c r="CM67" i="4"/>
  <c r="CM68" i="4"/>
  <c r="CM69" i="4"/>
  <c r="CM70" i="4"/>
  <c r="CM71" i="4"/>
  <c r="CM72" i="4"/>
  <c r="CM53" i="4"/>
  <c r="BZ54" i="4"/>
  <c r="BZ55" i="4"/>
  <c r="BZ56" i="4"/>
  <c r="BZ57" i="4"/>
  <c r="BZ58" i="4"/>
  <c r="BZ59" i="4"/>
  <c r="BZ60" i="4"/>
  <c r="BZ61" i="4"/>
  <c r="BZ62" i="4"/>
  <c r="BZ63" i="4"/>
  <c r="BZ64" i="4"/>
  <c r="BZ65" i="4"/>
  <c r="BZ66" i="4"/>
  <c r="BZ67" i="4"/>
  <c r="BZ68" i="4"/>
  <c r="BZ69" i="4"/>
  <c r="BZ70" i="4"/>
  <c r="BZ71" i="4"/>
  <c r="BZ72" i="4"/>
  <c r="BZ53" i="4"/>
  <c r="BM54" i="4"/>
  <c r="BM55" i="4"/>
  <c r="BM56" i="4"/>
  <c r="BM57" i="4"/>
  <c r="BM58" i="4"/>
  <c r="BM59" i="4"/>
  <c r="BM60" i="4"/>
  <c r="BM61" i="4"/>
  <c r="BM62" i="4"/>
  <c r="BM63" i="4"/>
  <c r="BM64" i="4"/>
  <c r="BM65" i="4"/>
  <c r="BM66" i="4"/>
  <c r="BM67" i="4"/>
  <c r="BM68" i="4"/>
  <c r="BM69" i="4"/>
  <c r="BM70" i="4"/>
  <c r="BM71" i="4"/>
  <c r="BM72" i="4"/>
  <c r="BM53" i="4"/>
  <c r="AZ54" i="4"/>
  <c r="AZ55" i="4"/>
  <c r="AZ56" i="4"/>
  <c r="AZ57" i="4"/>
  <c r="AZ58" i="4"/>
  <c r="AZ59" i="4"/>
  <c r="AZ60" i="4"/>
  <c r="AZ61" i="4"/>
  <c r="AZ62" i="4"/>
  <c r="AZ63" i="4"/>
  <c r="AZ64" i="4"/>
  <c r="AZ65" i="4"/>
  <c r="AZ66" i="4"/>
  <c r="AZ67" i="4"/>
  <c r="AZ68" i="4"/>
  <c r="AZ69" i="4"/>
  <c r="AZ70" i="4"/>
  <c r="AZ71" i="4"/>
  <c r="AZ72" i="4"/>
  <c r="AZ53" i="4"/>
  <c r="AM54" i="4"/>
  <c r="AM55" i="4"/>
  <c r="AM56" i="4"/>
  <c r="AM57" i="4"/>
  <c r="AM58" i="4"/>
  <c r="AM59" i="4"/>
  <c r="AM60" i="4"/>
  <c r="AM61" i="4"/>
  <c r="AM62" i="4"/>
  <c r="AM63" i="4"/>
  <c r="AM64" i="4"/>
  <c r="AM65" i="4"/>
  <c r="AM66" i="4"/>
  <c r="AM67" i="4"/>
  <c r="AM68" i="4"/>
  <c r="AM69" i="4"/>
  <c r="AM70" i="4"/>
  <c r="AM71" i="4"/>
  <c r="AM72" i="4"/>
  <c r="AM53" i="4"/>
  <c r="Z54" i="4"/>
  <c r="Z55" i="4"/>
  <c r="Z56" i="4"/>
  <c r="Z57" i="4"/>
  <c r="Z58" i="4"/>
  <c r="Z59" i="4"/>
  <c r="Z60" i="4"/>
  <c r="Z61" i="4"/>
  <c r="Z62" i="4"/>
  <c r="Z63" i="4"/>
  <c r="Z64" i="4"/>
  <c r="Z65" i="4"/>
  <c r="Z66" i="4"/>
  <c r="Z67" i="4"/>
  <c r="Z68" i="4"/>
  <c r="Z69" i="4"/>
  <c r="Z70" i="4"/>
  <c r="Z71" i="4"/>
  <c r="Z72" i="4"/>
  <c r="Z53" i="4"/>
  <c r="M54" i="4"/>
  <c r="M55" i="4"/>
  <c r="M56" i="4"/>
  <c r="M57" i="4"/>
  <c r="M58" i="4"/>
  <c r="M59" i="4"/>
  <c r="M60" i="4"/>
  <c r="M61" i="4"/>
  <c r="M62" i="4"/>
  <c r="M63" i="4"/>
  <c r="M64" i="4"/>
  <c r="M65" i="4"/>
  <c r="M66" i="4"/>
  <c r="M67" i="4"/>
  <c r="M68" i="4"/>
  <c r="M69" i="4"/>
  <c r="M70" i="4"/>
  <c r="M71" i="4"/>
  <c r="M72" i="4"/>
  <c r="M53" i="4"/>
  <c r="CZ4" i="4"/>
  <c r="CZ5" i="4"/>
  <c r="CZ6" i="4"/>
  <c r="CZ7" i="4"/>
  <c r="CZ8" i="4"/>
  <c r="CZ9" i="4"/>
  <c r="CZ10" i="4"/>
  <c r="CZ11" i="4"/>
  <c r="CZ12" i="4"/>
  <c r="CZ13" i="4"/>
  <c r="CZ14" i="4"/>
  <c r="CZ15" i="4"/>
  <c r="CZ16" i="4"/>
  <c r="CZ17" i="4"/>
  <c r="CZ18" i="4"/>
  <c r="CZ19" i="4"/>
  <c r="CZ20" i="4"/>
  <c r="CZ21" i="4"/>
  <c r="CZ22" i="4"/>
  <c r="CZ3" i="4"/>
  <c r="CM4" i="4"/>
  <c r="CM5" i="4"/>
  <c r="CM6" i="4"/>
  <c r="CM7" i="4"/>
  <c r="CM8" i="4"/>
  <c r="CM9" i="4"/>
  <c r="CM10" i="4"/>
  <c r="CM11" i="4"/>
  <c r="CM12" i="4"/>
  <c r="CM13" i="4"/>
  <c r="CM14" i="4"/>
  <c r="CM15" i="4"/>
  <c r="CM16" i="4"/>
  <c r="CM17" i="4"/>
  <c r="CM18" i="4"/>
  <c r="CM19" i="4"/>
  <c r="CM20" i="4"/>
  <c r="CM21" i="4"/>
  <c r="CM22" i="4"/>
  <c r="CM3" i="4"/>
  <c r="BZ4" i="4"/>
  <c r="BZ5" i="4"/>
  <c r="BZ6" i="4"/>
  <c r="BZ7" i="4"/>
  <c r="BZ8" i="4"/>
  <c r="BZ9" i="4"/>
  <c r="BZ10" i="4"/>
  <c r="BZ11" i="4"/>
  <c r="BZ12" i="4"/>
  <c r="BZ13" i="4"/>
  <c r="BZ14" i="4"/>
  <c r="BZ15" i="4"/>
  <c r="BZ16" i="4"/>
  <c r="BZ17" i="4"/>
  <c r="BZ18" i="4"/>
  <c r="BZ19" i="4"/>
  <c r="BZ20" i="4"/>
  <c r="BZ21" i="4"/>
  <c r="BZ22" i="4"/>
  <c r="BZ3" i="4"/>
  <c r="BM4" i="4"/>
  <c r="BM5" i="4"/>
  <c r="BM6" i="4"/>
  <c r="BM7" i="4"/>
  <c r="BM8" i="4"/>
  <c r="BM9" i="4"/>
  <c r="BM10" i="4"/>
  <c r="BM11" i="4"/>
  <c r="BM12" i="4"/>
  <c r="BM13" i="4"/>
  <c r="BM14" i="4"/>
  <c r="BM15" i="4"/>
  <c r="BM16" i="4"/>
  <c r="BM17" i="4"/>
  <c r="BM18" i="4"/>
  <c r="BM19" i="4"/>
  <c r="BM20" i="4"/>
  <c r="BM21" i="4"/>
  <c r="BM22" i="4"/>
  <c r="BM3" i="4"/>
  <c r="AZ4" i="4"/>
  <c r="AZ5" i="4"/>
  <c r="AZ6" i="4"/>
  <c r="AZ7" i="4"/>
  <c r="AZ8" i="4"/>
  <c r="AZ9" i="4"/>
  <c r="AZ10" i="4"/>
  <c r="AZ11" i="4"/>
  <c r="AZ12" i="4"/>
  <c r="AZ13" i="4"/>
  <c r="AZ14" i="4"/>
  <c r="AZ15" i="4"/>
  <c r="AZ16" i="4"/>
  <c r="AZ17" i="4"/>
  <c r="AZ18" i="4"/>
  <c r="AZ19" i="4"/>
  <c r="AZ20" i="4"/>
  <c r="AZ21" i="4"/>
  <c r="AZ22" i="4"/>
  <c r="AZ3" i="4"/>
  <c r="AM4" i="4"/>
  <c r="AM5" i="4"/>
  <c r="AM6" i="4"/>
  <c r="AM7" i="4"/>
  <c r="AM8" i="4"/>
  <c r="AM9" i="4"/>
  <c r="AM10" i="4"/>
  <c r="AM11" i="4"/>
  <c r="AM12" i="4"/>
  <c r="AM13" i="4"/>
  <c r="AM14" i="4"/>
  <c r="AM15" i="4"/>
  <c r="AM16" i="4"/>
  <c r="AM17" i="4"/>
  <c r="AM18" i="4"/>
  <c r="AM19" i="4"/>
  <c r="AM20" i="4"/>
  <c r="AM21" i="4"/>
  <c r="AM22" i="4"/>
  <c r="AM3" i="4"/>
  <c r="Z4" i="4"/>
  <c r="Z5" i="4"/>
  <c r="Z6" i="4"/>
  <c r="Z7" i="4"/>
  <c r="Z8" i="4"/>
  <c r="Z9" i="4"/>
  <c r="Z10" i="4"/>
  <c r="Z11" i="4"/>
  <c r="Z12" i="4"/>
  <c r="Z13" i="4"/>
  <c r="Z14" i="4"/>
  <c r="Z15" i="4"/>
  <c r="Z16" i="4"/>
  <c r="Z17" i="4"/>
  <c r="Z18" i="4"/>
  <c r="Z19" i="4"/>
  <c r="Z20" i="4"/>
  <c r="Z21" i="4"/>
  <c r="Z22" i="4"/>
  <c r="Z3" i="4"/>
  <c r="M3" i="4"/>
  <c r="M4" i="4"/>
  <c r="M5" i="4"/>
  <c r="M6" i="4"/>
  <c r="M7" i="4"/>
  <c r="M8" i="4"/>
  <c r="M9" i="4"/>
  <c r="M10" i="4"/>
  <c r="M11" i="4"/>
  <c r="M12" i="4"/>
  <c r="M13" i="4"/>
  <c r="M14" i="4"/>
  <c r="M15" i="4"/>
  <c r="M16" i="4"/>
  <c r="M17" i="4"/>
  <c r="M18" i="4"/>
  <c r="M19" i="4"/>
  <c r="M20" i="4"/>
  <c r="M21" i="4"/>
  <c r="M22" i="4"/>
  <c r="K21" i="11"/>
  <c r="F21" i="11"/>
  <c r="K20" i="11"/>
  <c r="F20" i="11"/>
  <c r="K19" i="11"/>
  <c r="F19" i="11"/>
  <c r="K18" i="11"/>
  <c r="F18" i="11"/>
  <c r="K17" i="11"/>
  <c r="F17" i="11"/>
  <c r="K16" i="11"/>
  <c r="F16" i="11"/>
  <c r="K15" i="11"/>
  <c r="F15" i="11"/>
  <c r="K14" i="11"/>
  <c r="F14" i="11"/>
  <c r="K13" i="11"/>
  <c r="F13" i="11"/>
  <c r="K12" i="11"/>
  <c r="F12" i="11"/>
  <c r="K11" i="11"/>
  <c r="F11" i="11"/>
  <c r="K10" i="11"/>
  <c r="F10" i="11"/>
  <c r="K9" i="11"/>
  <c r="F9" i="11"/>
  <c r="K8" i="11"/>
  <c r="F8" i="11"/>
  <c r="K7" i="11"/>
  <c r="F7" i="11"/>
  <c r="K6" i="11"/>
  <c r="F6" i="11"/>
  <c r="K5" i="11"/>
  <c r="F5" i="11"/>
  <c r="K4" i="11"/>
  <c r="F4" i="11"/>
  <c r="K3" i="11"/>
  <c r="F3" i="11"/>
  <c r="K2" i="11"/>
  <c r="K1" i="11"/>
  <c r="F1" i="11"/>
  <c r="K21" i="10"/>
  <c r="F21" i="10"/>
  <c r="K20" i="10"/>
  <c r="F20" i="10"/>
  <c r="K19" i="10"/>
  <c r="F19" i="10"/>
  <c r="K18" i="10"/>
  <c r="F18" i="10"/>
  <c r="K17" i="10"/>
  <c r="F17" i="10"/>
  <c r="K16" i="10"/>
  <c r="F16" i="10"/>
  <c r="K15" i="10"/>
  <c r="F15" i="10"/>
  <c r="K14" i="10"/>
  <c r="F14" i="10"/>
  <c r="K13" i="10"/>
  <c r="F13" i="10"/>
  <c r="K12" i="10"/>
  <c r="F12" i="10"/>
  <c r="K11" i="10"/>
  <c r="F11" i="10"/>
  <c r="K10" i="10"/>
  <c r="F10" i="10"/>
  <c r="K9" i="10"/>
  <c r="F9" i="10"/>
  <c r="K8" i="10"/>
  <c r="F8" i="10"/>
  <c r="K7" i="10"/>
  <c r="F7" i="10"/>
  <c r="K6" i="10"/>
  <c r="F6" i="10"/>
  <c r="K5" i="10"/>
  <c r="F5" i="10"/>
  <c r="K4" i="10"/>
  <c r="F4" i="10"/>
  <c r="K3" i="10"/>
  <c r="F3" i="10"/>
  <c r="K2" i="10"/>
  <c r="F2" i="10"/>
  <c r="K1" i="10"/>
  <c r="F1" i="10"/>
  <c r="BI205" i="4"/>
  <c r="BA205" i="4"/>
  <c r="AP205" i="4"/>
  <c r="AH205" i="4"/>
  <c r="X205" i="4"/>
  <c r="O205" i="4"/>
  <c r="D205" i="4"/>
  <c r="BI204" i="4"/>
  <c r="BA204" i="4"/>
  <c r="AP204" i="4"/>
  <c r="AH204" i="4"/>
  <c r="X204" i="4"/>
  <c r="O204" i="4"/>
  <c r="D204" i="4"/>
  <c r="BI203" i="4"/>
  <c r="BA203" i="4"/>
  <c r="AP203" i="4"/>
  <c r="AH203" i="4"/>
  <c r="X203" i="4"/>
  <c r="O203" i="4"/>
  <c r="D203" i="4"/>
  <c r="BI202" i="4"/>
  <c r="BA202" i="4"/>
  <c r="AP202" i="4"/>
  <c r="AH202" i="4"/>
  <c r="X202" i="4"/>
  <c r="O202" i="4"/>
  <c r="D202" i="4"/>
  <c r="BI201" i="4"/>
  <c r="BA201" i="4"/>
  <c r="AP201" i="4"/>
  <c r="AH201" i="4"/>
  <c r="X201" i="4"/>
  <c r="O201" i="4"/>
  <c r="D201" i="4"/>
  <c r="BI200" i="4"/>
  <c r="BA200" i="4"/>
  <c r="AP200" i="4"/>
  <c r="AH200" i="4"/>
  <c r="X200" i="4"/>
  <c r="O200" i="4"/>
  <c r="D200" i="4"/>
  <c r="BI199" i="4"/>
  <c r="BA199" i="4"/>
  <c r="AP199" i="4"/>
  <c r="AH199" i="4"/>
  <c r="X199" i="4"/>
  <c r="O199" i="4"/>
  <c r="D199" i="4"/>
  <c r="BI198" i="4"/>
  <c r="BA198" i="4"/>
  <c r="AP198" i="4"/>
  <c r="AH198" i="4"/>
  <c r="X198" i="4"/>
  <c r="O198" i="4"/>
  <c r="D198" i="4"/>
  <c r="BI197" i="4"/>
  <c r="BA197" i="4"/>
  <c r="AP197" i="4"/>
  <c r="AH197" i="4"/>
  <c r="X197" i="4"/>
  <c r="O197" i="4"/>
  <c r="D197" i="4"/>
  <c r="BI196" i="4"/>
  <c r="BA196" i="4"/>
  <c r="AP196" i="4"/>
  <c r="AH196" i="4"/>
  <c r="X196" i="4"/>
  <c r="O196" i="4"/>
  <c r="D196" i="4"/>
  <c r="BI195" i="4"/>
  <c r="BA195" i="4"/>
  <c r="AP195" i="4"/>
  <c r="AH195" i="4"/>
  <c r="X195" i="4"/>
  <c r="O195" i="4"/>
  <c r="D195" i="4"/>
  <c r="BI194" i="4"/>
  <c r="BA194" i="4"/>
  <c r="AP194" i="4"/>
  <c r="AH194" i="4"/>
  <c r="X194" i="4"/>
  <c r="O194" i="4"/>
  <c r="D194" i="4"/>
  <c r="BI193" i="4"/>
  <c r="BA193" i="4"/>
  <c r="AP193" i="4"/>
  <c r="AH193" i="4"/>
  <c r="X193" i="4"/>
  <c r="O193" i="4"/>
  <c r="D193" i="4"/>
  <c r="BI192" i="4"/>
  <c r="BA192" i="4"/>
  <c r="AP192" i="4"/>
  <c r="AH192" i="4"/>
  <c r="X192" i="4"/>
  <c r="O192" i="4"/>
  <c r="D192" i="4"/>
  <c r="BI191" i="4"/>
  <c r="BA191" i="4"/>
  <c r="AP191" i="4"/>
  <c r="AH191" i="4"/>
  <c r="X191" i="4"/>
  <c r="O191" i="4"/>
  <c r="D191" i="4"/>
  <c r="BI190" i="4"/>
  <c r="BA190" i="4"/>
  <c r="AP190" i="4"/>
  <c r="AH190" i="4"/>
  <c r="X190" i="4"/>
  <c r="O190" i="4"/>
  <c r="D190" i="4"/>
  <c r="BI189" i="4"/>
  <c r="BA189" i="4"/>
  <c r="AP189" i="4"/>
  <c r="AH189" i="4"/>
  <c r="X189" i="4"/>
  <c r="O189" i="4"/>
  <c r="D189" i="4"/>
  <c r="BI188" i="4"/>
  <c r="BA188" i="4"/>
  <c r="AP188" i="4"/>
  <c r="AH188" i="4"/>
  <c r="X188" i="4"/>
  <c r="O188" i="4"/>
  <c r="D188" i="4"/>
  <c r="BI187" i="4"/>
  <c r="BA187" i="4"/>
  <c r="AP187" i="4"/>
  <c r="AH187" i="4"/>
  <c r="X187" i="4"/>
  <c r="O187" i="4"/>
  <c r="D187" i="4"/>
  <c r="BI186" i="4"/>
  <c r="BA186" i="4"/>
  <c r="AP186" i="4"/>
  <c r="AH186" i="4"/>
  <c r="X186" i="4"/>
  <c r="O186" i="4"/>
  <c r="D186" i="4"/>
  <c r="BI185" i="4"/>
  <c r="BA185" i="4"/>
  <c r="AP185" i="4"/>
  <c r="AH185" i="4"/>
  <c r="X185" i="4"/>
  <c r="O185" i="4"/>
  <c r="D185" i="4"/>
  <c r="BI184" i="4"/>
  <c r="BA184" i="4"/>
  <c r="AP184" i="4"/>
  <c r="AH184" i="4"/>
  <c r="X184" i="4"/>
  <c r="O184" i="4"/>
  <c r="D184" i="4"/>
  <c r="CC144" i="4"/>
  <c r="BP144" i="4"/>
  <c r="BC144" i="4"/>
  <c r="AP144" i="4"/>
  <c r="AC144" i="4"/>
  <c r="P144" i="4"/>
  <c r="C144" i="4"/>
  <c r="CG141" i="4"/>
  <c r="CC141" i="4"/>
  <c r="BT141" i="4"/>
  <c r="BP141" i="4"/>
  <c r="BG141" i="4"/>
  <c r="BC141" i="4"/>
  <c r="AT141" i="4"/>
  <c r="AP141" i="4"/>
  <c r="AG141" i="4"/>
  <c r="AC141" i="4"/>
  <c r="R141" i="4"/>
  <c r="P141" i="4"/>
  <c r="G141" i="4"/>
  <c r="C141" i="4"/>
  <c r="CG140" i="4"/>
  <c r="CC140" i="4"/>
  <c r="BT140" i="4"/>
  <c r="BP140" i="4"/>
  <c r="BG140" i="4"/>
  <c r="BC140" i="4"/>
  <c r="AT140" i="4"/>
  <c r="AP140" i="4"/>
  <c r="AG140" i="4"/>
  <c r="AC140" i="4"/>
  <c r="R140" i="4"/>
  <c r="P140" i="4"/>
  <c r="G140" i="4"/>
  <c r="C140" i="4"/>
  <c r="CG139" i="4"/>
  <c r="CF139" i="4"/>
  <c r="CE139" i="4"/>
  <c r="CD139" i="4"/>
  <c r="CC139" i="4"/>
  <c r="BT139" i="4"/>
  <c r="BS139" i="4"/>
  <c r="BR139" i="4"/>
  <c r="BQ139" i="4"/>
  <c r="BP139" i="4"/>
  <c r="BG139" i="4"/>
  <c r="BF139" i="4"/>
  <c r="BE139" i="4"/>
  <c r="BD139" i="4"/>
  <c r="BC139" i="4"/>
  <c r="AT139" i="4"/>
  <c r="AS139" i="4"/>
  <c r="AR139" i="4"/>
  <c r="AQ139" i="4"/>
  <c r="AP139" i="4"/>
  <c r="AG139" i="4"/>
  <c r="AF139" i="4"/>
  <c r="AE139" i="4"/>
  <c r="AD139" i="4"/>
  <c r="AC139" i="4"/>
  <c r="T139" i="4"/>
  <c r="S139" i="4"/>
  <c r="R139" i="4"/>
  <c r="Q139" i="4"/>
  <c r="P139" i="4"/>
  <c r="G139" i="4"/>
  <c r="F139" i="4"/>
  <c r="E139" i="4"/>
  <c r="D139" i="4"/>
  <c r="C139" i="4"/>
  <c r="CG138" i="4"/>
  <c r="CF138" i="4"/>
  <c r="CE138" i="4"/>
  <c r="CD138" i="4"/>
  <c r="CC138" i="4"/>
  <c r="BT138" i="4"/>
  <c r="BS138" i="4"/>
  <c r="BR138" i="4"/>
  <c r="BQ138" i="4"/>
  <c r="BP138" i="4"/>
  <c r="BG138" i="4"/>
  <c r="BF138" i="4"/>
  <c r="BE138" i="4"/>
  <c r="BD138" i="4"/>
  <c r="BC138" i="4"/>
  <c r="AT138" i="4"/>
  <c r="AS138" i="4"/>
  <c r="AR138" i="4"/>
  <c r="AQ138" i="4"/>
  <c r="AP138" i="4"/>
  <c r="AG138" i="4"/>
  <c r="AF138" i="4"/>
  <c r="AE138" i="4"/>
  <c r="AD138" i="4"/>
  <c r="AC138" i="4"/>
  <c r="T138" i="4"/>
  <c r="S138" i="4"/>
  <c r="R138" i="4"/>
  <c r="Q138" i="4"/>
  <c r="P138" i="4"/>
  <c r="G138" i="4"/>
  <c r="F138" i="4"/>
  <c r="E138" i="4"/>
  <c r="D138" i="4"/>
  <c r="C138" i="4"/>
  <c r="CL137" i="4"/>
  <c r="CK137" i="4"/>
  <c r="BY137" i="4"/>
  <c r="BX137" i="4"/>
  <c r="BL137" i="4"/>
  <c r="BK137" i="4"/>
  <c r="AY137" i="4"/>
  <c r="AX137" i="4"/>
  <c r="AL137" i="4"/>
  <c r="AK137" i="4"/>
  <c r="Y137" i="4"/>
  <c r="X137" i="4"/>
  <c r="L137" i="4"/>
  <c r="K137" i="4"/>
  <c r="CL136" i="4"/>
  <c r="CK136" i="4"/>
  <c r="BY136" i="4"/>
  <c r="BX136" i="4"/>
  <c r="BL136" i="4"/>
  <c r="BK136" i="4"/>
  <c r="AY136" i="4"/>
  <c r="AX136" i="4"/>
  <c r="AL136" i="4"/>
  <c r="AK136" i="4"/>
  <c r="Y136" i="4"/>
  <c r="X136" i="4"/>
  <c r="L136" i="4"/>
  <c r="K136" i="4"/>
  <c r="CL135" i="4"/>
  <c r="CK135" i="4"/>
  <c r="BY135" i="4"/>
  <c r="BX135" i="4"/>
  <c r="BL135" i="4"/>
  <c r="BK135" i="4"/>
  <c r="AY135" i="4"/>
  <c r="AX135" i="4"/>
  <c r="AL135" i="4"/>
  <c r="AK135" i="4"/>
  <c r="Y135" i="4"/>
  <c r="X135" i="4"/>
  <c r="L135" i="4"/>
  <c r="K135" i="4"/>
  <c r="CL134" i="4"/>
  <c r="CK134" i="4"/>
  <c r="BY134" i="4"/>
  <c r="BX134" i="4"/>
  <c r="BL134" i="4"/>
  <c r="BK134" i="4"/>
  <c r="AY134" i="4"/>
  <c r="AX134" i="4"/>
  <c r="AL134" i="4"/>
  <c r="AK134" i="4"/>
  <c r="Y134" i="4"/>
  <c r="X134" i="4"/>
  <c r="L134" i="4"/>
  <c r="K134" i="4"/>
  <c r="CL133" i="4"/>
  <c r="CK133" i="4"/>
  <c r="BY133" i="4"/>
  <c r="BX133" i="4"/>
  <c r="BL133" i="4"/>
  <c r="BK133" i="4"/>
  <c r="AY133" i="4"/>
  <c r="AX133" i="4"/>
  <c r="AL133" i="4"/>
  <c r="AK133" i="4"/>
  <c r="Y133" i="4"/>
  <c r="X133" i="4"/>
  <c r="L133" i="4"/>
  <c r="K133" i="4"/>
  <c r="CL132" i="4"/>
  <c r="CK132" i="4"/>
  <c r="BY132" i="4"/>
  <c r="BX132" i="4"/>
  <c r="BL132" i="4"/>
  <c r="BK132" i="4"/>
  <c r="AY132" i="4"/>
  <c r="AX132" i="4"/>
  <c r="AL132" i="4"/>
  <c r="AK132" i="4"/>
  <c r="Y132" i="4"/>
  <c r="X132" i="4"/>
  <c r="L132" i="4"/>
  <c r="K132" i="4"/>
  <c r="CL131" i="4"/>
  <c r="CK131" i="4"/>
  <c r="BY131" i="4"/>
  <c r="BX131" i="4"/>
  <c r="BL131" i="4"/>
  <c r="BK131" i="4"/>
  <c r="AY131" i="4"/>
  <c r="AX131" i="4"/>
  <c r="AL131" i="4"/>
  <c r="AK131" i="4"/>
  <c r="Y131" i="4"/>
  <c r="X131" i="4"/>
  <c r="L131" i="4"/>
  <c r="K131" i="4"/>
  <c r="CL130" i="4"/>
  <c r="CK130" i="4"/>
  <c r="BY130" i="4"/>
  <c r="BX130" i="4"/>
  <c r="BL130" i="4"/>
  <c r="BK130" i="4"/>
  <c r="AY130" i="4"/>
  <c r="AX130" i="4"/>
  <c r="AL130" i="4"/>
  <c r="AK130" i="4"/>
  <c r="Y130" i="4"/>
  <c r="X130" i="4"/>
  <c r="L130" i="4"/>
  <c r="K130" i="4"/>
  <c r="CL129" i="4"/>
  <c r="CK129" i="4"/>
  <c r="BY129" i="4"/>
  <c r="BX129" i="4"/>
  <c r="BL129" i="4"/>
  <c r="BK129" i="4"/>
  <c r="AY129" i="4"/>
  <c r="AX129" i="4"/>
  <c r="AL129" i="4"/>
  <c r="AK129" i="4"/>
  <c r="Y129" i="4"/>
  <c r="X129" i="4"/>
  <c r="L129" i="4"/>
  <c r="K129" i="4"/>
  <c r="CL128" i="4"/>
  <c r="CK128" i="4"/>
  <c r="BY128" i="4"/>
  <c r="BX128" i="4"/>
  <c r="BL128" i="4"/>
  <c r="BK128" i="4"/>
  <c r="AY128" i="4"/>
  <c r="AX128" i="4"/>
  <c r="AL128" i="4"/>
  <c r="AK128" i="4"/>
  <c r="Y128" i="4"/>
  <c r="X128" i="4"/>
  <c r="L128" i="4"/>
  <c r="K128" i="4"/>
  <c r="CL127" i="4"/>
  <c r="CK127" i="4"/>
  <c r="BY127" i="4"/>
  <c r="BX127" i="4"/>
  <c r="BL127" i="4"/>
  <c r="BK127" i="4"/>
  <c r="AY127" i="4"/>
  <c r="AX127" i="4"/>
  <c r="AL127" i="4"/>
  <c r="AK127" i="4"/>
  <c r="Y127" i="4"/>
  <c r="X127" i="4"/>
  <c r="L127" i="4"/>
  <c r="K127" i="4"/>
  <c r="CL126" i="4"/>
  <c r="CK126" i="4"/>
  <c r="BY126" i="4"/>
  <c r="BX126" i="4"/>
  <c r="BL126" i="4"/>
  <c r="BK126" i="4"/>
  <c r="AY126" i="4"/>
  <c r="AX126" i="4"/>
  <c r="AL126" i="4"/>
  <c r="AK126" i="4"/>
  <c r="Y126" i="4"/>
  <c r="X126" i="4"/>
  <c r="L126" i="4"/>
  <c r="K126" i="4"/>
  <c r="CL125" i="4"/>
  <c r="CK125" i="4"/>
  <c r="BY125" i="4"/>
  <c r="BX125" i="4"/>
  <c r="BL125" i="4"/>
  <c r="BK125" i="4"/>
  <c r="AY125" i="4"/>
  <c r="AX125" i="4"/>
  <c r="AL125" i="4"/>
  <c r="AK125" i="4"/>
  <c r="Y125" i="4"/>
  <c r="X125" i="4"/>
  <c r="L125" i="4"/>
  <c r="K125" i="4"/>
  <c r="CL124" i="4"/>
  <c r="CK124" i="4"/>
  <c r="BY124" i="4"/>
  <c r="BX124" i="4"/>
  <c r="BL124" i="4"/>
  <c r="BK124" i="4"/>
  <c r="AY124" i="4"/>
  <c r="AX124" i="4"/>
  <c r="AL124" i="4"/>
  <c r="AK124" i="4"/>
  <c r="Y124" i="4"/>
  <c r="X124" i="4"/>
  <c r="L124" i="4"/>
  <c r="K124" i="4"/>
  <c r="CL123" i="4"/>
  <c r="CK123" i="4"/>
  <c r="BY123" i="4"/>
  <c r="BX123" i="4"/>
  <c r="BL123" i="4"/>
  <c r="BK123" i="4"/>
  <c r="AY123" i="4"/>
  <c r="AX123" i="4"/>
  <c r="AL123" i="4"/>
  <c r="AK123" i="4"/>
  <c r="Y123" i="4"/>
  <c r="X123" i="4"/>
  <c r="L123" i="4"/>
  <c r="K123" i="4"/>
  <c r="CL122" i="4"/>
  <c r="CK122" i="4"/>
  <c r="BY122" i="4"/>
  <c r="BX122" i="4"/>
  <c r="BL122" i="4"/>
  <c r="BK122" i="4"/>
  <c r="AY122" i="4"/>
  <c r="AX122" i="4"/>
  <c r="AL122" i="4"/>
  <c r="AK122" i="4"/>
  <c r="Y122" i="4"/>
  <c r="X122" i="4"/>
  <c r="L122" i="4"/>
  <c r="K122" i="4"/>
  <c r="CL121" i="4"/>
  <c r="CK121" i="4"/>
  <c r="BY121" i="4"/>
  <c r="BX121" i="4"/>
  <c r="BL121" i="4"/>
  <c r="BK121" i="4"/>
  <c r="AY121" i="4"/>
  <c r="AX121" i="4"/>
  <c r="AL121" i="4"/>
  <c r="AK121" i="4"/>
  <c r="Y121" i="4"/>
  <c r="X121" i="4"/>
  <c r="L121" i="4"/>
  <c r="K121" i="4"/>
  <c r="CL120" i="4"/>
  <c r="CK120" i="4"/>
  <c r="BY120" i="4"/>
  <c r="BX120" i="4"/>
  <c r="BL120" i="4"/>
  <c r="BK120" i="4"/>
  <c r="AY120" i="4"/>
  <c r="AX120" i="4"/>
  <c r="AL120" i="4"/>
  <c r="AK120" i="4"/>
  <c r="Y120" i="4"/>
  <c r="X120" i="4"/>
  <c r="L120" i="4"/>
  <c r="K120" i="4"/>
  <c r="CL119" i="4"/>
  <c r="CK119" i="4"/>
  <c r="BY119" i="4"/>
  <c r="BX119" i="4"/>
  <c r="BL119" i="4"/>
  <c r="BK119" i="4"/>
  <c r="AY119" i="4"/>
  <c r="AX119" i="4"/>
  <c r="AL119" i="4"/>
  <c r="AK119" i="4"/>
  <c r="Y119" i="4"/>
  <c r="X119" i="4"/>
  <c r="L119" i="4"/>
  <c r="K119" i="4"/>
  <c r="CL118" i="4"/>
  <c r="CK118" i="4"/>
  <c r="BY118" i="4"/>
  <c r="BX118" i="4"/>
  <c r="BL118" i="4"/>
  <c r="BK118" i="4"/>
  <c r="AY118" i="4"/>
  <c r="AX118" i="4"/>
  <c r="AL118" i="4"/>
  <c r="AK118" i="4"/>
  <c r="Y118" i="4"/>
  <c r="X118" i="4"/>
  <c r="L118" i="4"/>
  <c r="K118" i="4"/>
  <c r="CP112" i="4"/>
  <c r="CC112" i="4"/>
  <c r="BP112" i="4"/>
  <c r="BC112" i="4"/>
  <c r="AP112" i="4"/>
  <c r="AC112" i="4"/>
  <c r="P112" i="4"/>
  <c r="C112" i="4"/>
  <c r="CT109" i="4"/>
  <c r="CP109" i="4"/>
  <c r="CG109" i="4"/>
  <c r="CC109" i="4"/>
  <c r="BT109" i="4"/>
  <c r="BP109" i="4"/>
  <c r="BG109" i="4"/>
  <c r="BC109" i="4"/>
  <c r="AT109" i="4"/>
  <c r="AP109" i="4"/>
  <c r="AG109" i="4"/>
  <c r="AC109" i="4"/>
  <c r="R109" i="4"/>
  <c r="P109" i="4"/>
  <c r="G109" i="4"/>
  <c r="C109" i="4"/>
  <c r="CT108" i="4"/>
  <c r="CP108" i="4"/>
  <c r="CG108" i="4"/>
  <c r="CC108" i="4"/>
  <c r="BT108" i="4"/>
  <c r="BP108" i="4"/>
  <c r="BG108" i="4"/>
  <c r="BC108" i="4"/>
  <c r="AT108" i="4"/>
  <c r="AP108" i="4"/>
  <c r="AG108" i="4"/>
  <c r="AC108" i="4"/>
  <c r="R108" i="4"/>
  <c r="P108" i="4"/>
  <c r="G108" i="4"/>
  <c r="C108" i="4"/>
  <c r="CT107" i="4"/>
  <c r="CS107" i="4"/>
  <c r="CR107" i="4"/>
  <c r="CQ107" i="4"/>
  <c r="CP107" i="4"/>
  <c r="CG107" i="4"/>
  <c r="CF107" i="4"/>
  <c r="CE107" i="4"/>
  <c r="CD107" i="4"/>
  <c r="CC107" i="4"/>
  <c r="BT107" i="4"/>
  <c r="BS107" i="4"/>
  <c r="BR107" i="4"/>
  <c r="BQ107" i="4"/>
  <c r="BP107" i="4"/>
  <c r="BG107" i="4"/>
  <c r="BF107" i="4"/>
  <c r="BE107" i="4"/>
  <c r="BD107" i="4"/>
  <c r="BC107" i="4"/>
  <c r="AT107" i="4"/>
  <c r="AS107" i="4"/>
  <c r="AR107" i="4"/>
  <c r="AQ107" i="4"/>
  <c r="AP107" i="4"/>
  <c r="AG107" i="4"/>
  <c r="AF107" i="4"/>
  <c r="AE107" i="4"/>
  <c r="AD107" i="4"/>
  <c r="AC107" i="4"/>
  <c r="T107" i="4"/>
  <c r="S107" i="4"/>
  <c r="R107" i="4"/>
  <c r="Q107" i="4"/>
  <c r="P107" i="4"/>
  <c r="G107" i="4"/>
  <c r="F107" i="4"/>
  <c r="E107" i="4"/>
  <c r="D107" i="4"/>
  <c r="C107" i="4"/>
  <c r="CT106" i="4"/>
  <c r="CS106" i="4"/>
  <c r="CR106" i="4"/>
  <c r="CQ106" i="4"/>
  <c r="CP106" i="4"/>
  <c r="CG106" i="4"/>
  <c r="CF106" i="4"/>
  <c r="CE106" i="4"/>
  <c r="CD106" i="4"/>
  <c r="CC106" i="4"/>
  <c r="BT106" i="4"/>
  <c r="BS106" i="4"/>
  <c r="BR106" i="4"/>
  <c r="BQ106" i="4"/>
  <c r="BP106" i="4"/>
  <c r="BG106" i="4"/>
  <c r="BF106" i="4"/>
  <c r="BE106" i="4"/>
  <c r="BD106" i="4"/>
  <c r="BC106" i="4"/>
  <c r="AT106" i="4"/>
  <c r="AS106" i="4"/>
  <c r="AR106" i="4"/>
  <c r="AQ106" i="4"/>
  <c r="AP106" i="4"/>
  <c r="AG106" i="4"/>
  <c r="AF106" i="4"/>
  <c r="AE106" i="4"/>
  <c r="AD106" i="4"/>
  <c r="AC106" i="4"/>
  <c r="T106" i="4"/>
  <c r="S106" i="4"/>
  <c r="R106" i="4"/>
  <c r="Q106" i="4"/>
  <c r="P106" i="4"/>
  <c r="G106" i="4"/>
  <c r="F106" i="4"/>
  <c r="E106" i="4"/>
  <c r="D106" i="4"/>
  <c r="C106" i="4"/>
  <c r="CY105" i="4"/>
  <c r="CX105" i="4"/>
  <c r="CL105" i="4"/>
  <c r="CK105" i="4"/>
  <c r="BY105" i="4"/>
  <c r="BX105" i="4"/>
  <c r="BL105" i="4"/>
  <c r="BK105" i="4"/>
  <c r="AY105" i="4"/>
  <c r="AX105" i="4"/>
  <c r="AL105" i="4"/>
  <c r="AK105" i="4"/>
  <c r="Y105" i="4"/>
  <c r="X105" i="4"/>
  <c r="L105" i="4"/>
  <c r="K105" i="4"/>
  <c r="CY104" i="4"/>
  <c r="CX104" i="4"/>
  <c r="CL104" i="4"/>
  <c r="CK104" i="4"/>
  <c r="BY104" i="4"/>
  <c r="BX104" i="4"/>
  <c r="BL104" i="4"/>
  <c r="BK104" i="4"/>
  <c r="AY104" i="4"/>
  <c r="AX104" i="4"/>
  <c r="AL104" i="4"/>
  <c r="AK104" i="4"/>
  <c r="Y104" i="4"/>
  <c r="X104" i="4"/>
  <c r="L104" i="4"/>
  <c r="K104" i="4"/>
  <c r="CY103" i="4"/>
  <c r="CX103" i="4"/>
  <c r="CL103" i="4"/>
  <c r="CK103" i="4"/>
  <c r="BY103" i="4"/>
  <c r="BX103" i="4"/>
  <c r="BL103" i="4"/>
  <c r="BK103" i="4"/>
  <c r="AY103" i="4"/>
  <c r="AX103" i="4"/>
  <c r="AL103" i="4"/>
  <c r="AK103" i="4"/>
  <c r="Y103" i="4"/>
  <c r="X103" i="4"/>
  <c r="L103" i="4"/>
  <c r="K103" i="4"/>
  <c r="CY102" i="4"/>
  <c r="CX102" i="4"/>
  <c r="CL102" i="4"/>
  <c r="CK102" i="4"/>
  <c r="BY102" i="4"/>
  <c r="BX102" i="4"/>
  <c r="BL102" i="4"/>
  <c r="BK102" i="4"/>
  <c r="AY102" i="4"/>
  <c r="AX102" i="4"/>
  <c r="AL102" i="4"/>
  <c r="AK102" i="4"/>
  <c r="Y102" i="4"/>
  <c r="X102" i="4"/>
  <c r="L102" i="4"/>
  <c r="K102" i="4"/>
  <c r="CY101" i="4"/>
  <c r="CX101" i="4"/>
  <c r="CL101" i="4"/>
  <c r="CK101" i="4"/>
  <c r="BY101" i="4"/>
  <c r="BX101" i="4"/>
  <c r="BL101" i="4"/>
  <c r="BK101" i="4"/>
  <c r="AY101" i="4"/>
  <c r="AX101" i="4"/>
  <c r="AL101" i="4"/>
  <c r="AK101" i="4"/>
  <c r="Y101" i="4"/>
  <c r="X101" i="4"/>
  <c r="L101" i="4"/>
  <c r="K101" i="4"/>
  <c r="CY100" i="4"/>
  <c r="CX100" i="4"/>
  <c r="CL100" i="4"/>
  <c r="CK100" i="4"/>
  <c r="BY100" i="4"/>
  <c r="BX100" i="4"/>
  <c r="BL100" i="4"/>
  <c r="BK100" i="4"/>
  <c r="AY100" i="4"/>
  <c r="AX100" i="4"/>
  <c r="AL100" i="4"/>
  <c r="AK100" i="4"/>
  <c r="Y100" i="4"/>
  <c r="X100" i="4"/>
  <c r="L100" i="4"/>
  <c r="K100" i="4"/>
  <c r="CY99" i="4"/>
  <c r="CX99" i="4"/>
  <c r="CL99" i="4"/>
  <c r="CK99" i="4"/>
  <c r="BY99" i="4"/>
  <c r="BX99" i="4"/>
  <c r="BL99" i="4"/>
  <c r="BK99" i="4"/>
  <c r="AY99" i="4"/>
  <c r="AX99" i="4"/>
  <c r="AL99" i="4"/>
  <c r="AK99" i="4"/>
  <c r="Y99" i="4"/>
  <c r="X99" i="4"/>
  <c r="L99" i="4"/>
  <c r="K99" i="4"/>
  <c r="CY98" i="4"/>
  <c r="CX98" i="4"/>
  <c r="CL98" i="4"/>
  <c r="CK98" i="4"/>
  <c r="BY98" i="4"/>
  <c r="BX98" i="4"/>
  <c r="BL98" i="4"/>
  <c r="BK98" i="4"/>
  <c r="AY98" i="4"/>
  <c r="AX98" i="4"/>
  <c r="AL98" i="4"/>
  <c r="AK98" i="4"/>
  <c r="Y98" i="4"/>
  <c r="X98" i="4"/>
  <c r="L98" i="4"/>
  <c r="K98" i="4"/>
  <c r="CY97" i="4"/>
  <c r="CX97" i="4"/>
  <c r="CL97" i="4"/>
  <c r="CK97" i="4"/>
  <c r="BY97" i="4"/>
  <c r="BX97" i="4"/>
  <c r="BL97" i="4"/>
  <c r="BK97" i="4"/>
  <c r="AY97" i="4"/>
  <c r="AX97" i="4"/>
  <c r="AL97" i="4"/>
  <c r="AK97" i="4"/>
  <c r="Y97" i="4"/>
  <c r="X97" i="4"/>
  <c r="L97" i="4"/>
  <c r="K97" i="4"/>
  <c r="CY96" i="4"/>
  <c r="CX96" i="4"/>
  <c r="CL96" i="4"/>
  <c r="CK96" i="4"/>
  <c r="BY96" i="4"/>
  <c r="BX96" i="4"/>
  <c r="BL96" i="4"/>
  <c r="BK96" i="4"/>
  <c r="AY96" i="4"/>
  <c r="AX96" i="4"/>
  <c r="AL96" i="4"/>
  <c r="AK96" i="4"/>
  <c r="Y96" i="4"/>
  <c r="X96" i="4"/>
  <c r="L96" i="4"/>
  <c r="K96" i="4"/>
  <c r="CY95" i="4"/>
  <c r="CX95" i="4"/>
  <c r="CL95" i="4"/>
  <c r="CK95" i="4"/>
  <c r="BY95" i="4"/>
  <c r="BX95" i="4"/>
  <c r="BL95" i="4"/>
  <c r="BK95" i="4"/>
  <c r="AY95" i="4"/>
  <c r="AX95" i="4"/>
  <c r="AL95" i="4"/>
  <c r="AK95" i="4"/>
  <c r="Y95" i="4"/>
  <c r="X95" i="4"/>
  <c r="L95" i="4"/>
  <c r="K95" i="4"/>
  <c r="CY94" i="4"/>
  <c r="CX94" i="4"/>
  <c r="CL94" i="4"/>
  <c r="CK94" i="4"/>
  <c r="BY94" i="4"/>
  <c r="BX94" i="4"/>
  <c r="BL94" i="4"/>
  <c r="BK94" i="4"/>
  <c r="AY94" i="4"/>
  <c r="AX94" i="4"/>
  <c r="AL94" i="4"/>
  <c r="AK94" i="4"/>
  <c r="Y94" i="4"/>
  <c r="X94" i="4"/>
  <c r="L94" i="4"/>
  <c r="K94" i="4"/>
  <c r="CY93" i="4"/>
  <c r="CX93" i="4"/>
  <c r="CL93" i="4"/>
  <c r="CK93" i="4"/>
  <c r="BY93" i="4"/>
  <c r="BX93" i="4"/>
  <c r="BL93" i="4"/>
  <c r="BK93" i="4"/>
  <c r="AY93" i="4"/>
  <c r="AX93" i="4"/>
  <c r="AL93" i="4"/>
  <c r="AK93" i="4"/>
  <c r="Y93" i="4"/>
  <c r="X93" i="4"/>
  <c r="L93" i="4"/>
  <c r="K93" i="4"/>
  <c r="CY92" i="4"/>
  <c r="CX92" i="4"/>
  <c r="CL92" i="4"/>
  <c r="CK92" i="4"/>
  <c r="BY92" i="4"/>
  <c r="BX92" i="4"/>
  <c r="BL92" i="4"/>
  <c r="BK92" i="4"/>
  <c r="AY92" i="4"/>
  <c r="AX92" i="4"/>
  <c r="AL92" i="4"/>
  <c r="AK92" i="4"/>
  <c r="Y92" i="4"/>
  <c r="X92" i="4"/>
  <c r="L92" i="4"/>
  <c r="K92" i="4"/>
  <c r="CY91" i="4"/>
  <c r="CX91" i="4"/>
  <c r="CL91" i="4"/>
  <c r="CK91" i="4"/>
  <c r="BY91" i="4"/>
  <c r="BX91" i="4"/>
  <c r="BL91" i="4"/>
  <c r="BK91" i="4"/>
  <c r="AY91" i="4"/>
  <c r="AX91" i="4"/>
  <c r="AL91" i="4"/>
  <c r="AK91" i="4"/>
  <c r="Y91" i="4"/>
  <c r="X91" i="4"/>
  <c r="L91" i="4"/>
  <c r="K91" i="4"/>
  <c r="CY90" i="4"/>
  <c r="CX90" i="4"/>
  <c r="CL90" i="4"/>
  <c r="CK90" i="4"/>
  <c r="BY90" i="4"/>
  <c r="BX90" i="4"/>
  <c r="BL90" i="4"/>
  <c r="BK90" i="4"/>
  <c r="AY90" i="4"/>
  <c r="AX90" i="4"/>
  <c r="AL90" i="4"/>
  <c r="AK90" i="4"/>
  <c r="Y90" i="4"/>
  <c r="X90" i="4"/>
  <c r="L90" i="4"/>
  <c r="K90" i="4"/>
  <c r="CY89" i="4"/>
  <c r="CX89" i="4"/>
  <c r="CL89" i="4"/>
  <c r="CK89" i="4"/>
  <c r="BY89" i="4"/>
  <c r="BX89" i="4"/>
  <c r="BL89" i="4"/>
  <c r="BK89" i="4"/>
  <c r="AY89" i="4"/>
  <c r="AX89" i="4"/>
  <c r="AL89" i="4"/>
  <c r="AK89" i="4"/>
  <c r="Y89" i="4"/>
  <c r="X89" i="4"/>
  <c r="L89" i="4"/>
  <c r="K89" i="4"/>
  <c r="CY88" i="4"/>
  <c r="CX88" i="4"/>
  <c r="CL88" i="4"/>
  <c r="CK88" i="4"/>
  <c r="BY88" i="4"/>
  <c r="BX88" i="4"/>
  <c r="BL88" i="4"/>
  <c r="BK88" i="4"/>
  <c r="AY88" i="4"/>
  <c r="AX88" i="4"/>
  <c r="AL88" i="4"/>
  <c r="AK88" i="4"/>
  <c r="Y88" i="4"/>
  <c r="X88" i="4"/>
  <c r="L88" i="4"/>
  <c r="K88" i="4"/>
  <c r="CY87" i="4"/>
  <c r="CX87" i="4"/>
  <c r="CL87" i="4"/>
  <c r="CK87" i="4"/>
  <c r="BY87" i="4"/>
  <c r="BX87" i="4"/>
  <c r="BL87" i="4"/>
  <c r="BK87" i="4"/>
  <c r="AY87" i="4"/>
  <c r="AX87" i="4"/>
  <c r="AL87" i="4"/>
  <c r="AK87" i="4"/>
  <c r="Y87" i="4"/>
  <c r="X87" i="4"/>
  <c r="L87" i="4"/>
  <c r="K87" i="4"/>
  <c r="CY86" i="4"/>
  <c r="CX86" i="4"/>
  <c r="CL86" i="4"/>
  <c r="CK86" i="4"/>
  <c r="BY86" i="4"/>
  <c r="BX86" i="4"/>
  <c r="BL86" i="4"/>
  <c r="BK86" i="4"/>
  <c r="AY86" i="4"/>
  <c r="AX86" i="4"/>
  <c r="AL86" i="4"/>
  <c r="AK86" i="4"/>
  <c r="Y86" i="4"/>
  <c r="X86" i="4"/>
  <c r="L86" i="4"/>
  <c r="K86" i="4"/>
  <c r="CP79" i="4"/>
  <c r="CC79" i="4"/>
  <c r="BP79" i="4"/>
  <c r="BC79" i="4"/>
  <c r="AP79" i="4"/>
  <c r="AC79" i="4"/>
  <c r="P79" i="4"/>
  <c r="C79" i="4"/>
  <c r="CT76" i="4"/>
  <c r="CP76" i="4"/>
  <c r="CG76" i="4"/>
  <c r="CC76" i="4"/>
  <c r="BT76" i="4"/>
  <c r="BP76" i="4"/>
  <c r="BG76" i="4"/>
  <c r="BC76" i="4"/>
  <c r="AT76" i="4"/>
  <c r="AP76" i="4"/>
  <c r="AG76" i="4"/>
  <c r="AC76" i="4"/>
  <c r="R76" i="4"/>
  <c r="P76" i="4"/>
  <c r="G76" i="4"/>
  <c r="C76" i="4"/>
  <c r="CT75" i="4"/>
  <c r="CP75" i="4"/>
  <c r="CG75" i="4"/>
  <c r="CC75" i="4"/>
  <c r="BT75" i="4"/>
  <c r="BP75" i="4"/>
  <c r="BG75" i="4"/>
  <c r="BC75" i="4"/>
  <c r="AT75" i="4"/>
  <c r="AP75" i="4"/>
  <c r="AG75" i="4"/>
  <c r="AC75" i="4"/>
  <c r="R75" i="4"/>
  <c r="P75" i="4"/>
  <c r="G75" i="4"/>
  <c r="C75" i="4"/>
  <c r="CT74" i="4"/>
  <c r="CS74" i="4"/>
  <c r="CR74" i="4"/>
  <c r="CQ74" i="4"/>
  <c r="CP74" i="4"/>
  <c r="CG74" i="4"/>
  <c r="CF74" i="4"/>
  <c r="CE74" i="4"/>
  <c r="CD74" i="4"/>
  <c r="CC74" i="4"/>
  <c r="BT74" i="4"/>
  <c r="BS74" i="4"/>
  <c r="BR74" i="4"/>
  <c r="BQ74" i="4"/>
  <c r="BP74" i="4"/>
  <c r="BG74" i="4"/>
  <c r="BF74" i="4"/>
  <c r="BE74" i="4"/>
  <c r="BD74" i="4"/>
  <c r="BC74" i="4"/>
  <c r="AT74" i="4"/>
  <c r="AS74" i="4"/>
  <c r="AR74" i="4"/>
  <c r="AQ74" i="4"/>
  <c r="AP74" i="4"/>
  <c r="AG74" i="4"/>
  <c r="AF74" i="4"/>
  <c r="AE74" i="4"/>
  <c r="AD74" i="4"/>
  <c r="AC74" i="4"/>
  <c r="T74" i="4"/>
  <c r="R74" i="4"/>
  <c r="Q74" i="4"/>
  <c r="P74" i="4"/>
  <c r="G74" i="4"/>
  <c r="F74" i="4"/>
  <c r="E74" i="4"/>
  <c r="D74" i="4"/>
  <c r="C74" i="4"/>
  <c r="CT73" i="4"/>
  <c r="CS73" i="4"/>
  <c r="CR73" i="4"/>
  <c r="CQ73" i="4"/>
  <c r="CP73" i="4"/>
  <c r="CG73" i="4"/>
  <c r="CF73" i="4"/>
  <c r="CE73" i="4"/>
  <c r="CD73" i="4"/>
  <c r="CC73" i="4"/>
  <c r="BT73" i="4"/>
  <c r="BS73" i="4"/>
  <c r="BR73" i="4"/>
  <c r="BQ73" i="4"/>
  <c r="BP73" i="4"/>
  <c r="BG73" i="4"/>
  <c r="BF73" i="4"/>
  <c r="BE73" i="4"/>
  <c r="BD73" i="4"/>
  <c r="BC73" i="4"/>
  <c r="AT73" i="4"/>
  <c r="AS73" i="4"/>
  <c r="AR73" i="4"/>
  <c r="AQ73" i="4"/>
  <c r="AP73" i="4"/>
  <c r="AG73" i="4"/>
  <c r="AF73" i="4"/>
  <c r="AE73" i="4"/>
  <c r="AD73" i="4"/>
  <c r="AC73" i="4"/>
  <c r="T73" i="4"/>
  <c r="R73" i="4"/>
  <c r="Q73" i="4"/>
  <c r="P73" i="4"/>
  <c r="G73" i="4"/>
  <c r="F73" i="4"/>
  <c r="E73" i="4"/>
  <c r="D73" i="4"/>
  <c r="C73" i="4"/>
  <c r="CY72" i="4"/>
  <c r="CX72" i="4"/>
  <c r="CL72" i="4"/>
  <c r="CK72" i="4"/>
  <c r="BY72" i="4"/>
  <c r="BX72" i="4"/>
  <c r="BL72" i="4"/>
  <c r="BK72" i="4"/>
  <c r="AY72" i="4"/>
  <c r="AX72" i="4"/>
  <c r="AL72" i="4"/>
  <c r="AK72" i="4"/>
  <c r="Y72" i="4"/>
  <c r="X72" i="4"/>
  <c r="L72" i="4"/>
  <c r="K72" i="4"/>
  <c r="CY71" i="4"/>
  <c r="CX71" i="4"/>
  <c r="CL71" i="4"/>
  <c r="CK71" i="4"/>
  <c r="BY71" i="4"/>
  <c r="BX71" i="4"/>
  <c r="BL71" i="4"/>
  <c r="BK71" i="4"/>
  <c r="AY71" i="4"/>
  <c r="AX71" i="4"/>
  <c r="AL71" i="4"/>
  <c r="AK71" i="4"/>
  <c r="Y71" i="4"/>
  <c r="X71" i="4"/>
  <c r="L71" i="4"/>
  <c r="K71" i="4"/>
  <c r="CY70" i="4"/>
  <c r="CX70" i="4"/>
  <c r="CL70" i="4"/>
  <c r="CK70" i="4"/>
  <c r="BY70" i="4"/>
  <c r="BX70" i="4"/>
  <c r="BL70" i="4"/>
  <c r="BK70" i="4"/>
  <c r="AY70" i="4"/>
  <c r="AX70" i="4"/>
  <c r="AL70" i="4"/>
  <c r="AK70" i="4"/>
  <c r="Y70" i="4"/>
  <c r="X70" i="4"/>
  <c r="L70" i="4"/>
  <c r="K70" i="4"/>
  <c r="CY69" i="4"/>
  <c r="CX69" i="4"/>
  <c r="CL69" i="4"/>
  <c r="CK69" i="4"/>
  <c r="BY69" i="4"/>
  <c r="BX69" i="4"/>
  <c r="BL69" i="4"/>
  <c r="BK69" i="4"/>
  <c r="AY69" i="4"/>
  <c r="AX69" i="4"/>
  <c r="AL69" i="4"/>
  <c r="AK69" i="4"/>
  <c r="Y69" i="4"/>
  <c r="X69" i="4"/>
  <c r="L69" i="4"/>
  <c r="K69" i="4"/>
  <c r="CY68" i="4"/>
  <c r="CX68" i="4"/>
  <c r="CL68" i="4"/>
  <c r="CK68" i="4"/>
  <c r="BY68" i="4"/>
  <c r="BX68" i="4"/>
  <c r="BL68" i="4"/>
  <c r="BK68" i="4"/>
  <c r="AY68" i="4"/>
  <c r="AX68" i="4"/>
  <c r="AL68" i="4"/>
  <c r="AK68" i="4"/>
  <c r="Y68" i="4"/>
  <c r="X68" i="4"/>
  <c r="L68" i="4"/>
  <c r="K68" i="4"/>
  <c r="CY67" i="4"/>
  <c r="CX67" i="4"/>
  <c r="CL67" i="4"/>
  <c r="CK67" i="4"/>
  <c r="BY67" i="4"/>
  <c r="BX67" i="4"/>
  <c r="BL67" i="4"/>
  <c r="BK67" i="4"/>
  <c r="AY67" i="4"/>
  <c r="AX67" i="4"/>
  <c r="AL67" i="4"/>
  <c r="AK67" i="4"/>
  <c r="Y67" i="4"/>
  <c r="X67" i="4"/>
  <c r="L67" i="4"/>
  <c r="K67" i="4"/>
  <c r="CY66" i="4"/>
  <c r="CX66" i="4"/>
  <c r="CL66" i="4"/>
  <c r="CK66" i="4"/>
  <c r="BY66" i="4"/>
  <c r="BX66" i="4"/>
  <c r="BL66" i="4"/>
  <c r="BK66" i="4"/>
  <c r="AY66" i="4"/>
  <c r="AX66" i="4"/>
  <c r="AL66" i="4"/>
  <c r="AK66" i="4"/>
  <c r="Y66" i="4"/>
  <c r="X66" i="4"/>
  <c r="L66" i="4"/>
  <c r="K66" i="4"/>
  <c r="CY65" i="4"/>
  <c r="CX65" i="4"/>
  <c r="CL65" i="4"/>
  <c r="CK65" i="4"/>
  <c r="BY65" i="4"/>
  <c r="BX65" i="4"/>
  <c r="BL65" i="4"/>
  <c r="BK65" i="4"/>
  <c r="AY65" i="4"/>
  <c r="AX65" i="4"/>
  <c r="AL65" i="4"/>
  <c r="AK65" i="4"/>
  <c r="Y65" i="4"/>
  <c r="X65" i="4"/>
  <c r="L65" i="4"/>
  <c r="K65" i="4"/>
  <c r="CY64" i="4"/>
  <c r="CX64" i="4"/>
  <c r="CL64" i="4"/>
  <c r="CK64" i="4"/>
  <c r="BY64" i="4"/>
  <c r="BX64" i="4"/>
  <c r="BL64" i="4"/>
  <c r="BK64" i="4"/>
  <c r="AY64" i="4"/>
  <c r="AX64" i="4"/>
  <c r="AL64" i="4"/>
  <c r="AK64" i="4"/>
  <c r="Y64" i="4"/>
  <c r="X64" i="4"/>
  <c r="L64" i="4"/>
  <c r="K64" i="4"/>
  <c r="CY63" i="4"/>
  <c r="CX63" i="4"/>
  <c r="CL63" i="4"/>
  <c r="CK63" i="4"/>
  <c r="BY63" i="4"/>
  <c r="BX63" i="4"/>
  <c r="BL63" i="4"/>
  <c r="BK63" i="4"/>
  <c r="AY63" i="4"/>
  <c r="AX63" i="4"/>
  <c r="AL63" i="4"/>
  <c r="AK63" i="4"/>
  <c r="Y63" i="4"/>
  <c r="X63" i="4"/>
  <c r="L63" i="4"/>
  <c r="K63" i="4"/>
  <c r="CY62" i="4"/>
  <c r="CX62" i="4"/>
  <c r="CL62" i="4"/>
  <c r="CK62" i="4"/>
  <c r="BY62" i="4"/>
  <c r="BX62" i="4"/>
  <c r="BL62" i="4"/>
  <c r="BK62" i="4"/>
  <c r="AY62" i="4"/>
  <c r="AX62" i="4"/>
  <c r="AL62" i="4"/>
  <c r="AK62" i="4"/>
  <c r="Y62" i="4"/>
  <c r="X62" i="4"/>
  <c r="L62" i="4"/>
  <c r="K62" i="4"/>
  <c r="CY61" i="4"/>
  <c r="CX61" i="4"/>
  <c r="CL61" i="4"/>
  <c r="CK61" i="4"/>
  <c r="BY61" i="4"/>
  <c r="BX61" i="4"/>
  <c r="BL61" i="4"/>
  <c r="BK61" i="4"/>
  <c r="AY61" i="4"/>
  <c r="AX61" i="4"/>
  <c r="AL61" i="4"/>
  <c r="AK61" i="4"/>
  <c r="Y61" i="4"/>
  <c r="X61" i="4"/>
  <c r="L61" i="4"/>
  <c r="K61" i="4"/>
  <c r="CY60" i="4"/>
  <c r="CX60" i="4"/>
  <c r="CL60" i="4"/>
  <c r="CK60" i="4"/>
  <c r="BY60" i="4"/>
  <c r="BX60" i="4"/>
  <c r="BL60" i="4"/>
  <c r="BK60" i="4"/>
  <c r="AY60" i="4"/>
  <c r="AX60" i="4"/>
  <c r="AL60" i="4"/>
  <c r="AK60" i="4"/>
  <c r="Y60" i="4"/>
  <c r="X60" i="4"/>
  <c r="L60" i="4"/>
  <c r="K60" i="4"/>
  <c r="CY59" i="4"/>
  <c r="CX59" i="4"/>
  <c r="CL59" i="4"/>
  <c r="CK59" i="4"/>
  <c r="BY59" i="4"/>
  <c r="BX59" i="4"/>
  <c r="BL59" i="4"/>
  <c r="BK59" i="4"/>
  <c r="AY59" i="4"/>
  <c r="AX59" i="4"/>
  <c r="AL59" i="4"/>
  <c r="AK59" i="4"/>
  <c r="Y59" i="4"/>
  <c r="X59" i="4"/>
  <c r="L59" i="4"/>
  <c r="K59" i="4"/>
  <c r="CY58" i="4"/>
  <c r="CX58" i="4"/>
  <c r="CL58" i="4"/>
  <c r="CK58" i="4"/>
  <c r="BY58" i="4"/>
  <c r="BX58" i="4"/>
  <c r="BL58" i="4"/>
  <c r="BK58" i="4"/>
  <c r="AY58" i="4"/>
  <c r="AX58" i="4"/>
  <c r="AL58" i="4"/>
  <c r="AK58" i="4"/>
  <c r="Y58" i="4"/>
  <c r="X58" i="4"/>
  <c r="L58" i="4"/>
  <c r="K58" i="4"/>
  <c r="CY57" i="4"/>
  <c r="CX57" i="4"/>
  <c r="CL57" i="4"/>
  <c r="CK57" i="4"/>
  <c r="BY57" i="4"/>
  <c r="BX57" i="4"/>
  <c r="BL57" i="4"/>
  <c r="BK57" i="4"/>
  <c r="AY57" i="4"/>
  <c r="AX57" i="4"/>
  <c r="AL57" i="4"/>
  <c r="AK57" i="4"/>
  <c r="Y57" i="4"/>
  <c r="X57" i="4"/>
  <c r="L57" i="4"/>
  <c r="K57" i="4"/>
  <c r="CY56" i="4"/>
  <c r="CX56" i="4"/>
  <c r="CL56" i="4"/>
  <c r="CK56" i="4"/>
  <c r="BY56" i="4"/>
  <c r="BX56" i="4"/>
  <c r="BL56" i="4"/>
  <c r="BK56" i="4"/>
  <c r="AY56" i="4"/>
  <c r="AX56" i="4"/>
  <c r="AL56" i="4"/>
  <c r="AK56" i="4"/>
  <c r="Y56" i="4"/>
  <c r="X56" i="4"/>
  <c r="L56" i="4"/>
  <c r="K56" i="4"/>
  <c r="CY55" i="4"/>
  <c r="CX55" i="4"/>
  <c r="CL55" i="4"/>
  <c r="CK55" i="4"/>
  <c r="BY55" i="4"/>
  <c r="BX55" i="4"/>
  <c r="BL55" i="4"/>
  <c r="BK55" i="4"/>
  <c r="AY55" i="4"/>
  <c r="AX55" i="4"/>
  <c r="AL55" i="4"/>
  <c r="AK55" i="4"/>
  <c r="Y55" i="4"/>
  <c r="X55" i="4"/>
  <c r="L55" i="4"/>
  <c r="K55" i="4"/>
  <c r="CY54" i="4"/>
  <c r="CX54" i="4"/>
  <c r="CL54" i="4"/>
  <c r="CK54" i="4"/>
  <c r="BY54" i="4"/>
  <c r="BX54" i="4"/>
  <c r="BL54" i="4"/>
  <c r="BK54" i="4"/>
  <c r="AY54" i="4"/>
  <c r="AX54" i="4"/>
  <c r="AL54" i="4"/>
  <c r="AK54" i="4"/>
  <c r="Y54" i="4"/>
  <c r="X54" i="4"/>
  <c r="L54" i="4"/>
  <c r="K54" i="4"/>
  <c r="CY53" i="4"/>
  <c r="CX53" i="4"/>
  <c r="CL53" i="4"/>
  <c r="CK53" i="4"/>
  <c r="BY53" i="4"/>
  <c r="BX53" i="4"/>
  <c r="BL53" i="4"/>
  <c r="BK53" i="4"/>
  <c r="AY53" i="4"/>
  <c r="AX53" i="4"/>
  <c r="AL53" i="4"/>
  <c r="AK53" i="4"/>
  <c r="Y53" i="4"/>
  <c r="X53" i="4"/>
  <c r="L53" i="4"/>
  <c r="K53" i="4"/>
  <c r="CP29" i="4"/>
  <c r="CC29" i="4"/>
  <c r="BP29" i="4"/>
  <c r="BC29" i="4"/>
  <c r="AP29" i="4"/>
  <c r="AC29" i="4"/>
  <c r="P29" i="4"/>
  <c r="C29" i="4"/>
  <c r="CT26" i="4"/>
  <c r="CP26" i="4"/>
  <c r="CG26" i="4"/>
  <c r="CC26" i="4"/>
  <c r="BT26" i="4"/>
  <c r="BP26" i="4"/>
  <c r="BG26" i="4"/>
  <c r="BC26" i="4"/>
  <c r="AT26" i="4"/>
  <c r="AP26" i="4"/>
  <c r="AG26" i="4"/>
  <c r="AC26" i="4"/>
  <c r="R26" i="4"/>
  <c r="P26" i="4"/>
  <c r="G26" i="4"/>
  <c r="C26" i="4"/>
  <c r="CT25" i="4"/>
  <c r="CP25" i="4"/>
  <c r="CG25" i="4"/>
  <c r="CC25" i="4"/>
  <c r="BT25" i="4"/>
  <c r="BP25" i="4"/>
  <c r="BG25" i="4"/>
  <c r="BC25" i="4"/>
  <c r="AT25" i="4"/>
  <c r="AP25" i="4"/>
  <c r="AG25" i="4"/>
  <c r="AE25" i="4"/>
  <c r="AD25" i="4"/>
  <c r="AC25" i="4"/>
  <c r="R25" i="4"/>
  <c r="P25" i="4"/>
  <c r="G25" i="4"/>
  <c r="C25" i="4"/>
  <c r="CT24" i="4"/>
  <c r="CS24" i="4"/>
  <c r="CR24" i="4"/>
  <c r="CQ24" i="4"/>
  <c r="CP24" i="4"/>
  <c r="CG24" i="4"/>
  <c r="CF24" i="4"/>
  <c r="CE24" i="4"/>
  <c r="CD24" i="4"/>
  <c r="CC24" i="4"/>
  <c r="BT24" i="4"/>
  <c r="BS24" i="4"/>
  <c r="BR24" i="4"/>
  <c r="BQ24" i="4"/>
  <c r="BP24" i="4"/>
  <c r="BG24" i="4"/>
  <c r="BF24" i="4"/>
  <c r="BE24" i="4"/>
  <c r="BD24" i="4"/>
  <c r="BC24" i="4"/>
  <c r="AT24" i="4"/>
  <c r="AS24" i="4"/>
  <c r="AR24" i="4"/>
  <c r="AQ24" i="4"/>
  <c r="AP24" i="4"/>
  <c r="AG24" i="4"/>
  <c r="AF24" i="4"/>
  <c r="AE24" i="4"/>
  <c r="AD24" i="4"/>
  <c r="AC24" i="4"/>
  <c r="T24" i="4"/>
  <c r="S24" i="4"/>
  <c r="R24" i="4"/>
  <c r="Q24" i="4"/>
  <c r="P24" i="4"/>
  <c r="G24" i="4"/>
  <c r="F24" i="4"/>
  <c r="E24" i="4"/>
  <c r="D24" i="4"/>
  <c r="C24" i="4"/>
  <c r="CT23" i="4"/>
  <c r="CS23" i="4"/>
  <c r="CR23" i="4"/>
  <c r="CQ23" i="4"/>
  <c r="CP23" i="4"/>
  <c r="CG23" i="4"/>
  <c r="CF23" i="4"/>
  <c r="CE23" i="4"/>
  <c r="CD23" i="4"/>
  <c r="CC23" i="4"/>
  <c r="BT23" i="4"/>
  <c r="BS23" i="4"/>
  <c r="BR23" i="4"/>
  <c r="BQ23" i="4"/>
  <c r="BP23" i="4"/>
  <c r="BG23" i="4"/>
  <c r="BF23" i="4"/>
  <c r="BE23" i="4"/>
  <c r="BD23" i="4"/>
  <c r="BC23" i="4"/>
  <c r="AT23" i="4"/>
  <c r="AS23" i="4"/>
  <c r="AR23" i="4"/>
  <c r="AQ23" i="4"/>
  <c r="AP23" i="4"/>
  <c r="AG23" i="4"/>
  <c r="AF23" i="4"/>
  <c r="AE23" i="4"/>
  <c r="AD23" i="4"/>
  <c r="AC23" i="4"/>
  <c r="T23" i="4"/>
  <c r="S23" i="4"/>
  <c r="R23" i="4"/>
  <c r="Q23" i="4"/>
  <c r="P23" i="4"/>
  <c r="G23" i="4"/>
  <c r="F23" i="4"/>
  <c r="E23" i="4"/>
  <c r="D23" i="4"/>
  <c r="C23" i="4"/>
  <c r="CY22" i="4"/>
  <c r="CX22" i="4"/>
  <c r="CL22" i="4"/>
  <c r="CK22" i="4"/>
  <c r="BY22" i="4"/>
  <c r="BX22" i="4"/>
  <c r="BL22" i="4"/>
  <c r="BK22" i="4"/>
  <c r="AY22" i="4"/>
  <c r="AX22" i="4"/>
  <c r="AL22" i="4"/>
  <c r="AK22" i="4"/>
  <c r="Y22" i="4"/>
  <c r="X22" i="4"/>
  <c r="L22" i="4"/>
  <c r="K22" i="4"/>
  <c r="A22" i="4"/>
  <c r="CY21" i="4"/>
  <c r="CX21" i="4"/>
  <c r="CL21" i="4"/>
  <c r="CK21" i="4"/>
  <c r="BY21" i="4"/>
  <c r="BX21" i="4"/>
  <c r="BL21" i="4"/>
  <c r="BK21" i="4"/>
  <c r="AY21" i="4"/>
  <c r="AX21" i="4"/>
  <c r="AL21" i="4"/>
  <c r="AK21" i="4"/>
  <c r="Y21" i="4"/>
  <c r="X21" i="4"/>
  <c r="L21" i="4"/>
  <c r="K21" i="4"/>
  <c r="A21" i="4"/>
  <c r="CY20" i="4"/>
  <c r="CX20" i="4"/>
  <c r="CL20" i="4"/>
  <c r="CK20" i="4"/>
  <c r="BY20" i="4"/>
  <c r="BX20" i="4"/>
  <c r="BL20" i="4"/>
  <c r="BK20" i="4"/>
  <c r="AY20" i="4"/>
  <c r="AX20" i="4"/>
  <c r="AL20" i="4"/>
  <c r="AK20" i="4"/>
  <c r="Y20" i="4"/>
  <c r="X20" i="4"/>
  <c r="L20" i="4"/>
  <c r="K20" i="4"/>
  <c r="A20" i="4"/>
  <c r="CY19" i="4"/>
  <c r="CX19" i="4"/>
  <c r="CL19" i="4"/>
  <c r="CK19" i="4"/>
  <c r="BY19" i="4"/>
  <c r="BX19" i="4"/>
  <c r="BL19" i="4"/>
  <c r="BK19" i="4"/>
  <c r="AY19" i="4"/>
  <c r="AX19" i="4"/>
  <c r="AL19" i="4"/>
  <c r="AK19" i="4"/>
  <c r="Y19" i="4"/>
  <c r="X19" i="4"/>
  <c r="L19" i="4"/>
  <c r="K19" i="4"/>
  <c r="A19" i="4"/>
  <c r="CY18" i="4"/>
  <c r="CX18" i="4"/>
  <c r="CL18" i="4"/>
  <c r="CK18" i="4"/>
  <c r="BY18" i="4"/>
  <c r="BX18" i="4"/>
  <c r="BL18" i="4"/>
  <c r="BK18" i="4"/>
  <c r="AY18" i="4"/>
  <c r="AX18" i="4"/>
  <c r="AL18" i="4"/>
  <c r="AK18" i="4"/>
  <c r="Y18" i="4"/>
  <c r="X18" i="4"/>
  <c r="L18" i="4"/>
  <c r="K18" i="4"/>
  <c r="A18" i="4"/>
  <c r="CY17" i="4"/>
  <c r="CX17" i="4"/>
  <c r="CL17" i="4"/>
  <c r="CK17" i="4"/>
  <c r="BY17" i="4"/>
  <c r="BX17" i="4"/>
  <c r="BL17" i="4"/>
  <c r="BK17" i="4"/>
  <c r="AY17" i="4"/>
  <c r="AX17" i="4"/>
  <c r="AL17" i="4"/>
  <c r="AK17" i="4"/>
  <c r="Y17" i="4"/>
  <c r="X17" i="4"/>
  <c r="L17" i="4"/>
  <c r="K17" i="4"/>
  <c r="A17" i="4"/>
  <c r="CY16" i="4"/>
  <c r="CX16" i="4"/>
  <c r="CL16" i="4"/>
  <c r="CK16" i="4"/>
  <c r="BY16" i="4"/>
  <c r="BX16" i="4"/>
  <c r="BL16" i="4"/>
  <c r="BK16" i="4"/>
  <c r="AY16" i="4"/>
  <c r="AX16" i="4"/>
  <c r="AL16" i="4"/>
  <c r="AK16" i="4"/>
  <c r="Y16" i="4"/>
  <c r="X16" i="4"/>
  <c r="L16" i="4"/>
  <c r="K16" i="4"/>
  <c r="A16" i="4"/>
  <c r="CY15" i="4"/>
  <c r="CX15" i="4"/>
  <c r="CL15" i="4"/>
  <c r="CK15" i="4"/>
  <c r="BY15" i="4"/>
  <c r="BX15" i="4"/>
  <c r="BL15" i="4"/>
  <c r="BK15" i="4"/>
  <c r="AY15" i="4"/>
  <c r="AX15" i="4"/>
  <c r="AL15" i="4"/>
  <c r="AK15" i="4"/>
  <c r="Y15" i="4"/>
  <c r="X15" i="4"/>
  <c r="L15" i="4"/>
  <c r="K15" i="4"/>
  <c r="A15" i="4"/>
  <c r="CY14" i="4"/>
  <c r="CX14" i="4"/>
  <c r="CL14" i="4"/>
  <c r="CK14" i="4"/>
  <c r="BY14" i="4"/>
  <c r="BX14" i="4"/>
  <c r="BL14" i="4"/>
  <c r="BK14" i="4"/>
  <c r="AY14" i="4"/>
  <c r="AX14" i="4"/>
  <c r="AL14" i="4"/>
  <c r="AK14" i="4"/>
  <c r="Y14" i="4"/>
  <c r="X14" i="4"/>
  <c r="L14" i="4"/>
  <c r="K14" i="4"/>
  <c r="A14" i="4"/>
  <c r="CY13" i="4"/>
  <c r="CX13" i="4"/>
  <c r="CL13" i="4"/>
  <c r="CK13" i="4"/>
  <c r="BY13" i="4"/>
  <c r="BX13" i="4"/>
  <c r="BL13" i="4"/>
  <c r="BK13" i="4"/>
  <c r="AY13" i="4"/>
  <c r="AX13" i="4"/>
  <c r="AL13" i="4"/>
  <c r="AK13" i="4"/>
  <c r="Y13" i="4"/>
  <c r="X13" i="4"/>
  <c r="L13" i="4"/>
  <c r="K13" i="4"/>
  <c r="A13" i="4"/>
  <c r="CY12" i="4"/>
  <c r="CX12" i="4"/>
  <c r="CL12" i="4"/>
  <c r="CK12" i="4"/>
  <c r="BY12" i="4"/>
  <c r="BX12" i="4"/>
  <c r="BL12" i="4"/>
  <c r="BK12" i="4"/>
  <c r="AY12" i="4"/>
  <c r="AX12" i="4"/>
  <c r="AL12" i="4"/>
  <c r="AK12" i="4"/>
  <c r="Y12" i="4"/>
  <c r="X12" i="4"/>
  <c r="L12" i="4"/>
  <c r="K12" i="4"/>
  <c r="A12" i="4"/>
  <c r="CY11" i="4"/>
  <c r="CX11" i="4"/>
  <c r="CL11" i="4"/>
  <c r="CK11" i="4"/>
  <c r="BY11" i="4"/>
  <c r="BX11" i="4"/>
  <c r="BL11" i="4"/>
  <c r="BK11" i="4"/>
  <c r="AY11" i="4"/>
  <c r="AX11" i="4"/>
  <c r="AL11" i="4"/>
  <c r="AK11" i="4"/>
  <c r="Y11" i="4"/>
  <c r="X11" i="4"/>
  <c r="L11" i="4"/>
  <c r="K11" i="4"/>
  <c r="A11" i="4"/>
  <c r="CY10" i="4"/>
  <c r="CX10" i="4"/>
  <c r="CL10" i="4"/>
  <c r="CK10" i="4"/>
  <c r="BY10" i="4"/>
  <c r="BX10" i="4"/>
  <c r="BL10" i="4"/>
  <c r="BK10" i="4"/>
  <c r="AY10" i="4"/>
  <c r="AX10" i="4"/>
  <c r="AL10" i="4"/>
  <c r="AK10" i="4"/>
  <c r="Y10" i="4"/>
  <c r="X10" i="4"/>
  <c r="L10" i="4"/>
  <c r="K10" i="4"/>
  <c r="A10" i="4"/>
  <c r="CY9" i="4"/>
  <c r="CX9" i="4"/>
  <c r="CL9" i="4"/>
  <c r="CK9" i="4"/>
  <c r="BY9" i="4"/>
  <c r="BX9" i="4"/>
  <c r="BL9" i="4"/>
  <c r="BK9" i="4"/>
  <c r="AY9" i="4"/>
  <c r="AX9" i="4"/>
  <c r="AL9" i="4"/>
  <c r="AK9" i="4"/>
  <c r="Y9" i="4"/>
  <c r="X9" i="4"/>
  <c r="L9" i="4"/>
  <c r="K9" i="4"/>
  <c r="A9" i="4"/>
  <c r="CY8" i="4"/>
  <c r="CX8" i="4"/>
  <c r="CL8" i="4"/>
  <c r="CK8" i="4"/>
  <c r="BY8" i="4"/>
  <c r="BX8" i="4"/>
  <c r="BL8" i="4"/>
  <c r="BK8" i="4"/>
  <c r="AY8" i="4"/>
  <c r="AX8" i="4"/>
  <c r="AL8" i="4"/>
  <c r="AK8" i="4"/>
  <c r="Y8" i="4"/>
  <c r="X8" i="4"/>
  <c r="L8" i="4"/>
  <c r="K8" i="4"/>
  <c r="A8" i="4"/>
  <c r="CY7" i="4"/>
  <c r="CX7" i="4"/>
  <c r="CL7" i="4"/>
  <c r="CK7" i="4"/>
  <c r="BY7" i="4"/>
  <c r="BX7" i="4"/>
  <c r="BL7" i="4"/>
  <c r="BK7" i="4"/>
  <c r="AY7" i="4"/>
  <c r="AX7" i="4"/>
  <c r="AL7" i="4"/>
  <c r="AK7" i="4"/>
  <c r="Y7" i="4"/>
  <c r="X7" i="4"/>
  <c r="L7" i="4"/>
  <c r="K7" i="4"/>
  <c r="A7" i="4"/>
  <c r="CY6" i="4"/>
  <c r="CX6" i="4"/>
  <c r="CL6" i="4"/>
  <c r="CK6" i="4"/>
  <c r="BY6" i="4"/>
  <c r="BX6" i="4"/>
  <c r="BL6" i="4"/>
  <c r="BK6" i="4"/>
  <c r="AY6" i="4"/>
  <c r="AX6" i="4"/>
  <c r="AL6" i="4"/>
  <c r="AK6" i="4"/>
  <c r="Y6" i="4"/>
  <c r="X6" i="4"/>
  <c r="L6" i="4"/>
  <c r="K6" i="4"/>
  <c r="A6" i="4"/>
  <c r="CY5" i="4"/>
  <c r="CX5" i="4"/>
  <c r="CL5" i="4"/>
  <c r="CK5" i="4"/>
  <c r="BY5" i="4"/>
  <c r="BX5" i="4"/>
  <c r="BL5" i="4"/>
  <c r="BK5" i="4"/>
  <c r="AY5" i="4"/>
  <c r="AX5" i="4"/>
  <c r="AL5" i="4"/>
  <c r="AK5" i="4"/>
  <c r="Y5" i="4"/>
  <c r="X5" i="4"/>
  <c r="L5" i="4"/>
  <c r="K5" i="4"/>
  <c r="A5" i="4"/>
  <c r="CY4" i="4"/>
  <c r="CX4" i="4"/>
  <c r="CL4" i="4"/>
  <c r="CK4" i="4"/>
  <c r="BY4" i="4"/>
  <c r="BX4" i="4"/>
  <c r="BL4" i="4"/>
  <c r="BK4" i="4"/>
  <c r="AY4" i="4"/>
  <c r="AX4" i="4"/>
  <c r="AL4" i="4"/>
  <c r="AK4" i="4"/>
  <c r="Y4" i="4"/>
  <c r="X4" i="4"/>
  <c r="L4" i="4"/>
  <c r="K4" i="4"/>
  <c r="A4" i="4"/>
  <c r="CY3" i="4"/>
  <c r="CX3" i="4"/>
  <c r="CL3" i="4"/>
  <c r="CK3" i="4"/>
  <c r="BY3" i="4"/>
  <c r="BX3" i="4"/>
  <c r="BL3" i="4"/>
  <c r="BK3" i="4"/>
  <c r="AY3" i="4"/>
  <c r="AX3" i="4"/>
  <c r="AL3" i="4"/>
  <c r="AK3" i="4"/>
  <c r="Y3" i="4"/>
  <c r="X3" i="4"/>
  <c r="L3" i="4"/>
  <c r="K3" i="4"/>
  <c r="A3" i="4"/>
  <c r="L165" i="3"/>
  <c r="L164" i="3"/>
  <c r="L163" i="3"/>
  <c r="L162" i="3"/>
  <c r="L161" i="3"/>
  <c r="L160" i="3"/>
  <c r="L159" i="3"/>
  <c r="L158" i="3"/>
  <c r="L157" i="3"/>
  <c r="L156" i="3"/>
  <c r="L155" i="3"/>
  <c r="L154" i="3"/>
  <c r="L153" i="3"/>
  <c r="L152" i="3"/>
  <c r="L151" i="3"/>
  <c r="L150" i="3"/>
  <c r="L149" i="3"/>
  <c r="L148" i="3"/>
  <c r="L147" i="3"/>
  <c r="L146" i="3"/>
  <c r="L141" i="3"/>
  <c r="L140" i="3"/>
  <c r="L139" i="3"/>
  <c r="L138" i="3"/>
  <c r="L137" i="3"/>
  <c r="L136" i="3"/>
  <c r="L135" i="3"/>
  <c r="L134" i="3"/>
  <c r="L133" i="3"/>
  <c r="L132" i="3"/>
  <c r="L131" i="3"/>
  <c r="L130" i="3"/>
  <c r="L129" i="3"/>
  <c r="L128" i="3"/>
  <c r="L127" i="3"/>
  <c r="L126" i="3"/>
  <c r="L125" i="3"/>
  <c r="L124" i="3"/>
  <c r="L123" i="3"/>
  <c r="L122" i="3"/>
  <c r="L117" i="3"/>
  <c r="L116" i="3"/>
  <c r="L115" i="3"/>
  <c r="L114" i="3"/>
  <c r="L113" i="3"/>
  <c r="L112" i="3"/>
  <c r="L111" i="3"/>
  <c r="L110" i="3"/>
  <c r="L109" i="3"/>
  <c r="L108" i="3"/>
  <c r="L107" i="3"/>
  <c r="L106" i="3"/>
  <c r="L105" i="3"/>
  <c r="L104" i="3"/>
  <c r="L103" i="3"/>
  <c r="L102" i="3"/>
  <c r="L101" i="3"/>
  <c r="L100" i="3"/>
  <c r="L99" i="3"/>
  <c r="L98" i="3"/>
  <c r="L93" i="3"/>
  <c r="L92" i="3"/>
  <c r="L91" i="3"/>
  <c r="L90" i="3"/>
  <c r="L89" i="3"/>
  <c r="L88" i="3"/>
  <c r="L87" i="3"/>
  <c r="L86" i="3"/>
  <c r="L85" i="3"/>
  <c r="L84" i="3"/>
  <c r="L83" i="3"/>
  <c r="L82" i="3"/>
  <c r="L81" i="3"/>
  <c r="L80" i="3"/>
  <c r="L79" i="3"/>
  <c r="L78" i="3"/>
  <c r="L77" i="3"/>
  <c r="L76" i="3"/>
  <c r="L75" i="3"/>
  <c r="L74" i="3"/>
  <c r="L69" i="3"/>
  <c r="L68" i="3"/>
  <c r="L67" i="3"/>
  <c r="L66" i="3"/>
  <c r="L65" i="3"/>
  <c r="L64" i="3"/>
  <c r="L63" i="3"/>
  <c r="L62" i="3"/>
  <c r="L61" i="3"/>
  <c r="L60" i="3"/>
  <c r="L59" i="3"/>
  <c r="L58" i="3"/>
  <c r="L57" i="3"/>
  <c r="L56" i="3"/>
  <c r="L55" i="3"/>
  <c r="L54" i="3"/>
  <c r="L53" i="3"/>
  <c r="L52" i="3"/>
  <c r="L51" i="3"/>
  <c r="L50" i="3"/>
  <c r="L45" i="3"/>
  <c r="L44" i="3"/>
  <c r="L43" i="3"/>
  <c r="L42" i="3"/>
  <c r="L41" i="3"/>
  <c r="L40" i="3"/>
  <c r="L39" i="3"/>
  <c r="L38" i="3"/>
  <c r="L37" i="3"/>
  <c r="L36" i="3"/>
  <c r="L35" i="3"/>
  <c r="L34" i="3"/>
  <c r="L33" i="3"/>
  <c r="L32" i="3"/>
  <c r="L31" i="3"/>
  <c r="L30" i="3"/>
  <c r="L29" i="3"/>
  <c r="L28" i="3"/>
  <c r="L27" i="3"/>
  <c r="L26" i="3"/>
  <c r="L22" i="3"/>
  <c r="L21" i="3"/>
  <c r="L20" i="3"/>
  <c r="L19" i="3"/>
  <c r="L18" i="3"/>
  <c r="L17" i="3"/>
  <c r="L16" i="3"/>
  <c r="L15" i="3"/>
  <c r="L14" i="3"/>
  <c r="L13" i="3"/>
  <c r="L12" i="3"/>
  <c r="L11" i="3"/>
  <c r="L10" i="3"/>
  <c r="L9" i="3"/>
  <c r="L8" i="3"/>
  <c r="L7" i="3"/>
  <c r="L6" i="3"/>
  <c r="L5" i="3"/>
  <c r="L4" i="3"/>
  <c r="L3" i="3"/>
  <c r="N32" i="1"/>
  <c r="O32" i="1" s="1"/>
  <c r="N31" i="1"/>
  <c r="O31" i="1" s="1"/>
  <c r="N30" i="1"/>
  <c r="O30" i="1" s="1"/>
  <c r="O29" i="1"/>
  <c r="N29" i="1"/>
  <c r="N28" i="1"/>
  <c r="O28" i="1" s="1"/>
  <c r="O27" i="1"/>
  <c r="N27" i="1"/>
  <c r="N26" i="1"/>
  <c r="O26" i="1" s="1"/>
  <c r="N25" i="1"/>
  <c r="O25" i="1" s="1"/>
  <c r="N24" i="1"/>
  <c r="O24" i="1" s="1"/>
  <c r="O23" i="1"/>
  <c r="N23" i="1"/>
  <c r="N22" i="1"/>
  <c r="O22" i="1" s="1"/>
  <c r="O21" i="1"/>
  <c r="N21" i="1"/>
  <c r="N20" i="1"/>
  <c r="O20" i="1" s="1"/>
  <c r="N19" i="1"/>
  <c r="O19" i="1" s="1"/>
  <c r="N18" i="1"/>
  <c r="O18" i="1" s="1"/>
  <c r="O17" i="1"/>
  <c r="N17" i="1"/>
  <c r="N16" i="1"/>
  <c r="O16" i="1" s="1"/>
  <c r="O15" i="1"/>
  <c r="N15" i="1"/>
  <c r="N14" i="1"/>
  <c r="O14" i="1" s="1"/>
  <c r="N13" i="1"/>
  <c r="O13" i="1" s="1"/>
  <c r="N12" i="1"/>
  <c r="O12" i="1" s="1"/>
  <c r="O11" i="1"/>
  <c r="N11" i="1"/>
  <c r="N10" i="1"/>
  <c r="O10" i="1" s="1"/>
  <c r="O9" i="1"/>
  <c r="N9" i="1"/>
  <c r="N8" i="1"/>
  <c r="O8" i="1" s="1"/>
  <c r="N7" i="1"/>
  <c r="O7" i="1" s="1"/>
  <c r="N6" i="1"/>
  <c r="O6" i="1" s="1"/>
  <c r="O5" i="1"/>
  <c r="N5" i="1"/>
  <c r="N4" i="1"/>
  <c r="O4" i="1" s="1"/>
  <c r="O3" i="1"/>
  <c r="N3" i="1"/>
  <c r="N2" i="1"/>
  <c r="O2" i="1" s="1"/>
  <c r="D158" i="4" l="1"/>
  <c r="BV185" i="4"/>
  <c r="E148" i="4"/>
  <c r="E154" i="4"/>
  <c r="E166" i="4"/>
  <c r="D147" i="4"/>
  <c r="E160" i="4"/>
  <c r="D151" i="4"/>
  <c r="D153" i="4"/>
  <c r="D155" i="4"/>
  <c r="E151" i="4"/>
  <c r="E152" i="4"/>
  <c r="E157" i="4"/>
  <c r="E158" i="4"/>
  <c r="E163" i="4"/>
  <c r="E164" i="4"/>
  <c r="E147" i="4"/>
  <c r="E153" i="4"/>
  <c r="D156" i="4"/>
  <c r="E159" i="4"/>
  <c r="E165" i="4"/>
  <c r="D149" i="4"/>
  <c r="D154" i="4"/>
  <c r="D166" i="4"/>
  <c r="D152" i="4"/>
  <c r="D157" i="4"/>
  <c r="E155" i="4"/>
  <c r="E161" i="4"/>
  <c r="E150" i="4"/>
  <c r="E156" i="4"/>
  <c r="E162" i="4"/>
  <c r="P208" i="4"/>
  <c r="P209" i="4" s="1"/>
  <c r="D148" i="4"/>
  <c r="D150" i="4"/>
  <c r="D160" i="4"/>
  <c r="D162" i="4"/>
  <c r="D159" i="4"/>
  <c r="D163" i="4"/>
  <c r="D165" i="4"/>
  <c r="D161" i="4"/>
  <c r="D164" i="4"/>
  <c r="E149" i="4"/>
  <c r="BV184" i="4"/>
  <c r="P210" i="4"/>
  <c r="P211" i="4" s="1"/>
</calcChain>
</file>

<file path=xl/sharedStrings.xml><?xml version="1.0" encoding="utf-8"?>
<sst xmlns="http://schemas.openxmlformats.org/spreadsheetml/2006/main" count="3191" uniqueCount="336">
  <si>
    <t>Fecha</t>
  </si>
  <si>
    <t>Costo_total</t>
  </si>
  <si>
    <t>Parametro_tiempo</t>
  </si>
  <si>
    <t>Tiempo_de_Ejecucion</t>
  </si>
  <si>
    <t>Estaciones</t>
  </si>
  <si>
    <t>Inventario_inicial</t>
  </si>
  <si>
    <t>Asimetria</t>
  </si>
  <si>
    <t>Inventario_final</t>
  </si>
  <si>
    <t>Cantidad Total de Flujos</t>
  </si>
  <si>
    <t>Estaciones_Flujos</t>
  </si>
  <si>
    <t>Cantidad_Flujos</t>
  </si>
  <si>
    <t>Limites</t>
  </si>
  <si>
    <t>Capacidad</t>
  </si>
  <si>
    <t>Día</t>
  </si>
  <si>
    <t>Dia_sem</t>
  </si>
  <si>
    <t>2024-11-08 18:00</t>
  </si>
  <si>
    <t>['IT001 - ITAU', 'LC002 - Hendaya', 'LC070 - Alonso De Córdova Interior', 'LC093 - Los Estandartes', 'N04 - Hospital Carabineros', 'N09 - Irarrázaval / Brown Sur', 'P02 - Italia / Marín', 'P04 - Costanera Center 1', 'P05 - Costanera Center 2', 'P08 - Metro Colón', 'P30 - Lo Contador', 'P34 - Santa Victoria / Bustamante', 'P35 - Seminario / Marín', 'P41 - Pedro León Gallo / Julio Prado', 'S09 - Santo Domingo / Morandé', 'S17 - San Isidro / Santa Isabel', 'S24 - Plaza Yungay', 'S31- Argomedo / Portugal', 'V10 - Casa Costanera', 'V39 - Pedro Canisio']</t>
  </si>
  <si>
    <t>[6, 1, 0, 3, 13, 10, 7, 13, 0, 7, 3, 13, 17, 11, 15, 25, 11, 22, 0, 6]</t>
  </si>
  <si>
    <t>[-1.133956296544261, -0.9903507571831546, -1.196962071035268, -0.6185674037670809, -1.679865001322572, -0.8235717628996417, -1.072806810743151, -0.8316667731760787, -0.7684574691823788, -0.3761105231824623, 0.6575786297830764, 0.989954421057444, 0.2664771785596047, 0.2822096554426111, 0.6581276149551872, 0.002664620956478163, 0.8031838310216366, 0.9957863323050703, 0.4446733716720251, 0.7952330657044463]</t>
  </si>
  <si>
    <t>[6, 4, 4, 3, 4, 10, 7, 18, 7, 9, 12, 13, 15, 2, 15, 24, 11, 8, 5, 6]</t>
  </si>
  <si>
    <t>['N04 - Hospital Carabineros -&gt; P08 - Metro Colón', 'P04 - Costanera Center 1 -&gt; P05 - Costanera Center 2', 'P04 - Costanera Center 1 -&gt; V10 - Casa Costanera', 'P08 - Metro Colón -&gt; LC002 - Hendaya', 'P08 - Metro Colón -&gt; LC070 - Alonso De Córdova Interior', 'P35 - Seminario / Marín -&gt; P04 - Costanera Center 1', 'P41 - Pedro León Gallo / Julio Prado -&gt; P30 - Lo Contador', 'S17 - San Isidro / Santa Isabel -&gt; S31- Argomedo / Portugal', 'S31- Argomedo / Portugal -&gt; P35 - Seminario / Marín']</t>
  </si>
  <si>
    <t>[9.0, 7.0, 5.0, 3.0, 4.0, 17.0, 9.0, 1.0, 15.0]</t>
  </si>
  <si>
    <t>[[7.675277649193738, 3.591199529365867], [7.703608660175376, 3.954518954779812], [4.602374220551916, 3.0552044092311603], [4.780213475655333, 2.2224511453011457], [13.22029129427342, 1.7797087057265797], [12.722773915921879, 2.27722608407812], [9.483283680900364, 1.5167163190996356], [27.485170322987937, 14.310062742716509], [9.87541716482847, 6.1203691674766], [15.053385529475692, 8.228824125966918], [15.75096958884826, 7.693703782823766], [13.44107911287653, 1.5589208871234699], [15.010427010923536, 1.989572989076465], [9.42965905329361, 1.5703409467063887], [16.74875868917577, 2.2512413108242297], [24.496714129244246, 2.5032858707557506], [16.690830850711684, 2.3091691492883153], [21.09627156371731, 1.903728436282694], [7.424139739492641, 4.565814681564802], [7.378917304454876, 4.424266526566759]]</t>
  </si>
  <si>
    <t>[11,11,7,7,15,15,11,41,15,23,23,15,17,11,19,27,19,23,11,11]</t>
  </si>
  <si>
    <t>2024-11-09 18:00</t>
  </si>
  <si>
    <t>[5, 7, 0, 1, 15, 14, 11, 17, 1, 2, 8, 15, 15, 11, 17, 18, 19, 17, 2, 3]</t>
  </si>
  <si>
    <t>[4, 4, 4, 3, 10, 7, 9, 15, 7, 9, 8, 13, 15, 9, 16, 22, 16, 17, 5, 5]</t>
  </si>
  <si>
    <t>['IT001 - ITAU -&gt; LC070 - Alonso De Córdova Interior', 'LC002 - Hendaya -&gt; LC093 - Los Estandartes', 'LC002 - Hendaya -&gt; V39 - Pedro Canisio', 'N04 - Hospital Carabineros -&gt; P41 - Pedro León Gallo / Julio Prado', 'N09 - Irarrázaval / Brown Sur -&gt; P08 - Metro Colón', 'P02 - Italia / Marín -&gt; P41 - Pedro León Gallo / Julio Prado', 'P04 - Costanera Center 1 -&gt; LC002 - Hendaya', 'P04 - Costanera Center 1 -&gt; P05 - Costanera Center 2', 'P04 - Costanera Center 1 -&gt; V10 - Casa Costanera', 'P34 - Santa Victoria / Bustamante -&gt; P02 - Italia / Marín', 'P41 - Pedro León Gallo / Julio Prado -&gt; P04 - Costanera Center 1', 'S09 - Santo Domingo / Morandé -&gt; S17 - San Isidro / Santa Isabel', 'S24 - Plaza Yungay -&gt; S09 - Santo Domingo / Morandé', 'V39 - Pedro Canisio -&gt; IT001 - ITAU']</t>
  </si>
  <si>
    <t>[4.0, 2.0, 5.0, 5.0, 7.0, 4.0, 4.0, 6.0, 3.0, 2.0, 11.0, 4.0, 3.0, 3.0]</t>
  </si>
  <si>
    <t>2024-11-10 18:00</t>
  </si>
  <si>
    <t>[5, 4, 2, 3, 12, 11, 8, 14, 4, 7, 9, 12, 14, 8, 15, 22, 15, 20, 3, 3]</t>
  </si>
  <si>
    <t>[4, 4, 4, 3, 12, 11, 8, 15, 7, 9, 9, 12, 3, 8, 15, 22, 15, 20, 5, 5]</t>
  </si>
  <si>
    <t>['IT001 - ITAU -&gt; LC070 - Alonso De Córdova Interior', 'P04 - Costanera Center 1 -&gt; P05 - Costanera Center 2', 'P04 - Costanera Center 1 -&gt; V10 - Casa Costanera', 'P05 - Costanera Center 2 -&gt; P08 - Metro Colón', 'P35 - Seminario / Marín -&gt; P04 - Costanera Center 1', 'V10 - Casa Costanera -&gt; V39 - Pedro Canisio', 'V39 - Pedro Canisio -&gt; IT001 - ITAU']</t>
  </si>
  <si>
    <t>[2.0, 5.0, 5.0, 2.0, 11.0, 3.0, 1.0]</t>
  </si>
  <si>
    <t>2024-11-11 18:00</t>
  </si>
  <si>
    <t>[2, 3, 0, 1, 13, 10, 7, 12, 4, 13, 7, 7, 11, 9, 11, 23, 16, 23, 8, 7]</t>
  </si>
  <si>
    <t>[4, 4, 4, 3, 13, 10, 7, 15, 7, 9, 8, 13, 11, 2, 11, 23, 16, 17, 5, 5]</t>
  </si>
  <si>
    <t>['LC002 - Hendaya -&gt; LC093 - Los Estandartes', 'LC093 - Los Estandartes -&gt; LC070 - Alonso De Córdova Interior', 'P04 - Costanera Center 1 -&gt; P05 - Costanera Center 2', 'P08 - Metro Colón -&gt; LC002 - Hendaya', 'P30 - Lo Contador -&gt; P04 - Costanera Center 1', 'P41 - Pedro León Gallo / Julio Prado -&gt; P30 - Lo Contador', 'S31- Argomedo / Portugal -&gt; P34 - Santa Victoria / Bustamante', 'V10 - Casa Costanera -&gt; LC070 - Alonso De Córdova Interior', 'V39 - Pedro Canisio -&gt; IT001 - ITAU']</t>
  </si>
  <si>
    <t>[3.0, 1.0, 3.0, 4.0, 6.0, 7.0, 6.0, 3.0, 2.0]</t>
  </si>
  <si>
    <t>2024-11-12 18:00</t>
  </si>
  <si>
    <t>[0, 1, 2, 5, 8, 5, 11, 17, 4, 12, 11, 14, 12, 8, 9, 26, 16, 22, 1, 8]</t>
  </si>
  <si>
    <t>[4, 4, 4, 3, 8, 5, 9, 15, 7, 12, 11, 13, 12, 8, 9, 24, 16, 16, 7, 5]</t>
  </si>
  <si>
    <t>['LC002 - Hendaya -&gt; LC093 - Los Estandartes', 'LC070 - Alonso De Córdova Interior -&gt; IT001 - ITAU', 'LC093 - Los Estandartes -&gt; LC070 - Alonso De Córdova Interior', 'P02 - Italia / Marín -&gt; P04 - Costanera Center 1', 'P04 - Costanera Center 1 -&gt; P05 - Costanera Center 2', 'P04 - Costanera Center 1 -&gt; V10 - Casa Costanera', 'P05 - Costanera Center 2 -&gt; LC002 - Hendaya', 'P34 - Santa Victoria / Bustamante -&gt; P02 - Italia / Marín', 'S17 - San Isidro / Santa Isabel -&gt; S31- Argomedo / Portugal', 'S31- Argomedo / Portugal -&gt; P34 - Santa Victoria / Bustamante', 'V39 - Pedro Canisio -&gt; IT001 - ITAU']</t>
  </si>
  <si>
    <t>[1.0, 1.0, 3.0, 11.0, 7.0, 6.0, 4.0, 9.0, 2.0, 8.0, 3.0]</t>
  </si>
  <si>
    <t>2024-11-13 18:00</t>
  </si>
  <si>
    <t>[2, 4, 4, 4, 3, 5, 1, 15, 3, 15, 11, 1, 1, 6, 10, 27, 15, 22, 0, 0]</t>
  </si>
  <si>
    <t>[4, 4, 4, 4, 3, 5, 5, 15, 7, 13, 11, 13, 2, 2, 10, 12, 15, 9, 5, 6]</t>
  </si>
  <si>
    <t>['P04 - Costanera Center 1 -&gt; P05 - Costanera Center 2', 'P04 - Costanera Center 1 -&gt; V10 - Casa Costanera', 'P04 - Costanera Center 1 -&gt; V39 - Pedro Canisio', 'P08 - Metro Colón -&gt; IT001 - ITAU', 'P34 - Santa Victoria / Bustamante -&gt; P35 - Seminario / Marín', 'P41 - Pedro León Gallo / Julio Prado -&gt; P02 - Italia / Marín', 'S17 - San Isidro / Santa Isabel -&gt; P04 - Costanera Center 1', 'S31- Argomedo / Portugal -&gt; P34 - Santa Victoria / Bustamante']</t>
  </si>
  <si>
    <t>[4.0, 5.0, 6.0, 2.0, 1.0, 4.0, 15.0, 13.0]</t>
  </si>
  <si>
    <t>2024-11-14 18:00</t>
  </si>
  <si>
    <t>[0, 4, 3, 4, 13, 10, 9, 10, 14, 15, 10, 10, 6, 8, 10, 26, 14, 23, 4, 1]</t>
  </si>
  <si>
    <t>[4, 4, 4, 3, 13, 10, 9, 15, 7, 10, 8, 10, 15, 8, 10, 24, 14, 16, 5, 5]</t>
  </si>
  <si>
    <t>['LC070 - Alonso De Córdova Interior -&gt; IT001 - ITAU', 'LC093 - Los Estandartes -&gt; V10 - Casa Costanera', 'P05 - Costanera Center 2 -&gt; LC070 - Alonso De Córdova Interior', 'P05 - Costanera Center 2 -&gt; P04 - Costanera Center 1', 'P08 - Metro Colón -&gt; V39 - Pedro Canisio', 'P30 - Lo Contador -&gt; P04 - Costanera Center 1', 'S17 - San Isidro / Santa Isabel -&gt; S31- Argomedo / Portugal', 'S31- Argomedo / Portugal -&gt; P35 - Seminario / Marín', 'V39 - Pedro Canisio -&gt; IT001 - ITAU']</t>
  </si>
  <si>
    <t>[3.0, 1.0, 4.0, 3.0, 5.0, 2.0, 2.0, 9.0, 1.0]</t>
  </si>
  <si>
    <t>2024-11-15 18:00</t>
  </si>
  <si>
    <t>[3, 3, 4, 6, 8, 12, 9, 15, 6, 6, 13, 3, 13, 6, 16, 27, 13, 23, 4, 5]</t>
  </si>
  <si>
    <t>[5, 4, 4, 3, 8, 12, 9, 15, 7, 9, 8, 8, 13, 6, 16, 24, 13, 21, 5, 5]</t>
  </si>
  <si>
    <t>['LC002 - Hendaya -&gt; P08 - Metro Colón', 'LC093 - Los Estandartes -&gt; IT001 - ITAU', 'LC093 - Los Estandartes -&gt; V10 - Casa Costanera', 'P05 - Costanera Center 2 -&gt; LC002 - Hendaya', 'P30 - Lo Contador -&gt; P05 - Costanera Center 2', 'S17 - San Isidro / Santa Isabel -&gt; S31- Argomedo / Portugal', 'S31- Argomedo / Portugal -&gt; P34 - Santa Victoria / Bustamante']</t>
  </si>
  <si>
    <t>[3.0, 2.0, 1.0, 4.0, 5.0, 3.0, 5.0]</t>
  </si>
  <si>
    <t>2024-11-16 18:00</t>
  </si>
  <si>
    <t>[1, 0, 3, 3, 11, 15, 11, 31, 3, 0, 2, 11, 14, 11, 14, 26, 6, 19, 5, 4]</t>
  </si>
  <si>
    <t>[4, 4, 4, 3, 11, 6, 9, 16, 7, 9, 13, 11, 14, 2, 14, 24, 6, 21, 5, 7]</t>
  </si>
  <si>
    <t>['IT001 - ITAU -&gt; LC070 - Alonso De Córdova Interior', 'N09 - Irarrázaval / Brown Sur -&gt; P08 - Metro Colón', 'P02 - Italia / Marín -&gt; P41 - Pedro León Gallo / Julio Prado', 'P04 - Costanera Center 1 -&gt; LC002 - Hendaya', 'P04 - Costanera Center 1 -&gt; P05 - Costanera Center 2', 'P04 - Costanera Center 1 -&gt; V39 - Pedro Canisio', 'P41 - Pedro León Gallo / Julio Prado -&gt; P30 - Lo Contador', 'S17 - San Isidro / Santa Isabel -&gt; S31- Argomedo / Portugal', 'V39 - Pedro Canisio -&gt; IT001 - ITAU']</t>
  </si>
  <si>
    <t>[1.0, 9.0, 2.0, 4.0, 4.0, 7.0, 11.0, 2.0, 4.0]</t>
  </si>
  <si>
    <t>2024-11-17 18:00</t>
  </si>
  <si>
    <t>[0, 0, 3, 5, 8, 13, 11, 5, 1, 0, 2, 13, 17, 10, 18, 20, 10, 21, 4, 2]</t>
  </si>
  <si>
    <t>[4, 4, 4, 3, 8, 4, 5, 15, 7, 9, 8, 13, 2, 6, 10, 20, 10, 21, 5, 5]</t>
  </si>
  <si>
    <t>['LC070 - Alonso De Córdova Interior -&gt; IT001 - ITAU', 'LC093 - Los Estandartes -&gt; LC070 - Alonso De Córdova Interior', 'N09 - Irarrázaval / Brown Sur -&gt; P08 - Metro Colón', 'P02 - Italia / Marín -&gt; P05 - Costanera Center 2', 'P04 - Costanera Center 1 -&gt; V10 - Casa Costanera', 'P30 - Lo Contador -&gt; LC093 - Los Estandartes', 'P35 - Seminario / Marín -&gt; P04 - Costanera Center 1', 'P41 - Pedro León Gallo / Julio Prado -&gt; LC002 - Hendaya', 'S09 - Santo Domingo / Morandé -&gt; P30 - Lo Contador', 'V10 - Casa Costanera -&gt; V39 - Pedro Canisio', 'V39 - Pedro Canisio -&gt; IT001 - ITAU']</t>
  </si>
  <si>
    <t>[3.0, 4.0, 9.0, 6.0, 5.0, 2.0, 15.0, 4.0, 8.0, 4.0, 1.0]</t>
  </si>
  <si>
    <t>2024-11-18 18:00</t>
  </si>
  <si>
    <t>[2, 0, 1, 3, 12, 15, 9, 3, 1, 5, 2, 15, 17, 10, 18, 27, 12, 21, 1, 4]</t>
  </si>
  <si>
    <t>[4, 4, 4, 3, 12, 6, 9, 15, 7, 9, 8, 13, 4, 3, 13, 21, 12, 21, 5, 5]</t>
  </si>
  <si>
    <t>['IT001 - ITAU -&gt; LC070 - Alonso De Córdova Interior', 'N09 - Irarrázaval / Brown Sur -&gt; P08 - Metro Colón', 'P04 - Costanera Center 1 -&gt; LC002 - Hendaya', 'P05 - Costanera Center 2 -&gt; LC002 - Hendaya', 'P08 - Metro Colón -&gt; V39 - Pedro Canisio', 'P34 - Santa Victoria / Bustamante -&gt; P35 - Seminario / Marín', 'P35 - Seminario / Marín -&gt; P04 - Costanera Center 1', 'P41 - Pedro León Gallo / Julio Prado -&gt; P05 - Costanera Center 2', 'S09 - Santo Domingo / Morandé -&gt; V10 - Casa Costanera', 'S17 - San Isidro / Santa Isabel -&gt; P30 - Lo Contador', 'V10 - Casa Costanera -&gt; LC070 - Alonso De Córdova Interior', 'V39 - Pedro Canisio -&gt; IT001 - ITAU']</t>
  </si>
  <si>
    <t>[2.0, 9.0, 3.0, 1.0, 5.0, 2.0, 15.0, 7.0, 5.0, 6.0, 1.0, 4.0]</t>
  </si>
  <si>
    <t>2024-11-19 18:00</t>
  </si>
  <si>
    <t>[4, 7, 4, 1, 14, 6, 7, 18, 9, 13, 6, 3, 10, 10, 19, 26, 18, 20, 2, 3]</t>
  </si>
  <si>
    <t>[4, 4, 4, 3, 13, 6, 9, 16, 9, 9, 8, 13, 10, 9, 13, 24, 16, 20, 5, 5]</t>
  </si>
  <si>
    <t>['LC002 - Hendaya -&gt; V10 - Casa Costanera', 'LC070 - Alonso De Córdova Interior -&gt; LC093 - Los Estandartes', 'LC070 - Alonso De Córdova Interior -&gt; V39 - Pedro Canisio', 'N04 - Hospital Carabineros -&gt; P41 - Pedro León Gallo / Julio Prado', 'P04 - Costanera Center 1 -&gt; P30 - Lo Contador', 'P08 - Metro Colón -&gt; LC070 - Alonso De Córdova Interior', 'P41 - Pedro León Gallo / Julio Prado -&gt; P02 - Italia / Marín', 'S09 - Santo Domingo / Morandé -&gt; S17 - San Isidro / Santa Isabel', 'S17 - San Isidro / Santa Isabel -&gt; P34 - Santa Victoria / Bustamante', 'S24 - Plaza Yungay -&gt; S09 - Santo Domingo / Morandé']</t>
  </si>
  <si>
    <t>[3.0, 2.0, 2.0, 1.0, 2.0, 4.0, 2.0, 8.0, 10.0, 2.0]</t>
  </si>
  <si>
    <t>2024-11-20 18:00</t>
  </si>
  <si>
    <t>[1, 5, 4, 5, 11, 10, 10, 26, 8, 9, 1, 4, 12, 8, 16, 27, 17, 19, 1, 1]</t>
  </si>
  <si>
    <t>[4, 5, 4, 3, 11, 10, 2, 15, 8, 9, 9, 8, 12, 8, 16, 24, 16, 19, 5, 7]</t>
  </si>
  <si>
    <t>['LC093 - Los Estandartes -&gt; IT001 - ITAU', 'P02 - Italia / Marín -&gt; P30 - Lo Contador', 'P04 - Costanera Center 1 -&gt; V10 - Casa Costanera', 'P04 - Costanera Center 1 -&gt; V39 - Pedro Canisio', 'S17 - San Isidro / Santa Isabel -&gt; P34 - Santa Victoria / Bustamante', 'S24 - Plaza Yungay -&gt; S17 - San Isidro / Santa Isabel', 'V39 - Pedro Canisio -&gt; IT001 - ITAU']</t>
  </si>
  <si>
    <t>[2.0, 8.0, 4.0, 7.0, 4.0, 1.0, 1.0]</t>
  </si>
  <si>
    <t>2024-11-21 18:00</t>
  </si>
  <si>
    <t>[0, 2, 5, 7, 12, 6, 7, 16, 8, 14, 2, 3, 15, 4, 16, 23, 15, 19, 0, 1]</t>
  </si>
  <si>
    <t>[4, 4, 4, 3, 12, 6, 7, 15, 8, 9, 8, 3, 5, 4, 16, 23, 15, 19, 5, 5]</t>
  </si>
  <si>
    <t>['LC070 - Alonso De Córdova Interior -&gt; IT001 - ITAU', 'LC093 - Los Estandartes -&gt; V39 - Pedro Canisio', 'P04 - Costanera Center 1 -&gt; P30 - Lo Contador', 'P04 - Costanera Center 1 -&gt; V10 - Casa Costanera', 'P08 - Metro Colón -&gt; LC002 - Hendaya', 'P08 - Metro Colón -&gt; LC070 - Alonso De Córdova Interior', 'P35 - Seminario / Marín -&gt; P04 - Costanera Center 1']</t>
  </si>
  <si>
    <t>[4.0, 4.0, 6.0, 5.0, 2.0, 3.0, 10.0]</t>
  </si>
  <si>
    <t>2024-11-22 18:00</t>
  </si>
  <si>
    <t>[6, 1, 1, 3, 12, 14, 9, 10, 0, 1, 2, 12, 14, 6, 9, 27, 19, 23, 0, 3]</t>
  </si>
  <si>
    <t>[4, 4, 4, 3, 5, 3, 3, 15, 7, 11, 8, 12, 14, 6, 16, 14, 12, 21, 5, 5]</t>
  </si>
  <si>
    <t>['IT001 - ITAU -&gt; V39 - Pedro Canisio', 'N04 - Hospital Carabineros -&gt; P05 - Costanera Center 2', 'N09 - Irarrázaval / Brown Sur -&gt; P08 - Metro Colón', 'P02 - Italia / Marín -&gt; P30 - Lo Contador', 'P04 - Costanera Center 1 -&gt; LC002 - Hendaya', 'P04 - Costanera Center 1 -&gt; LC070 - Alonso De Córdova Interior', 'P04 - Costanera Center 1 -&gt; V10 - Casa Costanera', 'P08 - Metro Colón -&gt; LC002 - Hendaya', 'S17 - San Isidro / Santa Isabel -&gt; S31- Argomedo / Portugal', 'S24 - Plaza Yungay -&gt; S09 - Santo Domingo / Morandé', 'S31- Argomedo / Portugal -&gt; P04 - Costanera Center 1']</t>
  </si>
  <si>
    <t>[2.0, 7.0, 11.0, 6.0, 2.0, 3.0, 5.0, 1.0, 13.0, 7.0, 15.0]</t>
  </si>
  <si>
    <t>2024-11-23 18:00</t>
  </si>
  <si>
    <t>[3, 6, 0, 5, 14, 10, 5, 16, 0, 18, 6, 8, 17, 7, 10, 21, 19, 18, 3, 0]</t>
  </si>
  <si>
    <t>[4, 4, 4, 4, 6, 10, 5, 15, 7, 9, 8, 10, 15, 7, 16, 21, 13, 18, 5, 5]</t>
  </si>
  <si>
    <t>['LC002 - Hendaya -&gt; V10 - Casa Costanera', 'LC093 - Los Estandartes -&gt; IT001 - ITAU', 'N04 - Hospital Carabineros -&gt; P30 - Lo Contador', 'P04 - Costanera Center 1 -&gt; P05 - Costanera Center 2', 'P08 - Metro Colón -&gt; LC070 - Alonso De Córdova Interior', 'P08 - Metro Colón -&gt; V39 - Pedro Canisio', 'P30 - Lo Contador -&gt; P04 - Costanera Center 1', 'P35 - Seminario / Marín -&gt; P34 - Santa Victoria / Bustamante', 'S24 - Plaza Yungay -&gt; S09 - Santo Domingo / Morandé']</t>
  </si>
  <si>
    <t>[2.0, 1.0, 8.0, 7.0, 4.0, 5.0, 6.0, 2.0, 6.0]</t>
  </si>
  <si>
    <t>2024-11-24 18:00</t>
  </si>
  <si>
    <t>[0, 4, 1, 5, 14, 14, 6, 1, 6, 9, 6, 14, 17, 10, 16, 26, 17, 20, 3, 1]</t>
  </si>
  <si>
    <t>[4, 4, 4, 3, 2, 5, 6, 16, 7, 9, 8, 13, 15, 8, 16, 24, 16, 20, 5, 5]</t>
  </si>
  <si>
    <t>['LC093 - Los Estandartes -&gt; LC070 - Alonso De Córdova Interior', 'N04 - Hospital Carabineros -&gt; P04 - Costanera Center 1', 'N09 - Irarrázaval / Brown Sur -&gt; P08 - Metro Colón', 'P05 - Costanera Center 2 -&gt; P04 - Costanera Center 1', 'P05 - Costanera Center 2 -&gt; V10 - Casa Costanera', 'P08 - Metro Colón -&gt; IT001 - ITAU', 'P08 - Metro Colón -&gt; V39 - Pedro Canisio', 'P30 - Lo Contador -&gt; P05 - Costanera Center 2', 'P34 - Santa Victoria / Bustamante -&gt; P35 - Seminario / Marín', 'P35 - Seminario / Marín -&gt; P41 - Pedro León Gallo / Julio Prado', 'P41 - Pedro León Gallo / Julio Prado -&gt; P30 - Lo Contador', 'S17 - San Isidro / Santa Isabel -&gt; P34 - Santa Victoria / Bustamante', 'S24 - Plaza Yungay -&gt; S17 - San Isidro / Santa Isabel', 'V39 - Pedro Canisio -&gt; LC070 - Alonso De Córdova Interior']</t>
  </si>
  <si>
    <t>[2.0, 12.0, 9.0, 3.0, 2.0, 4.0, 5.0, 6.0, 4.0, 6.0, 8.0, 3.0, 1.0, 1.0]</t>
  </si>
  <si>
    <t>2024-11-25 18:00</t>
  </si>
  <si>
    <t>[0, 6, 5, 2, 7, 15, 2, 25, 13, 11, 13, 12, 5, 10, 11, 25, 8, 18, 1, 3]</t>
  </si>
  <si>
    <t>[4, 5, 4, 3, 10, 12, 3, 21, 8, 11, 13, 12, 5, 9, 11, 24, 8, 19, 5, 5]</t>
  </si>
  <si>
    <t>['LC002 - Hendaya -&gt; LC093 - Los Estandartes', 'LC070 - Alonso De Córdova Interior -&gt; IT001 - ITAU', 'N09 - Irarrázaval / Brown Sur -&gt; N04 - Hospital Carabineros', 'P04 - Costanera Center 1 -&gt; V10 - Casa Costanera', 'P05 - Costanera Center 2 -&gt; V39 - Pedro Canisio', 'P41 - Pedro León Gallo / Julio Prado -&gt; P02 - Italia / Marín', 'S17 - San Isidro / Santa Isabel -&gt; S31- Argomedo / Portugal', 'V39 - Pedro Canisio -&gt; IT001 - ITAU']</t>
  </si>
  <si>
    <t>[1.0, 1.0, 3.0, 4.0, 5.0, 1.0, 1.0, 3.0]</t>
  </si>
  <si>
    <t>2024-11-26 18:00</t>
  </si>
  <si>
    <t>[9, 0, 5, 5, 10, 10, 8, 20, 9, 9, 11, 8, 9, 7, 18, 19, 2, 9, 3, 7]</t>
  </si>
  <si>
    <t>[7, 5, 4, 4, 10, 10, 8, 15, 9, 9, 11, 8, 9, 7, 16, 19, 4, 9, 7, 7]</t>
  </si>
  <si>
    <t>['IT001 - ITAU -&gt; LC070 - Alonso De Córdova Interior', 'LC070 - Alonso De Córdova Interior -&gt; LC093 - Los Estandartes', 'LC093 - Los Estandartes -&gt; V10 - Casa Costanera', 'P04 - Costanera Center 1 -&gt; LC002 - Hendaya', 'S09 - Santo Domingo / Morandé -&gt; S24 - Plaza Yungay']</t>
  </si>
  <si>
    <t>[2.0, 3.0, 4.0, 5.0, 2.0]</t>
  </si>
  <si>
    <t>2024-11-27 18:00</t>
  </si>
  <si>
    <t>[1, 2, 0, 2, 11, 6, 9, 14, 9, 19, 10, 7, 13, 8, 8, 26, 12, 17, 2, 3]</t>
  </si>
  <si>
    <t>[4, 4, 4, 3, 11, 6, 9, 15, 7, 9, 10, 7, 13, 3, 8, 22, 12, 21, 5, 6]</t>
  </si>
  <si>
    <t>['LC002 - Hendaya -&gt; LC093 - Los Estandartes', 'P04 - Costanera Center 1 -&gt; P05 - Costanera Center 2', 'P04 - Costanera Center 1 -&gt; V10 - Casa Costanera', 'P05 - Costanera Center 2 -&gt; LC002 - Hendaya', 'P08 - Metro Colón -&gt; LC070 - Alonso De Córdova Interior', 'P08 - Metro Colón -&gt; V39 - Pedro Canisio', 'P41 - Pedro León Gallo / Julio Prado -&gt; P04 - Costanera Center 1', 'S17 - San Isidro / Santa Isabel -&gt; S31- Argomedo / Portugal', 'V39 - Pedro Canisio -&gt; IT001 - ITAU']</t>
  </si>
  <si>
    <t>[1.0, 1.0, 3.0, 3.0, 4.0, 6.0, 5.0, 4.0, 3.0]</t>
  </si>
  <si>
    <t>2024-11-28 18:00</t>
  </si>
  <si>
    <t>[3, 4, 0, 6, 11, 15, 7, 20, 5, 9, 12, 6, 11, 6, 14, 26, 7, 18, 4, 1]</t>
  </si>
  <si>
    <t>[4, 4, 4, 3, 11, 11, 7, 15, 7, 9, 12, 6, 11, 6, 14, 24, 7, 20, 5, 5]</t>
  </si>
  <si>
    <t>['LC093 - Los Estandartes -&gt; V10 - Casa Costanera', 'LC093 - Los Estandartes -&gt; V39 - Pedro Canisio', 'N09 - Irarrázaval / Brown Sur -&gt; LC070 - Alonso De Córdova Interior', 'P04 - Costanera Center 1 -&gt; P05 - Costanera Center 2', 'P05 - Costanera Center 2 -&gt; LC093 - Los Estandartes', 'S17 - San Isidro / Santa Isabel -&gt; S31- Argomedo / Portugal', 'V39 - Pedro Canisio -&gt; IT001 - ITAU']</t>
  </si>
  <si>
    <t>[1.0, 5.0, 4.0, 5.0, 3.0, 2.0, 1.0]</t>
  </si>
  <si>
    <t>2024-11-29 18:00</t>
  </si>
  <si>
    <t>[1, 1, 0, 6, 15, 2, 5, 19, 13, 17, 15, 5, 11, 10, 13, 27, 15, 20, 7, 3]</t>
  </si>
  <si>
    <t>[4, 7, 4, 3, 5, 12, 6, 19, 7, 13, 15, 13, 11, 9, 13, 19, 15, 20, 5, 5]</t>
  </si>
  <si>
    <t>['LC093 - Los Estandartes -&gt; IT001 - ITAU', 'N04 - Hospital Carabineros -&gt; N09 - Irarrázaval / Brown Sur', 'P05 - Costanera Center 2 -&gt; LC002 - Hendaya', 'P08 - Metro Colón -&gt; LC070 - Alonso De Córdova Interior', 'P41 - Pedro León Gallo / Julio Prado -&gt; P02 - Italia / Marín', 'S17 - San Isidro / Santa Isabel -&gt; P34 - Santa Victoria / Bustamante', 'V10 - Casa Costanera -&gt; V39 - Pedro Canisio']</t>
  </si>
  <si>
    <t>[3.0, 10.0, 6.0, 4.0, 1.0, 8.0, 2.0]</t>
  </si>
  <si>
    <t>2024-11-30 18:00</t>
  </si>
  <si>
    <t>[4, 6, 1, 0, 14, 3, 5, 17, 12, 10, 14, 13, 10, 6, 17, 13, 15, 11, 5, 3]</t>
  </si>
  <si>
    <t>[4, 4, 4, 3, 13, 3, 5, 17, 7, 9, 14, 13, 10, 7, 16, 13, 16, 11, 5, 5]</t>
  </si>
  <si>
    <t>['LC002 - Hendaya -&gt; LC093 - Los Estandartes', 'N04 - Hospital Carabineros -&gt; P41 - Pedro León Gallo / Julio Prado', 'P05 - Costanera Center 2 -&gt; V39 - Pedro Canisio', 'P08 - Metro Colón -&gt; LC002 - Hendaya', 'S09 - Santo Domingo / Morandé -&gt; S24 - Plaza Yungay', 'V39 - Pedro Canisio -&gt; LC070 - Alonso De Córdova Interior']</t>
  </si>
  <si>
    <t>[3.0, 1.0, 5.0, 1.0, 1.0, 3.0]</t>
  </si>
  <si>
    <t>2024-12-01 18:00</t>
  </si>
  <si>
    <t>[1, 7, 0, 1, 9, 0, 10, 17, 5, 8, 0, 13, 15, 5, 3, 27, 16, 15, 0, 4]</t>
  </si>
  <si>
    <t>[4, 4, 4, 3, 6, 3, 2, 15, 7, 9, 8, 13, 2, 5, 3, 21, 16, 21, 5, 5]</t>
  </si>
  <si>
    <t>['LC002 - Hendaya -&gt; LC093 - Los Estandartes', 'LC002 - Hendaya -&gt; P08 - Metro Colón', 'N04 - Hospital Carabineros -&gt; N09 - Irarrázaval / Brown Sur', 'P02 - Italia / Marín -&gt; P30 - Lo Contador', 'P04 - Costanera Center 1 -&gt; P05 - Costanera Center 2', 'P04 - Costanera Center 1 -&gt; V10 - Casa Costanera', 'P04 - Costanera Center 1 -&gt; V39 - Pedro Canisio', 'P05 - Costanera Center 2 -&gt; LC070 - Alonso De Córdova Interior', 'P35 - Seminario / Marín -&gt; P04 - Costanera Center 1', 'S17 - San Isidro / Santa Isabel -&gt; S31- Argomedo / Portugal', 'V39 - Pedro Canisio -&gt; IT001 - ITAU']</t>
  </si>
  <si>
    <t>[2.0, 1.0, 3.0, 8.0, 6.0, 5.0, 4.0, 4.0, 13.0, 6.0, 3.0]</t>
  </si>
  <si>
    <t>2024-12-02 18:00</t>
  </si>
  <si>
    <t>[2, 5, 1, 2, 6, 3, 10, 12, 6, 10, 2, 13, 10, 3, 13, 24, 18, 16, 2, 4]</t>
  </si>
  <si>
    <t>[4, 4, 4, 3, 6, 3, 2, 15, 7, 10, 10, 2, 8, 3, 16, 24, 15, 16, 5, 5]</t>
  </si>
  <si>
    <t>['IT001 - ITAU -&gt; LC070 - Alonso De Córdova Interior', 'LC002 - Hendaya -&gt; V39 - Pedro Canisio', 'LC093 - Los Estandartes -&gt; LC070 - Alonso De Córdova Interior', 'P02 - Italia / Marín -&gt; P30 - Lo Contador', 'P04 - Costanera Center 1 -&gt; P05 - Costanera Center 2', 'P04 - Costanera Center 1 -&gt; V10 - Casa Costanera', 'P05 - Costanera Center 2 -&gt; LC002 - Hendaya', 'P34 - Santa Victoria / Bustamante -&gt; P04 - Costanera Center 1', 'P35 - Seminario / Marín -&gt; P34 - Santa Victoria / Bustamante', 'S24 - Plaza Yungay -&gt; S09 - Santo Domingo / Morandé', 'V10 - Casa Costanera -&gt; LC093 - Los Estandartes', 'V39 - Pedro Canisio -&gt; IT001 - ITAU']</t>
  </si>
  <si>
    <t>[2.0, 5.0, 1.0, 8.0, 5.0, 5.0, 4.0, 13.0, 2.0, 3.0, 2.0, 4.0]</t>
  </si>
  <si>
    <t>2024-12-03 18:00</t>
  </si>
  <si>
    <t>2024-12-04 18:00</t>
  </si>
  <si>
    <t>[0, 1, 1, 3, 9, 10, 7, 17, 10, 5, 7, 1, 6, 4, 8, 21, 8, 17, 0, 4]</t>
  </si>
  <si>
    <t>[4, 4, 4, 3, 9, 10, 7, 15, 7, 9, 8, 5, 2, 3, 8, 21, 8, 2, 5, 5]</t>
  </si>
  <si>
    <t>['P04 - Costanera Center 1 -&gt; P08 - Metro Colón', 'P04 - Costanera Center 1 -&gt; V10 - Casa Costanera', 'P04 - Costanera Center 1 -&gt; V39 - Pedro Canisio', 'P05 - Costanera Center 2 -&gt; LC002 - Hendaya', 'P08 - Metro Colón -&gt; LC070 - Alonso De Córdova Interior', 'P35 - Seminario / Marín -&gt; P34 - Santa Victoria / Bustamante', 'P41 - Pedro León Gallo / Julio Prado -&gt; P30 - Lo Contador', 'S31- Argomedo / Portugal -&gt; P04 - Costanera Center 1', 'V39 - Pedro Canisio -&gt; IT001 - ITAU']</t>
  </si>
  <si>
    <t>[7.0, 5.0, 5.0, 3.0, 3.0, 4.0, 1.0, 15.0, 4.0]</t>
  </si>
  <si>
    <t>2024-12-05 18:00</t>
  </si>
  <si>
    <t>[0, 5, 3, 1, 12, 11, 8, 7, 13, 0, 10, 15, 17, 7, 16, 26, 13, 18, 0, 5]</t>
  </si>
  <si>
    <t>[4, 4, 4, 3, 2, 11, 8, 17, 7, 10, 10, 2, 15, 7, 16, 24, 13, 20, 5, 5]</t>
  </si>
  <si>
    <t>['LC002 - Hendaya -&gt; IT001 - ITAU', 'LC093 - Los Estandartes -&gt; LC070 - Alonso De Córdova Interior', 'N04 - Hospital Carabineros -&gt; P08 - Metro Colón', 'P04 - Costanera Center 1 -&gt; V10 - Casa Costanera', 'P05 - Costanera Center 2 -&gt; LC002 - Hendaya', 'P05 - Costanera Center 2 -&gt; LC093 - Los Estandartes', 'P34 - Santa Victoria / Bustamante -&gt; P35 - Seminario / Marín', 'P35 - Seminario / Marín -&gt; P04 - Costanera Center 1', 'S17 - San Isidro / Santa Isabel -&gt; S31- Argomedo / Portugal']</t>
  </si>
  <si>
    <t>[4.0, 1.0, 10.0, 5.0, 3.0, 3.0, 13.0, 15.0, 2.0]</t>
  </si>
  <si>
    <t>2024-12-06 18:00</t>
  </si>
  <si>
    <t>[0, 1, 1, 0, 9, 4, 7, 26, 10, 21, 5, 2, 7, 5, 14, 21, 17, 23, 1, 1]</t>
  </si>
  <si>
    <t>[4, 4, 4, 3, 9, 4, 7, 15, 7, 11, 8, 4, 7, 5, 15, 21, 16, 21, 5, 5]</t>
  </si>
  <si>
    <t>['P04 - Costanera Center 1 -&gt; P30 - Lo Contador', 'P04 - Costanera Center 1 -&gt; V10 - Casa Costanera', 'P04 - Costanera Center 1 -&gt; V39 - Pedro Canisio', 'P05 - Costanera Center 2 -&gt; LC002 - Hendaya', 'P08 - Metro Colón -&gt; IT001 - ITAU', 'P08 - Metro Colón -&gt; LC070 - Alonso De Córdova Interior', 'P08 - Metro Colón -&gt; LC093 - Los Estandartes', 'S24 - Plaza Yungay -&gt; S09 - Santo Domingo / Morandé', 'S31- Argomedo / Portugal -&gt; P34 - Santa Victoria / Bustamante']</t>
  </si>
  <si>
    <t>[3.0, 4.0, 4.0, 3.0, 4.0, 3.0, 3.0, 1.0, 2.0]</t>
  </si>
  <si>
    <t>2024-12-07 18:00</t>
  </si>
  <si>
    <t>[11, 10, 3, 4, 14, 7, 9, 5, 4, 15, 5, 9, 9, 9, 11, 25, 19, 17, 6, 2]</t>
  </si>
  <si>
    <t>[7, 4, 4, 4, 2, 7, 9, 17, 7, 15, 8, 9, 9, 9, 14, 24, 16, 18, 6, 5]</t>
  </si>
  <si>
    <t>['IT001 - ITAU -&gt; LC070 - Alonso De Córdova Interior', 'IT001 - ITAU -&gt; V39 - Pedro Canisio', 'LC002 - Hendaya -&gt; P05 - Costanera Center 2', 'N04 - Hospital Carabineros -&gt; P04 - Costanera Center 1', 'P05 - Costanera Center 2 -&gt; P30 - Lo Contador', 'S17 - San Isidro / Santa Isabel -&gt; S31- Argomedo / Portugal', 'S24 - Plaza Yungay -&gt; S09 - Santo Domingo / Morandé']</t>
  </si>
  <si>
    <t>[1.0, 3.0, 6.0, 12.0, 3.0, 1.0, 3.0]</t>
  </si>
  <si>
    <t>2024-12-08 18:00</t>
  </si>
  <si>
    <t>[10, 11, 3, 4, 14, 15, 9, 18, 3, 8, 3, 14, 17, 9, 4, 26, 18, 23, 4, 2]</t>
  </si>
  <si>
    <t>[6, 4, 4, 3, 13, 12, 9, 18, 9, 9, 15, 13, 14, 9, 16, 24, 6, 21, 5, 5]</t>
  </si>
  <si>
    <t>['IT001 - ITAU -&gt; LC070 - Alonso De Córdova Interior', 'IT001 - ITAU -&gt; V39 - Pedro Canisio', 'LC002 - Hendaya -&gt; P05 - Costanera Center 2', 'LC002 - Hendaya -&gt; P08 - Metro Colón', 'LC093 - Los Estandartes -&gt; V10 - Casa Costanera', 'N04 - Hospital Carabineros -&gt; P35 - Seminario / Marín', 'N09 - Irarrázaval / Brown Sur -&gt; N04 - Hospital Carabineros', 'P34 - Santa Victoria / Bustamante -&gt; P35 - Seminario / Marín', 'P35 - Seminario / Marín -&gt; P30 - Lo Contador', 'S17 - San Isidro / Santa Isabel -&gt; S31- Argomedo / Portugal', 'S24 - Plaza Yungay -&gt; S09 - Santo Domingo / Morandé', 'S31- Argomedo / Portugal -&gt; P34 - Santa Victoria / Bustamante']</t>
  </si>
  <si>
    <t>[1.0, 3.0, 6.0, 1.0, 1.0, 4.0, 3.0, 5.0, 12.0, 2.0, 12.0, 4.0]</t>
  </si>
  <si>
    <t>Lunes</t>
  </si>
  <si>
    <t>Martes</t>
  </si>
  <si>
    <t>Miercoles</t>
  </si>
  <si>
    <t>Jueves</t>
  </si>
  <si>
    <t>Viernes</t>
  </si>
  <si>
    <t>Sábado</t>
  </si>
  <si>
    <t>Domingo</t>
  </si>
  <si>
    <t>DESPUES AL ULTIMO CAMBIAR ESTO</t>
  </si>
  <si>
    <t>octubre y noviembre</t>
  </si>
  <si>
    <t xml:space="preserve"> Inv_inical 18:00</t>
  </si>
  <si>
    <t>Estacion</t>
  </si>
  <si>
    <t>Lunes 14-10</t>
  </si>
  <si>
    <t>Lunes 21-10</t>
  </si>
  <si>
    <t>Lunes 28-10</t>
  </si>
  <si>
    <t>Lunes 04-11</t>
  </si>
  <si>
    <t>Lunes 11-11</t>
  </si>
  <si>
    <t>Lunes 18-11</t>
  </si>
  <si>
    <t>Lunes 25-11</t>
  </si>
  <si>
    <t>Lunes 02-12</t>
  </si>
  <si>
    <t>Lunes 09-12</t>
  </si>
  <si>
    <t>Inv_inicialprom_lunes</t>
  </si>
  <si>
    <t>RECUERDA ORDENAR LOS PROM_LUNES</t>
  </si>
  <si>
    <t>LC009 - Municipalidad De Las Condes</t>
  </si>
  <si>
    <t>S11 - Metro Toesca</t>
  </si>
  <si>
    <t>Bikes disponibles</t>
  </si>
  <si>
    <t>P05 - Costanera Center 2</t>
  </si>
  <si>
    <t>LC047 - Apoquindo / Luiz Zegers</t>
  </si>
  <si>
    <t>S05 - Metro Bellas Artes</t>
  </si>
  <si>
    <t>IT001 - ITAU</t>
  </si>
  <si>
    <t>V10 - Casa Costanera</t>
  </si>
  <si>
    <t>LC068 - Metro Manquehue - Sur</t>
  </si>
  <si>
    <t>S64 - República / Gorbea</t>
  </si>
  <si>
    <t>LC002 - Hendaya</t>
  </si>
  <si>
    <t>V39 - Pedro Canisio</t>
  </si>
  <si>
    <t>LC033 - Vitacura / San Patricio</t>
  </si>
  <si>
    <t>LC070 - Alonso De Córdova Interior</t>
  </si>
  <si>
    <t>P04 - Costanera Center 1</t>
  </si>
  <si>
    <t>S24 - Plaza Yungay</t>
  </si>
  <si>
    <t>LC066 - Cerro Colorado / Rosario Norte</t>
  </si>
  <si>
    <t>LC093 - Los Estandartes</t>
  </si>
  <si>
    <t>LC011 - Metro Hernando De Magallanes</t>
  </si>
  <si>
    <t>N04 - Hospital Carabineros</t>
  </si>
  <si>
    <t>S03 - Teatinos / General Mackenna</t>
  </si>
  <si>
    <t>LC010 - Metro Manquehue - Norte</t>
  </si>
  <si>
    <t>N09 - Irarrázaval / Brown Sur</t>
  </si>
  <si>
    <t>P30 - Lo Contador</t>
  </si>
  <si>
    <t>S20 - Metro Santa Lucía</t>
  </si>
  <si>
    <t>P02 - Italia / Marín</t>
  </si>
  <si>
    <t>P08 - Metro Colón</t>
  </si>
  <si>
    <t>LC097 - Roger de Flor</t>
  </si>
  <si>
    <t>S30 - San Pablo</t>
  </si>
  <si>
    <t>S09 - Santo Domingo / Morandé</t>
  </si>
  <si>
    <t>S17 - San Isidro / Santa Isabel</t>
  </si>
  <si>
    <t>LC034 - Zurich</t>
  </si>
  <si>
    <t>P34 - Santa Victoria / Bustamante</t>
  </si>
  <si>
    <t>P41 - Pedro León Gallo / Julio Prado</t>
  </si>
  <si>
    <t>LC019 - Metro Alcántara</t>
  </si>
  <si>
    <t>P35 - Seminario / Marín</t>
  </si>
  <si>
    <t>S31- Argomedo / Portugal</t>
  </si>
  <si>
    <t>S01 - Agustinas / Manuel Rodríguez Norte</t>
  </si>
  <si>
    <t xml:space="preserve"> Inv_inical 18:00 Martes</t>
  </si>
  <si>
    <t>Inv_inicialprom_martes</t>
  </si>
  <si>
    <t xml:space="preserve"> Inv_inical 18:00 Miercoles</t>
  </si>
  <si>
    <t>Inv_inicialprom_miercoles</t>
  </si>
  <si>
    <t xml:space="preserve"> Inv_inical 18:00 Jueves</t>
  </si>
  <si>
    <t>Inv_inicialprom_jueves</t>
  </si>
  <si>
    <t xml:space="preserve"> Inv_inical 18:00 Viernes</t>
  </si>
  <si>
    <t>no habia valor y le puse 9:30 2 de no</t>
  </si>
  <si>
    <t>Inv_inicialprom_viernes</t>
  </si>
  <si>
    <t xml:space="preserve"> Inv_inical 18:00 Sabado</t>
  </si>
  <si>
    <t>Inv_inicialprom_sabado</t>
  </si>
  <si>
    <t xml:space="preserve"> Inv_inical 18:00 Domingo</t>
  </si>
  <si>
    <t xml:space="preserve">20-10 cambiada falta info </t>
  </si>
  <si>
    <t>27 falta info</t>
  </si>
  <si>
    <t>FALTA INFO 3 NOV</t>
  </si>
  <si>
    <t>Inv_inicialprom_domingo</t>
  </si>
  <si>
    <t>Viernes 8 noviembre 18:00 hrs</t>
  </si>
  <si>
    <t>Sabado 9 noviembre 18:00 hrs</t>
  </si>
  <si>
    <t>Domingo 10 noviembre 18:00 hrs</t>
  </si>
  <si>
    <t>Lunes 11 noviembre 18:00 hrs</t>
  </si>
  <si>
    <t>Martes 12 noviembre 18:00 hrs</t>
  </si>
  <si>
    <t>Miercoles 13 noviembre 18:00 hrs</t>
  </si>
  <si>
    <t>Jueves 14 noviembre 18:00 hrs</t>
  </si>
  <si>
    <t>Viernes 15 noviembre 18:00 hrs</t>
  </si>
  <si>
    <t>Tipo</t>
  </si>
  <si>
    <t>Inv_final 18:45</t>
  </si>
  <si>
    <t>Inv_final 19:00</t>
  </si>
  <si>
    <t>Inventario_Final</t>
  </si>
  <si>
    <t>Asimetría</t>
  </si>
  <si>
    <t>Validar_asimetria</t>
  </si>
  <si>
    <t>Diferencia</t>
  </si>
  <si>
    <t>Promedio L</t>
  </si>
  <si>
    <t>Promedio L(vacias)</t>
  </si>
  <si>
    <t>Promedio vaciado</t>
  </si>
  <si>
    <t>Promedio S</t>
  </si>
  <si>
    <t>Promedio S(llenado)</t>
  </si>
  <si>
    <t>Promedio llenado</t>
  </si>
  <si>
    <t>Asimetria L</t>
  </si>
  <si>
    <t>Asimetria S</t>
  </si>
  <si>
    <t>Costo</t>
  </si>
  <si>
    <t>Flujos</t>
  </si>
  <si>
    <t>Cantidad de estaciones que visita</t>
  </si>
  <si>
    <t>Sabado 16 noviembre 18:00 hrs</t>
  </si>
  <si>
    <t>Domingo 17 noviembre 18:00 hrs</t>
  </si>
  <si>
    <t>18 noviembre 18:00 hrs</t>
  </si>
  <si>
    <t>Martes 19 noviembre 18:00 hrs</t>
  </si>
  <si>
    <t>Miercoles 20 noviembre 18:00 hrs</t>
  </si>
  <si>
    <t>Jueves 21 noviembre 18:00 hrs</t>
  </si>
  <si>
    <t>Viernes 22 noviembre 18:00 hrs</t>
  </si>
  <si>
    <t>Sabado 23 noviembre 18:00 hrs</t>
  </si>
  <si>
    <t>Domingo 24 noviembre 18:00 hrs</t>
  </si>
  <si>
    <t>Lunes 25 noviembre 18:00 hrs</t>
  </si>
  <si>
    <t>Martes 26 noviembre 18:00 hrs</t>
  </si>
  <si>
    <t>Miercoles 27 noviembre 18:00 hrs</t>
  </si>
  <si>
    <t>Jueves 28 noviembre 18:00 hrs</t>
  </si>
  <si>
    <t>Viernes 29 noviembre 18:00 hrs</t>
  </si>
  <si>
    <t>Sabado 30 noviembre 18:00 hrs</t>
  </si>
  <si>
    <t>Domingo 01 diciembre 18:00 hrs</t>
  </si>
  <si>
    <t>Lunes 02 diciembre 18:00 hrs</t>
  </si>
  <si>
    <t>Martes 03 diciembre 18:00 hrs</t>
  </si>
  <si>
    <t>Miercoles 04 diciembre 18:00 hrs</t>
  </si>
  <si>
    <t>Jueves 05 diciembre 18:00 hrs</t>
  </si>
  <si>
    <t>Viernes 06 diciembre 18:00 hrs</t>
  </si>
  <si>
    <t>Sabado 07 diciembre 18:00 hrs</t>
  </si>
  <si>
    <t>Domingo 08 diciembre 18:00 hrs</t>
  </si>
  <si>
    <t>conteo_ok</t>
  </si>
  <si>
    <t>prom diferencia</t>
  </si>
  <si>
    <t>Lunes 18:00 hrs</t>
  </si>
  <si>
    <t>Sabado</t>
  </si>
  <si>
    <t>Recomendación global</t>
  </si>
  <si>
    <t>CT semanal TOP TEMBICI</t>
  </si>
  <si>
    <t>Flujos totales</t>
  </si>
  <si>
    <t>Costo promedio</t>
  </si>
  <si>
    <t>Flujos promedio</t>
  </si>
  <si>
    <t>Costo semanal  promedio</t>
  </si>
  <si>
    <t>Flujos empresa</t>
  </si>
  <si>
    <t>Flujos sistema</t>
  </si>
  <si>
    <t>Costo promedio mensual</t>
  </si>
  <si>
    <t>Asumir que rebalancean las Top 10 y comparar con nuestras Top 10</t>
  </si>
  <si>
    <t>Flujo prom diario</t>
  </si>
  <si>
    <t>Comparar tomar del total 2 muestras representativas y ver que pasa con ellas</t>
  </si>
  <si>
    <t>Estaciones visitadas diario</t>
  </si>
  <si>
    <t>$1 costo de rebalancear lo nuestro CT</t>
  </si>
  <si>
    <t>$2 costo de rebalancear top 10 de ellos CT</t>
  </si>
  <si>
    <t>Fecha_Hora</t>
  </si>
  <si>
    <t>2024-12-08 18:45</t>
  </si>
  <si>
    <t>2024-11-09 19:00</t>
  </si>
  <si>
    <t>LIMITES ORDEN ENTREGADO PROGRAMA</t>
  </si>
  <si>
    <t>3-7</t>
  </si>
  <si>
    <t>3-4</t>
  </si>
  <si>
    <t>2-4</t>
  </si>
  <si>
    <t>1-13</t>
  </si>
  <si>
    <t>2-12</t>
  </si>
  <si>
    <t>1-9</t>
  </si>
  <si>
    <t>14-27</t>
  </si>
  <si>
    <t>6-9</t>
  </si>
  <si>
    <t>8-15</t>
  </si>
  <si>
    <t>7-15</t>
  </si>
  <si>
    <t>1-15</t>
  </si>
  <si>
    <t>2-16</t>
  </si>
  <si>
    <t>2-24</t>
  </si>
  <si>
    <t>1-21</t>
  </si>
  <si>
    <t>4-7</t>
  </si>
  <si>
    <t>Inventario</t>
  </si>
  <si>
    <t>Límites</t>
  </si>
  <si>
    <t>ORDEN DE PROGRAMA ENTREGADO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</si>
</sst>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scheme val="minor"/>
    </font>
    <font>
      <b/>
      <sz val="11"/>
      <color theme="1"/>
      <name val="Calibri"/>
    </font>
    <font>
      <sz val="11"/>
      <color theme="1"/>
      <name val="Calibri"/>
    </font>
    <font>
      <sz val="11"/>
      <color theme="1"/>
      <name val="Calibri"/>
      <scheme val="minor"/>
    </font>
    <font>
      <sz val="11"/>
      <color rgb="FFFF0000"/>
      <name val="Calibri"/>
    </font>
    <font>
      <sz val="11"/>
      <color rgb="FFFF0000"/>
      <name val="Calibri"/>
      <family val="2"/>
      <scheme val="minor"/>
    </font>
  </fonts>
  <fills count="2">
    <fill>
      <patternFill patternType="none"/>
    </fill>
    <fill>
      <patternFill patternType="gray125"/>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s>
  <cellStyleXfs count="1">
    <xf numFmtId="0" fontId="0" fillId="0" borderId="0"/>
  </cellStyleXfs>
  <cellXfs count="39">
    <xf numFmtId="0" fontId="0" fillId="0" borderId="0" xfId="0"/>
    <xf numFmtId="0" fontId="1" fillId="0" borderId="1" xfId="0" applyFont="1" applyBorder="1" applyAlignment="1">
      <alignment horizontal="center" vertical="top"/>
    </xf>
    <xf numFmtId="0" fontId="2" fillId="0" borderId="1" xfId="0" applyFont="1" applyBorder="1"/>
    <xf numFmtId="0" fontId="3" fillId="0" borderId="0" xfId="0" applyFont="1"/>
    <xf numFmtId="0" fontId="4" fillId="0" borderId="0" xfId="0" applyFont="1"/>
    <xf numFmtId="1" fontId="2" fillId="0" borderId="0" xfId="0" applyNumberFormat="1" applyFont="1"/>
    <xf numFmtId="16" fontId="2" fillId="0" borderId="1" xfId="0" applyNumberFormat="1" applyFont="1" applyBorder="1"/>
    <xf numFmtId="1" fontId="2" fillId="0" borderId="1" xfId="0" applyNumberFormat="1" applyFont="1" applyBorder="1"/>
    <xf numFmtId="16" fontId="4" fillId="0" borderId="2" xfId="0" applyNumberFormat="1" applyFont="1" applyBorder="1"/>
    <xf numFmtId="0" fontId="2" fillId="0" borderId="0" xfId="0" applyFont="1"/>
    <xf numFmtId="1" fontId="2" fillId="0" borderId="3" xfId="0" applyNumberFormat="1" applyFont="1" applyBorder="1"/>
    <xf numFmtId="0" fontId="2" fillId="0" borderId="4" xfId="0" applyFont="1" applyBorder="1"/>
    <xf numFmtId="0" fontId="2" fillId="0" borderId="1" xfId="0" applyFont="1" applyBorder="1" applyAlignment="1">
      <alignment horizontal="center" vertical="top"/>
    </xf>
    <xf numFmtId="0" fontId="2" fillId="0" borderId="5" xfId="0" applyFont="1" applyBorder="1"/>
    <xf numFmtId="0" fontId="3" fillId="0" borderId="1" xfId="0" applyFont="1" applyBorder="1"/>
    <xf numFmtId="164" fontId="2" fillId="0" borderId="1" xfId="0" applyNumberFormat="1" applyFont="1" applyBorder="1"/>
    <xf numFmtId="1" fontId="3" fillId="0" borderId="0" xfId="0" applyNumberFormat="1" applyFont="1"/>
    <xf numFmtId="0" fontId="2" fillId="0" borderId="1" xfId="0" applyFont="1" applyBorder="1" applyAlignment="1">
      <alignment wrapText="1"/>
    </xf>
    <xf numFmtId="0" fontId="2" fillId="0" borderId="4" xfId="0" applyFont="1" applyBorder="1" applyAlignment="1">
      <alignment horizontal="right"/>
    </xf>
    <xf numFmtId="164" fontId="3" fillId="0" borderId="1" xfId="0" applyNumberFormat="1" applyFont="1" applyBorder="1"/>
    <xf numFmtId="1" fontId="3" fillId="0" borderId="5" xfId="0" applyNumberFormat="1" applyFont="1" applyBorder="1"/>
    <xf numFmtId="0" fontId="3" fillId="0" borderId="5" xfId="0" applyFont="1" applyBorder="1"/>
    <xf numFmtId="0" fontId="2" fillId="0" borderId="3" xfId="0" applyFont="1" applyBorder="1"/>
    <xf numFmtId="0" fontId="5" fillId="0" borderId="0" xfId="0" applyFont="1"/>
    <xf numFmtId="0" fontId="0" fillId="0" borderId="5" xfId="0" applyBorder="1"/>
    <xf numFmtId="0" fontId="0" fillId="0" borderId="0" xfId="0" applyFont="1"/>
    <xf numFmtId="0" fontId="0" fillId="0" borderId="6" xfId="0" applyBorder="1"/>
    <xf numFmtId="0" fontId="2" fillId="0" borderId="7" xfId="0" applyFont="1" applyBorder="1"/>
    <xf numFmtId="0" fontId="2" fillId="0" borderId="8" xfId="0" applyFont="1" applyBorder="1"/>
    <xf numFmtId="0" fontId="3" fillId="0" borderId="6" xfId="0" applyFont="1" applyBorder="1"/>
    <xf numFmtId="0" fontId="2" fillId="0" borderId="6" xfId="0" applyFont="1" applyBorder="1"/>
    <xf numFmtId="1" fontId="2" fillId="0" borderId="6" xfId="0" applyNumberFormat="1" applyFont="1" applyBorder="1"/>
    <xf numFmtId="1" fontId="3" fillId="0" borderId="6" xfId="0" applyNumberFormat="1" applyFont="1" applyBorder="1"/>
    <xf numFmtId="1" fontId="2" fillId="0" borderId="8" xfId="0" applyNumberFormat="1" applyFont="1" applyBorder="1"/>
    <xf numFmtId="0" fontId="3" fillId="0" borderId="3" xfId="0" applyFont="1" applyBorder="1"/>
    <xf numFmtId="0" fontId="2" fillId="0" borderId="6" xfId="0" applyFont="1" applyBorder="1" applyAlignment="1">
      <alignment horizontal="center" vertical="top"/>
    </xf>
    <xf numFmtId="0" fontId="2" fillId="0" borderId="9" xfId="0" applyFont="1" applyBorder="1"/>
    <xf numFmtId="0" fontId="4" fillId="0" borderId="6" xfId="0" applyFont="1" applyBorder="1"/>
    <xf numFmtId="1" fontId="4" fillId="0" borderId="6" xfId="0" applyNumberFormat="1" applyFont="1" applyBorder="1"/>
  </cellXfs>
  <cellStyles count="1">
    <cellStyle name="Normal" xfId="0" builtinId="0"/>
  </cellStyles>
  <dxfs count="2">
    <dxf>
      <font>
        <color rgb="FF9C0006"/>
      </font>
      <fill>
        <patternFill patternType="solid">
          <fgColor rgb="FFFFC7CE"/>
          <bgColor rgb="FFFFC7CE"/>
        </patternFill>
      </fill>
    </dxf>
    <dxf>
      <font>
        <color rgb="FF9C0006"/>
      </font>
      <fill>
        <patternFill patternType="solid">
          <fgColor rgb="FFFFC7CE"/>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customschemas.google.com/relationships/workbookmetadata" Target="metadata"/><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vaciado C2</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'120segT'!$AD$53:$AD$62</c:f>
              <c:numCache>
                <c:formatCode>0</c:formatCode>
                <c:ptCount val="10"/>
                <c:pt idx="0">
                  <c:v>6.7777777777777777</c:v>
                </c:pt>
                <c:pt idx="1">
                  <c:v>1.8888888888888888</c:v>
                </c:pt>
                <c:pt idx="2">
                  <c:v>4.7777777777777777</c:v>
                </c:pt>
                <c:pt idx="3">
                  <c:v>17.333333333333332</c:v>
                </c:pt>
                <c:pt idx="4">
                  <c:v>3.5555555555555554</c:v>
                </c:pt>
                <c:pt idx="5">
                  <c:v>1.8888888888888888</c:v>
                </c:pt>
                <c:pt idx="6">
                  <c:v>9.3333333333333339</c:v>
                </c:pt>
                <c:pt idx="7">
                  <c:v>11.555555555555555</c:v>
                </c:pt>
                <c:pt idx="8">
                  <c:v>2.8888888888888888</c:v>
                </c:pt>
                <c:pt idx="9">
                  <c:v>3.1111111111111112</c:v>
                </c:pt>
              </c:numCache>
            </c:numRef>
          </c:val>
          <c:smooth val="0"/>
          <c:extLst>
            <c:ext xmlns:c16="http://schemas.microsoft.com/office/drawing/2014/chart" uri="{C3380CC4-5D6E-409C-BE32-E72D297353CC}">
              <c16:uniqueId val="{00000000-6B3C-4CE1-B84E-F612E9EF56F0}"/>
            </c:ext>
          </c:extLst>
        </c:ser>
        <c:ser>
          <c:idx val="1"/>
          <c:order val="1"/>
          <c:tx>
            <c:v>Inventario_Final</c:v>
          </c:tx>
          <c:spPr>
            <a:ln w="28575" cmpd="sng">
              <a:solidFill>
                <a:schemeClr val="accent2"/>
              </a:solidFill>
            </a:ln>
          </c:spPr>
          <c:marker>
            <c:symbol val="none"/>
          </c:marker>
          <c:val>
            <c:numRef>
              <c:f>'120segT'!$AG$53:$AG$62</c:f>
              <c:numCache>
                <c:formatCode>General</c:formatCode>
                <c:ptCount val="10"/>
                <c:pt idx="0">
                  <c:v>7</c:v>
                </c:pt>
                <c:pt idx="1">
                  <c:v>5</c:v>
                </c:pt>
                <c:pt idx="2">
                  <c:v>5</c:v>
                </c:pt>
                <c:pt idx="3">
                  <c:v>15</c:v>
                </c:pt>
                <c:pt idx="4">
                  <c:v>4</c:v>
                </c:pt>
                <c:pt idx="5">
                  <c:v>4</c:v>
                </c:pt>
                <c:pt idx="6">
                  <c:v>8</c:v>
                </c:pt>
                <c:pt idx="7">
                  <c:v>9</c:v>
                </c:pt>
                <c:pt idx="8">
                  <c:v>4</c:v>
                </c:pt>
                <c:pt idx="9">
                  <c:v>3</c:v>
                </c:pt>
              </c:numCache>
            </c:numRef>
          </c:val>
          <c:smooth val="0"/>
          <c:extLst>
            <c:ext xmlns:c16="http://schemas.microsoft.com/office/drawing/2014/chart" uri="{C3380CC4-5D6E-409C-BE32-E72D297353CC}">
              <c16:uniqueId val="{00000001-6B3C-4CE1-B84E-F612E9EF56F0}"/>
            </c:ext>
          </c:extLst>
        </c:ser>
        <c:dLbls>
          <c:showLegendKey val="0"/>
          <c:showVal val="0"/>
          <c:showCatName val="0"/>
          <c:showSerName val="0"/>
          <c:showPercent val="0"/>
          <c:showBubbleSize val="0"/>
        </c:dLbls>
        <c:smooth val="0"/>
        <c:axId val="1637619169"/>
        <c:axId val="1747375934"/>
      </c:lineChart>
      <c:catAx>
        <c:axId val="163761916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47375934"/>
        <c:crosses val="autoZero"/>
        <c:auto val="1"/>
        <c:lblAlgn val="ctr"/>
        <c:lblOffset val="100"/>
        <c:noMultiLvlLbl val="1"/>
      </c:catAx>
      <c:valAx>
        <c:axId val="17473759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63761916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Llenado C2</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'120segT'!$AD$63:$AD$72</c:f>
              <c:numCache>
                <c:formatCode>0</c:formatCode>
                <c:ptCount val="10"/>
                <c:pt idx="0">
                  <c:v>9.2222222222222214</c:v>
                </c:pt>
                <c:pt idx="1">
                  <c:v>9</c:v>
                </c:pt>
                <c:pt idx="2">
                  <c:v>7.333333333333333</c:v>
                </c:pt>
                <c:pt idx="3">
                  <c:v>19.111111111111111</c:v>
                </c:pt>
                <c:pt idx="4">
                  <c:v>7.7777777777777777</c:v>
                </c:pt>
                <c:pt idx="5">
                  <c:v>11</c:v>
                </c:pt>
                <c:pt idx="6">
                  <c:v>13.555555555555555</c:v>
                </c:pt>
                <c:pt idx="7">
                  <c:v>11.777777777777779</c:v>
                </c:pt>
                <c:pt idx="8">
                  <c:v>13.111111111111111</c:v>
                </c:pt>
                <c:pt idx="9">
                  <c:v>23.111111111111111</c:v>
                </c:pt>
              </c:numCache>
            </c:numRef>
          </c:val>
          <c:smooth val="0"/>
          <c:extLst>
            <c:ext xmlns:c16="http://schemas.microsoft.com/office/drawing/2014/chart" uri="{C3380CC4-5D6E-409C-BE32-E72D297353CC}">
              <c16:uniqueId val="{00000000-F2B3-4E43-BDCD-41758ADB9446}"/>
            </c:ext>
          </c:extLst>
        </c:ser>
        <c:ser>
          <c:idx val="1"/>
          <c:order val="1"/>
          <c:tx>
            <c:v>Inventario_Final</c:v>
          </c:tx>
          <c:spPr>
            <a:ln w="28575" cmpd="sng">
              <a:solidFill>
                <a:schemeClr val="accent2"/>
              </a:solidFill>
            </a:ln>
          </c:spPr>
          <c:marker>
            <c:symbol val="none"/>
          </c:marker>
          <c:val>
            <c:numRef>
              <c:f>'120segT'!$AG$63:$AG$72</c:f>
              <c:numCache>
                <c:formatCode>General</c:formatCode>
                <c:ptCount val="10"/>
                <c:pt idx="0">
                  <c:v>6</c:v>
                </c:pt>
                <c:pt idx="1">
                  <c:v>12</c:v>
                </c:pt>
                <c:pt idx="2">
                  <c:v>3</c:v>
                </c:pt>
                <c:pt idx="3">
                  <c:v>21</c:v>
                </c:pt>
                <c:pt idx="4">
                  <c:v>9</c:v>
                </c:pt>
                <c:pt idx="5">
                  <c:v>4</c:v>
                </c:pt>
                <c:pt idx="6">
                  <c:v>13</c:v>
                </c:pt>
                <c:pt idx="7">
                  <c:v>13</c:v>
                </c:pt>
                <c:pt idx="8">
                  <c:v>12</c:v>
                </c:pt>
                <c:pt idx="9">
                  <c:v>21</c:v>
                </c:pt>
              </c:numCache>
            </c:numRef>
          </c:val>
          <c:smooth val="0"/>
          <c:extLst>
            <c:ext xmlns:c16="http://schemas.microsoft.com/office/drawing/2014/chart" uri="{C3380CC4-5D6E-409C-BE32-E72D297353CC}">
              <c16:uniqueId val="{00000001-F2B3-4E43-BDCD-41758ADB9446}"/>
            </c:ext>
          </c:extLst>
        </c:ser>
        <c:dLbls>
          <c:showLegendKey val="0"/>
          <c:showVal val="0"/>
          <c:showCatName val="0"/>
          <c:showSerName val="0"/>
          <c:showPercent val="0"/>
          <c:showBubbleSize val="0"/>
        </c:dLbls>
        <c:smooth val="0"/>
        <c:axId val="1816675576"/>
        <c:axId val="1673929089"/>
      </c:lineChart>
      <c:catAx>
        <c:axId val="181667557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73929089"/>
        <c:crosses val="autoZero"/>
        <c:auto val="1"/>
        <c:lblAlgn val="ctr"/>
        <c:lblOffset val="100"/>
        <c:noMultiLvlLbl val="1"/>
      </c:catAx>
      <c:valAx>
        <c:axId val="167392908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81667557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Vaciado C2</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'120segT'!$AQ$63:$AQ$72</c:f>
            </c:numRef>
          </c:val>
          <c:smooth val="0"/>
          <c:extLst>
            <c:ext xmlns:c16="http://schemas.microsoft.com/office/drawing/2014/chart" uri="{C3380CC4-5D6E-409C-BE32-E72D297353CC}">
              <c16:uniqueId val="{00000000-9087-4719-BBF0-F9434777F7F4}"/>
            </c:ext>
          </c:extLst>
        </c:ser>
        <c:dLbls>
          <c:showLegendKey val="0"/>
          <c:showVal val="0"/>
          <c:showCatName val="0"/>
          <c:showSerName val="0"/>
          <c:showPercent val="0"/>
          <c:showBubbleSize val="0"/>
        </c:dLbls>
        <c:marker val="1"/>
        <c:smooth val="0"/>
        <c:axId val="36208002"/>
        <c:axId val="88810458"/>
      </c:lineChart>
      <c:catAx>
        <c:axId val="36208002"/>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8810458"/>
        <c:crosses val="autoZero"/>
        <c:auto val="1"/>
        <c:lblAlgn val="ctr"/>
        <c:lblOffset val="100"/>
        <c:noMultiLvlLbl val="1"/>
      </c:catAx>
      <c:valAx>
        <c:axId val="8881045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36208002"/>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Llenado C2</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'120segT'!$AQ$53:$AQ$62</c:f>
            </c:numRef>
          </c:val>
          <c:smooth val="0"/>
          <c:extLst>
            <c:ext xmlns:c16="http://schemas.microsoft.com/office/drawing/2014/chart" uri="{C3380CC4-5D6E-409C-BE32-E72D297353CC}">
              <c16:uniqueId val="{00000000-531C-4AD2-8196-59678C8FA3B6}"/>
            </c:ext>
          </c:extLst>
        </c:ser>
        <c:dLbls>
          <c:showLegendKey val="0"/>
          <c:showVal val="0"/>
          <c:showCatName val="0"/>
          <c:showSerName val="0"/>
          <c:showPercent val="0"/>
          <c:showBubbleSize val="0"/>
        </c:dLbls>
        <c:marker val="1"/>
        <c:smooth val="0"/>
        <c:axId val="1209110665"/>
        <c:axId val="255145737"/>
      </c:lineChart>
      <c:catAx>
        <c:axId val="120911066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55145737"/>
        <c:crosses val="autoZero"/>
        <c:auto val="1"/>
        <c:lblAlgn val="ctr"/>
        <c:lblOffset val="100"/>
        <c:noMultiLvlLbl val="1"/>
      </c:catAx>
      <c:valAx>
        <c:axId val="25514573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20911066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Vaciado C2</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'120segT'!$BD$53:$BD$62</c:f>
              <c:numCache>
                <c:formatCode>0</c:formatCode>
                <c:ptCount val="10"/>
                <c:pt idx="0">
                  <c:v>2.2222222222222223</c:v>
                </c:pt>
                <c:pt idx="1">
                  <c:v>11.111111111111111</c:v>
                </c:pt>
                <c:pt idx="2">
                  <c:v>24.111111111111111</c:v>
                </c:pt>
                <c:pt idx="3">
                  <c:v>9.8888888888888893</c:v>
                </c:pt>
                <c:pt idx="4">
                  <c:v>0.88888888888888884</c:v>
                </c:pt>
                <c:pt idx="5">
                  <c:v>3.5555555555555554</c:v>
                </c:pt>
                <c:pt idx="6">
                  <c:v>9.6666666666666661</c:v>
                </c:pt>
                <c:pt idx="7">
                  <c:v>3.1111111111111112</c:v>
                </c:pt>
                <c:pt idx="8">
                  <c:v>9</c:v>
                </c:pt>
                <c:pt idx="9">
                  <c:v>19.444444444444443</c:v>
                </c:pt>
              </c:numCache>
            </c:numRef>
          </c:val>
          <c:smooth val="0"/>
          <c:extLst>
            <c:ext xmlns:c16="http://schemas.microsoft.com/office/drawing/2014/chart" uri="{C3380CC4-5D6E-409C-BE32-E72D297353CC}">
              <c16:uniqueId val="{00000000-B87B-4776-85E7-A3A23C46DD29}"/>
            </c:ext>
          </c:extLst>
        </c:ser>
        <c:ser>
          <c:idx val="1"/>
          <c:order val="1"/>
          <c:tx>
            <c:v>Inventario_Final</c:v>
          </c:tx>
          <c:spPr>
            <a:ln w="28575" cmpd="sng">
              <a:solidFill>
                <a:schemeClr val="accent2"/>
              </a:solidFill>
            </a:ln>
          </c:spPr>
          <c:marker>
            <c:symbol val="none"/>
          </c:marker>
          <c:val>
            <c:numRef>
              <c:f>'120segT'!$BG$53:$BG$62</c:f>
              <c:numCache>
                <c:formatCode>General</c:formatCode>
                <c:ptCount val="10"/>
                <c:pt idx="0">
                  <c:v>8</c:v>
                </c:pt>
                <c:pt idx="1">
                  <c:v>5</c:v>
                </c:pt>
                <c:pt idx="2">
                  <c:v>7</c:v>
                </c:pt>
                <c:pt idx="3">
                  <c:v>15</c:v>
                </c:pt>
                <c:pt idx="4">
                  <c:v>5</c:v>
                </c:pt>
                <c:pt idx="5">
                  <c:v>4</c:v>
                </c:pt>
                <c:pt idx="6">
                  <c:v>9</c:v>
                </c:pt>
                <c:pt idx="7">
                  <c:v>9</c:v>
                </c:pt>
                <c:pt idx="8">
                  <c:v>4</c:v>
                </c:pt>
                <c:pt idx="9">
                  <c:v>3</c:v>
                </c:pt>
              </c:numCache>
            </c:numRef>
          </c:val>
          <c:smooth val="0"/>
          <c:extLst>
            <c:ext xmlns:c16="http://schemas.microsoft.com/office/drawing/2014/chart" uri="{C3380CC4-5D6E-409C-BE32-E72D297353CC}">
              <c16:uniqueId val="{00000001-B87B-4776-85E7-A3A23C46DD29}"/>
            </c:ext>
          </c:extLst>
        </c:ser>
        <c:dLbls>
          <c:showLegendKey val="0"/>
          <c:showVal val="0"/>
          <c:showCatName val="0"/>
          <c:showSerName val="0"/>
          <c:showPercent val="0"/>
          <c:showBubbleSize val="0"/>
        </c:dLbls>
        <c:smooth val="0"/>
        <c:axId val="3794737"/>
        <c:axId val="634999111"/>
      </c:lineChart>
      <c:catAx>
        <c:axId val="3794737"/>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634999111"/>
        <c:crosses val="autoZero"/>
        <c:auto val="1"/>
        <c:lblAlgn val="ctr"/>
        <c:lblOffset val="100"/>
        <c:noMultiLvlLbl val="1"/>
      </c:catAx>
      <c:valAx>
        <c:axId val="63499911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379473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Llenado C2</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'120segT'!$BD$63:$BD$72</c:f>
              <c:numCache>
                <c:formatCode>0</c:formatCode>
                <c:ptCount val="10"/>
                <c:pt idx="0">
                  <c:v>1.5555555555555556</c:v>
                </c:pt>
                <c:pt idx="1">
                  <c:v>3.4444444444444446</c:v>
                </c:pt>
                <c:pt idx="2">
                  <c:v>20</c:v>
                </c:pt>
                <c:pt idx="3">
                  <c:v>6.4444444444444446</c:v>
                </c:pt>
                <c:pt idx="4">
                  <c:v>9.3333333333333339</c:v>
                </c:pt>
                <c:pt idx="5">
                  <c:v>6.8888888888888893</c:v>
                </c:pt>
                <c:pt idx="6">
                  <c:v>6.333333333333333</c:v>
                </c:pt>
                <c:pt idx="7">
                  <c:v>9</c:v>
                </c:pt>
                <c:pt idx="8">
                  <c:v>12.555555555555555</c:v>
                </c:pt>
                <c:pt idx="9">
                  <c:v>11.111111111111111</c:v>
                </c:pt>
              </c:numCache>
            </c:numRef>
          </c:val>
          <c:smooth val="0"/>
          <c:extLst>
            <c:ext xmlns:c16="http://schemas.microsoft.com/office/drawing/2014/chart" uri="{C3380CC4-5D6E-409C-BE32-E72D297353CC}">
              <c16:uniqueId val="{00000000-F1B2-4D4C-ADAF-9A8B242F547C}"/>
            </c:ext>
          </c:extLst>
        </c:ser>
        <c:ser>
          <c:idx val="1"/>
          <c:order val="1"/>
          <c:tx>
            <c:v>Inventario_Final</c:v>
          </c:tx>
          <c:spPr>
            <a:ln w="28575" cmpd="sng">
              <a:solidFill>
                <a:schemeClr val="accent2"/>
              </a:solidFill>
            </a:ln>
          </c:spPr>
          <c:marker>
            <c:symbol val="none"/>
          </c:marker>
          <c:val>
            <c:numRef>
              <c:f>'120segT'!$BG$63:$BG$72</c:f>
              <c:numCache>
                <c:formatCode>General</c:formatCode>
                <c:ptCount val="10"/>
                <c:pt idx="0">
                  <c:v>10</c:v>
                </c:pt>
                <c:pt idx="1">
                  <c:v>11</c:v>
                </c:pt>
                <c:pt idx="2">
                  <c:v>8</c:v>
                </c:pt>
                <c:pt idx="3">
                  <c:v>19</c:v>
                </c:pt>
                <c:pt idx="4">
                  <c:v>2</c:v>
                </c:pt>
                <c:pt idx="5">
                  <c:v>12</c:v>
                </c:pt>
                <c:pt idx="6">
                  <c:v>16</c:v>
                </c:pt>
                <c:pt idx="7">
                  <c:v>8</c:v>
                </c:pt>
                <c:pt idx="8">
                  <c:v>16</c:v>
                </c:pt>
                <c:pt idx="9">
                  <c:v>24</c:v>
                </c:pt>
              </c:numCache>
            </c:numRef>
          </c:val>
          <c:smooth val="0"/>
          <c:extLst>
            <c:ext xmlns:c16="http://schemas.microsoft.com/office/drawing/2014/chart" uri="{C3380CC4-5D6E-409C-BE32-E72D297353CC}">
              <c16:uniqueId val="{00000001-F1B2-4D4C-ADAF-9A8B242F547C}"/>
            </c:ext>
          </c:extLst>
        </c:ser>
        <c:dLbls>
          <c:showLegendKey val="0"/>
          <c:showVal val="0"/>
          <c:showCatName val="0"/>
          <c:showSerName val="0"/>
          <c:showPercent val="0"/>
          <c:showBubbleSize val="0"/>
        </c:dLbls>
        <c:smooth val="0"/>
        <c:axId val="1178746381"/>
        <c:axId val="243016130"/>
      </c:lineChart>
      <c:catAx>
        <c:axId val="117874638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43016130"/>
        <c:crosses val="autoZero"/>
        <c:auto val="1"/>
        <c:lblAlgn val="ctr"/>
        <c:lblOffset val="100"/>
        <c:noMultiLvlLbl val="1"/>
      </c:catAx>
      <c:valAx>
        <c:axId val="24301613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17874638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Vaciado C2</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'120segT'!$BQ$53:$BQ$62</c:f>
              <c:numCache>
                <c:formatCode>0</c:formatCode>
                <c:ptCount val="10"/>
                <c:pt idx="0">
                  <c:v>7.8888888888888893</c:v>
                </c:pt>
                <c:pt idx="1">
                  <c:v>3.1111111111111112</c:v>
                </c:pt>
                <c:pt idx="2">
                  <c:v>2.5555555555555554</c:v>
                </c:pt>
                <c:pt idx="3">
                  <c:v>19.333333333333332</c:v>
                </c:pt>
                <c:pt idx="4">
                  <c:v>4.333333333333333</c:v>
                </c:pt>
                <c:pt idx="5">
                  <c:v>1.6666666666666667</c:v>
                </c:pt>
                <c:pt idx="6">
                  <c:v>7.1111111111111107</c:v>
                </c:pt>
                <c:pt idx="7">
                  <c:v>8.2222222222222214</c:v>
                </c:pt>
                <c:pt idx="8">
                  <c:v>1.3333333333333333</c:v>
                </c:pt>
                <c:pt idx="9">
                  <c:v>4.4444444444444446</c:v>
                </c:pt>
              </c:numCache>
            </c:numRef>
          </c:val>
          <c:smooth val="0"/>
          <c:extLst>
            <c:ext xmlns:c16="http://schemas.microsoft.com/office/drawing/2014/chart" uri="{C3380CC4-5D6E-409C-BE32-E72D297353CC}">
              <c16:uniqueId val="{00000000-093A-4671-8023-75A238725A0B}"/>
            </c:ext>
          </c:extLst>
        </c:ser>
        <c:ser>
          <c:idx val="1"/>
          <c:order val="1"/>
          <c:tx>
            <c:v>Inventario_Final</c:v>
          </c:tx>
          <c:spPr>
            <a:ln w="28575" cmpd="sng">
              <a:solidFill>
                <a:schemeClr val="accent2"/>
              </a:solidFill>
            </a:ln>
          </c:spPr>
          <c:marker>
            <c:symbol val="none"/>
          </c:marker>
          <c:val>
            <c:numRef>
              <c:f>'120segT'!$BT$53:$BT$62</c:f>
              <c:numCache>
                <c:formatCode>General</c:formatCode>
                <c:ptCount val="10"/>
                <c:pt idx="0">
                  <c:v>8</c:v>
                </c:pt>
                <c:pt idx="1">
                  <c:v>5</c:v>
                </c:pt>
                <c:pt idx="2">
                  <c:v>5</c:v>
                </c:pt>
                <c:pt idx="3">
                  <c:v>15</c:v>
                </c:pt>
                <c:pt idx="4">
                  <c:v>4</c:v>
                </c:pt>
                <c:pt idx="5">
                  <c:v>4</c:v>
                </c:pt>
                <c:pt idx="6">
                  <c:v>8</c:v>
                </c:pt>
                <c:pt idx="7">
                  <c:v>9</c:v>
                </c:pt>
                <c:pt idx="8">
                  <c:v>4</c:v>
                </c:pt>
                <c:pt idx="9">
                  <c:v>3</c:v>
                </c:pt>
              </c:numCache>
            </c:numRef>
          </c:val>
          <c:smooth val="0"/>
          <c:extLst>
            <c:ext xmlns:c16="http://schemas.microsoft.com/office/drawing/2014/chart" uri="{C3380CC4-5D6E-409C-BE32-E72D297353CC}">
              <c16:uniqueId val="{00000001-093A-4671-8023-75A238725A0B}"/>
            </c:ext>
          </c:extLst>
        </c:ser>
        <c:ser>
          <c:idx val="2"/>
          <c:order val="2"/>
          <c:tx>
            <c:v>Capacidad</c:v>
          </c:tx>
          <c:spPr>
            <a:ln w="28575" cmpd="sng">
              <a:solidFill>
                <a:schemeClr val="accent3"/>
              </a:solidFill>
            </a:ln>
          </c:spPr>
          <c:marker>
            <c:symbol val="none"/>
          </c:marker>
          <c:val>
            <c:numRef>
              <c:f>'120segT'!$BW$53:$BW$62</c:f>
              <c:numCache>
                <c:formatCode>General</c:formatCode>
                <c:ptCount val="10"/>
                <c:pt idx="0">
                  <c:v>15</c:v>
                </c:pt>
                <c:pt idx="1">
                  <c:v>11</c:v>
                </c:pt>
                <c:pt idx="2">
                  <c:v>11</c:v>
                </c:pt>
                <c:pt idx="3">
                  <c:v>41</c:v>
                </c:pt>
                <c:pt idx="4">
                  <c:v>11</c:v>
                </c:pt>
                <c:pt idx="5">
                  <c:v>7</c:v>
                </c:pt>
                <c:pt idx="6">
                  <c:v>23</c:v>
                </c:pt>
                <c:pt idx="7">
                  <c:v>23</c:v>
                </c:pt>
                <c:pt idx="8">
                  <c:v>11</c:v>
                </c:pt>
                <c:pt idx="9">
                  <c:v>7</c:v>
                </c:pt>
              </c:numCache>
            </c:numRef>
          </c:val>
          <c:smooth val="0"/>
          <c:extLst>
            <c:ext xmlns:c16="http://schemas.microsoft.com/office/drawing/2014/chart" uri="{C3380CC4-5D6E-409C-BE32-E72D297353CC}">
              <c16:uniqueId val="{00000002-093A-4671-8023-75A238725A0B}"/>
            </c:ext>
          </c:extLst>
        </c:ser>
        <c:dLbls>
          <c:showLegendKey val="0"/>
          <c:showVal val="0"/>
          <c:showCatName val="0"/>
          <c:showSerName val="0"/>
          <c:showPercent val="0"/>
          <c:showBubbleSize val="0"/>
        </c:dLbls>
        <c:smooth val="0"/>
        <c:axId val="1389830613"/>
        <c:axId val="156202779"/>
      </c:lineChart>
      <c:catAx>
        <c:axId val="1389830613"/>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6202779"/>
        <c:crosses val="autoZero"/>
        <c:auto val="1"/>
        <c:lblAlgn val="ctr"/>
        <c:lblOffset val="100"/>
        <c:noMultiLvlLbl val="1"/>
      </c:catAx>
      <c:valAx>
        <c:axId val="15620277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38983061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Llenado C2</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'120segT'!$BQ$63:$BQ$72</c:f>
              <c:numCache>
                <c:formatCode>0</c:formatCode>
                <c:ptCount val="10"/>
                <c:pt idx="0">
                  <c:v>9.8888888888888893</c:v>
                </c:pt>
                <c:pt idx="1">
                  <c:v>12.222222222222221</c:v>
                </c:pt>
                <c:pt idx="2">
                  <c:v>8.2222222222222214</c:v>
                </c:pt>
                <c:pt idx="3">
                  <c:v>18.666666666666668</c:v>
                </c:pt>
                <c:pt idx="4">
                  <c:v>8.3333333333333339</c:v>
                </c:pt>
                <c:pt idx="5">
                  <c:v>12.777777777777779</c:v>
                </c:pt>
                <c:pt idx="6">
                  <c:v>14.222222222222221</c:v>
                </c:pt>
                <c:pt idx="7">
                  <c:v>10.555555555555555</c:v>
                </c:pt>
                <c:pt idx="8">
                  <c:v>12.666666666666666</c:v>
                </c:pt>
                <c:pt idx="9">
                  <c:v>24</c:v>
                </c:pt>
              </c:numCache>
            </c:numRef>
          </c:val>
          <c:smooth val="0"/>
          <c:extLst>
            <c:ext xmlns:c16="http://schemas.microsoft.com/office/drawing/2014/chart" uri="{C3380CC4-5D6E-409C-BE32-E72D297353CC}">
              <c16:uniqueId val="{00000000-B1CB-4596-AF5C-F09F3EF9CCE2}"/>
            </c:ext>
          </c:extLst>
        </c:ser>
        <c:ser>
          <c:idx val="1"/>
          <c:order val="1"/>
          <c:tx>
            <c:v>Inventario_Final</c:v>
          </c:tx>
          <c:spPr>
            <a:ln w="28575" cmpd="sng">
              <a:solidFill>
                <a:schemeClr val="accent2"/>
              </a:solidFill>
            </a:ln>
          </c:spPr>
          <c:marker>
            <c:symbol val="none"/>
          </c:marker>
          <c:val>
            <c:numRef>
              <c:f>'120segT'!$BT$63:$BT$72</c:f>
              <c:numCache>
                <c:formatCode>General</c:formatCode>
                <c:ptCount val="10"/>
                <c:pt idx="0">
                  <c:v>6</c:v>
                </c:pt>
                <c:pt idx="1">
                  <c:v>12</c:v>
                </c:pt>
                <c:pt idx="2">
                  <c:v>4</c:v>
                </c:pt>
                <c:pt idx="3">
                  <c:v>19</c:v>
                </c:pt>
                <c:pt idx="4">
                  <c:v>7</c:v>
                </c:pt>
                <c:pt idx="5">
                  <c:v>5</c:v>
                </c:pt>
                <c:pt idx="6">
                  <c:v>16</c:v>
                </c:pt>
                <c:pt idx="7">
                  <c:v>3</c:v>
                </c:pt>
                <c:pt idx="8">
                  <c:v>15</c:v>
                </c:pt>
                <c:pt idx="9">
                  <c:v>23</c:v>
                </c:pt>
              </c:numCache>
            </c:numRef>
          </c:val>
          <c:smooth val="0"/>
          <c:extLst>
            <c:ext xmlns:c16="http://schemas.microsoft.com/office/drawing/2014/chart" uri="{C3380CC4-5D6E-409C-BE32-E72D297353CC}">
              <c16:uniqueId val="{00000001-B1CB-4596-AF5C-F09F3EF9CCE2}"/>
            </c:ext>
          </c:extLst>
        </c:ser>
        <c:ser>
          <c:idx val="2"/>
          <c:order val="2"/>
          <c:tx>
            <c:v>Capacidad</c:v>
          </c:tx>
          <c:spPr>
            <a:ln w="28575" cmpd="sng">
              <a:solidFill>
                <a:schemeClr val="accent3"/>
              </a:solidFill>
            </a:ln>
          </c:spPr>
          <c:marker>
            <c:symbol val="none"/>
          </c:marker>
          <c:val>
            <c:numRef>
              <c:f>'120segT'!$BW$63:$BW$72</c:f>
              <c:numCache>
                <c:formatCode>General</c:formatCode>
                <c:ptCount val="10"/>
                <c:pt idx="0">
                  <c:v>15</c:v>
                </c:pt>
                <c:pt idx="1">
                  <c:v>15</c:v>
                </c:pt>
                <c:pt idx="2">
                  <c:v>11</c:v>
                </c:pt>
                <c:pt idx="3">
                  <c:v>23</c:v>
                </c:pt>
                <c:pt idx="4">
                  <c:v>11</c:v>
                </c:pt>
                <c:pt idx="5">
                  <c:v>17</c:v>
                </c:pt>
                <c:pt idx="6">
                  <c:v>19</c:v>
                </c:pt>
                <c:pt idx="7">
                  <c:v>15</c:v>
                </c:pt>
                <c:pt idx="8">
                  <c:v>19</c:v>
                </c:pt>
                <c:pt idx="9">
                  <c:v>27</c:v>
                </c:pt>
              </c:numCache>
            </c:numRef>
          </c:val>
          <c:smooth val="0"/>
          <c:extLst>
            <c:ext xmlns:c16="http://schemas.microsoft.com/office/drawing/2014/chart" uri="{C3380CC4-5D6E-409C-BE32-E72D297353CC}">
              <c16:uniqueId val="{00000002-B1CB-4596-AF5C-F09F3EF9CCE2}"/>
            </c:ext>
          </c:extLst>
        </c:ser>
        <c:dLbls>
          <c:showLegendKey val="0"/>
          <c:showVal val="0"/>
          <c:showCatName val="0"/>
          <c:showSerName val="0"/>
          <c:showPercent val="0"/>
          <c:showBubbleSize val="0"/>
        </c:dLbls>
        <c:smooth val="0"/>
        <c:axId val="2008975586"/>
        <c:axId val="604823737"/>
      </c:lineChart>
      <c:catAx>
        <c:axId val="200897558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604823737"/>
        <c:crosses val="autoZero"/>
        <c:auto val="1"/>
        <c:lblAlgn val="ctr"/>
        <c:lblOffset val="100"/>
        <c:noMultiLvlLbl val="1"/>
      </c:catAx>
      <c:valAx>
        <c:axId val="60482373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200897558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Viernes 22-11 18:00 hrs Vaciado C2</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'120segT'!$CD$53:$CD$62</c:f>
              <c:numCache>
                <c:formatCode>0</c:formatCode>
                <c:ptCount val="10"/>
                <c:pt idx="0">
                  <c:v>6.1111111111111107</c:v>
                </c:pt>
                <c:pt idx="1">
                  <c:v>3.2222222222222223</c:v>
                </c:pt>
                <c:pt idx="2">
                  <c:v>3.8888888888888888</c:v>
                </c:pt>
                <c:pt idx="3">
                  <c:v>16.777777777777779</c:v>
                </c:pt>
                <c:pt idx="4">
                  <c:v>2.5555555555555554</c:v>
                </c:pt>
                <c:pt idx="5">
                  <c:v>1.2222222222222223</c:v>
                </c:pt>
                <c:pt idx="6">
                  <c:v>7.5555555555555554</c:v>
                </c:pt>
                <c:pt idx="7">
                  <c:v>8.2222222222222214</c:v>
                </c:pt>
                <c:pt idx="8">
                  <c:v>2.1111111111111112</c:v>
                </c:pt>
                <c:pt idx="9">
                  <c:v>3.2222222222222223</c:v>
                </c:pt>
              </c:numCache>
            </c:numRef>
          </c:val>
          <c:smooth val="0"/>
          <c:extLst>
            <c:ext xmlns:c16="http://schemas.microsoft.com/office/drawing/2014/chart" uri="{C3380CC4-5D6E-409C-BE32-E72D297353CC}">
              <c16:uniqueId val="{00000000-152C-491A-BA8D-76D65E0D2DAC}"/>
            </c:ext>
          </c:extLst>
        </c:ser>
        <c:ser>
          <c:idx val="1"/>
          <c:order val="1"/>
          <c:tx>
            <c:v>Inventario_Final</c:v>
          </c:tx>
          <c:spPr>
            <a:ln w="28575" cmpd="sng">
              <a:solidFill>
                <a:schemeClr val="accent2"/>
              </a:solidFill>
            </a:ln>
          </c:spPr>
          <c:marker>
            <c:symbol val="none"/>
          </c:marker>
          <c:val>
            <c:numRef>
              <c:f>'120segT'!$CG$53:$CG$62</c:f>
              <c:numCache>
                <c:formatCode>General</c:formatCode>
                <c:ptCount val="10"/>
                <c:pt idx="0">
                  <c:v>7</c:v>
                </c:pt>
                <c:pt idx="1">
                  <c:v>5</c:v>
                </c:pt>
                <c:pt idx="2">
                  <c:v>5</c:v>
                </c:pt>
                <c:pt idx="3">
                  <c:v>15</c:v>
                </c:pt>
                <c:pt idx="4">
                  <c:v>4</c:v>
                </c:pt>
                <c:pt idx="5">
                  <c:v>4</c:v>
                </c:pt>
                <c:pt idx="6">
                  <c:v>8</c:v>
                </c:pt>
                <c:pt idx="7">
                  <c:v>11</c:v>
                </c:pt>
                <c:pt idx="8">
                  <c:v>4</c:v>
                </c:pt>
                <c:pt idx="9">
                  <c:v>3</c:v>
                </c:pt>
              </c:numCache>
            </c:numRef>
          </c:val>
          <c:smooth val="0"/>
          <c:extLst>
            <c:ext xmlns:c16="http://schemas.microsoft.com/office/drawing/2014/chart" uri="{C3380CC4-5D6E-409C-BE32-E72D297353CC}">
              <c16:uniqueId val="{00000001-152C-491A-BA8D-76D65E0D2DAC}"/>
            </c:ext>
          </c:extLst>
        </c:ser>
        <c:ser>
          <c:idx val="2"/>
          <c:order val="2"/>
          <c:tx>
            <c:v>Capacidad</c:v>
          </c:tx>
          <c:spPr>
            <a:ln w="28575" cmpd="sng">
              <a:solidFill>
                <a:schemeClr val="accent3"/>
              </a:solidFill>
            </a:ln>
          </c:spPr>
          <c:marker>
            <c:symbol val="none"/>
          </c:marker>
          <c:val>
            <c:numRef>
              <c:f>'120segT'!$CJ$53:$CJ$62</c:f>
              <c:numCache>
                <c:formatCode>General</c:formatCode>
                <c:ptCount val="10"/>
                <c:pt idx="0">
                  <c:v>15</c:v>
                </c:pt>
                <c:pt idx="1">
                  <c:v>11</c:v>
                </c:pt>
                <c:pt idx="2">
                  <c:v>11</c:v>
                </c:pt>
                <c:pt idx="3">
                  <c:v>41</c:v>
                </c:pt>
                <c:pt idx="4">
                  <c:v>11</c:v>
                </c:pt>
                <c:pt idx="5">
                  <c:v>7</c:v>
                </c:pt>
                <c:pt idx="6">
                  <c:v>23</c:v>
                </c:pt>
                <c:pt idx="7">
                  <c:v>23</c:v>
                </c:pt>
                <c:pt idx="8">
                  <c:v>11</c:v>
                </c:pt>
                <c:pt idx="9">
                  <c:v>7</c:v>
                </c:pt>
              </c:numCache>
            </c:numRef>
          </c:val>
          <c:smooth val="0"/>
          <c:extLst>
            <c:ext xmlns:c16="http://schemas.microsoft.com/office/drawing/2014/chart" uri="{C3380CC4-5D6E-409C-BE32-E72D297353CC}">
              <c16:uniqueId val="{00000002-152C-491A-BA8D-76D65E0D2DAC}"/>
            </c:ext>
          </c:extLst>
        </c:ser>
        <c:dLbls>
          <c:showLegendKey val="0"/>
          <c:showVal val="0"/>
          <c:showCatName val="0"/>
          <c:showSerName val="0"/>
          <c:showPercent val="0"/>
          <c:showBubbleSize val="0"/>
        </c:dLbls>
        <c:smooth val="0"/>
        <c:axId val="293633873"/>
        <c:axId val="1222687189"/>
      </c:lineChart>
      <c:catAx>
        <c:axId val="29363387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222687189"/>
        <c:crosses val="autoZero"/>
        <c:auto val="1"/>
        <c:lblAlgn val="ctr"/>
        <c:lblOffset val="100"/>
        <c:noMultiLvlLbl val="1"/>
      </c:catAx>
      <c:valAx>
        <c:axId val="122268718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29363387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Viernes 22-11 18:00 hrs Llenado C2</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'120segT'!$CD$63:$CD$72</c:f>
              <c:numCache>
                <c:formatCode>0</c:formatCode>
                <c:ptCount val="10"/>
                <c:pt idx="0">
                  <c:v>8.1111111111111107</c:v>
                </c:pt>
                <c:pt idx="1">
                  <c:v>11</c:v>
                </c:pt>
                <c:pt idx="2">
                  <c:v>6.7777777777777777</c:v>
                </c:pt>
                <c:pt idx="3">
                  <c:v>21.222222222222221</c:v>
                </c:pt>
                <c:pt idx="4">
                  <c:v>7.4444444444444446</c:v>
                </c:pt>
                <c:pt idx="5">
                  <c:v>11.222222222222221</c:v>
                </c:pt>
                <c:pt idx="6">
                  <c:v>12.555555555555555</c:v>
                </c:pt>
                <c:pt idx="7">
                  <c:v>8.2222222222222214</c:v>
                </c:pt>
                <c:pt idx="8">
                  <c:v>13.222222222222221</c:v>
                </c:pt>
                <c:pt idx="9">
                  <c:v>24.777777777777779</c:v>
                </c:pt>
              </c:numCache>
            </c:numRef>
          </c:val>
          <c:smooth val="0"/>
          <c:extLst>
            <c:ext xmlns:c16="http://schemas.microsoft.com/office/drawing/2014/chart" uri="{C3380CC4-5D6E-409C-BE32-E72D297353CC}">
              <c16:uniqueId val="{00000000-09CD-42A7-8594-D41B4A746AF4}"/>
            </c:ext>
          </c:extLst>
        </c:ser>
        <c:ser>
          <c:idx val="1"/>
          <c:order val="1"/>
          <c:tx>
            <c:v>Inventario_Final</c:v>
          </c:tx>
          <c:spPr>
            <a:ln w="28575" cmpd="sng">
              <a:solidFill>
                <a:schemeClr val="accent2"/>
              </a:solidFill>
            </a:ln>
          </c:spPr>
          <c:marker>
            <c:symbol val="none"/>
          </c:marker>
          <c:val>
            <c:numRef>
              <c:f>'120segT'!$CG$63:$CG$72</c:f>
              <c:numCache>
                <c:formatCode>General</c:formatCode>
                <c:ptCount val="10"/>
                <c:pt idx="0">
                  <c:v>3</c:v>
                </c:pt>
                <c:pt idx="1">
                  <c:v>5</c:v>
                </c:pt>
                <c:pt idx="2">
                  <c:v>6</c:v>
                </c:pt>
                <c:pt idx="3">
                  <c:v>21</c:v>
                </c:pt>
                <c:pt idx="4">
                  <c:v>3</c:v>
                </c:pt>
                <c:pt idx="5">
                  <c:v>14</c:v>
                </c:pt>
                <c:pt idx="6">
                  <c:v>16</c:v>
                </c:pt>
                <c:pt idx="7">
                  <c:v>12</c:v>
                </c:pt>
                <c:pt idx="8">
                  <c:v>12</c:v>
                </c:pt>
                <c:pt idx="9">
                  <c:v>14</c:v>
                </c:pt>
              </c:numCache>
            </c:numRef>
          </c:val>
          <c:smooth val="0"/>
          <c:extLst>
            <c:ext xmlns:c16="http://schemas.microsoft.com/office/drawing/2014/chart" uri="{C3380CC4-5D6E-409C-BE32-E72D297353CC}">
              <c16:uniqueId val="{00000001-09CD-42A7-8594-D41B4A746AF4}"/>
            </c:ext>
          </c:extLst>
        </c:ser>
        <c:ser>
          <c:idx val="2"/>
          <c:order val="2"/>
          <c:tx>
            <c:v>Capacidad</c:v>
          </c:tx>
          <c:spPr>
            <a:ln w="28575" cmpd="sng">
              <a:solidFill>
                <a:schemeClr val="accent3"/>
              </a:solidFill>
            </a:ln>
          </c:spPr>
          <c:marker>
            <c:symbol val="none"/>
          </c:marker>
          <c:val>
            <c:numRef>
              <c:f>'120segT'!$CJ$63:$CJ$72</c:f>
              <c:numCache>
                <c:formatCode>General</c:formatCode>
                <c:ptCount val="10"/>
                <c:pt idx="0">
                  <c:v>15</c:v>
                </c:pt>
                <c:pt idx="1">
                  <c:v>15</c:v>
                </c:pt>
                <c:pt idx="2">
                  <c:v>11</c:v>
                </c:pt>
                <c:pt idx="3">
                  <c:v>23</c:v>
                </c:pt>
                <c:pt idx="4">
                  <c:v>11</c:v>
                </c:pt>
                <c:pt idx="5">
                  <c:v>17</c:v>
                </c:pt>
                <c:pt idx="6">
                  <c:v>19</c:v>
                </c:pt>
                <c:pt idx="7">
                  <c:v>15</c:v>
                </c:pt>
                <c:pt idx="8">
                  <c:v>19</c:v>
                </c:pt>
                <c:pt idx="9">
                  <c:v>27</c:v>
                </c:pt>
              </c:numCache>
            </c:numRef>
          </c:val>
          <c:smooth val="0"/>
          <c:extLst>
            <c:ext xmlns:c16="http://schemas.microsoft.com/office/drawing/2014/chart" uri="{C3380CC4-5D6E-409C-BE32-E72D297353CC}">
              <c16:uniqueId val="{00000002-09CD-42A7-8594-D41B4A746AF4}"/>
            </c:ext>
          </c:extLst>
        </c:ser>
        <c:dLbls>
          <c:showLegendKey val="0"/>
          <c:showVal val="0"/>
          <c:showCatName val="0"/>
          <c:showSerName val="0"/>
          <c:showPercent val="0"/>
          <c:showBubbleSize val="0"/>
        </c:dLbls>
        <c:smooth val="0"/>
        <c:axId val="1576007349"/>
        <c:axId val="980149290"/>
      </c:lineChart>
      <c:catAx>
        <c:axId val="1576007349"/>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980149290"/>
        <c:crosses val="autoZero"/>
        <c:auto val="1"/>
        <c:lblAlgn val="ctr"/>
        <c:lblOffset val="100"/>
        <c:noMultiLvlLbl val="1"/>
      </c:catAx>
      <c:valAx>
        <c:axId val="98014929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57600734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Sábado 23-11 18:00 hrs Vaciado C2</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'120segT'!$CQ$53:$CQ$62</c:f>
              <c:numCache>
                <c:formatCode>0</c:formatCode>
                <c:ptCount val="10"/>
                <c:pt idx="0">
                  <c:v>4.4444444444444446</c:v>
                </c:pt>
                <c:pt idx="1">
                  <c:v>3.7777777777777777</c:v>
                </c:pt>
                <c:pt idx="2">
                  <c:v>3.3333333333333335</c:v>
                </c:pt>
                <c:pt idx="3">
                  <c:v>14.555555555555555</c:v>
                </c:pt>
                <c:pt idx="4">
                  <c:v>4.5555555555555554</c:v>
                </c:pt>
                <c:pt idx="5">
                  <c:v>1.5555555555555556</c:v>
                </c:pt>
                <c:pt idx="6">
                  <c:v>6.8888888888888893</c:v>
                </c:pt>
                <c:pt idx="7">
                  <c:v>7</c:v>
                </c:pt>
                <c:pt idx="8">
                  <c:v>5.7777777777777777</c:v>
                </c:pt>
                <c:pt idx="9">
                  <c:v>2.7777777777777777</c:v>
                </c:pt>
              </c:numCache>
            </c:numRef>
          </c:val>
          <c:smooth val="0"/>
          <c:extLst>
            <c:ext xmlns:c16="http://schemas.microsoft.com/office/drawing/2014/chart" uri="{C3380CC4-5D6E-409C-BE32-E72D297353CC}">
              <c16:uniqueId val="{00000000-2A43-4C2B-B2B6-AFBD39BCE19C}"/>
            </c:ext>
          </c:extLst>
        </c:ser>
        <c:ser>
          <c:idx val="1"/>
          <c:order val="1"/>
          <c:tx>
            <c:v>Inventario_Final</c:v>
          </c:tx>
          <c:spPr>
            <a:ln w="28575" cmpd="sng">
              <a:solidFill>
                <a:schemeClr val="accent2"/>
              </a:solidFill>
            </a:ln>
          </c:spPr>
          <c:marker>
            <c:symbol val="none"/>
          </c:marker>
          <c:val>
            <c:numRef>
              <c:f>'120segT'!$CT$53:$CT$62</c:f>
              <c:numCache>
                <c:formatCode>General</c:formatCode>
                <c:ptCount val="10"/>
                <c:pt idx="0">
                  <c:v>7</c:v>
                </c:pt>
                <c:pt idx="1">
                  <c:v>5</c:v>
                </c:pt>
                <c:pt idx="2">
                  <c:v>5</c:v>
                </c:pt>
                <c:pt idx="3">
                  <c:v>15</c:v>
                </c:pt>
                <c:pt idx="4">
                  <c:v>4</c:v>
                </c:pt>
                <c:pt idx="5">
                  <c:v>4</c:v>
                </c:pt>
                <c:pt idx="6">
                  <c:v>8</c:v>
                </c:pt>
                <c:pt idx="7">
                  <c:v>9</c:v>
                </c:pt>
                <c:pt idx="8">
                  <c:v>4</c:v>
                </c:pt>
                <c:pt idx="9">
                  <c:v>4</c:v>
                </c:pt>
              </c:numCache>
            </c:numRef>
          </c:val>
          <c:smooth val="0"/>
          <c:extLst>
            <c:ext xmlns:c16="http://schemas.microsoft.com/office/drawing/2014/chart" uri="{C3380CC4-5D6E-409C-BE32-E72D297353CC}">
              <c16:uniqueId val="{00000001-2A43-4C2B-B2B6-AFBD39BCE19C}"/>
            </c:ext>
          </c:extLst>
        </c:ser>
        <c:ser>
          <c:idx val="2"/>
          <c:order val="2"/>
          <c:tx>
            <c:v>Capacidad</c:v>
          </c:tx>
          <c:spPr>
            <a:ln w="28575" cmpd="sng">
              <a:solidFill>
                <a:schemeClr val="accent3"/>
              </a:solidFill>
            </a:ln>
          </c:spPr>
          <c:marker>
            <c:symbol val="none"/>
          </c:marker>
          <c:val>
            <c:numRef>
              <c:f>'120segT'!$CW$53:$CW$62</c:f>
              <c:numCache>
                <c:formatCode>General</c:formatCode>
                <c:ptCount val="10"/>
                <c:pt idx="0">
                  <c:v>15</c:v>
                </c:pt>
                <c:pt idx="1">
                  <c:v>11</c:v>
                </c:pt>
                <c:pt idx="2">
                  <c:v>11</c:v>
                </c:pt>
                <c:pt idx="3">
                  <c:v>41</c:v>
                </c:pt>
                <c:pt idx="4">
                  <c:v>11</c:v>
                </c:pt>
                <c:pt idx="5">
                  <c:v>7</c:v>
                </c:pt>
                <c:pt idx="6">
                  <c:v>23</c:v>
                </c:pt>
                <c:pt idx="7">
                  <c:v>23</c:v>
                </c:pt>
                <c:pt idx="8">
                  <c:v>11</c:v>
                </c:pt>
                <c:pt idx="9">
                  <c:v>7</c:v>
                </c:pt>
              </c:numCache>
            </c:numRef>
          </c:val>
          <c:smooth val="0"/>
          <c:extLst>
            <c:ext xmlns:c16="http://schemas.microsoft.com/office/drawing/2014/chart" uri="{C3380CC4-5D6E-409C-BE32-E72D297353CC}">
              <c16:uniqueId val="{00000002-2A43-4C2B-B2B6-AFBD39BCE19C}"/>
            </c:ext>
          </c:extLst>
        </c:ser>
        <c:dLbls>
          <c:showLegendKey val="0"/>
          <c:showVal val="0"/>
          <c:showCatName val="0"/>
          <c:showSerName val="0"/>
          <c:showPercent val="0"/>
          <c:showBubbleSize val="0"/>
        </c:dLbls>
        <c:smooth val="0"/>
        <c:axId val="1117324663"/>
        <c:axId val="1485299493"/>
      </c:lineChart>
      <c:catAx>
        <c:axId val="111732466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485299493"/>
        <c:crosses val="autoZero"/>
        <c:auto val="1"/>
        <c:lblAlgn val="ctr"/>
        <c:lblOffset val="100"/>
        <c:noMultiLvlLbl val="1"/>
      </c:catAx>
      <c:valAx>
        <c:axId val="148529949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11732466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Sábado 23-11 18:00 hrs Llenado C2</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'120segT'!$CQ$63:$CQ$72</c:f>
              <c:numCache>
                <c:formatCode>0</c:formatCode>
                <c:ptCount val="10"/>
                <c:pt idx="0">
                  <c:v>9.5555555555555554</c:v>
                </c:pt>
                <c:pt idx="1">
                  <c:v>12.555555555555555</c:v>
                </c:pt>
                <c:pt idx="2">
                  <c:v>8.3333333333333339</c:v>
                </c:pt>
                <c:pt idx="3">
                  <c:v>16.111111111111111</c:v>
                </c:pt>
                <c:pt idx="4">
                  <c:v>8</c:v>
                </c:pt>
                <c:pt idx="5">
                  <c:v>12.888888888888889</c:v>
                </c:pt>
                <c:pt idx="6">
                  <c:v>12.111111111111111</c:v>
                </c:pt>
                <c:pt idx="7">
                  <c:v>12.111111111111111</c:v>
                </c:pt>
                <c:pt idx="8">
                  <c:v>15.666666666666666</c:v>
                </c:pt>
                <c:pt idx="9">
                  <c:v>18.777777777777779</c:v>
                </c:pt>
              </c:numCache>
            </c:numRef>
          </c:val>
          <c:smooth val="0"/>
          <c:extLst>
            <c:ext xmlns:c16="http://schemas.microsoft.com/office/drawing/2014/chart" uri="{C3380CC4-5D6E-409C-BE32-E72D297353CC}">
              <c16:uniqueId val="{00000000-50F8-42D6-8F0D-FD568FA19CE4}"/>
            </c:ext>
          </c:extLst>
        </c:ser>
        <c:ser>
          <c:idx val="1"/>
          <c:order val="1"/>
          <c:tx>
            <c:v>Inventario_Final</c:v>
          </c:tx>
          <c:spPr>
            <a:ln w="28575" cmpd="sng">
              <a:solidFill>
                <a:schemeClr val="accent2"/>
              </a:solidFill>
            </a:ln>
          </c:spPr>
          <c:marker>
            <c:symbol val="none"/>
          </c:marker>
          <c:val>
            <c:numRef>
              <c:f>'120segT'!$CT$63:$CT$72</c:f>
              <c:numCache>
                <c:formatCode>General</c:formatCode>
                <c:ptCount val="10"/>
                <c:pt idx="0">
                  <c:v>10</c:v>
                </c:pt>
                <c:pt idx="1">
                  <c:v>6</c:v>
                </c:pt>
                <c:pt idx="2">
                  <c:v>7</c:v>
                </c:pt>
                <c:pt idx="3">
                  <c:v>18</c:v>
                </c:pt>
                <c:pt idx="4">
                  <c:v>5</c:v>
                </c:pt>
                <c:pt idx="5">
                  <c:v>15</c:v>
                </c:pt>
                <c:pt idx="6">
                  <c:v>16</c:v>
                </c:pt>
                <c:pt idx="7">
                  <c:v>10</c:v>
                </c:pt>
                <c:pt idx="8">
                  <c:v>13</c:v>
                </c:pt>
                <c:pt idx="9">
                  <c:v>21</c:v>
                </c:pt>
              </c:numCache>
            </c:numRef>
          </c:val>
          <c:smooth val="0"/>
          <c:extLst>
            <c:ext xmlns:c16="http://schemas.microsoft.com/office/drawing/2014/chart" uri="{C3380CC4-5D6E-409C-BE32-E72D297353CC}">
              <c16:uniqueId val="{00000001-50F8-42D6-8F0D-FD568FA19CE4}"/>
            </c:ext>
          </c:extLst>
        </c:ser>
        <c:ser>
          <c:idx val="2"/>
          <c:order val="2"/>
          <c:tx>
            <c:v>Capacidad</c:v>
          </c:tx>
          <c:spPr>
            <a:ln w="28575" cmpd="sng">
              <a:solidFill>
                <a:schemeClr val="accent3"/>
              </a:solidFill>
            </a:ln>
          </c:spPr>
          <c:marker>
            <c:symbol val="none"/>
          </c:marker>
          <c:val>
            <c:numRef>
              <c:f>'120segT'!$CW$63:$CW$72</c:f>
              <c:numCache>
                <c:formatCode>General</c:formatCode>
                <c:ptCount val="10"/>
                <c:pt idx="0">
                  <c:v>15</c:v>
                </c:pt>
                <c:pt idx="1">
                  <c:v>15</c:v>
                </c:pt>
                <c:pt idx="2">
                  <c:v>11</c:v>
                </c:pt>
                <c:pt idx="3">
                  <c:v>23</c:v>
                </c:pt>
                <c:pt idx="4">
                  <c:v>11</c:v>
                </c:pt>
                <c:pt idx="5">
                  <c:v>17</c:v>
                </c:pt>
                <c:pt idx="6">
                  <c:v>19</c:v>
                </c:pt>
                <c:pt idx="7">
                  <c:v>15</c:v>
                </c:pt>
                <c:pt idx="8">
                  <c:v>19</c:v>
                </c:pt>
                <c:pt idx="9">
                  <c:v>27</c:v>
                </c:pt>
              </c:numCache>
            </c:numRef>
          </c:val>
          <c:smooth val="0"/>
          <c:extLst>
            <c:ext xmlns:c16="http://schemas.microsoft.com/office/drawing/2014/chart" uri="{C3380CC4-5D6E-409C-BE32-E72D297353CC}">
              <c16:uniqueId val="{00000002-50F8-42D6-8F0D-FD568FA19CE4}"/>
            </c:ext>
          </c:extLst>
        </c:ser>
        <c:dLbls>
          <c:showLegendKey val="0"/>
          <c:showVal val="0"/>
          <c:showCatName val="0"/>
          <c:showSerName val="0"/>
          <c:showPercent val="0"/>
          <c:showBubbleSize val="0"/>
        </c:dLbls>
        <c:smooth val="0"/>
        <c:axId val="1248865036"/>
        <c:axId val="170166008"/>
      </c:lineChart>
      <c:catAx>
        <c:axId val="124886503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0166008"/>
        <c:crosses val="autoZero"/>
        <c:auto val="1"/>
        <c:lblAlgn val="ctr"/>
        <c:lblOffset val="100"/>
        <c:noMultiLvlLbl val="1"/>
      </c:catAx>
      <c:valAx>
        <c:axId val="17016600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24886503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24-11 18:00 hrs Vaciado C2</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'120segT'!$D$86:$D$95</c:f>
              <c:numCache>
                <c:formatCode>0</c:formatCode>
                <c:ptCount val="10"/>
                <c:pt idx="0">
                  <c:v>3</c:v>
                </c:pt>
                <c:pt idx="1">
                  <c:v>1.8888888888888888</c:v>
                </c:pt>
                <c:pt idx="2">
                  <c:v>2</c:v>
                </c:pt>
                <c:pt idx="3">
                  <c:v>12.222222222222221</c:v>
                </c:pt>
                <c:pt idx="4">
                  <c:v>4.2222222222222223</c:v>
                </c:pt>
                <c:pt idx="5">
                  <c:v>1.6666666666666667</c:v>
                </c:pt>
                <c:pt idx="6">
                  <c:v>5</c:v>
                </c:pt>
                <c:pt idx="7">
                  <c:v>6.2222222222222223</c:v>
                </c:pt>
                <c:pt idx="8">
                  <c:v>3.4444444444444446</c:v>
                </c:pt>
                <c:pt idx="9">
                  <c:v>2.6666666666666665</c:v>
                </c:pt>
              </c:numCache>
            </c:numRef>
          </c:val>
          <c:smooth val="0"/>
          <c:extLst>
            <c:ext xmlns:c16="http://schemas.microsoft.com/office/drawing/2014/chart" uri="{C3380CC4-5D6E-409C-BE32-E72D297353CC}">
              <c16:uniqueId val="{00000000-20B2-48F9-8E60-A52AECEE4346}"/>
            </c:ext>
          </c:extLst>
        </c:ser>
        <c:ser>
          <c:idx val="1"/>
          <c:order val="1"/>
          <c:tx>
            <c:v>Inventario_Final</c:v>
          </c:tx>
          <c:spPr>
            <a:ln w="28575" cmpd="sng">
              <a:solidFill>
                <a:schemeClr val="accent2"/>
              </a:solidFill>
            </a:ln>
          </c:spPr>
          <c:marker>
            <c:symbol val="none"/>
          </c:marker>
          <c:val>
            <c:numRef>
              <c:f>'120segT'!$G$86:$G$95</c:f>
              <c:numCache>
                <c:formatCode>General</c:formatCode>
                <c:ptCount val="10"/>
                <c:pt idx="0">
                  <c:v>7</c:v>
                </c:pt>
                <c:pt idx="1">
                  <c:v>5</c:v>
                </c:pt>
                <c:pt idx="2">
                  <c:v>5</c:v>
                </c:pt>
                <c:pt idx="3">
                  <c:v>16</c:v>
                </c:pt>
                <c:pt idx="4">
                  <c:v>4</c:v>
                </c:pt>
                <c:pt idx="5">
                  <c:v>4</c:v>
                </c:pt>
                <c:pt idx="6">
                  <c:v>8</c:v>
                </c:pt>
                <c:pt idx="7">
                  <c:v>9</c:v>
                </c:pt>
                <c:pt idx="8">
                  <c:v>4</c:v>
                </c:pt>
                <c:pt idx="9">
                  <c:v>3</c:v>
                </c:pt>
              </c:numCache>
            </c:numRef>
          </c:val>
          <c:smooth val="0"/>
          <c:extLst>
            <c:ext xmlns:c16="http://schemas.microsoft.com/office/drawing/2014/chart" uri="{C3380CC4-5D6E-409C-BE32-E72D297353CC}">
              <c16:uniqueId val="{00000001-20B2-48F9-8E60-A52AECEE4346}"/>
            </c:ext>
          </c:extLst>
        </c:ser>
        <c:ser>
          <c:idx val="2"/>
          <c:order val="2"/>
          <c:tx>
            <c:v>Capacidad</c:v>
          </c:tx>
          <c:spPr>
            <a:ln w="28575" cmpd="sng">
              <a:solidFill>
                <a:schemeClr val="accent3"/>
              </a:solidFill>
            </a:ln>
          </c:spPr>
          <c:marker>
            <c:symbol val="none"/>
          </c:marker>
          <c:val>
            <c:numRef>
              <c:f>'120segT'!$J$86:$J$95</c:f>
              <c:numCache>
                <c:formatCode>General</c:formatCode>
                <c:ptCount val="10"/>
                <c:pt idx="0">
                  <c:v>15</c:v>
                </c:pt>
                <c:pt idx="1">
                  <c:v>11</c:v>
                </c:pt>
                <c:pt idx="2">
                  <c:v>11</c:v>
                </c:pt>
                <c:pt idx="3">
                  <c:v>41</c:v>
                </c:pt>
                <c:pt idx="4">
                  <c:v>11</c:v>
                </c:pt>
                <c:pt idx="5">
                  <c:v>7</c:v>
                </c:pt>
                <c:pt idx="6">
                  <c:v>23</c:v>
                </c:pt>
                <c:pt idx="7">
                  <c:v>23</c:v>
                </c:pt>
                <c:pt idx="8">
                  <c:v>11</c:v>
                </c:pt>
                <c:pt idx="9">
                  <c:v>7</c:v>
                </c:pt>
              </c:numCache>
            </c:numRef>
          </c:val>
          <c:smooth val="0"/>
          <c:extLst>
            <c:ext xmlns:c16="http://schemas.microsoft.com/office/drawing/2014/chart" uri="{C3380CC4-5D6E-409C-BE32-E72D297353CC}">
              <c16:uniqueId val="{00000002-20B2-48F9-8E60-A52AECEE4346}"/>
            </c:ext>
          </c:extLst>
        </c:ser>
        <c:dLbls>
          <c:showLegendKey val="0"/>
          <c:showVal val="0"/>
          <c:showCatName val="0"/>
          <c:showSerName val="0"/>
          <c:showPercent val="0"/>
          <c:showBubbleSize val="0"/>
        </c:dLbls>
        <c:smooth val="0"/>
        <c:axId val="1941199860"/>
        <c:axId val="1918043852"/>
      </c:lineChart>
      <c:catAx>
        <c:axId val="194119986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918043852"/>
        <c:crosses val="autoZero"/>
        <c:auto val="1"/>
        <c:lblAlgn val="ctr"/>
        <c:lblOffset val="100"/>
        <c:noMultiLvlLbl val="1"/>
      </c:catAx>
      <c:valAx>
        <c:axId val="191804385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941199860"/>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Comparativo inventarios reequilibrados contra histórico 
Domingo 24-11 18:00 hrs Llenado C2</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'120segT'!$D$96:$D$105</c:f>
              <c:numCache>
                <c:formatCode>0</c:formatCode>
                <c:ptCount val="10"/>
                <c:pt idx="0">
                  <c:v>10.555555555555555</c:v>
                </c:pt>
                <c:pt idx="1">
                  <c:v>11.888888888888889</c:v>
                </c:pt>
                <c:pt idx="2">
                  <c:v>8.3333333333333339</c:v>
                </c:pt>
                <c:pt idx="3">
                  <c:v>20</c:v>
                </c:pt>
                <c:pt idx="4">
                  <c:v>7.8888888888888893</c:v>
                </c:pt>
                <c:pt idx="5">
                  <c:v>15.222222222222221</c:v>
                </c:pt>
                <c:pt idx="6">
                  <c:v>13.222222222222221</c:v>
                </c:pt>
                <c:pt idx="7">
                  <c:v>13</c:v>
                </c:pt>
                <c:pt idx="8">
                  <c:v>14.777777777777779</c:v>
                </c:pt>
                <c:pt idx="9">
                  <c:v>21.333333333333332</c:v>
                </c:pt>
              </c:numCache>
            </c:numRef>
          </c:val>
          <c:smooth val="0"/>
          <c:extLst>
            <c:ext xmlns:c16="http://schemas.microsoft.com/office/drawing/2014/chart" uri="{C3380CC4-5D6E-409C-BE32-E72D297353CC}">
              <c16:uniqueId val="{00000000-569B-44B2-83C3-0443E877159C}"/>
            </c:ext>
          </c:extLst>
        </c:ser>
        <c:ser>
          <c:idx val="1"/>
          <c:order val="1"/>
          <c:tx>
            <c:v>Inventario_Final</c:v>
          </c:tx>
          <c:spPr>
            <a:ln w="28575" cmpd="sng">
              <a:solidFill>
                <a:schemeClr val="accent2"/>
              </a:solidFill>
            </a:ln>
          </c:spPr>
          <c:marker>
            <c:symbol val="none"/>
          </c:marker>
          <c:val>
            <c:numRef>
              <c:f>'120segT'!$G$96:$G$105</c:f>
              <c:numCache>
                <c:formatCode>General</c:formatCode>
                <c:ptCount val="10"/>
                <c:pt idx="0">
                  <c:v>5</c:v>
                </c:pt>
                <c:pt idx="1">
                  <c:v>2</c:v>
                </c:pt>
                <c:pt idx="2">
                  <c:v>8</c:v>
                </c:pt>
                <c:pt idx="3">
                  <c:v>20</c:v>
                </c:pt>
                <c:pt idx="4">
                  <c:v>6</c:v>
                </c:pt>
                <c:pt idx="5">
                  <c:v>15</c:v>
                </c:pt>
                <c:pt idx="6">
                  <c:v>16</c:v>
                </c:pt>
                <c:pt idx="7">
                  <c:v>13</c:v>
                </c:pt>
                <c:pt idx="8">
                  <c:v>16</c:v>
                </c:pt>
                <c:pt idx="9">
                  <c:v>24</c:v>
                </c:pt>
              </c:numCache>
            </c:numRef>
          </c:val>
          <c:smooth val="0"/>
          <c:extLst>
            <c:ext xmlns:c16="http://schemas.microsoft.com/office/drawing/2014/chart" uri="{C3380CC4-5D6E-409C-BE32-E72D297353CC}">
              <c16:uniqueId val="{00000001-569B-44B2-83C3-0443E877159C}"/>
            </c:ext>
          </c:extLst>
        </c:ser>
        <c:ser>
          <c:idx val="2"/>
          <c:order val="2"/>
          <c:tx>
            <c:v>Capacidad</c:v>
          </c:tx>
          <c:spPr>
            <a:ln w="28575" cmpd="sng">
              <a:solidFill>
                <a:schemeClr val="accent3"/>
              </a:solidFill>
            </a:ln>
          </c:spPr>
          <c:marker>
            <c:symbol val="none"/>
          </c:marker>
          <c:val>
            <c:numRef>
              <c:f>'120segT'!$J$96:$J$105</c:f>
              <c:numCache>
                <c:formatCode>General</c:formatCode>
                <c:ptCount val="10"/>
                <c:pt idx="0">
                  <c:v>15</c:v>
                </c:pt>
                <c:pt idx="1">
                  <c:v>15</c:v>
                </c:pt>
                <c:pt idx="2">
                  <c:v>11</c:v>
                </c:pt>
                <c:pt idx="3">
                  <c:v>23</c:v>
                </c:pt>
                <c:pt idx="4">
                  <c:v>11</c:v>
                </c:pt>
                <c:pt idx="5">
                  <c:v>17</c:v>
                </c:pt>
                <c:pt idx="6">
                  <c:v>19</c:v>
                </c:pt>
                <c:pt idx="7">
                  <c:v>15</c:v>
                </c:pt>
                <c:pt idx="8">
                  <c:v>19</c:v>
                </c:pt>
                <c:pt idx="9">
                  <c:v>27</c:v>
                </c:pt>
              </c:numCache>
            </c:numRef>
          </c:val>
          <c:smooth val="0"/>
          <c:extLst>
            <c:ext xmlns:c16="http://schemas.microsoft.com/office/drawing/2014/chart" uri="{C3380CC4-5D6E-409C-BE32-E72D297353CC}">
              <c16:uniqueId val="{00000002-569B-44B2-83C3-0443E877159C}"/>
            </c:ext>
          </c:extLst>
        </c:ser>
        <c:dLbls>
          <c:showLegendKey val="0"/>
          <c:showVal val="0"/>
          <c:showCatName val="0"/>
          <c:showSerName val="0"/>
          <c:showPercent val="0"/>
          <c:showBubbleSize val="0"/>
        </c:dLbls>
        <c:smooth val="0"/>
        <c:axId val="2110527898"/>
        <c:axId val="448579540"/>
      </c:lineChart>
      <c:catAx>
        <c:axId val="211052789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448579540"/>
        <c:crosses val="autoZero"/>
        <c:auto val="1"/>
        <c:lblAlgn val="ctr"/>
        <c:lblOffset val="100"/>
        <c:noMultiLvlLbl val="1"/>
      </c:catAx>
      <c:valAx>
        <c:axId val="44857954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2110527898"/>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vaciado C2</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'120segT'!$AD$53:$AD$62</c:f>
              <c:numCache>
                <c:formatCode>0</c:formatCode>
                <c:ptCount val="10"/>
                <c:pt idx="0">
                  <c:v>6.7777777777777777</c:v>
                </c:pt>
                <c:pt idx="1">
                  <c:v>1.8888888888888888</c:v>
                </c:pt>
                <c:pt idx="2">
                  <c:v>4.7777777777777777</c:v>
                </c:pt>
                <c:pt idx="3">
                  <c:v>17.333333333333332</c:v>
                </c:pt>
                <c:pt idx="4">
                  <c:v>3.5555555555555554</c:v>
                </c:pt>
                <c:pt idx="5">
                  <c:v>1.8888888888888888</c:v>
                </c:pt>
                <c:pt idx="6">
                  <c:v>9.3333333333333339</c:v>
                </c:pt>
                <c:pt idx="7">
                  <c:v>11.555555555555555</c:v>
                </c:pt>
                <c:pt idx="8">
                  <c:v>2.8888888888888888</c:v>
                </c:pt>
                <c:pt idx="9">
                  <c:v>3.1111111111111112</c:v>
                </c:pt>
              </c:numCache>
            </c:numRef>
          </c:val>
          <c:smooth val="0"/>
          <c:extLst>
            <c:ext xmlns:c16="http://schemas.microsoft.com/office/drawing/2014/chart" uri="{C3380CC4-5D6E-409C-BE32-E72D297353CC}">
              <c16:uniqueId val="{00000000-36B2-4BBD-857E-14613A13F0E6}"/>
            </c:ext>
          </c:extLst>
        </c:ser>
        <c:ser>
          <c:idx val="1"/>
          <c:order val="1"/>
          <c:tx>
            <c:v>Inventario_Final</c:v>
          </c:tx>
          <c:spPr>
            <a:ln w="28575" cmpd="sng">
              <a:solidFill>
                <a:schemeClr val="accent2"/>
              </a:solidFill>
            </a:ln>
          </c:spPr>
          <c:marker>
            <c:symbol val="none"/>
          </c:marker>
          <c:val>
            <c:numRef>
              <c:f>'120segT'!$AG$53:$AG$62</c:f>
              <c:numCache>
                <c:formatCode>General</c:formatCode>
                <c:ptCount val="10"/>
                <c:pt idx="0">
                  <c:v>7</c:v>
                </c:pt>
                <c:pt idx="1">
                  <c:v>5</c:v>
                </c:pt>
                <c:pt idx="2">
                  <c:v>5</c:v>
                </c:pt>
                <c:pt idx="3">
                  <c:v>15</c:v>
                </c:pt>
                <c:pt idx="4">
                  <c:v>4</c:v>
                </c:pt>
                <c:pt idx="5">
                  <c:v>4</c:v>
                </c:pt>
                <c:pt idx="6">
                  <c:v>8</c:v>
                </c:pt>
                <c:pt idx="7">
                  <c:v>9</c:v>
                </c:pt>
                <c:pt idx="8">
                  <c:v>4</c:v>
                </c:pt>
                <c:pt idx="9">
                  <c:v>3</c:v>
                </c:pt>
              </c:numCache>
            </c:numRef>
          </c:val>
          <c:smooth val="0"/>
          <c:extLst>
            <c:ext xmlns:c16="http://schemas.microsoft.com/office/drawing/2014/chart" uri="{C3380CC4-5D6E-409C-BE32-E72D297353CC}">
              <c16:uniqueId val="{00000001-36B2-4BBD-857E-14613A13F0E6}"/>
            </c:ext>
          </c:extLst>
        </c:ser>
        <c:dLbls>
          <c:showLegendKey val="0"/>
          <c:showVal val="0"/>
          <c:showCatName val="0"/>
          <c:showSerName val="0"/>
          <c:showPercent val="0"/>
          <c:showBubbleSize val="0"/>
        </c:dLbls>
        <c:smooth val="0"/>
        <c:axId val="1001163913"/>
        <c:axId val="1930666152"/>
      </c:lineChart>
      <c:catAx>
        <c:axId val="1001163913"/>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930666152"/>
        <c:crosses val="autoZero"/>
        <c:auto val="1"/>
        <c:lblAlgn val="ctr"/>
        <c:lblOffset val="100"/>
        <c:noMultiLvlLbl val="1"/>
      </c:catAx>
      <c:valAx>
        <c:axId val="193066615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00116391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Lunes 18-11 18:00 hrs Llenado C2</a:t>
            </a:r>
          </a:p>
        </c:rich>
      </c:tx>
      <c:overlay val="0"/>
    </c:title>
    <c:autoTitleDeleted val="0"/>
    <c:plotArea>
      <c:layout/>
      <c:lineChart>
        <c:grouping val="standard"/>
        <c:varyColors val="1"/>
        <c:ser>
          <c:idx val="0"/>
          <c:order val="0"/>
          <c:tx>
            <c:v>Inv_inicialprom_lunes</c:v>
          </c:tx>
          <c:spPr>
            <a:ln w="28575" cmpd="sng">
              <a:solidFill>
                <a:schemeClr val="accent1"/>
              </a:solidFill>
            </a:ln>
          </c:spPr>
          <c:marker>
            <c:symbol val="none"/>
          </c:marker>
          <c:val>
            <c:numRef>
              <c:f>'120segT'!$AD$63:$AD$72</c:f>
              <c:numCache>
                <c:formatCode>0</c:formatCode>
                <c:ptCount val="10"/>
                <c:pt idx="0">
                  <c:v>9.2222222222222214</c:v>
                </c:pt>
                <c:pt idx="1">
                  <c:v>9</c:v>
                </c:pt>
                <c:pt idx="2">
                  <c:v>7.333333333333333</c:v>
                </c:pt>
                <c:pt idx="3">
                  <c:v>19.111111111111111</c:v>
                </c:pt>
                <c:pt idx="4">
                  <c:v>7.7777777777777777</c:v>
                </c:pt>
                <c:pt idx="5">
                  <c:v>11</c:v>
                </c:pt>
                <c:pt idx="6">
                  <c:v>13.555555555555555</c:v>
                </c:pt>
                <c:pt idx="7">
                  <c:v>11.777777777777779</c:v>
                </c:pt>
                <c:pt idx="8">
                  <c:v>13.111111111111111</c:v>
                </c:pt>
                <c:pt idx="9">
                  <c:v>23.111111111111111</c:v>
                </c:pt>
              </c:numCache>
            </c:numRef>
          </c:val>
          <c:smooth val="0"/>
          <c:extLst>
            <c:ext xmlns:c16="http://schemas.microsoft.com/office/drawing/2014/chart" uri="{C3380CC4-5D6E-409C-BE32-E72D297353CC}">
              <c16:uniqueId val="{00000000-42D6-4816-97CA-CC653F0BECDC}"/>
            </c:ext>
          </c:extLst>
        </c:ser>
        <c:ser>
          <c:idx val="1"/>
          <c:order val="1"/>
          <c:tx>
            <c:v>Inventario_Final</c:v>
          </c:tx>
          <c:spPr>
            <a:ln w="28575" cmpd="sng">
              <a:solidFill>
                <a:schemeClr val="accent2"/>
              </a:solidFill>
            </a:ln>
          </c:spPr>
          <c:marker>
            <c:symbol val="none"/>
          </c:marker>
          <c:val>
            <c:numRef>
              <c:f>'120segT'!$AG$63:$AG$72</c:f>
              <c:numCache>
                <c:formatCode>General</c:formatCode>
                <c:ptCount val="10"/>
                <c:pt idx="0">
                  <c:v>6</c:v>
                </c:pt>
                <c:pt idx="1">
                  <c:v>12</c:v>
                </c:pt>
                <c:pt idx="2">
                  <c:v>3</c:v>
                </c:pt>
                <c:pt idx="3">
                  <c:v>21</c:v>
                </c:pt>
                <c:pt idx="4">
                  <c:v>9</c:v>
                </c:pt>
                <c:pt idx="5">
                  <c:v>4</c:v>
                </c:pt>
                <c:pt idx="6">
                  <c:v>13</c:v>
                </c:pt>
                <c:pt idx="7">
                  <c:v>13</c:v>
                </c:pt>
                <c:pt idx="8">
                  <c:v>12</c:v>
                </c:pt>
                <c:pt idx="9">
                  <c:v>21</c:v>
                </c:pt>
              </c:numCache>
            </c:numRef>
          </c:val>
          <c:smooth val="0"/>
          <c:extLst>
            <c:ext xmlns:c16="http://schemas.microsoft.com/office/drawing/2014/chart" uri="{C3380CC4-5D6E-409C-BE32-E72D297353CC}">
              <c16:uniqueId val="{00000001-42D6-4816-97CA-CC653F0BECDC}"/>
            </c:ext>
          </c:extLst>
        </c:ser>
        <c:dLbls>
          <c:showLegendKey val="0"/>
          <c:showVal val="0"/>
          <c:showCatName val="0"/>
          <c:showSerName val="0"/>
          <c:showPercent val="0"/>
          <c:showBubbleSize val="0"/>
        </c:dLbls>
        <c:smooth val="0"/>
        <c:axId val="21806954"/>
        <c:axId val="782543726"/>
      </c:lineChart>
      <c:catAx>
        <c:axId val="21806954"/>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782543726"/>
        <c:crosses val="autoZero"/>
        <c:auto val="1"/>
        <c:lblAlgn val="ctr"/>
        <c:lblOffset val="100"/>
        <c:noMultiLvlLbl val="1"/>
      </c:catAx>
      <c:valAx>
        <c:axId val="78254372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21806954"/>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Vaciado C2</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'120segT'!$AQ$53:$AQ$62</c:f>
            </c:numRef>
          </c:val>
          <c:smooth val="0"/>
          <c:extLst>
            <c:ext xmlns:c16="http://schemas.microsoft.com/office/drawing/2014/chart" uri="{C3380CC4-5D6E-409C-BE32-E72D297353CC}">
              <c16:uniqueId val="{00000000-0924-4A63-8384-990BBA4F90CC}"/>
            </c:ext>
          </c:extLst>
        </c:ser>
        <c:dLbls>
          <c:showLegendKey val="0"/>
          <c:showVal val="0"/>
          <c:showCatName val="0"/>
          <c:showSerName val="0"/>
          <c:showPercent val="0"/>
          <c:showBubbleSize val="0"/>
        </c:dLbls>
        <c:marker val="1"/>
        <c:smooth val="0"/>
        <c:axId val="368059379"/>
        <c:axId val="1502102878"/>
      </c:lineChart>
      <c:catAx>
        <c:axId val="36805937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02102878"/>
        <c:crosses val="autoZero"/>
        <c:auto val="1"/>
        <c:lblAlgn val="ctr"/>
        <c:lblOffset val="100"/>
        <c:noMultiLvlLbl val="1"/>
      </c:catAx>
      <c:valAx>
        <c:axId val="15021028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36805937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Martes 19-11 18:00 hrs Llenado C2</a:t>
            </a:r>
          </a:p>
        </c:rich>
      </c:tx>
      <c:overlay val="0"/>
    </c:title>
    <c:autoTitleDeleted val="0"/>
    <c:plotArea>
      <c:layout/>
      <c:lineChart>
        <c:grouping val="standard"/>
        <c:varyColors val="1"/>
        <c:ser>
          <c:idx val="0"/>
          <c:order val="0"/>
          <c:tx>
            <c:v>Inv_inicialprom_martes</c:v>
          </c:tx>
          <c:spPr>
            <a:ln w="28575" cmpd="sng">
              <a:solidFill>
                <a:schemeClr val="accent1"/>
              </a:solidFill>
            </a:ln>
          </c:spPr>
          <c:marker>
            <c:symbol val="none"/>
          </c:marker>
          <c:val>
            <c:numRef>
              <c:f>'120segT'!$AQ$63:$AQ$72</c:f>
            </c:numRef>
          </c:val>
          <c:smooth val="0"/>
          <c:extLst>
            <c:ext xmlns:c16="http://schemas.microsoft.com/office/drawing/2014/chart" uri="{C3380CC4-5D6E-409C-BE32-E72D297353CC}">
              <c16:uniqueId val="{00000000-2097-4DD5-835C-AF34DD1E7E47}"/>
            </c:ext>
          </c:extLst>
        </c:ser>
        <c:dLbls>
          <c:showLegendKey val="0"/>
          <c:showVal val="0"/>
          <c:showCatName val="0"/>
          <c:showSerName val="0"/>
          <c:showPercent val="0"/>
          <c:showBubbleSize val="0"/>
        </c:dLbls>
        <c:marker val="1"/>
        <c:smooth val="0"/>
        <c:axId val="1127831907"/>
        <c:axId val="203509757"/>
      </c:lineChart>
      <c:catAx>
        <c:axId val="1127831907"/>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03509757"/>
        <c:crosses val="autoZero"/>
        <c:auto val="1"/>
        <c:lblAlgn val="ctr"/>
        <c:lblOffset val="100"/>
        <c:noMultiLvlLbl val="1"/>
      </c:catAx>
      <c:valAx>
        <c:axId val="20350975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127831907"/>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Vaciado C2</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'120segT'!$BD$53:$BD$62</c:f>
              <c:numCache>
                <c:formatCode>0</c:formatCode>
                <c:ptCount val="10"/>
                <c:pt idx="0">
                  <c:v>2.2222222222222223</c:v>
                </c:pt>
                <c:pt idx="1">
                  <c:v>11.111111111111111</c:v>
                </c:pt>
                <c:pt idx="2">
                  <c:v>24.111111111111111</c:v>
                </c:pt>
                <c:pt idx="3">
                  <c:v>9.8888888888888893</c:v>
                </c:pt>
                <c:pt idx="4">
                  <c:v>0.88888888888888884</c:v>
                </c:pt>
                <c:pt idx="5">
                  <c:v>3.5555555555555554</c:v>
                </c:pt>
                <c:pt idx="6">
                  <c:v>9.6666666666666661</c:v>
                </c:pt>
                <c:pt idx="7">
                  <c:v>3.1111111111111112</c:v>
                </c:pt>
                <c:pt idx="8">
                  <c:v>9</c:v>
                </c:pt>
                <c:pt idx="9">
                  <c:v>19.444444444444443</c:v>
                </c:pt>
              </c:numCache>
            </c:numRef>
          </c:val>
          <c:smooth val="0"/>
          <c:extLst>
            <c:ext xmlns:c16="http://schemas.microsoft.com/office/drawing/2014/chart" uri="{C3380CC4-5D6E-409C-BE32-E72D297353CC}">
              <c16:uniqueId val="{00000000-0791-45F3-AECB-016552F688B6}"/>
            </c:ext>
          </c:extLst>
        </c:ser>
        <c:ser>
          <c:idx val="1"/>
          <c:order val="1"/>
          <c:tx>
            <c:v>Inventario_Final</c:v>
          </c:tx>
          <c:spPr>
            <a:ln w="28575" cmpd="sng">
              <a:solidFill>
                <a:schemeClr val="accent2"/>
              </a:solidFill>
            </a:ln>
          </c:spPr>
          <c:marker>
            <c:symbol val="none"/>
          </c:marker>
          <c:val>
            <c:numRef>
              <c:f>'120segT'!$BG$53:$BG$62</c:f>
              <c:numCache>
                <c:formatCode>General</c:formatCode>
                <c:ptCount val="10"/>
                <c:pt idx="0">
                  <c:v>8</c:v>
                </c:pt>
                <c:pt idx="1">
                  <c:v>5</c:v>
                </c:pt>
                <c:pt idx="2">
                  <c:v>7</c:v>
                </c:pt>
                <c:pt idx="3">
                  <c:v>15</c:v>
                </c:pt>
                <c:pt idx="4">
                  <c:v>5</c:v>
                </c:pt>
                <c:pt idx="5">
                  <c:v>4</c:v>
                </c:pt>
                <c:pt idx="6">
                  <c:v>9</c:v>
                </c:pt>
                <c:pt idx="7">
                  <c:v>9</c:v>
                </c:pt>
                <c:pt idx="8">
                  <c:v>4</c:v>
                </c:pt>
                <c:pt idx="9">
                  <c:v>3</c:v>
                </c:pt>
              </c:numCache>
            </c:numRef>
          </c:val>
          <c:smooth val="0"/>
          <c:extLst>
            <c:ext xmlns:c16="http://schemas.microsoft.com/office/drawing/2014/chart" uri="{C3380CC4-5D6E-409C-BE32-E72D297353CC}">
              <c16:uniqueId val="{00000001-0791-45F3-AECB-016552F688B6}"/>
            </c:ext>
          </c:extLst>
        </c:ser>
        <c:dLbls>
          <c:showLegendKey val="0"/>
          <c:showVal val="0"/>
          <c:showCatName val="0"/>
          <c:showSerName val="0"/>
          <c:showPercent val="0"/>
          <c:showBubbleSize val="0"/>
        </c:dLbls>
        <c:smooth val="0"/>
        <c:axId val="1135700046"/>
        <c:axId val="163047106"/>
      </c:lineChart>
      <c:catAx>
        <c:axId val="113570004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63047106"/>
        <c:crosses val="autoZero"/>
        <c:auto val="1"/>
        <c:lblAlgn val="ctr"/>
        <c:lblOffset val="100"/>
        <c:noMultiLvlLbl val="1"/>
      </c:catAx>
      <c:valAx>
        <c:axId val="16304710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13570004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Miércoles 20-11 18:00 hrs Llenado C2</a:t>
            </a:r>
          </a:p>
        </c:rich>
      </c:tx>
      <c:overlay val="0"/>
    </c:title>
    <c:autoTitleDeleted val="0"/>
    <c:plotArea>
      <c:layout/>
      <c:lineChart>
        <c:grouping val="standard"/>
        <c:varyColors val="1"/>
        <c:ser>
          <c:idx val="0"/>
          <c:order val="0"/>
          <c:tx>
            <c:v>Inv_inicialprom_miercoles</c:v>
          </c:tx>
          <c:spPr>
            <a:ln w="28575" cmpd="sng">
              <a:solidFill>
                <a:schemeClr val="accent1"/>
              </a:solidFill>
            </a:ln>
          </c:spPr>
          <c:marker>
            <c:symbol val="none"/>
          </c:marker>
          <c:val>
            <c:numRef>
              <c:f>'120segT'!$BD$63:$BD$72</c:f>
              <c:numCache>
                <c:formatCode>0</c:formatCode>
                <c:ptCount val="10"/>
                <c:pt idx="0">
                  <c:v>1.5555555555555556</c:v>
                </c:pt>
                <c:pt idx="1">
                  <c:v>3.4444444444444446</c:v>
                </c:pt>
                <c:pt idx="2">
                  <c:v>20</c:v>
                </c:pt>
                <c:pt idx="3">
                  <c:v>6.4444444444444446</c:v>
                </c:pt>
                <c:pt idx="4">
                  <c:v>9.3333333333333339</c:v>
                </c:pt>
                <c:pt idx="5">
                  <c:v>6.8888888888888893</c:v>
                </c:pt>
                <c:pt idx="6">
                  <c:v>6.333333333333333</c:v>
                </c:pt>
                <c:pt idx="7">
                  <c:v>9</c:v>
                </c:pt>
                <c:pt idx="8">
                  <c:v>12.555555555555555</c:v>
                </c:pt>
                <c:pt idx="9">
                  <c:v>11.111111111111111</c:v>
                </c:pt>
              </c:numCache>
            </c:numRef>
          </c:val>
          <c:smooth val="0"/>
          <c:extLst>
            <c:ext xmlns:c16="http://schemas.microsoft.com/office/drawing/2014/chart" uri="{C3380CC4-5D6E-409C-BE32-E72D297353CC}">
              <c16:uniqueId val="{00000000-9EB7-4ABF-A084-899B3148FD53}"/>
            </c:ext>
          </c:extLst>
        </c:ser>
        <c:ser>
          <c:idx val="1"/>
          <c:order val="1"/>
          <c:tx>
            <c:v>Inventario_Final</c:v>
          </c:tx>
          <c:spPr>
            <a:ln w="28575" cmpd="sng">
              <a:solidFill>
                <a:schemeClr val="accent2"/>
              </a:solidFill>
            </a:ln>
          </c:spPr>
          <c:marker>
            <c:symbol val="none"/>
          </c:marker>
          <c:val>
            <c:numRef>
              <c:f>'120segT'!$BG$63:$BG$72</c:f>
              <c:numCache>
                <c:formatCode>General</c:formatCode>
                <c:ptCount val="10"/>
                <c:pt idx="0">
                  <c:v>10</c:v>
                </c:pt>
                <c:pt idx="1">
                  <c:v>11</c:v>
                </c:pt>
                <c:pt idx="2">
                  <c:v>8</c:v>
                </c:pt>
                <c:pt idx="3">
                  <c:v>19</c:v>
                </c:pt>
                <c:pt idx="4">
                  <c:v>2</c:v>
                </c:pt>
                <c:pt idx="5">
                  <c:v>12</c:v>
                </c:pt>
                <c:pt idx="6">
                  <c:v>16</c:v>
                </c:pt>
                <c:pt idx="7">
                  <c:v>8</c:v>
                </c:pt>
                <c:pt idx="8">
                  <c:v>16</c:v>
                </c:pt>
                <c:pt idx="9">
                  <c:v>24</c:v>
                </c:pt>
              </c:numCache>
            </c:numRef>
          </c:val>
          <c:smooth val="0"/>
          <c:extLst>
            <c:ext xmlns:c16="http://schemas.microsoft.com/office/drawing/2014/chart" uri="{C3380CC4-5D6E-409C-BE32-E72D297353CC}">
              <c16:uniqueId val="{00000001-9EB7-4ABF-A084-899B3148FD53}"/>
            </c:ext>
          </c:extLst>
        </c:ser>
        <c:dLbls>
          <c:showLegendKey val="0"/>
          <c:showVal val="0"/>
          <c:showCatName val="0"/>
          <c:showSerName val="0"/>
          <c:showPercent val="0"/>
          <c:showBubbleSize val="0"/>
        </c:dLbls>
        <c:smooth val="0"/>
        <c:axId val="1990018153"/>
        <c:axId val="1196216096"/>
      </c:lineChart>
      <c:catAx>
        <c:axId val="1990018153"/>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196216096"/>
        <c:crosses val="autoZero"/>
        <c:auto val="1"/>
        <c:lblAlgn val="ctr"/>
        <c:lblOffset val="100"/>
        <c:noMultiLvlLbl val="1"/>
      </c:catAx>
      <c:valAx>
        <c:axId val="119621609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990018153"/>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Vaciado C2</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'120segT'!$BQ$53:$BQ$62</c:f>
              <c:numCache>
                <c:formatCode>0</c:formatCode>
                <c:ptCount val="10"/>
                <c:pt idx="0">
                  <c:v>7.8888888888888893</c:v>
                </c:pt>
                <c:pt idx="1">
                  <c:v>3.1111111111111112</c:v>
                </c:pt>
                <c:pt idx="2">
                  <c:v>2.5555555555555554</c:v>
                </c:pt>
                <c:pt idx="3">
                  <c:v>19.333333333333332</c:v>
                </c:pt>
                <c:pt idx="4">
                  <c:v>4.333333333333333</c:v>
                </c:pt>
                <c:pt idx="5">
                  <c:v>1.6666666666666667</c:v>
                </c:pt>
                <c:pt idx="6">
                  <c:v>7.1111111111111107</c:v>
                </c:pt>
                <c:pt idx="7">
                  <c:v>8.2222222222222214</c:v>
                </c:pt>
                <c:pt idx="8">
                  <c:v>1.3333333333333333</c:v>
                </c:pt>
                <c:pt idx="9">
                  <c:v>4.4444444444444446</c:v>
                </c:pt>
              </c:numCache>
            </c:numRef>
          </c:val>
          <c:smooth val="0"/>
          <c:extLst>
            <c:ext xmlns:c16="http://schemas.microsoft.com/office/drawing/2014/chart" uri="{C3380CC4-5D6E-409C-BE32-E72D297353CC}">
              <c16:uniqueId val="{00000000-B395-4DE1-B7C0-7AAF878C0ACB}"/>
            </c:ext>
          </c:extLst>
        </c:ser>
        <c:ser>
          <c:idx val="1"/>
          <c:order val="1"/>
          <c:tx>
            <c:v>Inventario_Final</c:v>
          </c:tx>
          <c:spPr>
            <a:ln w="28575" cmpd="sng">
              <a:solidFill>
                <a:schemeClr val="accent2"/>
              </a:solidFill>
            </a:ln>
          </c:spPr>
          <c:marker>
            <c:symbol val="none"/>
          </c:marker>
          <c:val>
            <c:numRef>
              <c:f>'120segT'!$BT$53:$BT$62</c:f>
              <c:numCache>
                <c:formatCode>General</c:formatCode>
                <c:ptCount val="10"/>
                <c:pt idx="0">
                  <c:v>8</c:v>
                </c:pt>
                <c:pt idx="1">
                  <c:v>5</c:v>
                </c:pt>
                <c:pt idx="2">
                  <c:v>5</c:v>
                </c:pt>
                <c:pt idx="3">
                  <c:v>15</c:v>
                </c:pt>
                <c:pt idx="4">
                  <c:v>4</c:v>
                </c:pt>
                <c:pt idx="5">
                  <c:v>4</c:v>
                </c:pt>
                <c:pt idx="6">
                  <c:v>8</c:v>
                </c:pt>
                <c:pt idx="7">
                  <c:v>9</c:v>
                </c:pt>
                <c:pt idx="8">
                  <c:v>4</c:v>
                </c:pt>
                <c:pt idx="9">
                  <c:v>3</c:v>
                </c:pt>
              </c:numCache>
            </c:numRef>
          </c:val>
          <c:smooth val="0"/>
          <c:extLst>
            <c:ext xmlns:c16="http://schemas.microsoft.com/office/drawing/2014/chart" uri="{C3380CC4-5D6E-409C-BE32-E72D297353CC}">
              <c16:uniqueId val="{00000001-B395-4DE1-B7C0-7AAF878C0ACB}"/>
            </c:ext>
          </c:extLst>
        </c:ser>
        <c:ser>
          <c:idx val="2"/>
          <c:order val="2"/>
          <c:tx>
            <c:v>Capacidad</c:v>
          </c:tx>
          <c:spPr>
            <a:ln w="28575" cmpd="sng">
              <a:solidFill>
                <a:schemeClr val="accent3"/>
              </a:solidFill>
            </a:ln>
          </c:spPr>
          <c:marker>
            <c:symbol val="none"/>
          </c:marker>
          <c:val>
            <c:numRef>
              <c:f>'120segT'!$BW$53:$BW$62</c:f>
              <c:numCache>
                <c:formatCode>General</c:formatCode>
                <c:ptCount val="10"/>
                <c:pt idx="0">
                  <c:v>15</c:v>
                </c:pt>
                <c:pt idx="1">
                  <c:v>11</c:v>
                </c:pt>
                <c:pt idx="2">
                  <c:v>11</c:v>
                </c:pt>
                <c:pt idx="3">
                  <c:v>41</c:v>
                </c:pt>
                <c:pt idx="4">
                  <c:v>11</c:v>
                </c:pt>
                <c:pt idx="5">
                  <c:v>7</c:v>
                </c:pt>
                <c:pt idx="6">
                  <c:v>23</c:v>
                </c:pt>
                <c:pt idx="7">
                  <c:v>23</c:v>
                </c:pt>
                <c:pt idx="8">
                  <c:v>11</c:v>
                </c:pt>
                <c:pt idx="9">
                  <c:v>7</c:v>
                </c:pt>
              </c:numCache>
            </c:numRef>
          </c:val>
          <c:smooth val="0"/>
          <c:extLst>
            <c:ext xmlns:c16="http://schemas.microsoft.com/office/drawing/2014/chart" uri="{C3380CC4-5D6E-409C-BE32-E72D297353CC}">
              <c16:uniqueId val="{00000002-B395-4DE1-B7C0-7AAF878C0ACB}"/>
            </c:ext>
          </c:extLst>
        </c:ser>
        <c:dLbls>
          <c:showLegendKey val="0"/>
          <c:showVal val="0"/>
          <c:showCatName val="0"/>
          <c:showSerName val="0"/>
          <c:showPercent val="0"/>
          <c:showBubbleSize val="0"/>
        </c:dLbls>
        <c:smooth val="0"/>
        <c:axId val="160400965"/>
        <c:axId val="225984804"/>
      </c:lineChart>
      <c:catAx>
        <c:axId val="16040096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25984804"/>
        <c:crosses val="autoZero"/>
        <c:auto val="1"/>
        <c:lblAlgn val="ctr"/>
        <c:lblOffset val="100"/>
        <c:noMultiLvlLbl val="1"/>
      </c:catAx>
      <c:valAx>
        <c:axId val="2259848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6040096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Jueves 21-11 18:00 hrs Llenado C2</a:t>
            </a:r>
          </a:p>
        </c:rich>
      </c:tx>
      <c:overlay val="0"/>
    </c:title>
    <c:autoTitleDeleted val="0"/>
    <c:plotArea>
      <c:layout/>
      <c:lineChart>
        <c:grouping val="standard"/>
        <c:varyColors val="1"/>
        <c:ser>
          <c:idx val="0"/>
          <c:order val="0"/>
          <c:tx>
            <c:v>Inv_inicialprom_jueves</c:v>
          </c:tx>
          <c:spPr>
            <a:ln w="28575" cmpd="sng">
              <a:solidFill>
                <a:schemeClr val="accent1"/>
              </a:solidFill>
            </a:ln>
          </c:spPr>
          <c:marker>
            <c:symbol val="none"/>
          </c:marker>
          <c:val>
            <c:numRef>
              <c:f>'120segT'!$BQ$63:$BQ$72</c:f>
              <c:numCache>
                <c:formatCode>0</c:formatCode>
                <c:ptCount val="10"/>
                <c:pt idx="0">
                  <c:v>9.8888888888888893</c:v>
                </c:pt>
                <c:pt idx="1">
                  <c:v>12.222222222222221</c:v>
                </c:pt>
                <c:pt idx="2">
                  <c:v>8.2222222222222214</c:v>
                </c:pt>
                <c:pt idx="3">
                  <c:v>18.666666666666668</c:v>
                </c:pt>
                <c:pt idx="4">
                  <c:v>8.3333333333333339</c:v>
                </c:pt>
                <c:pt idx="5">
                  <c:v>12.777777777777779</c:v>
                </c:pt>
                <c:pt idx="6">
                  <c:v>14.222222222222221</c:v>
                </c:pt>
                <c:pt idx="7">
                  <c:v>10.555555555555555</c:v>
                </c:pt>
                <c:pt idx="8">
                  <c:v>12.666666666666666</c:v>
                </c:pt>
                <c:pt idx="9">
                  <c:v>24</c:v>
                </c:pt>
              </c:numCache>
            </c:numRef>
          </c:val>
          <c:smooth val="0"/>
          <c:extLst>
            <c:ext xmlns:c16="http://schemas.microsoft.com/office/drawing/2014/chart" uri="{C3380CC4-5D6E-409C-BE32-E72D297353CC}">
              <c16:uniqueId val="{00000000-79BD-4842-B615-F333396AB5C9}"/>
            </c:ext>
          </c:extLst>
        </c:ser>
        <c:ser>
          <c:idx val="1"/>
          <c:order val="1"/>
          <c:tx>
            <c:v>Inventario_Final</c:v>
          </c:tx>
          <c:spPr>
            <a:ln w="28575" cmpd="sng">
              <a:solidFill>
                <a:schemeClr val="accent2"/>
              </a:solidFill>
            </a:ln>
          </c:spPr>
          <c:marker>
            <c:symbol val="none"/>
          </c:marker>
          <c:val>
            <c:numRef>
              <c:f>'120segT'!$BT$63:$BT$72</c:f>
              <c:numCache>
                <c:formatCode>General</c:formatCode>
                <c:ptCount val="10"/>
                <c:pt idx="0">
                  <c:v>6</c:v>
                </c:pt>
                <c:pt idx="1">
                  <c:v>12</c:v>
                </c:pt>
                <c:pt idx="2">
                  <c:v>4</c:v>
                </c:pt>
                <c:pt idx="3">
                  <c:v>19</c:v>
                </c:pt>
                <c:pt idx="4">
                  <c:v>7</c:v>
                </c:pt>
                <c:pt idx="5">
                  <c:v>5</c:v>
                </c:pt>
                <c:pt idx="6">
                  <c:v>16</c:v>
                </c:pt>
                <c:pt idx="7">
                  <c:v>3</c:v>
                </c:pt>
                <c:pt idx="8">
                  <c:v>15</c:v>
                </c:pt>
                <c:pt idx="9">
                  <c:v>23</c:v>
                </c:pt>
              </c:numCache>
            </c:numRef>
          </c:val>
          <c:smooth val="0"/>
          <c:extLst>
            <c:ext xmlns:c16="http://schemas.microsoft.com/office/drawing/2014/chart" uri="{C3380CC4-5D6E-409C-BE32-E72D297353CC}">
              <c16:uniqueId val="{00000001-79BD-4842-B615-F333396AB5C9}"/>
            </c:ext>
          </c:extLst>
        </c:ser>
        <c:ser>
          <c:idx val="2"/>
          <c:order val="2"/>
          <c:tx>
            <c:v>Capacidad</c:v>
          </c:tx>
          <c:spPr>
            <a:ln w="28575" cmpd="sng">
              <a:solidFill>
                <a:schemeClr val="accent3"/>
              </a:solidFill>
            </a:ln>
          </c:spPr>
          <c:marker>
            <c:symbol val="none"/>
          </c:marker>
          <c:val>
            <c:numRef>
              <c:f>'120segT'!$BW$63:$BW$72</c:f>
              <c:numCache>
                <c:formatCode>General</c:formatCode>
                <c:ptCount val="10"/>
                <c:pt idx="0">
                  <c:v>15</c:v>
                </c:pt>
                <c:pt idx="1">
                  <c:v>15</c:v>
                </c:pt>
                <c:pt idx="2">
                  <c:v>11</c:v>
                </c:pt>
                <c:pt idx="3">
                  <c:v>23</c:v>
                </c:pt>
                <c:pt idx="4">
                  <c:v>11</c:v>
                </c:pt>
                <c:pt idx="5">
                  <c:v>17</c:v>
                </c:pt>
                <c:pt idx="6">
                  <c:v>19</c:v>
                </c:pt>
                <c:pt idx="7">
                  <c:v>15</c:v>
                </c:pt>
                <c:pt idx="8">
                  <c:v>19</c:v>
                </c:pt>
                <c:pt idx="9">
                  <c:v>27</c:v>
                </c:pt>
              </c:numCache>
            </c:numRef>
          </c:val>
          <c:smooth val="0"/>
          <c:extLst>
            <c:ext xmlns:c16="http://schemas.microsoft.com/office/drawing/2014/chart" uri="{C3380CC4-5D6E-409C-BE32-E72D297353CC}">
              <c16:uniqueId val="{00000002-79BD-4842-B615-F333396AB5C9}"/>
            </c:ext>
          </c:extLst>
        </c:ser>
        <c:dLbls>
          <c:showLegendKey val="0"/>
          <c:showVal val="0"/>
          <c:showCatName val="0"/>
          <c:showSerName val="0"/>
          <c:showPercent val="0"/>
          <c:showBubbleSize val="0"/>
        </c:dLbls>
        <c:smooth val="0"/>
        <c:axId val="1118625635"/>
        <c:axId val="1702899554"/>
      </c:lineChart>
      <c:catAx>
        <c:axId val="1118625635"/>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02899554"/>
        <c:crosses val="autoZero"/>
        <c:auto val="1"/>
        <c:lblAlgn val="ctr"/>
        <c:lblOffset val="100"/>
        <c:noMultiLvlLbl val="1"/>
      </c:catAx>
      <c:valAx>
        <c:axId val="170289955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118625635"/>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Viernes 22-11 18:00 hrs Vaciado C2</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'120segT'!$CD$53:$CD$62</c:f>
              <c:numCache>
                <c:formatCode>0</c:formatCode>
                <c:ptCount val="10"/>
                <c:pt idx="0">
                  <c:v>6.1111111111111107</c:v>
                </c:pt>
                <c:pt idx="1">
                  <c:v>3.2222222222222223</c:v>
                </c:pt>
                <c:pt idx="2">
                  <c:v>3.8888888888888888</c:v>
                </c:pt>
                <c:pt idx="3">
                  <c:v>16.777777777777779</c:v>
                </c:pt>
                <c:pt idx="4">
                  <c:v>2.5555555555555554</c:v>
                </c:pt>
                <c:pt idx="5">
                  <c:v>1.2222222222222223</c:v>
                </c:pt>
                <c:pt idx="6">
                  <c:v>7.5555555555555554</c:v>
                </c:pt>
                <c:pt idx="7">
                  <c:v>8.2222222222222214</c:v>
                </c:pt>
                <c:pt idx="8">
                  <c:v>2.1111111111111112</c:v>
                </c:pt>
                <c:pt idx="9">
                  <c:v>3.2222222222222223</c:v>
                </c:pt>
              </c:numCache>
            </c:numRef>
          </c:val>
          <c:smooth val="0"/>
          <c:extLst>
            <c:ext xmlns:c16="http://schemas.microsoft.com/office/drawing/2014/chart" uri="{C3380CC4-5D6E-409C-BE32-E72D297353CC}">
              <c16:uniqueId val="{00000000-F514-4C7A-9EE8-A966F2506F6D}"/>
            </c:ext>
          </c:extLst>
        </c:ser>
        <c:ser>
          <c:idx val="1"/>
          <c:order val="1"/>
          <c:tx>
            <c:v>Inventario_Final</c:v>
          </c:tx>
          <c:spPr>
            <a:ln w="28575" cmpd="sng">
              <a:solidFill>
                <a:schemeClr val="accent2"/>
              </a:solidFill>
            </a:ln>
          </c:spPr>
          <c:marker>
            <c:symbol val="none"/>
          </c:marker>
          <c:val>
            <c:numRef>
              <c:f>'120segT'!$CG$53:$CG$62</c:f>
              <c:numCache>
                <c:formatCode>General</c:formatCode>
                <c:ptCount val="10"/>
                <c:pt idx="0">
                  <c:v>7</c:v>
                </c:pt>
                <c:pt idx="1">
                  <c:v>5</c:v>
                </c:pt>
                <c:pt idx="2">
                  <c:v>5</c:v>
                </c:pt>
                <c:pt idx="3">
                  <c:v>15</c:v>
                </c:pt>
                <c:pt idx="4">
                  <c:v>4</c:v>
                </c:pt>
                <c:pt idx="5">
                  <c:v>4</c:v>
                </c:pt>
                <c:pt idx="6">
                  <c:v>8</c:v>
                </c:pt>
                <c:pt idx="7">
                  <c:v>11</c:v>
                </c:pt>
                <c:pt idx="8">
                  <c:v>4</c:v>
                </c:pt>
                <c:pt idx="9">
                  <c:v>3</c:v>
                </c:pt>
              </c:numCache>
            </c:numRef>
          </c:val>
          <c:smooth val="0"/>
          <c:extLst>
            <c:ext xmlns:c16="http://schemas.microsoft.com/office/drawing/2014/chart" uri="{C3380CC4-5D6E-409C-BE32-E72D297353CC}">
              <c16:uniqueId val="{00000001-F514-4C7A-9EE8-A966F2506F6D}"/>
            </c:ext>
          </c:extLst>
        </c:ser>
        <c:ser>
          <c:idx val="2"/>
          <c:order val="2"/>
          <c:tx>
            <c:v>Capacidad</c:v>
          </c:tx>
          <c:spPr>
            <a:ln w="28575" cmpd="sng">
              <a:solidFill>
                <a:schemeClr val="accent3"/>
              </a:solidFill>
            </a:ln>
          </c:spPr>
          <c:marker>
            <c:symbol val="none"/>
          </c:marker>
          <c:val>
            <c:numRef>
              <c:f>'120segT'!$CJ$53:$CJ$62</c:f>
              <c:numCache>
                <c:formatCode>General</c:formatCode>
                <c:ptCount val="10"/>
                <c:pt idx="0">
                  <c:v>15</c:v>
                </c:pt>
                <c:pt idx="1">
                  <c:v>11</c:v>
                </c:pt>
                <c:pt idx="2">
                  <c:v>11</c:v>
                </c:pt>
                <c:pt idx="3">
                  <c:v>41</c:v>
                </c:pt>
                <c:pt idx="4">
                  <c:v>11</c:v>
                </c:pt>
                <c:pt idx="5">
                  <c:v>7</c:v>
                </c:pt>
                <c:pt idx="6">
                  <c:v>23</c:v>
                </c:pt>
                <c:pt idx="7">
                  <c:v>23</c:v>
                </c:pt>
                <c:pt idx="8">
                  <c:v>11</c:v>
                </c:pt>
                <c:pt idx="9">
                  <c:v>7</c:v>
                </c:pt>
              </c:numCache>
            </c:numRef>
          </c:val>
          <c:smooth val="0"/>
          <c:extLst>
            <c:ext xmlns:c16="http://schemas.microsoft.com/office/drawing/2014/chart" uri="{C3380CC4-5D6E-409C-BE32-E72D297353CC}">
              <c16:uniqueId val="{00000002-F514-4C7A-9EE8-A966F2506F6D}"/>
            </c:ext>
          </c:extLst>
        </c:ser>
        <c:dLbls>
          <c:showLegendKey val="0"/>
          <c:showVal val="0"/>
          <c:showCatName val="0"/>
          <c:showSerName val="0"/>
          <c:showPercent val="0"/>
          <c:showBubbleSize val="0"/>
        </c:dLbls>
        <c:smooth val="0"/>
        <c:axId val="1881629068"/>
        <c:axId val="894351413"/>
      </c:lineChart>
      <c:catAx>
        <c:axId val="1881629068"/>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894351413"/>
        <c:crosses val="autoZero"/>
        <c:auto val="1"/>
        <c:lblAlgn val="ctr"/>
        <c:lblOffset val="100"/>
        <c:noMultiLvlLbl val="1"/>
      </c:catAx>
      <c:valAx>
        <c:axId val="89435141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881629068"/>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Viernes 22-11 18:00 hrs Llenado C2</a:t>
            </a:r>
          </a:p>
        </c:rich>
      </c:tx>
      <c:overlay val="0"/>
    </c:title>
    <c:autoTitleDeleted val="0"/>
    <c:plotArea>
      <c:layout/>
      <c:lineChart>
        <c:grouping val="standard"/>
        <c:varyColors val="1"/>
        <c:ser>
          <c:idx val="0"/>
          <c:order val="0"/>
          <c:tx>
            <c:v>Inv_inicialprom_viernes</c:v>
          </c:tx>
          <c:spPr>
            <a:ln w="28575" cmpd="sng">
              <a:solidFill>
                <a:schemeClr val="accent1"/>
              </a:solidFill>
            </a:ln>
          </c:spPr>
          <c:marker>
            <c:symbol val="none"/>
          </c:marker>
          <c:val>
            <c:numRef>
              <c:f>'120segT'!$CD$63:$CD$72</c:f>
              <c:numCache>
                <c:formatCode>0</c:formatCode>
                <c:ptCount val="10"/>
                <c:pt idx="0">
                  <c:v>8.1111111111111107</c:v>
                </c:pt>
                <c:pt idx="1">
                  <c:v>11</c:v>
                </c:pt>
                <c:pt idx="2">
                  <c:v>6.7777777777777777</c:v>
                </c:pt>
                <c:pt idx="3">
                  <c:v>21.222222222222221</c:v>
                </c:pt>
                <c:pt idx="4">
                  <c:v>7.4444444444444446</c:v>
                </c:pt>
                <c:pt idx="5">
                  <c:v>11.222222222222221</c:v>
                </c:pt>
                <c:pt idx="6">
                  <c:v>12.555555555555555</c:v>
                </c:pt>
                <c:pt idx="7">
                  <c:v>8.2222222222222214</c:v>
                </c:pt>
                <c:pt idx="8">
                  <c:v>13.222222222222221</c:v>
                </c:pt>
                <c:pt idx="9">
                  <c:v>24.777777777777779</c:v>
                </c:pt>
              </c:numCache>
            </c:numRef>
          </c:val>
          <c:smooth val="0"/>
          <c:extLst>
            <c:ext xmlns:c16="http://schemas.microsoft.com/office/drawing/2014/chart" uri="{C3380CC4-5D6E-409C-BE32-E72D297353CC}">
              <c16:uniqueId val="{00000000-8D89-420B-A318-FF3654F363A4}"/>
            </c:ext>
          </c:extLst>
        </c:ser>
        <c:ser>
          <c:idx val="1"/>
          <c:order val="1"/>
          <c:tx>
            <c:v>Inventario_Final</c:v>
          </c:tx>
          <c:spPr>
            <a:ln w="28575" cmpd="sng">
              <a:solidFill>
                <a:schemeClr val="accent2"/>
              </a:solidFill>
            </a:ln>
          </c:spPr>
          <c:marker>
            <c:symbol val="none"/>
          </c:marker>
          <c:val>
            <c:numRef>
              <c:f>'120segT'!$CG$63:$CG$72</c:f>
              <c:numCache>
                <c:formatCode>General</c:formatCode>
                <c:ptCount val="10"/>
                <c:pt idx="0">
                  <c:v>3</c:v>
                </c:pt>
                <c:pt idx="1">
                  <c:v>5</c:v>
                </c:pt>
                <c:pt idx="2">
                  <c:v>6</c:v>
                </c:pt>
                <c:pt idx="3">
                  <c:v>21</c:v>
                </c:pt>
                <c:pt idx="4">
                  <c:v>3</c:v>
                </c:pt>
                <c:pt idx="5">
                  <c:v>14</c:v>
                </c:pt>
                <c:pt idx="6">
                  <c:v>16</c:v>
                </c:pt>
                <c:pt idx="7">
                  <c:v>12</c:v>
                </c:pt>
                <c:pt idx="8">
                  <c:v>12</c:v>
                </c:pt>
                <c:pt idx="9">
                  <c:v>14</c:v>
                </c:pt>
              </c:numCache>
            </c:numRef>
          </c:val>
          <c:smooth val="0"/>
          <c:extLst>
            <c:ext xmlns:c16="http://schemas.microsoft.com/office/drawing/2014/chart" uri="{C3380CC4-5D6E-409C-BE32-E72D297353CC}">
              <c16:uniqueId val="{00000001-8D89-420B-A318-FF3654F363A4}"/>
            </c:ext>
          </c:extLst>
        </c:ser>
        <c:ser>
          <c:idx val="2"/>
          <c:order val="2"/>
          <c:tx>
            <c:v>Capacidad</c:v>
          </c:tx>
          <c:spPr>
            <a:ln w="28575" cmpd="sng">
              <a:solidFill>
                <a:schemeClr val="accent3"/>
              </a:solidFill>
            </a:ln>
          </c:spPr>
          <c:marker>
            <c:symbol val="none"/>
          </c:marker>
          <c:val>
            <c:numRef>
              <c:f>'120segT'!$CJ$63:$CJ$72</c:f>
              <c:numCache>
                <c:formatCode>General</c:formatCode>
                <c:ptCount val="10"/>
                <c:pt idx="0">
                  <c:v>15</c:v>
                </c:pt>
                <c:pt idx="1">
                  <c:v>15</c:v>
                </c:pt>
                <c:pt idx="2">
                  <c:v>11</c:v>
                </c:pt>
                <c:pt idx="3">
                  <c:v>23</c:v>
                </c:pt>
                <c:pt idx="4">
                  <c:v>11</c:v>
                </c:pt>
                <c:pt idx="5">
                  <c:v>17</c:v>
                </c:pt>
                <c:pt idx="6">
                  <c:v>19</c:v>
                </c:pt>
                <c:pt idx="7">
                  <c:v>15</c:v>
                </c:pt>
                <c:pt idx="8">
                  <c:v>19</c:v>
                </c:pt>
                <c:pt idx="9">
                  <c:v>27</c:v>
                </c:pt>
              </c:numCache>
            </c:numRef>
          </c:val>
          <c:smooth val="0"/>
          <c:extLst>
            <c:ext xmlns:c16="http://schemas.microsoft.com/office/drawing/2014/chart" uri="{C3380CC4-5D6E-409C-BE32-E72D297353CC}">
              <c16:uniqueId val="{00000002-8D89-420B-A318-FF3654F363A4}"/>
            </c:ext>
          </c:extLst>
        </c:ser>
        <c:dLbls>
          <c:showLegendKey val="0"/>
          <c:showVal val="0"/>
          <c:showCatName val="0"/>
          <c:showSerName val="0"/>
          <c:showPercent val="0"/>
          <c:showBubbleSize val="0"/>
        </c:dLbls>
        <c:smooth val="0"/>
        <c:axId val="1292744131"/>
        <c:axId val="31652112"/>
      </c:lineChart>
      <c:catAx>
        <c:axId val="129274413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31652112"/>
        <c:crosses val="autoZero"/>
        <c:auto val="1"/>
        <c:lblAlgn val="ctr"/>
        <c:lblOffset val="100"/>
        <c:noMultiLvlLbl val="1"/>
      </c:catAx>
      <c:valAx>
        <c:axId val="3165211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29274413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Sábado 23-11 18:00 hrs Vaciado C2</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'120segT'!$CQ$53:$CQ$62</c:f>
              <c:numCache>
                <c:formatCode>0</c:formatCode>
                <c:ptCount val="10"/>
                <c:pt idx="0">
                  <c:v>4.4444444444444446</c:v>
                </c:pt>
                <c:pt idx="1">
                  <c:v>3.7777777777777777</c:v>
                </c:pt>
                <c:pt idx="2">
                  <c:v>3.3333333333333335</c:v>
                </c:pt>
                <c:pt idx="3">
                  <c:v>14.555555555555555</c:v>
                </c:pt>
                <c:pt idx="4">
                  <c:v>4.5555555555555554</c:v>
                </c:pt>
                <c:pt idx="5">
                  <c:v>1.5555555555555556</c:v>
                </c:pt>
                <c:pt idx="6">
                  <c:v>6.8888888888888893</c:v>
                </c:pt>
                <c:pt idx="7">
                  <c:v>7</c:v>
                </c:pt>
                <c:pt idx="8">
                  <c:v>5.7777777777777777</c:v>
                </c:pt>
                <c:pt idx="9">
                  <c:v>2.7777777777777777</c:v>
                </c:pt>
              </c:numCache>
            </c:numRef>
          </c:val>
          <c:smooth val="0"/>
          <c:extLst>
            <c:ext xmlns:c16="http://schemas.microsoft.com/office/drawing/2014/chart" uri="{C3380CC4-5D6E-409C-BE32-E72D297353CC}">
              <c16:uniqueId val="{00000000-40A0-4C86-A675-459037E107EB}"/>
            </c:ext>
          </c:extLst>
        </c:ser>
        <c:ser>
          <c:idx val="1"/>
          <c:order val="1"/>
          <c:tx>
            <c:v>Inventario_Final</c:v>
          </c:tx>
          <c:spPr>
            <a:ln w="28575" cmpd="sng">
              <a:solidFill>
                <a:schemeClr val="accent2"/>
              </a:solidFill>
            </a:ln>
          </c:spPr>
          <c:marker>
            <c:symbol val="none"/>
          </c:marker>
          <c:val>
            <c:numRef>
              <c:f>'120segT'!$CT$53:$CT$62</c:f>
              <c:numCache>
                <c:formatCode>General</c:formatCode>
                <c:ptCount val="10"/>
                <c:pt idx="0">
                  <c:v>7</c:v>
                </c:pt>
                <c:pt idx="1">
                  <c:v>5</c:v>
                </c:pt>
                <c:pt idx="2">
                  <c:v>5</c:v>
                </c:pt>
                <c:pt idx="3">
                  <c:v>15</c:v>
                </c:pt>
                <c:pt idx="4">
                  <c:v>4</c:v>
                </c:pt>
                <c:pt idx="5">
                  <c:v>4</c:v>
                </c:pt>
                <c:pt idx="6">
                  <c:v>8</c:v>
                </c:pt>
                <c:pt idx="7">
                  <c:v>9</c:v>
                </c:pt>
                <c:pt idx="8">
                  <c:v>4</c:v>
                </c:pt>
                <c:pt idx="9">
                  <c:v>4</c:v>
                </c:pt>
              </c:numCache>
            </c:numRef>
          </c:val>
          <c:smooth val="0"/>
          <c:extLst>
            <c:ext xmlns:c16="http://schemas.microsoft.com/office/drawing/2014/chart" uri="{C3380CC4-5D6E-409C-BE32-E72D297353CC}">
              <c16:uniqueId val="{00000001-40A0-4C86-A675-459037E107EB}"/>
            </c:ext>
          </c:extLst>
        </c:ser>
        <c:ser>
          <c:idx val="2"/>
          <c:order val="2"/>
          <c:tx>
            <c:v>Capacidad</c:v>
          </c:tx>
          <c:spPr>
            <a:ln w="28575" cmpd="sng">
              <a:solidFill>
                <a:schemeClr val="accent3"/>
              </a:solidFill>
            </a:ln>
          </c:spPr>
          <c:marker>
            <c:symbol val="none"/>
          </c:marker>
          <c:val>
            <c:numRef>
              <c:f>'120segT'!$CW$53:$CW$62</c:f>
              <c:numCache>
                <c:formatCode>General</c:formatCode>
                <c:ptCount val="10"/>
                <c:pt idx="0">
                  <c:v>15</c:v>
                </c:pt>
                <c:pt idx="1">
                  <c:v>11</c:v>
                </c:pt>
                <c:pt idx="2">
                  <c:v>11</c:v>
                </c:pt>
                <c:pt idx="3">
                  <c:v>41</c:v>
                </c:pt>
                <c:pt idx="4">
                  <c:v>11</c:v>
                </c:pt>
                <c:pt idx="5">
                  <c:v>7</c:v>
                </c:pt>
                <c:pt idx="6">
                  <c:v>23</c:v>
                </c:pt>
                <c:pt idx="7">
                  <c:v>23</c:v>
                </c:pt>
                <c:pt idx="8">
                  <c:v>11</c:v>
                </c:pt>
                <c:pt idx="9">
                  <c:v>7</c:v>
                </c:pt>
              </c:numCache>
            </c:numRef>
          </c:val>
          <c:smooth val="0"/>
          <c:extLst>
            <c:ext xmlns:c16="http://schemas.microsoft.com/office/drawing/2014/chart" uri="{C3380CC4-5D6E-409C-BE32-E72D297353CC}">
              <c16:uniqueId val="{00000002-40A0-4C86-A675-459037E107EB}"/>
            </c:ext>
          </c:extLst>
        </c:ser>
        <c:dLbls>
          <c:showLegendKey val="0"/>
          <c:showVal val="0"/>
          <c:showCatName val="0"/>
          <c:showSerName val="0"/>
          <c:showPercent val="0"/>
          <c:showBubbleSize val="0"/>
        </c:dLbls>
        <c:smooth val="0"/>
        <c:axId val="1145586924"/>
        <c:axId val="1593017145"/>
      </c:lineChart>
      <c:catAx>
        <c:axId val="1145586924"/>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593017145"/>
        <c:crosses val="autoZero"/>
        <c:auto val="1"/>
        <c:lblAlgn val="ctr"/>
        <c:lblOffset val="100"/>
        <c:noMultiLvlLbl val="1"/>
      </c:catAx>
      <c:valAx>
        <c:axId val="159301714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145586924"/>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Sábado 23-11 18:00 hrs Llenado C2</a:t>
            </a:r>
          </a:p>
        </c:rich>
      </c:tx>
      <c:overlay val="0"/>
    </c:title>
    <c:autoTitleDeleted val="0"/>
    <c:plotArea>
      <c:layout/>
      <c:lineChart>
        <c:grouping val="standard"/>
        <c:varyColors val="1"/>
        <c:ser>
          <c:idx val="0"/>
          <c:order val="0"/>
          <c:tx>
            <c:v>Inv_inicialprom_sabado</c:v>
          </c:tx>
          <c:spPr>
            <a:ln w="28575" cmpd="sng">
              <a:solidFill>
                <a:schemeClr val="accent1"/>
              </a:solidFill>
            </a:ln>
          </c:spPr>
          <c:marker>
            <c:symbol val="none"/>
          </c:marker>
          <c:val>
            <c:numRef>
              <c:f>'120segT'!$CQ$63:$CQ$72</c:f>
              <c:numCache>
                <c:formatCode>0</c:formatCode>
                <c:ptCount val="10"/>
                <c:pt idx="0">
                  <c:v>9.5555555555555554</c:v>
                </c:pt>
                <c:pt idx="1">
                  <c:v>12.555555555555555</c:v>
                </c:pt>
                <c:pt idx="2">
                  <c:v>8.3333333333333339</c:v>
                </c:pt>
                <c:pt idx="3">
                  <c:v>16.111111111111111</c:v>
                </c:pt>
                <c:pt idx="4">
                  <c:v>8</c:v>
                </c:pt>
                <c:pt idx="5">
                  <c:v>12.888888888888889</c:v>
                </c:pt>
                <c:pt idx="6">
                  <c:v>12.111111111111111</c:v>
                </c:pt>
                <c:pt idx="7">
                  <c:v>12.111111111111111</c:v>
                </c:pt>
                <c:pt idx="8">
                  <c:v>15.666666666666666</c:v>
                </c:pt>
                <c:pt idx="9">
                  <c:v>18.777777777777779</c:v>
                </c:pt>
              </c:numCache>
            </c:numRef>
          </c:val>
          <c:smooth val="0"/>
          <c:extLst>
            <c:ext xmlns:c16="http://schemas.microsoft.com/office/drawing/2014/chart" uri="{C3380CC4-5D6E-409C-BE32-E72D297353CC}">
              <c16:uniqueId val="{00000000-51D3-4CF3-AE46-D3620B89991B}"/>
            </c:ext>
          </c:extLst>
        </c:ser>
        <c:ser>
          <c:idx val="1"/>
          <c:order val="1"/>
          <c:tx>
            <c:v>Inventario_Final</c:v>
          </c:tx>
          <c:spPr>
            <a:ln w="28575" cmpd="sng">
              <a:solidFill>
                <a:schemeClr val="accent2"/>
              </a:solidFill>
            </a:ln>
          </c:spPr>
          <c:marker>
            <c:symbol val="none"/>
          </c:marker>
          <c:val>
            <c:numRef>
              <c:f>'120segT'!$CT$63:$CT$72</c:f>
              <c:numCache>
                <c:formatCode>General</c:formatCode>
                <c:ptCount val="10"/>
                <c:pt idx="0">
                  <c:v>10</c:v>
                </c:pt>
                <c:pt idx="1">
                  <c:v>6</c:v>
                </c:pt>
                <c:pt idx="2">
                  <c:v>7</c:v>
                </c:pt>
                <c:pt idx="3">
                  <c:v>18</c:v>
                </c:pt>
                <c:pt idx="4">
                  <c:v>5</c:v>
                </c:pt>
                <c:pt idx="5">
                  <c:v>15</c:v>
                </c:pt>
                <c:pt idx="6">
                  <c:v>16</c:v>
                </c:pt>
                <c:pt idx="7">
                  <c:v>10</c:v>
                </c:pt>
                <c:pt idx="8">
                  <c:v>13</c:v>
                </c:pt>
                <c:pt idx="9">
                  <c:v>21</c:v>
                </c:pt>
              </c:numCache>
            </c:numRef>
          </c:val>
          <c:smooth val="0"/>
          <c:extLst>
            <c:ext xmlns:c16="http://schemas.microsoft.com/office/drawing/2014/chart" uri="{C3380CC4-5D6E-409C-BE32-E72D297353CC}">
              <c16:uniqueId val="{00000001-51D3-4CF3-AE46-D3620B89991B}"/>
            </c:ext>
          </c:extLst>
        </c:ser>
        <c:ser>
          <c:idx val="2"/>
          <c:order val="2"/>
          <c:tx>
            <c:v>Capacidad</c:v>
          </c:tx>
          <c:spPr>
            <a:ln w="28575" cmpd="sng">
              <a:solidFill>
                <a:schemeClr val="accent3"/>
              </a:solidFill>
            </a:ln>
          </c:spPr>
          <c:marker>
            <c:symbol val="none"/>
          </c:marker>
          <c:val>
            <c:numRef>
              <c:f>'120segT'!$CW$63:$CW$72</c:f>
              <c:numCache>
                <c:formatCode>General</c:formatCode>
                <c:ptCount val="10"/>
                <c:pt idx="0">
                  <c:v>15</c:v>
                </c:pt>
                <c:pt idx="1">
                  <c:v>15</c:v>
                </c:pt>
                <c:pt idx="2">
                  <c:v>11</c:v>
                </c:pt>
                <c:pt idx="3">
                  <c:v>23</c:v>
                </c:pt>
                <c:pt idx="4">
                  <c:v>11</c:v>
                </c:pt>
                <c:pt idx="5">
                  <c:v>17</c:v>
                </c:pt>
                <c:pt idx="6">
                  <c:v>19</c:v>
                </c:pt>
                <c:pt idx="7">
                  <c:v>15</c:v>
                </c:pt>
                <c:pt idx="8">
                  <c:v>19</c:v>
                </c:pt>
                <c:pt idx="9">
                  <c:v>27</c:v>
                </c:pt>
              </c:numCache>
            </c:numRef>
          </c:val>
          <c:smooth val="0"/>
          <c:extLst>
            <c:ext xmlns:c16="http://schemas.microsoft.com/office/drawing/2014/chart" uri="{C3380CC4-5D6E-409C-BE32-E72D297353CC}">
              <c16:uniqueId val="{00000002-51D3-4CF3-AE46-D3620B89991B}"/>
            </c:ext>
          </c:extLst>
        </c:ser>
        <c:dLbls>
          <c:showLegendKey val="0"/>
          <c:showVal val="0"/>
          <c:showCatName val="0"/>
          <c:showSerName val="0"/>
          <c:showPercent val="0"/>
          <c:showBubbleSize val="0"/>
        </c:dLbls>
        <c:smooth val="0"/>
        <c:axId val="417743326"/>
        <c:axId val="17874516"/>
      </c:lineChart>
      <c:catAx>
        <c:axId val="417743326"/>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874516"/>
        <c:crosses val="autoZero"/>
        <c:auto val="1"/>
        <c:lblAlgn val="ctr"/>
        <c:lblOffset val="100"/>
        <c:noMultiLvlLbl val="1"/>
      </c:catAx>
      <c:valAx>
        <c:axId val="178745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417743326"/>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Domingo 24-11 18:00 hrs Vaciado C2</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'120segT'!$D$86:$D$95</c:f>
              <c:numCache>
                <c:formatCode>0</c:formatCode>
                <c:ptCount val="10"/>
                <c:pt idx="0">
                  <c:v>3</c:v>
                </c:pt>
                <c:pt idx="1">
                  <c:v>1.8888888888888888</c:v>
                </c:pt>
                <c:pt idx="2">
                  <c:v>2</c:v>
                </c:pt>
                <c:pt idx="3">
                  <c:v>12.222222222222221</c:v>
                </c:pt>
                <c:pt idx="4">
                  <c:v>4.2222222222222223</c:v>
                </c:pt>
                <c:pt idx="5">
                  <c:v>1.6666666666666667</c:v>
                </c:pt>
                <c:pt idx="6">
                  <c:v>5</c:v>
                </c:pt>
                <c:pt idx="7">
                  <c:v>6.2222222222222223</c:v>
                </c:pt>
                <c:pt idx="8">
                  <c:v>3.4444444444444446</c:v>
                </c:pt>
                <c:pt idx="9">
                  <c:v>2.6666666666666665</c:v>
                </c:pt>
              </c:numCache>
            </c:numRef>
          </c:val>
          <c:smooth val="0"/>
          <c:extLst>
            <c:ext xmlns:c16="http://schemas.microsoft.com/office/drawing/2014/chart" uri="{C3380CC4-5D6E-409C-BE32-E72D297353CC}">
              <c16:uniqueId val="{00000000-2B0C-4E0F-9A56-CEEA89760EB5}"/>
            </c:ext>
          </c:extLst>
        </c:ser>
        <c:ser>
          <c:idx val="1"/>
          <c:order val="1"/>
          <c:tx>
            <c:v>Inventario_Final</c:v>
          </c:tx>
          <c:spPr>
            <a:ln w="28575" cmpd="sng">
              <a:solidFill>
                <a:schemeClr val="accent2"/>
              </a:solidFill>
            </a:ln>
          </c:spPr>
          <c:marker>
            <c:symbol val="none"/>
          </c:marker>
          <c:val>
            <c:numRef>
              <c:f>'120segT'!$G$86:$G$95</c:f>
              <c:numCache>
                <c:formatCode>General</c:formatCode>
                <c:ptCount val="10"/>
                <c:pt idx="0">
                  <c:v>7</c:v>
                </c:pt>
                <c:pt idx="1">
                  <c:v>5</c:v>
                </c:pt>
                <c:pt idx="2">
                  <c:v>5</c:v>
                </c:pt>
                <c:pt idx="3">
                  <c:v>16</c:v>
                </c:pt>
                <c:pt idx="4">
                  <c:v>4</c:v>
                </c:pt>
                <c:pt idx="5">
                  <c:v>4</c:v>
                </c:pt>
                <c:pt idx="6">
                  <c:v>8</c:v>
                </c:pt>
                <c:pt idx="7">
                  <c:v>9</c:v>
                </c:pt>
                <c:pt idx="8">
                  <c:v>4</c:v>
                </c:pt>
                <c:pt idx="9">
                  <c:v>3</c:v>
                </c:pt>
              </c:numCache>
            </c:numRef>
          </c:val>
          <c:smooth val="0"/>
          <c:extLst>
            <c:ext xmlns:c16="http://schemas.microsoft.com/office/drawing/2014/chart" uri="{C3380CC4-5D6E-409C-BE32-E72D297353CC}">
              <c16:uniqueId val="{00000001-2B0C-4E0F-9A56-CEEA89760EB5}"/>
            </c:ext>
          </c:extLst>
        </c:ser>
        <c:ser>
          <c:idx val="2"/>
          <c:order val="2"/>
          <c:tx>
            <c:v>Capacidad</c:v>
          </c:tx>
          <c:spPr>
            <a:ln w="28575" cmpd="sng">
              <a:solidFill>
                <a:schemeClr val="accent3"/>
              </a:solidFill>
            </a:ln>
          </c:spPr>
          <c:marker>
            <c:symbol val="none"/>
          </c:marker>
          <c:val>
            <c:numRef>
              <c:f>'120segT'!$J$86:$J$95</c:f>
              <c:numCache>
                <c:formatCode>General</c:formatCode>
                <c:ptCount val="10"/>
                <c:pt idx="0">
                  <c:v>15</c:v>
                </c:pt>
                <c:pt idx="1">
                  <c:v>11</c:v>
                </c:pt>
                <c:pt idx="2">
                  <c:v>11</c:v>
                </c:pt>
                <c:pt idx="3">
                  <c:v>41</c:v>
                </c:pt>
                <c:pt idx="4">
                  <c:v>11</c:v>
                </c:pt>
                <c:pt idx="5">
                  <c:v>7</c:v>
                </c:pt>
                <c:pt idx="6">
                  <c:v>23</c:v>
                </c:pt>
                <c:pt idx="7">
                  <c:v>23</c:v>
                </c:pt>
                <c:pt idx="8">
                  <c:v>11</c:v>
                </c:pt>
                <c:pt idx="9">
                  <c:v>7</c:v>
                </c:pt>
              </c:numCache>
            </c:numRef>
          </c:val>
          <c:smooth val="0"/>
          <c:extLst>
            <c:ext xmlns:c16="http://schemas.microsoft.com/office/drawing/2014/chart" uri="{C3380CC4-5D6E-409C-BE32-E72D297353CC}">
              <c16:uniqueId val="{00000002-2B0C-4E0F-9A56-CEEA89760EB5}"/>
            </c:ext>
          </c:extLst>
        </c:ser>
        <c:dLbls>
          <c:showLegendKey val="0"/>
          <c:showVal val="0"/>
          <c:showCatName val="0"/>
          <c:showSerName val="0"/>
          <c:showPercent val="0"/>
          <c:showBubbleSize val="0"/>
        </c:dLbls>
        <c:smooth val="0"/>
        <c:axId val="1256458909"/>
        <c:axId val="268657565"/>
      </c:lineChart>
      <c:catAx>
        <c:axId val="1256458909"/>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68657565"/>
        <c:crosses val="autoZero"/>
        <c:auto val="1"/>
        <c:lblAlgn val="ctr"/>
        <c:lblOffset val="100"/>
        <c:noMultiLvlLbl val="1"/>
      </c:catAx>
      <c:valAx>
        <c:axId val="26865756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1256458909"/>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CL" sz="1400" b="0" i="0">
                <a:solidFill>
                  <a:srgbClr val="757575"/>
                </a:solidFill>
                <a:latin typeface="+mn-lt"/>
              </a:rPr>
              <a:t>Comparativo inventarios reequilibrados contra histórico 
Domingo 24-11 18:00 hrs Llenado C2</a:t>
            </a:r>
          </a:p>
        </c:rich>
      </c:tx>
      <c:overlay val="0"/>
    </c:title>
    <c:autoTitleDeleted val="0"/>
    <c:plotArea>
      <c:layout/>
      <c:lineChart>
        <c:grouping val="standard"/>
        <c:varyColors val="1"/>
        <c:ser>
          <c:idx val="0"/>
          <c:order val="0"/>
          <c:tx>
            <c:v>Inv_inicialprom_domingo</c:v>
          </c:tx>
          <c:spPr>
            <a:ln w="28575" cmpd="sng">
              <a:solidFill>
                <a:schemeClr val="accent1"/>
              </a:solidFill>
            </a:ln>
          </c:spPr>
          <c:marker>
            <c:symbol val="none"/>
          </c:marker>
          <c:val>
            <c:numRef>
              <c:f>'120segT'!$D$96:$D$105</c:f>
              <c:numCache>
                <c:formatCode>0</c:formatCode>
                <c:ptCount val="10"/>
                <c:pt idx="0">
                  <c:v>10.555555555555555</c:v>
                </c:pt>
                <c:pt idx="1">
                  <c:v>11.888888888888889</c:v>
                </c:pt>
                <c:pt idx="2">
                  <c:v>8.3333333333333339</c:v>
                </c:pt>
                <c:pt idx="3">
                  <c:v>20</c:v>
                </c:pt>
                <c:pt idx="4">
                  <c:v>7.8888888888888893</c:v>
                </c:pt>
                <c:pt idx="5">
                  <c:v>15.222222222222221</c:v>
                </c:pt>
                <c:pt idx="6">
                  <c:v>13.222222222222221</c:v>
                </c:pt>
                <c:pt idx="7">
                  <c:v>13</c:v>
                </c:pt>
                <c:pt idx="8">
                  <c:v>14.777777777777779</c:v>
                </c:pt>
                <c:pt idx="9">
                  <c:v>21.333333333333332</c:v>
                </c:pt>
              </c:numCache>
            </c:numRef>
          </c:val>
          <c:smooth val="0"/>
          <c:extLst>
            <c:ext xmlns:c16="http://schemas.microsoft.com/office/drawing/2014/chart" uri="{C3380CC4-5D6E-409C-BE32-E72D297353CC}">
              <c16:uniqueId val="{00000000-2E77-4AFD-BB72-CF3774D05CE3}"/>
            </c:ext>
          </c:extLst>
        </c:ser>
        <c:ser>
          <c:idx val="1"/>
          <c:order val="1"/>
          <c:tx>
            <c:v>Inventario_Final</c:v>
          </c:tx>
          <c:spPr>
            <a:ln w="28575" cmpd="sng">
              <a:solidFill>
                <a:schemeClr val="accent2"/>
              </a:solidFill>
            </a:ln>
          </c:spPr>
          <c:marker>
            <c:symbol val="none"/>
          </c:marker>
          <c:val>
            <c:numRef>
              <c:f>'120segT'!$G$96:$G$105</c:f>
              <c:numCache>
                <c:formatCode>General</c:formatCode>
                <c:ptCount val="10"/>
                <c:pt idx="0">
                  <c:v>5</c:v>
                </c:pt>
                <c:pt idx="1">
                  <c:v>2</c:v>
                </c:pt>
                <c:pt idx="2">
                  <c:v>8</c:v>
                </c:pt>
                <c:pt idx="3">
                  <c:v>20</c:v>
                </c:pt>
                <c:pt idx="4">
                  <c:v>6</c:v>
                </c:pt>
                <c:pt idx="5">
                  <c:v>15</c:v>
                </c:pt>
                <c:pt idx="6">
                  <c:v>16</c:v>
                </c:pt>
                <c:pt idx="7">
                  <c:v>13</c:v>
                </c:pt>
                <c:pt idx="8">
                  <c:v>16</c:v>
                </c:pt>
                <c:pt idx="9">
                  <c:v>24</c:v>
                </c:pt>
              </c:numCache>
            </c:numRef>
          </c:val>
          <c:smooth val="0"/>
          <c:extLst>
            <c:ext xmlns:c16="http://schemas.microsoft.com/office/drawing/2014/chart" uri="{C3380CC4-5D6E-409C-BE32-E72D297353CC}">
              <c16:uniqueId val="{00000001-2E77-4AFD-BB72-CF3774D05CE3}"/>
            </c:ext>
          </c:extLst>
        </c:ser>
        <c:ser>
          <c:idx val="2"/>
          <c:order val="2"/>
          <c:tx>
            <c:v>Capacidad</c:v>
          </c:tx>
          <c:spPr>
            <a:ln w="28575" cmpd="sng">
              <a:solidFill>
                <a:schemeClr val="accent3"/>
              </a:solidFill>
            </a:ln>
          </c:spPr>
          <c:marker>
            <c:symbol val="none"/>
          </c:marker>
          <c:val>
            <c:numRef>
              <c:f>'120segT'!$J$96:$J$105</c:f>
              <c:numCache>
                <c:formatCode>General</c:formatCode>
                <c:ptCount val="10"/>
                <c:pt idx="0">
                  <c:v>15</c:v>
                </c:pt>
                <c:pt idx="1">
                  <c:v>15</c:v>
                </c:pt>
                <c:pt idx="2">
                  <c:v>11</c:v>
                </c:pt>
                <c:pt idx="3">
                  <c:v>23</c:v>
                </c:pt>
                <c:pt idx="4">
                  <c:v>11</c:v>
                </c:pt>
                <c:pt idx="5">
                  <c:v>17</c:v>
                </c:pt>
                <c:pt idx="6">
                  <c:v>19</c:v>
                </c:pt>
                <c:pt idx="7">
                  <c:v>15</c:v>
                </c:pt>
                <c:pt idx="8">
                  <c:v>19</c:v>
                </c:pt>
                <c:pt idx="9">
                  <c:v>27</c:v>
                </c:pt>
              </c:numCache>
            </c:numRef>
          </c:val>
          <c:smooth val="0"/>
          <c:extLst>
            <c:ext xmlns:c16="http://schemas.microsoft.com/office/drawing/2014/chart" uri="{C3380CC4-5D6E-409C-BE32-E72D297353CC}">
              <c16:uniqueId val="{00000002-2E77-4AFD-BB72-CF3774D05CE3}"/>
            </c:ext>
          </c:extLst>
        </c:ser>
        <c:dLbls>
          <c:showLegendKey val="0"/>
          <c:showVal val="0"/>
          <c:showCatName val="0"/>
          <c:showSerName val="0"/>
          <c:showPercent val="0"/>
          <c:showBubbleSize val="0"/>
        </c:dLbls>
        <c:smooth val="0"/>
        <c:axId val="291473731"/>
        <c:axId val="558840039"/>
      </c:lineChart>
      <c:catAx>
        <c:axId val="291473731"/>
        <c:scaling>
          <c:orientation val="minMax"/>
        </c:scaling>
        <c:delete val="0"/>
        <c:axPos val="b"/>
        <c:title>
          <c:tx>
            <c:rich>
              <a:bodyPr/>
              <a:lstStyle/>
              <a:p>
                <a:pPr lvl="0">
                  <a:defRPr b="0">
                    <a:solidFill>
                      <a:srgbClr val="000000"/>
                    </a:solidFill>
                    <a:latin typeface="+mn-lt"/>
                  </a:defRPr>
                </a:pPr>
                <a:endParaRPr lang="es-CL"/>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558840039"/>
        <c:crosses val="autoZero"/>
        <c:auto val="1"/>
        <c:lblAlgn val="ctr"/>
        <c:lblOffset val="100"/>
        <c:noMultiLvlLbl val="1"/>
      </c:catAx>
      <c:valAx>
        <c:axId val="55884003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es-CL"/>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es-CL"/>
          </a:p>
        </c:txPr>
        <c:crossAx val="291473731"/>
        <c:crosses val="autoZero"/>
        <c:crossBetween val="between"/>
      </c:valAx>
    </c:plotArea>
    <c:legend>
      <c:legendPos val="b"/>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Costo total diario en la semana 1 del caso 2</a:t>
            </a:r>
          </a:p>
        </c:rich>
      </c:tx>
      <c:overlay val="0"/>
    </c:title>
    <c:autoTitleDeleted val="0"/>
    <c:plotArea>
      <c:layout>
        <c:manualLayout>
          <c:xMode val="edge"/>
          <c:yMode val="edge"/>
          <c:x val="8.5224240389784461E-2"/>
          <c:y val="0.10250929368029742"/>
          <c:w val="0.70644163571305219"/>
          <c:h val="0.75993399291631292"/>
        </c:manualLayout>
      </c:layout>
      <c:lineChart>
        <c:grouping val="standard"/>
        <c:varyColors val="1"/>
        <c:ser>
          <c:idx val="0"/>
          <c:order val="0"/>
          <c:tx>
            <c:v>Cantidad Total de Flujos</c:v>
          </c:tx>
          <c:spPr>
            <a:ln w="28575" cmpd="sng">
              <a:solidFill>
                <a:schemeClr val="accent1"/>
              </a:solidFill>
            </a:ln>
          </c:spPr>
          <c:marker>
            <c:symbol val="none"/>
          </c:marker>
          <c:cat>
            <c:strRef>
              <c:f>'S1'!$D$2:$D$9</c:f>
              <c:strCache>
                <c:ptCount val="8"/>
                <c:pt idx="0">
                  <c:v>Viernes</c:v>
                </c:pt>
                <c:pt idx="1">
                  <c:v>Sabado</c:v>
                </c:pt>
                <c:pt idx="2">
                  <c:v>Domingo</c:v>
                </c:pt>
                <c:pt idx="3">
                  <c:v>Lunes</c:v>
                </c:pt>
                <c:pt idx="4">
                  <c:v>Martes</c:v>
                </c:pt>
                <c:pt idx="5">
                  <c:v>Miercoles</c:v>
                </c:pt>
                <c:pt idx="6">
                  <c:v>Jueves</c:v>
                </c:pt>
                <c:pt idx="7">
                  <c:v>Viernes</c:v>
                </c:pt>
              </c:strCache>
            </c:strRef>
          </c:cat>
          <c:val>
            <c:numRef>
              <c:f>'S1'!$C$2:$C$9</c:f>
              <c:numCache>
                <c:formatCode>General</c:formatCode>
                <c:ptCount val="8"/>
                <c:pt idx="0">
                  <c:v>9</c:v>
                </c:pt>
                <c:pt idx="1">
                  <c:v>14</c:v>
                </c:pt>
                <c:pt idx="2">
                  <c:v>7</c:v>
                </c:pt>
                <c:pt idx="3">
                  <c:v>9</c:v>
                </c:pt>
                <c:pt idx="4">
                  <c:v>11</c:v>
                </c:pt>
                <c:pt idx="5">
                  <c:v>8</c:v>
                </c:pt>
                <c:pt idx="6">
                  <c:v>9</c:v>
                </c:pt>
                <c:pt idx="7">
                  <c:v>7</c:v>
                </c:pt>
              </c:numCache>
            </c:numRef>
          </c:val>
          <c:smooth val="0"/>
          <c:extLst>
            <c:ext xmlns:c16="http://schemas.microsoft.com/office/drawing/2014/chart" uri="{C3380CC4-5D6E-409C-BE32-E72D297353CC}">
              <c16:uniqueId val="{00000000-6A9D-4567-A0E9-8240B300913C}"/>
            </c:ext>
          </c:extLst>
        </c:ser>
        <c:ser>
          <c:idx val="1"/>
          <c:order val="1"/>
          <c:tx>
            <c:v>Costo_total</c:v>
          </c:tx>
          <c:spPr>
            <a:ln w="28575" cmpd="sng">
              <a:solidFill>
                <a:schemeClr val="accent2"/>
              </a:solidFill>
            </a:ln>
          </c:spPr>
          <c:marker>
            <c:symbol val="none"/>
          </c:marker>
          <c:cat>
            <c:strRef>
              <c:f>'S1'!$D$2:$D$9</c:f>
              <c:strCache>
                <c:ptCount val="8"/>
                <c:pt idx="0">
                  <c:v>Viernes</c:v>
                </c:pt>
                <c:pt idx="1">
                  <c:v>Sabado</c:v>
                </c:pt>
                <c:pt idx="2">
                  <c:v>Domingo</c:v>
                </c:pt>
                <c:pt idx="3">
                  <c:v>Lunes</c:v>
                </c:pt>
                <c:pt idx="4">
                  <c:v>Martes</c:v>
                </c:pt>
                <c:pt idx="5">
                  <c:v>Miercoles</c:v>
                </c:pt>
                <c:pt idx="6">
                  <c:v>Jueves</c:v>
                </c:pt>
                <c:pt idx="7">
                  <c:v>Viernes</c:v>
                </c:pt>
              </c:strCache>
            </c:strRef>
          </c:cat>
          <c:val>
            <c:numRef>
              <c:f>'S1'!$B$2:$B$9</c:f>
              <c:numCache>
                <c:formatCode>General</c:formatCode>
                <c:ptCount val="8"/>
                <c:pt idx="0">
                  <c:v>17.13395852741456</c:v>
                </c:pt>
                <c:pt idx="1">
                  <c:v>20.47456125362994</c:v>
                </c:pt>
                <c:pt idx="2">
                  <c:v>10.45904851004949</c:v>
                </c:pt>
                <c:pt idx="3">
                  <c:v>10.40954166522426</c:v>
                </c:pt>
                <c:pt idx="4">
                  <c:v>11.66774672479853</c:v>
                </c:pt>
                <c:pt idx="5">
                  <c:v>14.86922900812101</c:v>
                </c:pt>
                <c:pt idx="6">
                  <c:v>11.697597677419219</c:v>
                </c:pt>
                <c:pt idx="7">
                  <c:v>7.6220379086563366</c:v>
                </c:pt>
              </c:numCache>
            </c:numRef>
          </c:val>
          <c:smooth val="0"/>
          <c:extLst>
            <c:ext xmlns:c16="http://schemas.microsoft.com/office/drawing/2014/chart" uri="{C3380CC4-5D6E-409C-BE32-E72D297353CC}">
              <c16:uniqueId val="{00000001-6A9D-4567-A0E9-8240B300913C}"/>
            </c:ext>
          </c:extLst>
        </c:ser>
        <c:dLbls>
          <c:showLegendKey val="0"/>
          <c:showVal val="0"/>
          <c:showCatName val="0"/>
          <c:showSerName val="0"/>
          <c:showPercent val="0"/>
          <c:showBubbleSize val="0"/>
        </c:dLbls>
        <c:smooth val="0"/>
        <c:axId val="625920817"/>
        <c:axId val="66717994"/>
      </c:lineChart>
      <c:catAx>
        <c:axId val="625920817"/>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Días de la semana</a:t>
                </a:r>
              </a:p>
            </c:rich>
          </c:tx>
          <c:layout>
            <c:manualLayout>
              <c:xMode val="edge"/>
              <c:yMode val="edge"/>
              <c:x val="0.36511326955307599"/>
              <c:y val="0.93121115436778579"/>
            </c:manualLayout>
          </c:layout>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66717994"/>
        <c:crosses val="autoZero"/>
        <c:auto val="1"/>
        <c:lblAlgn val="ctr"/>
        <c:lblOffset val="100"/>
        <c:noMultiLvlLbl val="1"/>
      </c:catAx>
      <c:valAx>
        <c:axId val="66717994"/>
        <c:scaling>
          <c:orientation val="minMax"/>
        </c:scaling>
        <c:delete val="0"/>
        <c:axPos val="l"/>
        <c:title>
          <c:tx>
            <c:rich>
              <a:bodyPr/>
              <a:lstStyle/>
              <a:p>
                <a:pPr lvl="0">
                  <a:defRPr sz="1000" b="0" i="0">
                    <a:solidFill>
                      <a:srgbClr val="000000"/>
                    </a:solidFill>
                    <a:latin typeface="+mn-lt"/>
                  </a:defRPr>
                </a:pPr>
                <a:r>
                  <a:rPr sz="1000" b="0" i="0">
                    <a:solidFill>
                      <a:srgbClr val="000000"/>
                    </a:solidFill>
                    <a:latin typeface="+mn-lt"/>
                  </a:rPr>
                  <a:t>Costo total en km</a:t>
                </a:r>
              </a:p>
            </c:rich>
          </c:tx>
          <c:layout>
            <c:manualLayout>
              <c:xMode val="edge"/>
              <c:yMode val="edge"/>
              <c:x val="2.4714241581711462E-2"/>
              <c:y val="0.36205348866707648"/>
            </c:manualLayout>
          </c:layout>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625920817"/>
        <c:crosses val="autoZero"/>
        <c:crossBetween val="between"/>
      </c:valAx>
    </c:plotArea>
    <c:legend>
      <c:legendPos val="r"/>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Costo total diario en la semana 2 del caso 2</a:t>
            </a:r>
          </a:p>
        </c:rich>
      </c:tx>
      <c:layout>
        <c:manualLayout>
          <c:xMode val="edge"/>
          <c:yMode val="edge"/>
          <c:x val="0.30579617075205728"/>
          <c:y val="4.0272614622057001E-2"/>
        </c:manualLayout>
      </c:layout>
      <c:overlay val="0"/>
    </c:title>
    <c:autoTitleDeleted val="0"/>
    <c:plotArea>
      <c:layout>
        <c:manualLayout>
          <c:xMode val="edge"/>
          <c:yMode val="edge"/>
          <c:x val="6.9777839401214792E-2"/>
          <c:y val="0.11490086741016109"/>
          <c:w val="0.80993252233646884"/>
          <c:h val="0.74754241918644926"/>
        </c:manualLayout>
      </c:layout>
      <c:lineChart>
        <c:grouping val="standard"/>
        <c:varyColors val="1"/>
        <c:ser>
          <c:idx val="0"/>
          <c:order val="0"/>
          <c:tx>
            <c:v>Cantidad Total de Flujos</c:v>
          </c:tx>
          <c:spPr>
            <a:ln w="28575" cmpd="sng">
              <a:solidFill>
                <a:schemeClr val="accent1"/>
              </a:solidFill>
            </a:ln>
          </c:spPr>
          <c:marker>
            <c:symbol val="none"/>
          </c:marker>
          <c:cat>
            <c:strRef>
              <c:f>'S2'!$D$2:$D$9</c:f>
              <c:strCache>
                <c:ptCount val="1"/>
                <c:pt idx="0">
                  <c:v>Viernes</c:v>
                </c:pt>
              </c:strCache>
            </c:strRef>
          </c:cat>
          <c:val>
            <c:numRef>
              <c:f>'S2'!$C$9:$C$16</c:f>
              <c:numCache>
                <c:formatCode>General</c:formatCode>
                <c:ptCount val="8"/>
                <c:pt idx="0">
                  <c:v>7</c:v>
                </c:pt>
                <c:pt idx="1">
                  <c:v>9</c:v>
                </c:pt>
                <c:pt idx="2">
                  <c:v>11</c:v>
                </c:pt>
                <c:pt idx="3">
                  <c:v>12</c:v>
                </c:pt>
                <c:pt idx="4">
                  <c:v>10</c:v>
                </c:pt>
                <c:pt idx="5">
                  <c:v>7</c:v>
                </c:pt>
                <c:pt idx="6">
                  <c:v>7</c:v>
                </c:pt>
                <c:pt idx="7">
                  <c:v>11</c:v>
                </c:pt>
              </c:numCache>
            </c:numRef>
          </c:val>
          <c:smooth val="0"/>
          <c:extLst>
            <c:ext xmlns:c16="http://schemas.microsoft.com/office/drawing/2014/chart" uri="{C3380CC4-5D6E-409C-BE32-E72D297353CC}">
              <c16:uniqueId val="{00000000-E96E-4985-9F36-220EEB7FC148}"/>
            </c:ext>
          </c:extLst>
        </c:ser>
        <c:ser>
          <c:idx val="1"/>
          <c:order val="1"/>
          <c:tx>
            <c:v>Costo_total</c:v>
          </c:tx>
          <c:spPr>
            <a:ln w="28575" cmpd="sng">
              <a:solidFill>
                <a:schemeClr val="accent2"/>
              </a:solidFill>
            </a:ln>
          </c:spPr>
          <c:marker>
            <c:symbol val="none"/>
          </c:marker>
          <c:cat>
            <c:strRef>
              <c:f>'S2'!$D$2:$D$9</c:f>
              <c:strCache>
                <c:ptCount val="1"/>
                <c:pt idx="0">
                  <c:v>Viernes</c:v>
                </c:pt>
              </c:strCache>
            </c:strRef>
          </c:cat>
          <c:val>
            <c:numRef>
              <c:f>'S2'!$B$9:$B$16</c:f>
              <c:numCache>
                <c:formatCode>General</c:formatCode>
                <c:ptCount val="8"/>
                <c:pt idx="0">
                  <c:v>7.6220379086563366</c:v>
                </c:pt>
                <c:pt idx="1">
                  <c:v>12.282983388419909</c:v>
                </c:pt>
                <c:pt idx="2">
                  <c:v>27.47235034777016</c:v>
                </c:pt>
                <c:pt idx="3">
                  <c:v>29.68770954126353</c:v>
                </c:pt>
                <c:pt idx="4">
                  <c:v>14.170850796831919</c:v>
                </c:pt>
                <c:pt idx="5">
                  <c:v>14.052379669636769</c:v>
                </c:pt>
                <c:pt idx="6">
                  <c:v>12.299630695884581</c:v>
                </c:pt>
                <c:pt idx="7">
                  <c:v>24.8479254156005</c:v>
                </c:pt>
              </c:numCache>
            </c:numRef>
          </c:val>
          <c:smooth val="0"/>
          <c:extLst>
            <c:ext xmlns:c16="http://schemas.microsoft.com/office/drawing/2014/chart" uri="{C3380CC4-5D6E-409C-BE32-E72D297353CC}">
              <c16:uniqueId val="{00000001-E96E-4985-9F36-220EEB7FC148}"/>
            </c:ext>
          </c:extLst>
        </c:ser>
        <c:dLbls>
          <c:showLegendKey val="0"/>
          <c:showVal val="0"/>
          <c:showCatName val="0"/>
          <c:showSerName val="0"/>
          <c:showPercent val="0"/>
          <c:showBubbleSize val="0"/>
        </c:dLbls>
        <c:smooth val="0"/>
        <c:axId val="442541967"/>
        <c:axId val="1737162156"/>
      </c:lineChart>
      <c:catAx>
        <c:axId val="442541967"/>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Días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737162156"/>
        <c:crosses val="autoZero"/>
        <c:auto val="1"/>
        <c:lblAlgn val="ctr"/>
        <c:lblOffset val="100"/>
        <c:noMultiLvlLbl val="1"/>
      </c:catAx>
      <c:valAx>
        <c:axId val="1737162156"/>
        <c:scaling>
          <c:orientation val="minMax"/>
        </c:scaling>
        <c:delete val="0"/>
        <c:axPos val="l"/>
        <c:title>
          <c:tx>
            <c:rich>
              <a:bodyPr/>
              <a:lstStyle/>
              <a:p>
                <a:pPr lvl="0">
                  <a:defRPr sz="1000" b="0" i="0">
                    <a:solidFill>
                      <a:srgbClr val="000000"/>
                    </a:solidFill>
                    <a:latin typeface="+mn-lt"/>
                  </a:defRPr>
                </a:pPr>
                <a:r>
                  <a:rPr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442541967"/>
        <c:crosses val="autoZero"/>
        <c:crossBetween val="between"/>
      </c:valAx>
    </c:plotArea>
    <c:legend>
      <c:legendPos val="r"/>
      <c:layout>
        <c:manualLayout>
          <c:xMode val="edge"/>
          <c:yMode val="edge"/>
          <c:x val="0.81593158698299961"/>
          <c:y val="0.37486820557686695"/>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Costo total diario en la semana 3 del caso 2</a:t>
            </a:r>
          </a:p>
        </c:rich>
      </c:tx>
      <c:layout>
        <c:manualLayout>
          <c:xMode val="edge"/>
          <c:yMode val="edge"/>
          <c:x val="0.30579617075205728"/>
          <c:y val="4.0272614622057001E-2"/>
        </c:manualLayout>
      </c:layout>
      <c:overlay val="0"/>
    </c:title>
    <c:autoTitleDeleted val="0"/>
    <c:plotArea>
      <c:layout>
        <c:manualLayout>
          <c:xMode val="edge"/>
          <c:yMode val="edge"/>
          <c:x val="6.9777839401214792E-2"/>
          <c:y val="0.11490086741016109"/>
          <c:w val="0.88749031989813154"/>
          <c:h val="0.74754241918644926"/>
        </c:manualLayout>
      </c:layout>
      <c:lineChart>
        <c:grouping val="standard"/>
        <c:varyColors val="1"/>
        <c:ser>
          <c:idx val="0"/>
          <c:order val="0"/>
          <c:tx>
            <c:v>Cantidad Total de Flujos</c:v>
          </c:tx>
          <c:spPr>
            <a:ln w="28575" cmpd="sng">
              <a:solidFill>
                <a:schemeClr val="accent1"/>
              </a:solidFill>
            </a:ln>
          </c:spPr>
          <c:marker>
            <c:symbol val="none"/>
          </c:marker>
          <c:cat>
            <c:multiLvlStrRef>
              <c:f>'S3'!$D$2:$D$9</c:f>
            </c:multiLvlStrRef>
          </c:cat>
          <c:val>
            <c:numRef>
              <c:f>'S3'!$C$2:$C$9</c:f>
            </c:numRef>
          </c:val>
          <c:smooth val="0"/>
          <c:extLst>
            <c:ext xmlns:c16="http://schemas.microsoft.com/office/drawing/2014/chart" uri="{C3380CC4-5D6E-409C-BE32-E72D297353CC}">
              <c16:uniqueId val="{00000000-EC51-4D0B-9B5E-D02B83B370C2}"/>
            </c:ext>
          </c:extLst>
        </c:ser>
        <c:ser>
          <c:idx val="1"/>
          <c:order val="1"/>
          <c:tx>
            <c:v>Costo_total</c:v>
          </c:tx>
          <c:spPr>
            <a:ln w="28575" cmpd="sng">
              <a:solidFill>
                <a:schemeClr val="accent2"/>
              </a:solidFill>
            </a:ln>
          </c:spPr>
          <c:marker>
            <c:symbol val="none"/>
          </c:marker>
          <c:cat>
            <c:multiLvlStrRef>
              <c:f>'S3'!$D$2:$D$9</c:f>
            </c:multiLvlStrRef>
          </c:cat>
          <c:val>
            <c:numRef>
              <c:f>'S3'!$B$2:$B$9</c:f>
            </c:numRef>
          </c:val>
          <c:smooth val="0"/>
          <c:extLst>
            <c:ext xmlns:c16="http://schemas.microsoft.com/office/drawing/2014/chart" uri="{C3380CC4-5D6E-409C-BE32-E72D297353CC}">
              <c16:uniqueId val="{00000001-EC51-4D0B-9B5E-D02B83B370C2}"/>
            </c:ext>
          </c:extLst>
        </c:ser>
        <c:dLbls>
          <c:showLegendKey val="0"/>
          <c:showVal val="0"/>
          <c:showCatName val="0"/>
          <c:showSerName val="0"/>
          <c:showPercent val="0"/>
          <c:showBubbleSize val="0"/>
        </c:dLbls>
        <c:marker val="1"/>
        <c:smooth val="0"/>
        <c:axId val="49259595"/>
        <c:axId val="1496828013"/>
      </c:lineChart>
      <c:catAx>
        <c:axId val="49259595"/>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Días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1496828013"/>
        <c:crosses val="autoZero"/>
        <c:auto val="1"/>
        <c:lblAlgn val="ctr"/>
        <c:lblOffset val="100"/>
        <c:noMultiLvlLbl val="1"/>
      </c:catAx>
      <c:valAx>
        <c:axId val="1496828013"/>
        <c:scaling>
          <c:orientation val="minMax"/>
        </c:scaling>
        <c:delete val="0"/>
        <c:axPos val="l"/>
        <c:title>
          <c:tx>
            <c:rich>
              <a:bodyPr/>
              <a:lstStyle/>
              <a:p>
                <a:pPr lvl="0">
                  <a:defRPr sz="1000" b="0" i="0">
                    <a:solidFill>
                      <a:srgbClr val="000000"/>
                    </a:solidFill>
                    <a:latin typeface="+mn-lt"/>
                  </a:defRPr>
                </a:pPr>
                <a:r>
                  <a:rPr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49259595"/>
        <c:crosses val="autoZero"/>
        <c:crossBetween val="between"/>
      </c:valAx>
    </c:plotArea>
    <c:legend>
      <c:legendPos val="r"/>
      <c:layout>
        <c:manualLayout>
          <c:xMode val="edge"/>
          <c:yMode val="edge"/>
          <c:x val="0.76050388503417266"/>
          <c:y val="0.31413261934915482"/>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Costo total diario en la semana 4 del caso 2</a:t>
            </a:r>
          </a:p>
        </c:rich>
      </c:tx>
      <c:layout>
        <c:manualLayout>
          <c:xMode val="edge"/>
          <c:yMode val="edge"/>
          <c:x val="0.30579617075205728"/>
          <c:y val="4.0272614622057001E-2"/>
        </c:manualLayout>
      </c:layout>
      <c:overlay val="0"/>
    </c:title>
    <c:autoTitleDeleted val="0"/>
    <c:plotArea>
      <c:layout>
        <c:manualLayout>
          <c:xMode val="edge"/>
          <c:yMode val="edge"/>
          <c:x val="6.9777839401214792E-2"/>
          <c:y val="0.11490086741016109"/>
          <c:w val="0.88749031989813154"/>
          <c:h val="0.74754241918644926"/>
        </c:manualLayout>
      </c:layout>
      <c:lineChart>
        <c:grouping val="standard"/>
        <c:varyColors val="1"/>
        <c:ser>
          <c:idx val="0"/>
          <c:order val="0"/>
          <c:tx>
            <c:v>Cantidad Total de Flujos</c:v>
          </c:tx>
          <c:spPr>
            <a:ln w="28575" cmpd="sng">
              <a:solidFill>
                <a:schemeClr val="accent1"/>
              </a:solidFill>
            </a:ln>
          </c:spPr>
          <c:marker>
            <c:symbol val="none"/>
          </c:marker>
          <c:cat>
            <c:multiLvlStrRef>
              <c:f>'S3'!$D$2:$D$9</c:f>
            </c:multiLvlStrRef>
          </c:cat>
          <c:val>
            <c:numRef>
              <c:f>'S3'!$C$2:$C$9</c:f>
            </c:numRef>
          </c:val>
          <c:smooth val="0"/>
          <c:extLst>
            <c:ext xmlns:c16="http://schemas.microsoft.com/office/drawing/2014/chart" uri="{C3380CC4-5D6E-409C-BE32-E72D297353CC}">
              <c16:uniqueId val="{00000000-A64E-4F43-835B-993E5F744A1A}"/>
            </c:ext>
          </c:extLst>
        </c:ser>
        <c:ser>
          <c:idx val="1"/>
          <c:order val="1"/>
          <c:tx>
            <c:v>Costo_total</c:v>
          </c:tx>
          <c:spPr>
            <a:ln w="28575" cmpd="sng">
              <a:solidFill>
                <a:schemeClr val="accent2"/>
              </a:solidFill>
            </a:ln>
          </c:spPr>
          <c:marker>
            <c:symbol val="none"/>
          </c:marker>
          <c:cat>
            <c:multiLvlStrRef>
              <c:f>'S3'!$D$2:$D$9</c:f>
            </c:multiLvlStrRef>
          </c:cat>
          <c:val>
            <c:numRef>
              <c:f>'S3'!$B$2:$B$9</c:f>
            </c:numRef>
          </c:val>
          <c:smooth val="0"/>
          <c:extLst>
            <c:ext xmlns:c16="http://schemas.microsoft.com/office/drawing/2014/chart" uri="{C3380CC4-5D6E-409C-BE32-E72D297353CC}">
              <c16:uniqueId val="{00000001-A64E-4F43-835B-993E5F744A1A}"/>
            </c:ext>
          </c:extLst>
        </c:ser>
        <c:dLbls>
          <c:showLegendKey val="0"/>
          <c:showVal val="0"/>
          <c:showCatName val="0"/>
          <c:showSerName val="0"/>
          <c:showPercent val="0"/>
          <c:showBubbleSize val="0"/>
        </c:dLbls>
        <c:marker val="1"/>
        <c:smooth val="0"/>
        <c:axId val="1159059913"/>
        <c:axId val="2035402101"/>
      </c:lineChart>
      <c:catAx>
        <c:axId val="1159059913"/>
        <c:scaling>
          <c:orientation val="minMax"/>
        </c:scaling>
        <c:delete val="0"/>
        <c:axPos val="b"/>
        <c:title>
          <c:tx>
            <c:rich>
              <a:bodyPr/>
              <a:lstStyle/>
              <a:p>
                <a:pPr lvl="0">
                  <a:defRPr sz="1000" b="0" i="0">
                    <a:solidFill>
                      <a:srgbClr val="000000"/>
                    </a:solidFill>
                    <a:latin typeface="+mn-lt"/>
                  </a:defRPr>
                </a:pPr>
                <a:r>
                  <a:rPr sz="1000" b="0" i="0">
                    <a:solidFill>
                      <a:srgbClr val="000000"/>
                    </a:solidFill>
                    <a:latin typeface="+mn-lt"/>
                  </a:rPr>
                  <a:t>Días de la semana</a:t>
                </a: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es-CL"/>
          </a:p>
        </c:txPr>
        <c:crossAx val="2035402101"/>
        <c:crosses val="autoZero"/>
        <c:auto val="1"/>
        <c:lblAlgn val="ctr"/>
        <c:lblOffset val="100"/>
        <c:noMultiLvlLbl val="1"/>
      </c:catAx>
      <c:valAx>
        <c:axId val="2035402101"/>
        <c:scaling>
          <c:orientation val="minMax"/>
        </c:scaling>
        <c:delete val="0"/>
        <c:axPos val="l"/>
        <c:title>
          <c:tx>
            <c:rich>
              <a:bodyPr/>
              <a:lstStyle/>
              <a:p>
                <a:pPr lvl="0">
                  <a:defRPr sz="1000" b="0" i="0">
                    <a:solidFill>
                      <a:srgbClr val="000000"/>
                    </a:solidFill>
                    <a:latin typeface="+mn-lt"/>
                  </a:defRPr>
                </a:pPr>
                <a:r>
                  <a:rPr sz="1000" b="0" i="0">
                    <a:solidFill>
                      <a:srgbClr val="000000"/>
                    </a:solidFill>
                    <a:latin typeface="+mn-lt"/>
                  </a:rPr>
                  <a:t>Costo total en km</a:t>
                </a: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es-CL"/>
          </a:p>
        </c:txPr>
        <c:crossAx val="1159059913"/>
        <c:crosses val="autoZero"/>
        <c:crossBetween val="between"/>
      </c:valAx>
    </c:plotArea>
    <c:legend>
      <c:legendPos val="r"/>
      <c:layout>
        <c:manualLayout>
          <c:xMode val="edge"/>
          <c:yMode val="edge"/>
          <c:x val="0.76050388503417266"/>
          <c:y val="0.31413261934915482"/>
        </c:manualLayout>
      </c:layout>
      <c:overlay val="0"/>
      <c:txPr>
        <a:bodyPr/>
        <a:lstStyle/>
        <a:p>
          <a:pPr lvl="0">
            <a:defRPr sz="900" b="0" i="0">
              <a:solidFill>
                <a:srgbClr val="1A1A1A"/>
              </a:solidFill>
              <a:latin typeface="+mn-lt"/>
            </a:defRPr>
          </a:pPr>
          <a:endParaRPr lang="es-CL"/>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chart" Target="../charts/chart26.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oneCellAnchor>
    <xdr:from>
      <xdr:col>0</xdr:col>
      <xdr:colOff>0</xdr:colOff>
      <xdr:row>1</xdr:row>
      <xdr:rowOff>0</xdr:rowOff>
    </xdr:from>
    <xdr:ext cx="4181475" cy="2714625"/>
    <xdr:graphicFrame macro="">
      <xdr:nvGraphicFramePr>
        <xdr:cNvPr id="125724761" name="Chart 1">
          <a:extLst>
            <a:ext uri="{FF2B5EF4-FFF2-40B4-BE49-F238E27FC236}">
              <a16:creationId xmlns:a16="http://schemas.microsoft.com/office/drawing/2014/main" id="{00000000-0008-0000-0100-000059687E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6</xdr:col>
      <xdr:colOff>0</xdr:colOff>
      <xdr:row>1</xdr:row>
      <xdr:rowOff>0</xdr:rowOff>
    </xdr:from>
    <xdr:ext cx="4181475" cy="2714625"/>
    <xdr:graphicFrame macro="">
      <xdr:nvGraphicFramePr>
        <xdr:cNvPr id="1180298472" name="Chart 2">
          <a:extLst>
            <a:ext uri="{FF2B5EF4-FFF2-40B4-BE49-F238E27FC236}">
              <a16:creationId xmlns:a16="http://schemas.microsoft.com/office/drawing/2014/main" id="{00000000-0008-0000-0100-0000E8EC59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0</xdr:colOff>
      <xdr:row>18</xdr:row>
      <xdr:rowOff>0</xdr:rowOff>
    </xdr:from>
    <xdr:ext cx="4181475" cy="2714625"/>
    <xdr:graphicFrame macro="">
      <xdr:nvGraphicFramePr>
        <xdr:cNvPr id="1060133632" name="Chart 3">
          <a:extLst>
            <a:ext uri="{FF2B5EF4-FFF2-40B4-BE49-F238E27FC236}">
              <a16:creationId xmlns:a16="http://schemas.microsoft.com/office/drawing/2014/main" id="{00000000-0008-0000-0100-0000005B3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6</xdr:col>
      <xdr:colOff>0</xdr:colOff>
      <xdr:row>18</xdr:row>
      <xdr:rowOff>0</xdr:rowOff>
    </xdr:from>
    <xdr:ext cx="4181475" cy="2714625"/>
    <xdr:graphicFrame macro="">
      <xdr:nvGraphicFramePr>
        <xdr:cNvPr id="110759838" name="Chart 4">
          <a:extLst>
            <a:ext uri="{FF2B5EF4-FFF2-40B4-BE49-F238E27FC236}">
              <a16:creationId xmlns:a16="http://schemas.microsoft.com/office/drawing/2014/main" id="{00000000-0008-0000-0100-00009E0F9A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0</xdr:col>
      <xdr:colOff>0</xdr:colOff>
      <xdr:row>35</xdr:row>
      <xdr:rowOff>0</xdr:rowOff>
    </xdr:from>
    <xdr:ext cx="4181475" cy="2714625"/>
    <xdr:graphicFrame macro="">
      <xdr:nvGraphicFramePr>
        <xdr:cNvPr id="1952763434" name="Chart 5">
          <a:extLst>
            <a:ext uri="{FF2B5EF4-FFF2-40B4-BE49-F238E27FC236}">
              <a16:creationId xmlns:a16="http://schemas.microsoft.com/office/drawing/2014/main" id="{00000000-0008-0000-0100-00002ACE64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6</xdr:col>
      <xdr:colOff>0</xdr:colOff>
      <xdr:row>35</xdr:row>
      <xdr:rowOff>0</xdr:rowOff>
    </xdr:from>
    <xdr:ext cx="4181475" cy="2714625"/>
    <xdr:graphicFrame macro="">
      <xdr:nvGraphicFramePr>
        <xdr:cNvPr id="49437359" name="Chart 6">
          <a:extLst>
            <a:ext uri="{FF2B5EF4-FFF2-40B4-BE49-F238E27FC236}">
              <a16:creationId xmlns:a16="http://schemas.microsoft.com/office/drawing/2014/main" id="{00000000-0008-0000-0100-0000AF5AF2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0</xdr:col>
      <xdr:colOff>0</xdr:colOff>
      <xdr:row>52</xdr:row>
      <xdr:rowOff>0</xdr:rowOff>
    </xdr:from>
    <xdr:ext cx="4029075" cy="2790825"/>
    <xdr:graphicFrame macro="">
      <xdr:nvGraphicFramePr>
        <xdr:cNvPr id="2105241263" name="Chart 7">
          <a:extLst>
            <a:ext uri="{FF2B5EF4-FFF2-40B4-BE49-F238E27FC236}">
              <a16:creationId xmlns:a16="http://schemas.microsoft.com/office/drawing/2014/main" id="{00000000-0008-0000-0100-0000AF6E7B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6</xdr:col>
      <xdr:colOff>0</xdr:colOff>
      <xdr:row>52</xdr:row>
      <xdr:rowOff>0</xdr:rowOff>
    </xdr:from>
    <xdr:ext cx="4029075" cy="2790825"/>
    <xdr:graphicFrame macro="">
      <xdr:nvGraphicFramePr>
        <xdr:cNvPr id="1904232896" name="Chart 8">
          <a:extLst>
            <a:ext uri="{FF2B5EF4-FFF2-40B4-BE49-F238E27FC236}">
              <a16:creationId xmlns:a16="http://schemas.microsoft.com/office/drawing/2014/main" id="{00000000-0008-0000-0100-0000C049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0</xdr:col>
      <xdr:colOff>0</xdr:colOff>
      <xdr:row>69</xdr:row>
      <xdr:rowOff>0</xdr:rowOff>
    </xdr:from>
    <xdr:ext cx="4181475" cy="2714625"/>
    <xdr:graphicFrame macro="">
      <xdr:nvGraphicFramePr>
        <xdr:cNvPr id="728739044" name="Chart 9">
          <a:extLst>
            <a:ext uri="{FF2B5EF4-FFF2-40B4-BE49-F238E27FC236}">
              <a16:creationId xmlns:a16="http://schemas.microsoft.com/office/drawing/2014/main" id="{00000000-0008-0000-0100-0000E4AC6F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6</xdr:col>
      <xdr:colOff>0</xdr:colOff>
      <xdr:row>69</xdr:row>
      <xdr:rowOff>0</xdr:rowOff>
    </xdr:from>
    <xdr:ext cx="4181475" cy="2714625"/>
    <xdr:graphicFrame macro="">
      <xdr:nvGraphicFramePr>
        <xdr:cNvPr id="935016578" name="Chart 10">
          <a:extLst>
            <a:ext uri="{FF2B5EF4-FFF2-40B4-BE49-F238E27FC236}">
              <a16:creationId xmlns:a16="http://schemas.microsoft.com/office/drawing/2014/main" id="{00000000-0008-0000-0100-00008238BB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0</xdr:col>
      <xdr:colOff>0</xdr:colOff>
      <xdr:row>86</xdr:row>
      <xdr:rowOff>0</xdr:rowOff>
    </xdr:from>
    <xdr:ext cx="4181475" cy="2714625"/>
    <xdr:graphicFrame macro="">
      <xdr:nvGraphicFramePr>
        <xdr:cNvPr id="387256112" name="Chart 11">
          <a:extLst>
            <a:ext uri="{FF2B5EF4-FFF2-40B4-BE49-F238E27FC236}">
              <a16:creationId xmlns:a16="http://schemas.microsoft.com/office/drawing/2014/main" id="{00000000-0008-0000-0100-0000300F15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6</xdr:col>
      <xdr:colOff>0</xdr:colOff>
      <xdr:row>86</xdr:row>
      <xdr:rowOff>0</xdr:rowOff>
    </xdr:from>
    <xdr:ext cx="4181475" cy="2714625"/>
    <xdr:graphicFrame macro="">
      <xdr:nvGraphicFramePr>
        <xdr:cNvPr id="355905694" name="Chart 12">
          <a:extLst>
            <a:ext uri="{FF2B5EF4-FFF2-40B4-BE49-F238E27FC236}">
              <a16:creationId xmlns:a16="http://schemas.microsoft.com/office/drawing/2014/main" id="{00000000-0008-0000-0100-00009EB036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0</xdr:col>
      <xdr:colOff>0</xdr:colOff>
      <xdr:row>103</xdr:row>
      <xdr:rowOff>0</xdr:rowOff>
    </xdr:from>
    <xdr:ext cx="4352925" cy="2847975"/>
    <xdr:graphicFrame macro="">
      <xdr:nvGraphicFramePr>
        <xdr:cNvPr id="429319530" name="Chart 13">
          <a:extLst>
            <a:ext uri="{FF2B5EF4-FFF2-40B4-BE49-F238E27FC236}">
              <a16:creationId xmlns:a16="http://schemas.microsoft.com/office/drawing/2014/main" id="{00000000-0008-0000-0100-00006AE596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7</xdr:col>
      <xdr:colOff>0</xdr:colOff>
      <xdr:row>103</xdr:row>
      <xdr:rowOff>0</xdr:rowOff>
    </xdr:from>
    <xdr:ext cx="4352925" cy="2847975"/>
    <xdr:graphicFrame macro="">
      <xdr:nvGraphicFramePr>
        <xdr:cNvPr id="180564044" name="Chart 14">
          <a:extLst>
            <a:ext uri="{FF2B5EF4-FFF2-40B4-BE49-F238E27FC236}">
              <a16:creationId xmlns:a16="http://schemas.microsoft.com/office/drawing/2014/main" id="{00000000-0008-0000-0100-00004C30C3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16</xdr:col>
      <xdr:colOff>676275</xdr:colOff>
      <xdr:row>66</xdr:row>
      <xdr:rowOff>123825</xdr:rowOff>
    </xdr:from>
    <xdr:ext cx="4391025" cy="2714625"/>
    <xdr:graphicFrame macro="">
      <xdr:nvGraphicFramePr>
        <xdr:cNvPr id="394812784" name="Chart 15" title="Gráfico">
          <a:extLst>
            <a:ext uri="{FF2B5EF4-FFF2-40B4-BE49-F238E27FC236}">
              <a16:creationId xmlns:a16="http://schemas.microsoft.com/office/drawing/2014/main" id="{00000000-0008-0000-0300-0000705D88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15</xdr:col>
      <xdr:colOff>285750</xdr:colOff>
      <xdr:row>63</xdr:row>
      <xdr:rowOff>152400</xdr:rowOff>
    </xdr:from>
    <xdr:ext cx="5762625" cy="2714625"/>
    <xdr:graphicFrame macro="">
      <xdr:nvGraphicFramePr>
        <xdr:cNvPr id="1102573129" name="Chart 16" title="Gráfico">
          <a:extLst>
            <a:ext uri="{FF2B5EF4-FFF2-40B4-BE49-F238E27FC236}">
              <a16:creationId xmlns:a16="http://schemas.microsoft.com/office/drawing/2014/main" id="{00000000-0008-0000-0300-000049EEB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30</xdr:col>
      <xdr:colOff>247650</xdr:colOff>
      <xdr:row>64</xdr:row>
      <xdr:rowOff>87630</xdr:rowOff>
    </xdr:from>
    <xdr:ext cx="5619750" cy="2714625"/>
    <xdr:graphicFrame macro="">
      <xdr:nvGraphicFramePr>
        <xdr:cNvPr id="1477213831" name="Chart 17" title="Gráfico">
          <a:extLst>
            <a:ext uri="{FF2B5EF4-FFF2-40B4-BE49-F238E27FC236}">
              <a16:creationId xmlns:a16="http://schemas.microsoft.com/office/drawing/2014/main" id="{00000000-0008-0000-0300-0000877E0C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28</xdr:col>
      <xdr:colOff>1360170</xdr:colOff>
      <xdr:row>67</xdr:row>
      <xdr:rowOff>19050</xdr:rowOff>
    </xdr:from>
    <xdr:ext cx="7029450" cy="2352675"/>
    <xdr:graphicFrame macro="">
      <xdr:nvGraphicFramePr>
        <xdr:cNvPr id="1072181201" name="Chart 18" title="Gráfico">
          <a:extLst>
            <a:ext uri="{FF2B5EF4-FFF2-40B4-BE49-F238E27FC236}">
              <a16:creationId xmlns:a16="http://schemas.microsoft.com/office/drawing/2014/main" id="{00000000-0008-0000-0300-0000D12FE8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23</xdr:col>
      <xdr:colOff>1247775</xdr:colOff>
      <xdr:row>66</xdr:row>
      <xdr:rowOff>85725</xdr:rowOff>
    </xdr:from>
    <xdr:ext cx="7315200" cy="2714625"/>
    <xdr:graphicFrame macro="">
      <xdr:nvGraphicFramePr>
        <xdr:cNvPr id="2121364984" name="Chart 19" title="Gráfico">
          <a:extLst>
            <a:ext uri="{FF2B5EF4-FFF2-40B4-BE49-F238E27FC236}">
              <a16:creationId xmlns:a16="http://schemas.microsoft.com/office/drawing/2014/main" id="{00000000-0008-0000-0300-0000F87571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28</xdr:col>
      <xdr:colOff>192405</xdr:colOff>
      <xdr:row>66</xdr:row>
      <xdr:rowOff>41910</xdr:rowOff>
    </xdr:from>
    <xdr:ext cx="7315200" cy="2352675"/>
    <xdr:graphicFrame macro="">
      <xdr:nvGraphicFramePr>
        <xdr:cNvPr id="521910622" name="Chart 20">
          <a:extLst>
            <a:ext uri="{FF2B5EF4-FFF2-40B4-BE49-F238E27FC236}">
              <a16:creationId xmlns:a16="http://schemas.microsoft.com/office/drawing/2014/main" id="{00000000-0008-0000-0300-00005EB91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52</xdr:col>
      <xdr:colOff>133350</xdr:colOff>
      <xdr:row>54</xdr:row>
      <xdr:rowOff>76200</xdr:rowOff>
    </xdr:from>
    <xdr:ext cx="7391400" cy="2800350"/>
    <xdr:graphicFrame macro="">
      <xdr:nvGraphicFramePr>
        <xdr:cNvPr id="1769124425" name="Chart 21" title="Gráfico">
          <a:extLst>
            <a:ext uri="{FF2B5EF4-FFF2-40B4-BE49-F238E27FC236}">
              <a16:creationId xmlns:a16="http://schemas.microsoft.com/office/drawing/2014/main" id="{00000000-0008-0000-0300-000049B272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53</xdr:col>
      <xdr:colOff>571500</xdr:colOff>
      <xdr:row>96</xdr:row>
      <xdr:rowOff>76200</xdr:rowOff>
    </xdr:from>
    <xdr:ext cx="7534275" cy="2790825"/>
    <xdr:graphicFrame macro="">
      <xdr:nvGraphicFramePr>
        <xdr:cNvPr id="1753280954" name="Chart 22" title="Gráfico">
          <a:extLst>
            <a:ext uri="{FF2B5EF4-FFF2-40B4-BE49-F238E27FC236}">
              <a16:creationId xmlns:a16="http://schemas.microsoft.com/office/drawing/2014/main" id="{00000000-0008-0000-0300-0000BAF180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oneCellAnchor>
    <xdr:from>
      <xdr:col>62</xdr:col>
      <xdr:colOff>552450</xdr:colOff>
      <xdr:row>67</xdr:row>
      <xdr:rowOff>28575</xdr:rowOff>
    </xdr:from>
    <xdr:ext cx="9182100" cy="2714625"/>
    <xdr:graphicFrame macro="">
      <xdr:nvGraphicFramePr>
        <xdr:cNvPr id="671737757" name="Chart 23" title="Gráfico">
          <a:extLst>
            <a:ext uri="{FF2B5EF4-FFF2-40B4-BE49-F238E27FC236}">
              <a16:creationId xmlns:a16="http://schemas.microsoft.com/office/drawing/2014/main" id="{00000000-0008-0000-0300-00009DE709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oneCellAnchor>
  <xdr:oneCellAnchor>
    <xdr:from>
      <xdr:col>62</xdr:col>
      <xdr:colOff>114300</xdr:colOff>
      <xdr:row>66</xdr:row>
      <xdr:rowOff>133350</xdr:rowOff>
    </xdr:from>
    <xdr:ext cx="9182100" cy="2714625"/>
    <xdr:graphicFrame macro="">
      <xdr:nvGraphicFramePr>
        <xdr:cNvPr id="1264497149" name="Chart 24" title="Gráfico">
          <a:extLst>
            <a:ext uri="{FF2B5EF4-FFF2-40B4-BE49-F238E27FC236}">
              <a16:creationId xmlns:a16="http://schemas.microsoft.com/office/drawing/2014/main" id="{00000000-0008-0000-0300-0000FDB15E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oneCellAnchor>
  <xdr:oneCellAnchor>
    <xdr:from>
      <xdr:col>67</xdr:col>
      <xdr:colOff>723900</xdr:colOff>
      <xdr:row>53</xdr:row>
      <xdr:rowOff>76200</xdr:rowOff>
    </xdr:from>
    <xdr:ext cx="6934200" cy="2714625"/>
    <xdr:graphicFrame macro="">
      <xdr:nvGraphicFramePr>
        <xdr:cNvPr id="82786060" name="Chart 25" title="Gráfico">
          <a:extLst>
            <a:ext uri="{FF2B5EF4-FFF2-40B4-BE49-F238E27FC236}">
              <a16:creationId xmlns:a16="http://schemas.microsoft.com/office/drawing/2014/main" id="{00000000-0008-0000-0300-00000C37EF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oneCellAnchor>
  <xdr:oneCellAnchor>
    <xdr:from>
      <xdr:col>68</xdr:col>
      <xdr:colOff>590550</xdr:colOff>
      <xdr:row>56</xdr:row>
      <xdr:rowOff>85725</xdr:rowOff>
    </xdr:from>
    <xdr:ext cx="5686425" cy="2714625"/>
    <xdr:graphicFrame macro="">
      <xdr:nvGraphicFramePr>
        <xdr:cNvPr id="1476063591" name="Chart 26" title="Gráfico">
          <a:extLst>
            <a:ext uri="{FF2B5EF4-FFF2-40B4-BE49-F238E27FC236}">
              <a16:creationId xmlns:a16="http://schemas.microsoft.com/office/drawing/2014/main" id="{00000000-0008-0000-0300-000067F1FA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oneCellAnchor>
  <xdr:oneCellAnchor>
    <xdr:from>
      <xdr:col>0</xdr:col>
      <xdr:colOff>123825</xdr:colOff>
      <xdr:row>93</xdr:row>
      <xdr:rowOff>133350</xdr:rowOff>
    </xdr:from>
    <xdr:ext cx="4648200" cy="2847975"/>
    <xdr:graphicFrame macro="">
      <xdr:nvGraphicFramePr>
        <xdr:cNvPr id="1772423206" name="Chart 27" title="Gráfico">
          <a:extLst>
            <a:ext uri="{FF2B5EF4-FFF2-40B4-BE49-F238E27FC236}">
              <a16:creationId xmlns:a16="http://schemas.microsoft.com/office/drawing/2014/main" id="{00000000-0008-0000-0300-00002608A5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oneCellAnchor>
  <xdr:oneCellAnchor>
    <xdr:from>
      <xdr:col>0</xdr:col>
      <xdr:colOff>28575</xdr:colOff>
      <xdr:row>98</xdr:row>
      <xdr:rowOff>19050</xdr:rowOff>
    </xdr:from>
    <xdr:ext cx="4629150" cy="2867025"/>
    <xdr:graphicFrame macro="">
      <xdr:nvGraphicFramePr>
        <xdr:cNvPr id="1940437277" name="Chart 28" title="Gráfico">
          <a:extLst>
            <a:ext uri="{FF2B5EF4-FFF2-40B4-BE49-F238E27FC236}">
              <a16:creationId xmlns:a16="http://schemas.microsoft.com/office/drawing/2014/main" id="{00000000-0008-0000-0300-00001DB9A8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oneCellAnchor>
  <xdr:oneCellAnchor>
    <xdr:from>
      <xdr:col>17</xdr:col>
      <xdr:colOff>85725</xdr:colOff>
      <xdr:row>207</xdr:row>
      <xdr:rowOff>76200</xdr:rowOff>
    </xdr:from>
    <xdr:ext cx="11249025" cy="1609725"/>
    <xdr:sp macro="" textlink="">
      <xdr:nvSpPr>
        <xdr:cNvPr id="3" name="Shape 3">
          <a:extLst>
            <a:ext uri="{FF2B5EF4-FFF2-40B4-BE49-F238E27FC236}">
              <a16:creationId xmlns:a16="http://schemas.microsoft.com/office/drawing/2014/main" id="{00000000-0008-0000-0300-000003000000}"/>
            </a:ext>
          </a:extLst>
        </xdr:cNvPr>
        <xdr:cNvSpPr txBox="1"/>
      </xdr:nvSpPr>
      <xdr:spPr>
        <a:xfrm>
          <a:off x="0" y="2979900"/>
          <a:ext cx="10692000" cy="16002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El martes tiene menor costo con flujo prom 8. </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A medida que tengo estaciones más equidistantes, las posibilidades que tengo de tomar estaciones son más lejanas que en el caso que elegimos de nuestras estaciones que tienen distancias mas cercanas.</a:t>
          </a:r>
          <a:endParaRPr sz="1400"/>
        </a:p>
        <a:p>
          <a:pPr marL="0" lvl="0" indent="0" algn="l" rtl="0">
            <a:spcBef>
              <a:spcPts val="0"/>
            </a:spcBef>
            <a:spcAft>
              <a:spcPts val="0"/>
            </a:spcAft>
            <a:buNone/>
          </a:pPr>
          <a:endParaRPr sz="1100"/>
        </a:p>
        <a:p>
          <a:pPr marL="0" lvl="0" indent="0" algn="l" rtl="0">
            <a:spcBef>
              <a:spcPts val="0"/>
            </a:spcBef>
            <a:spcAft>
              <a:spcPts val="0"/>
            </a:spcAft>
            <a:buNone/>
          </a:pPr>
          <a:r>
            <a:rPr lang="en-US" sz="1100">
              <a:solidFill>
                <a:schemeClr val="dk1"/>
              </a:solidFill>
              <a:latin typeface="Calibri"/>
              <a:ea typeface="Calibri"/>
              <a:cs typeface="Calibri"/>
              <a:sym typeface="Calibri"/>
            </a:rPr>
            <a:t>el costo prom semanal es menor en tembici, porque tienen distribuidas de manera más homogeneas de rebalancear. Tiene más opciones para rebalancear cercano. </a:t>
          </a:r>
          <a:endParaRPr sz="1400"/>
        </a:p>
        <a:p>
          <a:pPr marL="0" lvl="0" indent="0" algn="l" rtl="0">
            <a:spcBef>
              <a:spcPts val="0"/>
            </a:spcBef>
            <a:spcAft>
              <a:spcPts val="0"/>
            </a:spcAft>
            <a:buNone/>
          </a:pPr>
          <a:r>
            <a:rPr lang="en-US" sz="1100">
              <a:solidFill>
                <a:schemeClr val="dk1"/>
              </a:solidFill>
              <a:latin typeface="Calibri"/>
              <a:ea typeface="Calibri"/>
              <a:cs typeface="Calibri"/>
              <a:sym typeface="Calibri"/>
            </a:rPr>
            <a:t>Más conveniente balancear las estaciones considerando estaciones que se encuentre distribuidas homogenea. Seleccioar los grupos que estén más cerca. </a:t>
          </a:r>
          <a:endParaRPr sz="1400"/>
        </a:p>
        <a:p>
          <a:pPr marL="0" lvl="0" indent="0" algn="l" rtl="0">
            <a:spcBef>
              <a:spcPts val="0"/>
            </a:spcBef>
            <a:spcAft>
              <a:spcPts val="0"/>
            </a:spcAft>
            <a:buNone/>
          </a:pPr>
          <a:endParaRPr sz="1100"/>
        </a:p>
      </xdr:txBody>
    </xdr:sp>
    <xdr:clientData fLocksWithSheet="0"/>
  </xdr:oneCellAnchor>
  <xdr:oneCellAnchor>
    <xdr:from>
      <xdr:col>1</xdr:col>
      <xdr:colOff>704850</xdr:colOff>
      <xdr:row>214</xdr:row>
      <xdr:rowOff>19050</xdr:rowOff>
    </xdr:from>
    <xdr:ext cx="12839700" cy="1847850"/>
    <xdr:sp macro="" textlink="">
      <xdr:nvSpPr>
        <xdr:cNvPr id="4" name="Shape 4">
          <a:extLst>
            <a:ext uri="{FF2B5EF4-FFF2-40B4-BE49-F238E27FC236}">
              <a16:creationId xmlns:a16="http://schemas.microsoft.com/office/drawing/2014/main" id="{00000000-0008-0000-0300-000004000000}"/>
            </a:ext>
          </a:extLst>
        </xdr:cNvPr>
        <xdr:cNvSpPr txBox="1"/>
      </xdr:nvSpPr>
      <xdr:spPr>
        <a:xfrm>
          <a:off x="0" y="2860838"/>
          <a:ext cx="10692000" cy="183832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a:solidFill>
                <a:schemeClr val="dk1"/>
              </a:solidFill>
              <a:latin typeface="Calibri"/>
              <a:ea typeface="Calibri"/>
              <a:cs typeface="Calibri"/>
              <a:sym typeface="Calibri"/>
            </a:rPr>
            <a:t>Se puede ver que la más de llenado que selecciona la empresa es S17 - San Isidro / Santa Isabel, con una asimetría de -1,679865, que coincide con el caso 3 evaluado por nosotros, (que considera seleccionar las estaciones más de llenado y vaciado de todas las comunas). Pero según lo que se refleja en los datos, al ver cuál selecciona la empresa considera "más de vaciado", no coincide con la más de vaciado que muestra los datos, su estación con máxima asimetría es </a:t>
          </a:r>
          <a:r>
            <a:rPr lang="en-US" sz="1100" b="0" i="0" u="none" strike="noStrike">
              <a:solidFill>
                <a:schemeClr val="dk1"/>
              </a:solidFill>
              <a:latin typeface="Calibri"/>
              <a:ea typeface="Calibri"/>
              <a:cs typeface="Calibri"/>
              <a:sym typeface="Calibri"/>
            </a:rPr>
            <a:t>P05 - Costanera Center 2</a:t>
          </a:r>
          <a:r>
            <a:rPr lang="en-US" sz="1100">
              <a:solidFill>
                <a:schemeClr val="dk1"/>
              </a:solidFill>
              <a:latin typeface="Calibri"/>
              <a:ea typeface="Calibri"/>
              <a:cs typeface="Calibri"/>
              <a:sym typeface="Calibri"/>
            </a:rPr>
            <a:t>  con asimetría 0,9957. Y los datos indican que existen otras estaciones con asimetría más positiva, superando 1, por lo que con esto se puede concluir que ellos elijen su TOP e</a:t>
          </a:r>
          <a:endParaRPr sz="1100"/>
        </a:p>
        <a:p>
          <a:pPr marL="0" lvl="0" indent="0" algn="l" rtl="0">
            <a:spcBef>
              <a:spcPts val="0"/>
            </a:spcBef>
            <a:spcAft>
              <a:spcPts val="0"/>
            </a:spcAft>
            <a:buNone/>
          </a:pPr>
          <a:r>
            <a:rPr lang="en-US" sz="1100">
              <a:solidFill>
                <a:schemeClr val="dk1"/>
              </a:solidFill>
              <a:latin typeface="Calibri"/>
              <a:ea typeface="Calibri"/>
              <a:cs typeface="Calibri"/>
              <a:sym typeface="Calibri"/>
            </a:rPr>
            <a:t>El TOP de Tembici es generado por el sistema según la cantidad de minutos que pasa llena o vacía la estación. Cuando se llena o vacia al 100% comienza a sumar minutos. Este TOP se actualiza día a día y en base a este TOP rebalancean, el TOP entregado fue el promedio de todo el mes de noviembre, es decir, el TOP del mes de noviembre que corresponde a la fecha evaluada. Esto puede ser ventajoso para</a:t>
          </a:r>
          <a:endParaRPr sz="11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4</xdr:col>
      <xdr:colOff>76200</xdr:colOff>
      <xdr:row>4</xdr:row>
      <xdr:rowOff>47625</xdr:rowOff>
    </xdr:from>
    <xdr:ext cx="7439025" cy="8220075"/>
    <xdr:graphicFrame macro="">
      <xdr:nvGraphicFramePr>
        <xdr:cNvPr id="2004281833" name="Chart 29">
          <a:extLst>
            <a:ext uri="{FF2B5EF4-FFF2-40B4-BE49-F238E27FC236}">
              <a16:creationId xmlns:a16="http://schemas.microsoft.com/office/drawing/2014/main" id="{00000000-0008-0000-0500-0000E9E976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4</xdr:col>
      <xdr:colOff>228600</xdr:colOff>
      <xdr:row>8</xdr:row>
      <xdr:rowOff>114300</xdr:rowOff>
    </xdr:from>
    <xdr:ext cx="7372350" cy="7305675"/>
    <xdr:graphicFrame macro="">
      <xdr:nvGraphicFramePr>
        <xdr:cNvPr id="132467184" name="Chart 30">
          <a:extLst>
            <a:ext uri="{FF2B5EF4-FFF2-40B4-BE49-F238E27FC236}">
              <a16:creationId xmlns:a16="http://schemas.microsoft.com/office/drawing/2014/main" id="{00000000-0008-0000-0600-0000F049E5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3</xdr:col>
      <xdr:colOff>695325</xdr:colOff>
      <xdr:row>1</xdr:row>
      <xdr:rowOff>0</xdr:rowOff>
    </xdr:from>
    <xdr:ext cx="6734175" cy="8439150"/>
    <xdr:graphicFrame macro="">
      <xdr:nvGraphicFramePr>
        <xdr:cNvPr id="1840150619" name="Chart 31">
          <a:extLst>
            <a:ext uri="{FF2B5EF4-FFF2-40B4-BE49-F238E27FC236}">
              <a16:creationId xmlns:a16="http://schemas.microsoft.com/office/drawing/2014/main" id="{00000000-0008-0000-0700-00005B78AE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4</xdr:col>
      <xdr:colOff>304800</xdr:colOff>
      <xdr:row>1</xdr:row>
      <xdr:rowOff>0</xdr:rowOff>
    </xdr:from>
    <xdr:ext cx="6810375" cy="8439150"/>
    <xdr:graphicFrame macro="">
      <xdr:nvGraphicFramePr>
        <xdr:cNvPr id="1421934597" name="Chart 32">
          <a:extLst>
            <a:ext uri="{FF2B5EF4-FFF2-40B4-BE49-F238E27FC236}">
              <a16:creationId xmlns:a16="http://schemas.microsoft.com/office/drawing/2014/main" id="{00000000-0008-0000-0800-00000500C1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CER/Desktop/Tesis/Tesis%20Pedro%20Palominos/C&#243;digo%20python/Modelo_info_historica/Archivos%20a%20usar%20en%20el%20modelo/asimetr&#237;a_22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s>
    <sheetDataSet>
      <sheetData sheetId="0">
        <row r="1">
          <cell r="A1" t="str">
            <v>Estacion</v>
          </cell>
          <cell r="B1">
            <v>0</v>
          </cell>
          <cell r="C1" t="str">
            <v>Simetria_Bikes</v>
          </cell>
        </row>
        <row r="2">
          <cell r="A2" t="str">
            <v>I01 - Metro Hospitales</v>
          </cell>
          <cell r="B2">
            <v>0</v>
          </cell>
          <cell r="C2">
            <v>-0.97572379049847491</v>
          </cell>
        </row>
        <row r="3">
          <cell r="A3" t="str">
            <v>I04 - Molino</v>
          </cell>
          <cell r="B3">
            <v>0</v>
          </cell>
          <cell r="C3">
            <v>-0.67659529757964121</v>
          </cell>
        </row>
        <row r="4">
          <cell r="A4" t="str">
            <v>I06 - Mall Independencia</v>
          </cell>
          <cell r="B4">
            <v>0</v>
          </cell>
          <cell r="C4">
            <v>-0.38001355287981681</v>
          </cell>
        </row>
        <row r="5">
          <cell r="A5" t="str">
            <v>IT001 - ITAU</v>
          </cell>
          <cell r="B5">
            <v>0</v>
          </cell>
          <cell r="C5">
            <v>0.26647717855960468</v>
          </cell>
        </row>
        <row r="6">
          <cell r="A6" t="str">
            <v>LC001 - Barrio El Golf</v>
          </cell>
          <cell r="B6">
            <v>0</v>
          </cell>
          <cell r="C6">
            <v>3.5493121707765377E-2</v>
          </cell>
        </row>
        <row r="7">
          <cell r="A7" t="str">
            <v>LC002 - Hendaya</v>
          </cell>
          <cell r="B7">
            <v>0</v>
          </cell>
          <cell r="C7">
            <v>0.65812761495518723</v>
          </cell>
        </row>
        <row r="8">
          <cell r="A8" t="str">
            <v>LC003 - Ómnium</v>
          </cell>
          <cell r="B8">
            <v>0</v>
          </cell>
          <cell r="C8">
            <v>0.2454896241255734</v>
          </cell>
        </row>
        <row r="9">
          <cell r="A9" t="str">
            <v>LC004 - Plaza Valenzuela Llanos</v>
          </cell>
          <cell r="B9">
            <v>0</v>
          </cell>
          <cell r="C9">
            <v>0.55777597420983671</v>
          </cell>
        </row>
        <row r="10">
          <cell r="A10" t="str">
            <v>LC005 - Corporación Cultural De Las Condes</v>
          </cell>
          <cell r="B10">
            <v>0</v>
          </cell>
          <cell r="C10">
            <v>-0.17401368945221021</v>
          </cell>
        </row>
        <row r="11">
          <cell r="A11" t="str">
            <v>LC006 - Parque Titanium</v>
          </cell>
          <cell r="B11">
            <v>0</v>
          </cell>
          <cell r="C11">
            <v>0.36467944491195631</v>
          </cell>
        </row>
        <row r="12">
          <cell r="A12" t="str">
            <v>LC007 - Centro Cívico De Las Condes</v>
          </cell>
          <cell r="B12">
            <v>0</v>
          </cell>
          <cell r="C12">
            <v>1.247177188019948</v>
          </cell>
        </row>
        <row r="13">
          <cell r="A13" t="str">
            <v>LC008 - San Crescente</v>
          </cell>
          <cell r="B13">
            <v>0</v>
          </cell>
          <cell r="C13">
            <v>0.86747587165941475</v>
          </cell>
        </row>
        <row r="14">
          <cell r="A14" t="str">
            <v>LC009 - Municipalidad De Las Condes</v>
          </cell>
          <cell r="B14">
            <v>0</v>
          </cell>
          <cell r="C14">
            <v>0.53747605471157822</v>
          </cell>
        </row>
        <row r="15">
          <cell r="A15" t="str">
            <v>LC010 - Metro Manquehue - Norte</v>
          </cell>
          <cell r="B15">
            <v>0</v>
          </cell>
          <cell r="C15">
            <v>0.62268266964537045</v>
          </cell>
        </row>
        <row r="16">
          <cell r="A16" t="str">
            <v>LC011 - Metro Hernando De Magallanes</v>
          </cell>
          <cell r="B16">
            <v>0</v>
          </cell>
          <cell r="C16">
            <v>0.52426836588405112</v>
          </cell>
        </row>
        <row r="17">
          <cell r="A17" t="str">
            <v>LC012 - Metro Los Dominicos</v>
          </cell>
          <cell r="B17">
            <v>0</v>
          </cell>
          <cell r="C17">
            <v>0.22890484625419391</v>
          </cell>
        </row>
        <row r="18">
          <cell r="A18" t="str">
            <v>LC013 - Rotonda Atenas</v>
          </cell>
          <cell r="B18">
            <v>0</v>
          </cell>
          <cell r="C18">
            <v>0.1333826399900486</v>
          </cell>
        </row>
        <row r="19">
          <cell r="A19" t="str">
            <v>LC014 - Parque Araucano</v>
          </cell>
          <cell r="B19">
            <v>0</v>
          </cell>
          <cell r="C19">
            <v>0.3520864403963167</v>
          </cell>
        </row>
        <row r="20">
          <cell r="A20" t="str">
            <v>LC015 - Isidora Goyenechea / El Bosque Norte</v>
          </cell>
          <cell r="B20">
            <v>0</v>
          </cell>
          <cell r="C20">
            <v>0.76820906366810826</v>
          </cell>
        </row>
        <row r="21">
          <cell r="A21" t="str">
            <v>LC016 - Plaza Juan Pablo II</v>
          </cell>
          <cell r="B21">
            <v>0</v>
          </cell>
          <cell r="C21">
            <v>7.3996943927614758E-2</v>
          </cell>
        </row>
        <row r="22">
          <cell r="A22" t="str">
            <v>LC017 - Sánchez Fontecilla / Cristóbal Colón</v>
          </cell>
          <cell r="B22">
            <v>0</v>
          </cell>
          <cell r="C22">
            <v>0.82297783539799418</v>
          </cell>
        </row>
        <row r="23">
          <cell r="A23" t="str">
            <v>LC018 - Fiscalía Local De Las Condes</v>
          </cell>
          <cell r="B23">
            <v>0</v>
          </cell>
          <cell r="C23">
            <v>1.1139196755889551</v>
          </cell>
        </row>
        <row r="24">
          <cell r="A24" t="str">
            <v>LC019 - Metro Alcántara</v>
          </cell>
          <cell r="B24">
            <v>0</v>
          </cell>
          <cell r="C24">
            <v>0.67691586229508371</v>
          </cell>
        </row>
        <row r="25">
          <cell r="A25" t="str">
            <v>LC020 - Manquehue Sur / Cristóbal Colón</v>
          </cell>
          <cell r="B25">
            <v>0</v>
          </cell>
          <cell r="C25">
            <v>0.73183591156224315</v>
          </cell>
        </row>
        <row r="26">
          <cell r="A26" t="str">
            <v>LC022 - Tobalaba / Apoquindo</v>
          </cell>
          <cell r="B26">
            <v>0</v>
          </cell>
          <cell r="C26">
            <v>0.74405023145514848</v>
          </cell>
        </row>
        <row r="27">
          <cell r="A27" t="str">
            <v>LC023 - Plaza Don Raúl Simón Bernal</v>
          </cell>
          <cell r="B27">
            <v>0</v>
          </cell>
          <cell r="C27">
            <v>-0.33218477746424419</v>
          </cell>
        </row>
        <row r="28">
          <cell r="A28" t="str">
            <v>LC024 - Américo Vespucio / Pdte Kennedy</v>
          </cell>
          <cell r="B28">
            <v>0</v>
          </cell>
          <cell r="C28">
            <v>0.19184727220482861</v>
          </cell>
        </row>
        <row r="29">
          <cell r="A29" t="str">
            <v>LC025 - Noruega</v>
          </cell>
          <cell r="B29">
            <v>0</v>
          </cell>
          <cell r="C29">
            <v>-0.1156639926485795</v>
          </cell>
        </row>
        <row r="30">
          <cell r="A30" t="str">
            <v>LC026 - Alcántara / Vaticano</v>
          </cell>
          <cell r="B30">
            <v>0</v>
          </cell>
          <cell r="C30">
            <v>-0.1276583705029041</v>
          </cell>
        </row>
        <row r="31">
          <cell r="A31" t="str">
            <v>LC027 - IV Centenario / El Galeón</v>
          </cell>
          <cell r="B31">
            <v>0</v>
          </cell>
          <cell r="C31">
            <v>-7.6409216849340475E-2</v>
          </cell>
        </row>
        <row r="32">
          <cell r="A32" t="str">
            <v>LC028 - Mar De Coral</v>
          </cell>
          <cell r="B32">
            <v>0</v>
          </cell>
          <cell r="C32">
            <v>-8.4519954919327303E-2</v>
          </cell>
        </row>
        <row r="33">
          <cell r="A33" t="str">
            <v>LC029 - Málaga / Rapallo</v>
          </cell>
          <cell r="B33">
            <v>0</v>
          </cell>
          <cell r="C33">
            <v>-0.33117751030708598</v>
          </cell>
        </row>
        <row r="34">
          <cell r="A34" t="str">
            <v>LC030 - Martín de Zamora / Algeciras</v>
          </cell>
          <cell r="B34">
            <v>0</v>
          </cell>
          <cell r="C34">
            <v>0.2760337655220475</v>
          </cell>
        </row>
        <row r="35">
          <cell r="A35" t="str">
            <v>LC031 - Presidente Errázuriz / Enrique Foster</v>
          </cell>
          <cell r="B35">
            <v>0</v>
          </cell>
          <cell r="C35">
            <v>0.46549016214057992</v>
          </cell>
        </row>
        <row r="36">
          <cell r="A36" t="str">
            <v>LC032 - Padre Hurtado / Pdte Kennedy Lateral</v>
          </cell>
          <cell r="B36">
            <v>0</v>
          </cell>
          <cell r="C36">
            <v>0.41634720425379301</v>
          </cell>
        </row>
        <row r="37">
          <cell r="A37" t="str">
            <v>LC033 - Vitacura / San Patricio</v>
          </cell>
          <cell r="B37">
            <v>0</v>
          </cell>
          <cell r="C37">
            <v>0.655473679459604</v>
          </cell>
        </row>
        <row r="38">
          <cell r="A38" t="str">
            <v>LC034 - Zurich</v>
          </cell>
          <cell r="B38">
            <v>0</v>
          </cell>
          <cell r="C38">
            <v>0.70256358269933272</v>
          </cell>
        </row>
        <row r="39">
          <cell r="A39" t="str">
            <v>LC035 - Escuela Militar</v>
          </cell>
          <cell r="B39">
            <v>0</v>
          </cell>
          <cell r="C39">
            <v>0.4898924788632919</v>
          </cell>
        </row>
        <row r="40">
          <cell r="A40" t="str">
            <v>LC036 - Las Condes / Valle Alegre</v>
          </cell>
          <cell r="B40">
            <v>0</v>
          </cell>
          <cell r="C40">
            <v>-8.3382646531759363E-2</v>
          </cell>
        </row>
        <row r="41">
          <cell r="A41" t="str">
            <v>LC037 - Manquehue Sur / Isabel La Católica</v>
          </cell>
          <cell r="B41">
            <v>0</v>
          </cell>
          <cell r="C41">
            <v>-4.5369901702533189E-2</v>
          </cell>
        </row>
        <row r="42">
          <cell r="A42" t="str">
            <v>LC038 - Plaza Brasilia</v>
          </cell>
          <cell r="B42">
            <v>0</v>
          </cell>
          <cell r="C42">
            <v>0.20386052402365151</v>
          </cell>
        </row>
        <row r="43">
          <cell r="A43" t="str">
            <v>LC039 Tomás Moro / Apoquindo</v>
          </cell>
          <cell r="B43">
            <v>0</v>
          </cell>
          <cell r="C43">
            <v>0.13270626594702209</v>
          </cell>
        </row>
        <row r="44">
          <cell r="A44" t="str">
            <v>LC040 - Manquehue Sur / Alonso de Camargo</v>
          </cell>
          <cell r="B44">
            <v>0</v>
          </cell>
          <cell r="C44">
            <v>0.49779476170944992</v>
          </cell>
        </row>
        <row r="45">
          <cell r="A45" t="str">
            <v>LC041 - Gertrudis Echeñíque / Callao</v>
          </cell>
          <cell r="B45">
            <v>0</v>
          </cell>
          <cell r="C45">
            <v>0.24763108665863259</v>
          </cell>
        </row>
        <row r="46">
          <cell r="A46" t="str">
            <v>LC042 - Padre Hurtado / Las Condes</v>
          </cell>
          <cell r="B46">
            <v>0</v>
          </cell>
          <cell r="C46">
            <v>0.80912893738465119</v>
          </cell>
        </row>
        <row r="47">
          <cell r="A47" t="str">
            <v>LC044 - Lat. Kennedy / Gerónimo de Alderete</v>
          </cell>
          <cell r="B47">
            <v>0</v>
          </cell>
          <cell r="C47">
            <v>0.39808227671882318</v>
          </cell>
        </row>
        <row r="48">
          <cell r="A48" t="str">
            <v>LC045 - Cristóbal Colón / Padre Hurtado</v>
          </cell>
          <cell r="B48">
            <v>0</v>
          </cell>
          <cell r="C48">
            <v>-8.2114764903392978E-2</v>
          </cell>
        </row>
        <row r="49">
          <cell r="A49" t="str">
            <v>LC046 - Padre Hurtado / Gral. Blanche</v>
          </cell>
          <cell r="B49">
            <v>0</v>
          </cell>
          <cell r="C49">
            <v>0.8657473118588811</v>
          </cell>
        </row>
        <row r="50">
          <cell r="A50" t="str">
            <v>LC047 - Apoquindo / Luiz Zegers</v>
          </cell>
          <cell r="B50">
            <v>0</v>
          </cell>
          <cell r="C50">
            <v>1.1425292918330761</v>
          </cell>
        </row>
        <row r="51">
          <cell r="A51" t="str">
            <v>LC048 - Latadia / Américo Vespucio</v>
          </cell>
          <cell r="B51">
            <v>0</v>
          </cell>
          <cell r="C51">
            <v>-0.82748694542323553</v>
          </cell>
        </row>
        <row r="52">
          <cell r="A52" t="str">
            <v>LC049 - Presidente Riesco / Américo Vespucio</v>
          </cell>
          <cell r="B52">
            <v>0</v>
          </cell>
          <cell r="C52">
            <v>1.123713972805261</v>
          </cell>
        </row>
        <row r="53">
          <cell r="A53" t="str">
            <v>LC050 - IV Centenario / Apoquindo</v>
          </cell>
          <cell r="B53">
            <v>0</v>
          </cell>
          <cell r="C53">
            <v>0.3341403623360083</v>
          </cell>
        </row>
        <row r="54">
          <cell r="A54" t="str">
            <v>LC051 - IV Centenario / Manuel Claro Vial</v>
          </cell>
          <cell r="B54">
            <v>0</v>
          </cell>
          <cell r="C54">
            <v>0.2972272479549623</v>
          </cell>
        </row>
        <row r="55">
          <cell r="A55" t="str">
            <v>LC052 - IV Centenario / Alejandro Fleming</v>
          </cell>
          <cell r="B55">
            <v>0</v>
          </cell>
          <cell r="C55">
            <v>0.40073623478288978</v>
          </cell>
        </row>
        <row r="56">
          <cell r="A56" t="str">
            <v>LC053 - Sebastián Elcano / Victor Rae</v>
          </cell>
          <cell r="B56">
            <v>0</v>
          </cell>
          <cell r="C56">
            <v>-0.65211187434260853</v>
          </cell>
        </row>
        <row r="57">
          <cell r="A57" t="str">
            <v>LC054 - Padre Hurtado / Bocaccio</v>
          </cell>
          <cell r="B57">
            <v>0</v>
          </cell>
          <cell r="C57">
            <v>-0.35947660489844369</v>
          </cell>
        </row>
        <row r="58">
          <cell r="A58" t="str">
            <v>LC055 - Mall Los Dominicos</v>
          </cell>
          <cell r="B58">
            <v>0</v>
          </cell>
          <cell r="C58">
            <v>0.17204225388640559</v>
          </cell>
        </row>
        <row r="59">
          <cell r="A59" t="str">
            <v>LC056 - Imperial</v>
          </cell>
          <cell r="B59">
            <v>0</v>
          </cell>
          <cell r="C59">
            <v>-0.45132012464184468</v>
          </cell>
        </row>
        <row r="60">
          <cell r="A60" t="str">
            <v>LC057 - Paul Harris / Cristóbal Colón</v>
          </cell>
          <cell r="B60">
            <v>0</v>
          </cell>
          <cell r="C60">
            <v>5.3957699481147703E-2</v>
          </cell>
        </row>
        <row r="61">
          <cell r="A61" t="str">
            <v>LC058 - Plaza Horacio Rivarola</v>
          </cell>
          <cell r="B61">
            <v>0</v>
          </cell>
          <cell r="C61">
            <v>0.1948965207599927</v>
          </cell>
        </row>
        <row r="62">
          <cell r="A62" t="str">
            <v>LC059 - Sánchez Fontecilla / I. La Católica</v>
          </cell>
          <cell r="B62">
            <v>0</v>
          </cell>
          <cell r="C62">
            <v>0.54536694234610339</v>
          </cell>
        </row>
        <row r="63">
          <cell r="A63" t="str">
            <v>LC060 - Rotonda La Capitanía</v>
          </cell>
          <cell r="B63">
            <v>0</v>
          </cell>
          <cell r="C63">
            <v>0.3439783096502495</v>
          </cell>
        </row>
        <row r="64">
          <cell r="A64" t="str">
            <v>LC061 - Apoquindo / Hans C Andersen</v>
          </cell>
          <cell r="B64">
            <v>0</v>
          </cell>
          <cell r="C64">
            <v>0.61005844329998227</v>
          </cell>
        </row>
        <row r="65">
          <cell r="A65" t="str">
            <v>LC062 - Visviri</v>
          </cell>
          <cell r="B65">
            <v>0</v>
          </cell>
          <cell r="C65">
            <v>0.37990517196890722</v>
          </cell>
        </row>
        <row r="66">
          <cell r="A66" t="str">
            <v>LC063 - Isabel La Católica / El Pillán</v>
          </cell>
          <cell r="B66">
            <v>0</v>
          </cell>
          <cell r="C66">
            <v>-0.7743419731676684</v>
          </cell>
        </row>
        <row r="67">
          <cell r="A67" t="str">
            <v>LC064 - Luis Rodríguez Velasco - Cnel Pereira</v>
          </cell>
          <cell r="B67">
            <v>0</v>
          </cell>
          <cell r="C67">
            <v>0.20706130791037569</v>
          </cell>
        </row>
        <row r="68">
          <cell r="A68" t="str">
            <v>LC065 - Alsacia / Apoquindo</v>
          </cell>
          <cell r="B68">
            <v>0</v>
          </cell>
          <cell r="C68">
            <v>2.179677990036848E-2</v>
          </cell>
        </row>
        <row r="69">
          <cell r="A69" t="str">
            <v>LC066 - Cerro Colorado / Rosario Norte</v>
          </cell>
          <cell r="B69">
            <v>0</v>
          </cell>
          <cell r="C69">
            <v>0.80154659127182082</v>
          </cell>
        </row>
        <row r="70">
          <cell r="A70" t="str">
            <v>LC067 - Isidora Goyenechea / Carmencita</v>
          </cell>
          <cell r="B70">
            <v>0</v>
          </cell>
          <cell r="C70">
            <v>0.784953161900107</v>
          </cell>
        </row>
        <row r="71">
          <cell r="A71" t="str">
            <v>LC068 - Metro Manquehue - Sur</v>
          </cell>
          <cell r="B71">
            <v>0</v>
          </cell>
          <cell r="C71">
            <v>0.75176560751023358</v>
          </cell>
        </row>
        <row r="72">
          <cell r="A72" t="str">
            <v>LC069 - Cristóbal Colón / Fuenteovejuna</v>
          </cell>
          <cell r="B72">
            <v>0</v>
          </cell>
          <cell r="C72">
            <v>-0.38803289221099713</v>
          </cell>
        </row>
        <row r="73">
          <cell r="A73" t="str">
            <v>LC070 - Alonso De Córdova Interior</v>
          </cell>
          <cell r="B73">
            <v>0</v>
          </cell>
          <cell r="C73">
            <v>0.65757862978307635</v>
          </cell>
        </row>
        <row r="74">
          <cell r="A74" t="str">
            <v>LC071 - Burgos / Apoquindo</v>
          </cell>
          <cell r="B74">
            <v>0</v>
          </cell>
          <cell r="C74">
            <v>0.69929531406459644</v>
          </cell>
        </row>
        <row r="75">
          <cell r="A75" t="str">
            <v>LC072 - Estadio Israelita</v>
          </cell>
          <cell r="B75">
            <v>0</v>
          </cell>
          <cell r="C75">
            <v>-7.4192965962806088E-3</v>
          </cell>
        </row>
        <row r="76">
          <cell r="A76" t="str">
            <v>LC073 - Padre Hurtado / Camino El Alba</v>
          </cell>
          <cell r="B76">
            <v>0</v>
          </cell>
          <cell r="C76">
            <v>1.6580583661463609E-2</v>
          </cell>
        </row>
        <row r="77">
          <cell r="A77" t="str">
            <v>LC074 - Del Inca / Antonia Salas</v>
          </cell>
          <cell r="B77">
            <v>0</v>
          </cell>
          <cell r="C77">
            <v>-0.12680428398303781</v>
          </cell>
        </row>
        <row r="78">
          <cell r="A78" t="str">
            <v>LC075 - La Oración / Gerónimo De Alderete</v>
          </cell>
          <cell r="B78">
            <v>0</v>
          </cell>
          <cell r="C78">
            <v>0.1910182422881225</v>
          </cell>
        </row>
        <row r="79">
          <cell r="A79" t="str">
            <v>LC076 - La Posada / San Antonio</v>
          </cell>
          <cell r="B79">
            <v>0</v>
          </cell>
          <cell r="C79">
            <v>0.1708392164323034</v>
          </cell>
        </row>
        <row r="80">
          <cell r="A80" t="str">
            <v>LC077 - Mall Sport</v>
          </cell>
          <cell r="B80">
            <v>0</v>
          </cell>
          <cell r="C80">
            <v>0.36412597042845152</v>
          </cell>
        </row>
        <row r="81">
          <cell r="A81" t="str">
            <v>LC078 - Libia / Av Las Condes</v>
          </cell>
          <cell r="B81">
            <v>0</v>
          </cell>
          <cell r="C81">
            <v>0.26637731985067259</v>
          </cell>
        </row>
        <row r="82">
          <cell r="A82" t="str">
            <v>LC079 - Mallalil</v>
          </cell>
          <cell r="B82">
            <v>0</v>
          </cell>
          <cell r="C82">
            <v>0.15916043310237321</v>
          </cell>
        </row>
        <row r="83">
          <cell r="A83" t="str">
            <v>LC080 - Manquehue Sur / Carlos Alvarado</v>
          </cell>
          <cell r="B83">
            <v>0</v>
          </cell>
          <cell r="C83">
            <v>-0.48760312515786391</v>
          </cell>
        </row>
        <row r="84">
          <cell r="A84" t="str">
            <v>LC081 - Padre Hurtado / Alejandro Fleming</v>
          </cell>
          <cell r="B84">
            <v>0</v>
          </cell>
          <cell r="C84">
            <v>0.2818832228732806</v>
          </cell>
        </row>
        <row r="85">
          <cell r="A85" t="str">
            <v>LC082 - Plaza Domingo Bondi</v>
          </cell>
          <cell r="B85">
            <v>0</v>
          </cell>
          <cell r="C85">
            <v>0.46938004573139502</v>
          </cell>
        </row>
        <row r="86">
          <cell r="A86" t="str">
            <v>LC083 - Padre Hurtado / Nueva Bilbao</v>
          </cell>
          <cell r="B86">
            <v>0</v>
          </cell>
          <cell r="C86">
            <v>-0.77105915803287561</v>
          </cell>
        </row>
        <row r="87">
          <cell r="A87" t="str">
            <v>LC084 - Presidente Errázuriz / Alcántara</v>
          </cell>
          <cell r="B87">
            <v>0</v>
          </cell>
          <cell r="C87">
            <v>0.28928683113813058</v>
          </cell>
        </row>
        <row r="88">
          <cell r="A88" t="str">
            <v>LC085 - Plaza La Condordia</v>
          </cell>
          <cell r="B88">
            <v>0</v>
          </cell>
          <cell r="C88">
            <v>7.6727315326051444E-3</v>
          </cell>
        </row>
        <row r="89">
          <cell r="A89" t="str">
            <v>LC086 - Tomás Moro / Alejandro Fleming</v>
          </cell>
          <cell r="B89">
            <v>0</v>
          </cell>
          <cell r="C89">
            <v>-0.70766618359621514</v>
          </cell>
        </row>
        <row r="90">
          <cell r="A90" t="str">
            <v>LC087 - Hospital DIPRECA</v>
          </cell>
          <cell r="B90">
            <v>0</v>
          </cell>
          <cell r="C90">
            <v>-0.5157711814660022</v>
          </cell>
        </row>
        <row r="91">
          <cell r="A91" t="str">
            <v>LC088 - Cerro Colorado / Manquehue Norte</v>
          </cell>
          <cell r="B91">
            <v>0</v>
          </cell>
          <cell r="C91">
            <v>0.41535961248486658</v>
          </cell>
        </row>
        <row r="92">
          <cell r="A92" t="str">
            <v>LC089 - Chesterton / Bocaccio</v>
          </cell>
          <cell r="B92">
            <v>0</v>
          </cell>
          <cell r="C92">
            <v>-1.1428327832816429</v>
          </cell>
        </row>
        <row r="93">
          <cell r="A93" t="str">
            <v>LC090 - Plaza República de Paraguay</v>
          </cell>
          <cell r="B93">
            <v>0</v>
          </cell>
          <cell r="C93">
            <v>9.1850104316967468E-2</v>
          </cell>
        </row>
        <row r="94">
          <cell r="A94" t="str">
            <v>LC091 - Las Tranqueras / Pinares</v>
          </cell>
          <cell r="B94">
            <v>0</v>
          </cell>
          <cell r="C94">
            <v>3.9840970246200369E-2</v>
          </cell>
        </row>
        <row r="95">
          <cell r="A95" t="str">
            <v>LC092 - Manquehue Sur / El Director</v>
          </cell>
          <cell r="B95">
            <v>0</v>
          </cell>
          <cell r="C95">
            <v>0.79657807218642906</v>
          </cell>
        </row>
        <row r="96">
          <cell r="A96" t="str">
            <v>LC093 - Los Estandartes</v>
          </cell>
          <cell r="B96">
            <v>0</v>
          </cell>
          <cell r="C96">
            <v>2.6646209564781631E-3</v>
          </cell>
        </row>
        <row r="97">
          <cell r="A97" t="str">
            <v>LC094 - Sánchez Fontecilla / Martín De Zamora</v>
          </cell>
          <cell r="B97">
            <v>0</v>
          </cell>
          <cell r="C97">
            <v>0.38082585938068308</v>
          </cell>
        </row>
        <row r="98">
          <cell r="A98" t="str">
            <v>LC096 - La Casona</v>
          </cell>
          <cell r="B98">
            <v>0</v>
          </cell>
          <cell r="C98">
            <v>-1.9613738054082411E-2</v>
          </cell>
        </row>
        <row r="99">
          <cell r="A99" t="str">
            <v>LC097 - Roger de Flor</v>
          </cell>
          <cell r="B99">
            <v>0</v>
          </cell>
          <cell r="C99">
            <v>0.70267762112263932</v>
          </cell>
        </row>
        <row r="100">
          <cell r="A100" t="str">
            <v>LC098 - Cantagallo</v>
          </cell>
          <cell r="B100">
            <v>0</v>
          </cell>
          <cell r="C100">
            <v>0.36473848622693289</v>
          </cell>
        </row>
        <row r="101">
          <cell r="A101" t="str">
            <v>LC100 - Estocolmo / Los Militares</v>
          </cell>
          <cell r="B101">
            <v>0</v>
          </cell>
          <cell r="C101">
            <v>0.24476944877499349</v>
          </cell>
        </row>
        <row r="102">
          <cell r="A102" t="str">
            <v>N01 - Irarrazaval / Agustin Vigorena</v>
          </cell>
          <cell r="B102">
            <v>0</v>
          </cell>
          <cell r="C102">
            <v>-0.43427307719179509</v>
          </cell>
        </row>
        <row r="103">
          <cell r="A103" t="str">
            <v>N02 - José Pedro Alessandri / Irarrázaval</v>
          </cell>
          <cell r="B103">
            <v>0</v>
          </cell>
          <cell r="C103">
            <v>-0.39947587792681938</v>
          </cell>
        </row>
        <row r="104">
          <cell r="A104" t="str">
            <v>N03 - Club Nunoa</v>
          </cell>
          <cell r="B104">
            <v>0</v>
          </cell>
          <cell r="C104">
            <v>-0.36934247323467723</v>
          </cell>
        </row>
        <row r="105">
          <cell r="A105" t="str">
            <v>N04 - Hospital Carabineros</v>
          </cell>
          <cell r="B105">
            <v>0</v>
          </cell>
          <cell r="C105">
            <v>-0.61856740376708086</v>
          </cell>
        </row>
        <row r="106">
          <cell r="A106" t="str">
            <v>N05 - Irarrazaval / Hamburgo</v>
          </cell>
          <cell r="B106">
            <v>0</v>
          </cell>
          <cell r="C106">
            <v>-0.37167852641261018</v>
          </cell>
        </row>
        <row r="107">
          <cell r="A107" t="str">
            <v>N06 - Metro Nunoa</v>
          </cell>
          <cell r="B107">
            <v>0</v>
          </cell>
          <cell r="C107">
            <v>-0.57614000197754711</v>
          </cell>
        </row>
        <row r="108">
          <cell r="A108" t="str">
            <v>N07 - Jose Luis Araneda / Capitan Orella</v>
          </cell>
          <cell r="B108">
            <v>0</v>
          </cell>
          <cell r="C108">
            <v>-0.54975007565199951</v>
          </cell>
        </row>
        <row r="109">
          <cell r="A109" t="str">
            <v>N08 - Manuel Montt / Union Literaria</v>
          </cell>
          <cell r="B109">
            <v>0</v>
          </cell>
          <cell r="C109">
            <v>-0.98278646609034481</v>
          </cell>
        </row>
        <row r="110">
          <cell r="A110" t="str">
            <v>N09 - Irarrázaval / Brown Sur</v>
          </cell>
          <cell r="B110">
            <v>0</v>
          </cell>
          <cell r="C110">
            <v>-0.3761105231824623</v>
          </cell>
        </row>
        <row r="111">
          <cell r="A111" t="str">
            <v>N10 - Metro Plaza Egaña</v>
          </cell>
          <cell r="B111">
            <v>0</v>
          </cell>
          <cell r="C111">
            <v>-0.46206129500500343</v>
          </cell>
        </row>
        <row r="112">
          <cell r="A112" t="str">
            <v>N11 - Metro Simon Bolivar</v>
          </cell>
          <cell r="B112">
            <v>0</v>
          </cell>
          <cell r="C112">
            <v>8.8715304148786228E-2</v>
          </cell>
        </row>
        <row r="113">
          <cell r="A113" t="str">
            <v>N12 - Plaza Nunoa</v>
          </cell>
          <cell r="B113">
            <v>0</v>
          </cell>
          <cell r="C113">
            <v>0.17272822136823321</v>
          </cell>
        </row>
        <row r="114">
          <cell r="A114" t="str">
            <v>N13 - Ricardo Lyon / Hernan Cortes</v>
          </cell>
          <cell r="B114">
            <v>0</v>
          </cell>
          <cell r="C114">
            <v>-0.66495629717997684</v>
          </cell>
        </row>
        <row r="115">
          <cell r="A115" t="str">
            <v>N14 - Plaza Augusto D'Halmar</v>
          </cell>
          <cell r="B115">
            <v>0</v>
          </cell>
          <cell r="C115">
            <v>0.53598608009845994</v>
          </cell>
        </row>
        <row r="116">
          <cell r="A116" t="str">
            <v>N15 - Dublé Almeyda</v>
          </cell>
          <cell r="B116">
            <v>0</v>
          </cell>
          <cell r="C116">
            <v>-0.53434050517227716</v>
          </cell>
        </row>
        <row r="117">
          <cell r="A117" t="str">
            <v>N16 - Polideportivo de Ñuñoa</v>
          </cell>
          <cell r="B117">
            <v>0</v>
          </cell>
          <cell r="C117">
            <v>-1.1920893573654381</v>
          </cell>
        </row>
        <row r="118">
          <cell r="A118" t="str">
            <v>N17 - EMPART</v>
          </cell>
          <cell r="B118">
            <v>0</v>
          </cell>
          <cell r="C118">
            <v>-0.5571168452916101</v>
          </cell>
        </row>
        <row r="119">
          <cell r="A119" t="str">
            <v>N19 - Antonio Varas / Irarrázaval</v>
          </cell>
          <cell r="B119">
            <v>0</v>
          </cell>
          <cell r="C119">
            <v>-0.68424026390526349</v>
          </cell>
        </row>
        <row r="120">
          <cell r="A120" t="str">
            <v>N46 - Av. Irarrázaval / Suecia</v>
          </cell>
          <cell r="B120">
            <v>0</v>
          </cell>
          <cell r="C120">
            <v>-0.39401405246516291</v>
          </cell>
        </row>
        <row r="121">
          <cell r="A121" t="str">
            <v>N47 - Unimarc</v>
          </cell>
          <cell r="B121">
            <v>0</v>
          </cell>
          <cell r="C121">
            <v>-1.0923718971587979</v>
          </cell>
        </row>
        <row r="122">
          <cell r="A122" t="str">
            <v>P01 - Andrés Bello / Gral. Holley</v>
          </cell>
          <cell r="B122">
            <v>0</v>
          </cell>
          <cell r="C122">
            <v>0.18187964581862151</v>
          </cell>
        </row>
        <row r="123">
          <cell r="A123" t="str">
            <v>P02 - Italia / Marín</v>
          </cell>
          <cell r="B123">
            <v>0</v>
          </cell>
          <cell r="C123">
            <v>-0.83166677317607873</v>
          </cell>
        </row>
        <row r="124">
          <cell r="A124" t="str">
            <v>P03 - Suecia / El Vergel</v>
          </cell>
          <cell r="B124">
            <v>0</v>
          </cell>
          <cell r="C124">
            <v>-0.37847904443014729</v>
          </cell>
        </row>
        <row r="125">
          <cell r="A125" t="str">
            <v>P04 - Costanera Center 1</v>
          </cell>
          <cell r="B125">
            <v>0</v>
          </cell>
          <cell r="C125">
            <v>0.7952330657044463</v>
          </cell>
        </row>
        <row r="126">
          <cell r="A126" t="str">
            <v>P05 - Costanera Center 2</v>
          </cell>
          <cell r="B126">
            <v>0</v>
          </cell>
          <cell r="C126">
            <v>0.9957863323050703</v>
          </cell>
        </row>
        <row r="127">
          <cell r="A127" t="str">
            <v>P06 - Duoc (Antonio Varas)</v>
          </cell>
          <cell r="B127">
            <v>0</v>
          </cell>
          <cell r="C127">
            <v>0.28339003530701429</v>
          </cell>
        </row>
        <row r="128">
          <cell r="A128" t="str">
            <v>P08 - Metro Colón</v>
          </cell>
          <cell r="B128">
            <v>0</v>
          </cell>
          <cell r="C128">
            <v>0.28220965544261112</v>
          </cell>
        </row>
        <row r="129">
          <cell r="A129" t="str">
            <v>P09 - Metro Francisco Bilbao</v>
          </cell>
          <cell r="B129">
            <v>0</v>
          </cell>
          <cell r="C129">
            <v>0.26437768615014501</v>
          </cell>
        </row>
        <row r="130">
          <cell r="A130" t="str">
            <v>P10 - Metro Manuel Montt</v>
          </cell>
          <cell r="B130">
            <v>0</v>
          </cell>
          <cell r="C130">
            <v>0.4609483237330611</v>
          </cell>
        </row>
        <row r="131">
          <cell r="A131" t="str">
            <v>P11 - Metro Parque Bustamante</v>
          </cell>
          <cell r="B131">
            <v>0</v>
          </cell>
          <cell r="C131">
            <v>-1.3367165560614409</v>
          </cell>
        </row>
        <row r="132">
          <cell r="A132" t="str">
            <v>P12 - Puente Pedro de Valdivia</v>
          </cell>
          <cell r="B132">
            <v>0</v>
          </cell>
          <cell r="C132">
            <v>0.57001315750700254</v>
          </cell>
        </row>
        <row r="133">
          <cell r="A133" t="str">
            <v>P13 - Fidel Oteiza</v>
          </cell>
          <cell r="B133">
            <v>0</v>
          </cell>
          <cell r="C133">
            <v>0.44755811958729058</v>
          </cell>
        </row>
        <row r="134">
          <cell r="A134" t="str">
            <v>P14 - Metro Baquedano 2</v>
          </cell>
          <cell r="B134">
            <v>0</v>
          </cell>
          <cell r="C134">
            <v>-0.94698015075481934</v>
          </cell>
        </row>
        <row r="135">
          <cell r="A135" t="str">
            <v>P15 - Manuel Montt / Andrés Bello</v>
          </cell>
          <cell r="B135">
            <v>0</v>
          </cell>
          <cell r="C135">
            <v>0.55126977527910814</v>
          </cell>
        </row>
        <row r="136">
          <cell r="A136" t="str">
            <v>P16 - Metro Salvador</v>
          </cell>
          <cell r="B136">
            <v>0</v>
          </cell>
          <cell r="C136">
            <v>-0.6203853168358211</v>
          </cell>
        </row>
        <row r="137">
          <cell r="A137" t="str">
            <v>P18 - Metro Tobalaba</v>
          </cell>
          <cell r="B137">
            <v>0</v>
          </cell>
          <cell r="C137">
            <v>0.99583449612816577</v>
          </cell>
        </row>
        <row r="138">
          <cell r="A138" t="str">
            <v>P19 - Municipalidad Providencia</v>
          </cell>
          <cell r="B138">
            <v>0</v>
          </cell>
          <cell r="C138">
            <v>0.2680860671253103</v>
          </cell>
        </row>
        <row r="139">
          <cell r="A139" t="str">
            <v>P20 - Nueva Los Leones</v>
          </cell>
          <cell r="B139">
            <v>0</v>
          </cell>
          <cell r="C139">
            <v>0.46412220745013022</v>
          </cell>
        </row>
        <row r="140">
          <cell r="A140" t="str">
            <v>P21 - Patio Bellavista</v>
          </cell>
          <cell r="B140">
            <v>0</v>
          </cell>
          <cell r="C140">
            <v>-6.7319041526530995E-2</v>
          </cell>
        </row>
        <row r="141">
          <cell r="A141" t="str">
            <v>P22 - Plaza Loreto Cousiño</v>
          </cell>
          <cell r="B141">
            <v>0</v>
          </cell>
          <cell r="C141">
            <v>0.231573645673673</v>
          </cell>
        </row>
        <row r="142">
          <cell r="A142" t="str">
            <v>P23 - Metro Inés de Suarez</v>
          </cell>
          <cell r="B142">
            <v>0</v>
          </cell>
          <cell r="C142">
            <v>-0.36297784523096449</v>
          </cell>
        </row>
        <row r="143">
          <cell r="A143" t="str">
            <v>P24 - Plaza Río De Janeiro</v>
          </cell>
          <cell r="B143">
            <v>0</v>
          </cell>
          <cell r="C143">
            <v>0.15871380406928981</v>
          </cell>
        </row>
        <row r="144">
          <cell r="A144" t="str">
            <v>P25 - Bilbao / Ricardo Lyon</v>
          </cell>
          <cell r="B144">
            <v>0</v>
          </cell>
          <cell r="C144">
            <v>-0.46271158767726189</v>
          </cell>
        </row>
        <row r="145">
          <cell r="A145" t="str">
            <v>P26 - Mar del Plata / Ricardo Lyon</v>
          </cell>
          <cell r="B145">
            <v>0</v>
          </cell>
          <cell r="C145">
            <v>-0.13244694174003721</v>
          </cell>
        </row>
        <row r="146">
          <cell r="A146" t="str">
            <v>P27 - Ricardo Lyon / Lota</v>
          </cell>
          <cell r="B146">
            <v>0</v>
          </cell>
          <cell r="C146">
            <v>-0.22681623510437979</v>
          </cell>
        </row>
        <row r="147">
          <cell r="A147" t="str">
            <v>P28 - Ricardo Lyon / Pocuro</v>
          </cell>
          <cell r="B147">
            <v>0</v>
          </cell>
          <cell r="C147">
            <v>-0.43098954111632021</v>
          </cell>
        </row>
        <row r="148">
          <cell r="A148" t="str">
            <v>P29 - Santa Isabel /Ana Luisa Prats</v>
          </cell>
          <cell r="B148">
            <v>0</v>
          </cell>
          <cell r="C148">
            <v>-0.56554386928242206</v>
          </cell>
        </row>
        <row r="149">
          <cell r="A149" t="str">
            <v>P30 - Lo Contador</v>
          </cell>
          <cell r="B149">
            <v>0</v>
          </cell>
          <cell r="C149">
            <v>0.44467337167202509</v>
          </cell>
        </row>
        <row r="150">
          <cell r="A150" t="str">
            <v>P31 - Estación Canal 13</v>
          </cell>
          <cell r="B150">
            <v>0</v>
          </cell>
          <cell r="C150">
            <v>0.35728944742117191</v>
          </cell>
        </row>
        <row r="151">
          <cell r="A151" t="str">
            <v>P32 - Valenzuela Castillo / Miguel Claro</v>
          </cell>
          <cell r="B151">
            <v>0</v>
          </cell>
          <cell r="C151">
            <v>0.68232783433105271</v>
          </cell>
        </row>
        <row r="152">
          <cell r="A152" t="str">
            <v>P34 - Santa Victoria / Bustamante</v>
          </cell>
          <cell r="B152">
            <v>0</v>
          </cell>
          <cell r="C152">
            <v>-1.1339562965442611</v>
          </cell>
        </row>
        <row r="153">
          <cell r="A153" t="str">
            <v>P35 - Seminario / Marín</v>
          </cell>
          <cell r="B153">
            <v>0</v>
          </cell>
          <cell r="C153">
            <v>-0.99035075718315457</v>
          </cell>
        </row>
        <row r="154">
          <cell r="A154" t="str">
            <v>P36 - Carlos Antúnez / Barros Errázuriz</v>
          </cell>
          <cell r="B154">
            <v>0</v>
          </cell>
          <cell r="C154">
            <v>0.2903447622354367</v>
          </cell>
        </row>
        <row r="155">
          <cell r="A155" t="str">
            <v>P37 - Obispo Salas</v>
          </cell>
          <cell r="B155">
            <v>0</v>
          </cell>
          <cell r="C155">
            <v>-0.27327083941356622</v>
          </cell>
        </row>
        <row r="156">
          <cell r="A156" t="str">
            <v>P38 - Québec</v>
          </cell>
          <cell r="B156">
            <v>0</v>
          </cell>
          <cell r="C156">
            <v>0.79352028306961497</v>
          </cell>
        </row>
        <row r="157">
          <cell r="A157" t="str">
            <v>P39 - Parque Balmaceda</v>
          </cell>
          <cell r="B157">
            <v>0</v>
          </cell>
          <cell r="C157">
            <v>-0.32896722093532971</v>
          </cell>
        </row>
        <row r="158">
          <cell r="A158" t="str">
            <v>P41 - Pedro León Gallo / Julio Prado</v>
          </cell>
          <cell r="B158">
            <v>0</v>
          </cell>
          <cell r="C158">
            <v>-0.76845746918237878</v>
          </cell>
        </row>
        <row r="159">
          <cell r="A159" t="str">
            <v>P42 - Lota / Tobalaba</v>
          </cell>
          <cell r="B159">
            <v>0</v>
          </cell>
          <cell r="C159">
            <v>-0.10924761876835939</v>
          </cell>
        </row>
        <row r="160">
          <cell r="A160" t="str">
            <v>P43 - Los Españoles</v>
          </cell>
          <cell r="B160">
            <v>0</v>
          </cell>
          <cell r="C160">
            <v>0.45979615534158919</v>
          </cell>
        </row>
        <row r="161">
          <cell r="A161" t="str">
            <v>P44 - Andres Bello / Padre Mariano</v>
          </cell>
          <cell r="B161">
            <v>0</v>
          </cell>
          <cell r="C161">
            <v>0.77825470050923939</v>
          </cell>
        </row>
        <row r="162">
          <cell r="A162" t="str">
            <v>P45 - Eliodoro Yañez / Holanda</v>
          </cell>
          <cell r="B162">
            <v>0</v>
          </cell>
          <cell r="C162">
            <v>0.22154894514836859</v>
          </cell>
        </row>
        <row r="163">
          <cell r="A163" t="str">
            <v>P46 - Román Díaz</v>
          </cell>
          <cell r="B163">
            <v>0</v>
          </cell>
          <cell r="C163">
            <v>6.9341787707140048E-3</v>
          </cell>
        </row>
        <row r="164">
          <cell r="A164" t="str">
            <v>P47 - Ibis Providencia</v>
          </cell>
          <cell r="B164">
            <v>0</v>
          </cell>
          <cell r="C164">
            <v>0.74551038016007698</v>
          </cell>
        </row>
        <row r="165">
          <cell r="A165" t="str">
            <v>P49 - Fco Bilbao / Román Díaz</v>
          </cell>
          <cell r="B165">
            <v>0</v>
          </cell>
          <cell r="C165">
            <v>0.69566639285032039</v>
          </cell>
        </row>
        <row r="166">
          <cell r="A166" t="str">
            <v>P50 - Las Esculturas Oriente</v>
          </cell>
          <cell r="B166">
            <v>0</v>
          </cell>
          <cell r="C166">
            <v>0.72889234017719795</v>
          </cell>
        </row>
        <row r="167">
          <cell r="A167" t="str">
            <v>P51 - El Vergel / Luis Thayer Ojeda</v>
          </cell>
          <cell r="B167">
            <v>0</v>
          </cell>
          <cell r="C167">
            <v>1.765510683814623E-2</v>
          </cell>
        </row>
        <row r="168">
          <cell r="A168" t="str">
            <v>P52 - Holanda / Pocuro</v>
          </cell>
          <cell r="B168">
            <v>0</v>
          </cell>
          <cell r="C168">
            <v>-0.11850053976315419</v>
          </cell>
        </row>
        <row r="169">
          <cell r="A169" t="str">
            <v>P53 - Plaza Inés de Suarez</v>
          </cell>
          <cell r="B169">
            <v>0</v>
          </cell>
          <cell r="C169">
            <v>-0.65823771197274017</v>
          </cell>
        </row>
        <row r="170">
          <cell r="A170" t="str">
            <v>P55 - Pérez Valenzuela</v>
          </cell>
          <cell r="B170">
            <v>0</v>
          </cell>
          <cell r="C170">
            <v>0.77156574744118078</v>
          </cell>
        </row>
        <row r="171">
          <cell r="A171" t="str">
            <v>P56 - Ambasciata</v>
          </cell>
          <cell r="B171">
            <v>0</v>
          </cell>
          <cell r="C171">
            <v>-0.71138083485433246</v>
          </cell>
        </row>
        <row r="172">
          <cell r="A172" t="str">
            <v>P57 - Galvarino Gallardo</v>
          </cell>
          <cell r="B172">
            <v>0</v>
          </cell>
          <cell r="C172">
            <v>6.7454657928210884E-2</v>
          </cell>
        </row>
        <row r="173">
          <cell r="A173" t="str">
            <v>P58 - Unidad Vecinal Providencia</v>
          </cell>
          <cell r="B173">
            <v>0</v>
          </cell>
          <cell r="C173">
            <v>0.64704121769801959</v>
          </cell>
        </row>
        <row r="174">
          <cell r="A174" t="str">
            <v>P59 - Los Estanques</v>
          </cell>
          <cell r="B174">
            <v>0</v>
          </cell>
          <cell r="C174">
            <v>-0.2955661973519364</v>
          </cell>
        </row>
        <row r="175">
          <cell r="A175" t="str">
            <v>P60 - Suecia / Carmen Sylva</v>
          </cell>
          <cell r="B175">
            <v>0</v>
          </cell>
          <cell r="C175">
            <v>-2.8705788711097809E-2</v>
          </cell>
        </row>
        <row r="176">
          <cell r="A176" t="str">
            <v>P62 - El Cerro</v>
          </cell>
          <cell r="B176">
            <v>0</v>
          </cell>
          <cell r="C176">
            <v>0.88597893866063815</v>
          </cell>
        </row>
        <row r="177">
          <cell r="A177" t="str">
            <v>P64 - Seminario / Ricardo Matte Pérez</v>
          </cell>
          <cell r="B177">
            <v>0</v>
          </cell>
          <cell r="C177">
            <v>-0.99755122771346094</v>
          </cell>
        </row>
        <row r="178">
          <cell r="A178" t="str">
            <v>P67 - Nva. Providencia</v>
          </cell>
          <cell r="B178">
            <v>0</v>
          </cell>
          <cell r="C178">
            <v>0.51806039932803905</v>
          </cell>
        </row>
        <row r="179">
          <cell r="A179" t="str">
            <v>P70 - Metro Santa isabel II</v>
          </cell>
          <cell r="B179">
            <v>0</v>
          </cell>
          <cell r="C179">
            <v>-1.0593425421860241</v>
          </cell>
        </row>
        <row r="180">
          <cell r="A180" t="str">
            <v>S01 - Agustinas / Manuel Rodríguez Norte</v>
          </cell>
          <cell r="B180">
            <v>0</v>
          </cell>
          <cell r="C180">
            <v>-0.85169148296274</v>
          </cell>
        </row>
        <row r="181">
          <cell r="A181" t="str">
            <v>S02 - Metro República</v>
          </cell>
          <cell r="B181">
            <v>0</v>
          </cell>
          <cell r="C181">
            <v>-0.37258137697345428</v>
          </cell>
        </row>
        <row r="182">
          <cell r="A182" t="str">
            <v>S03 - Teatinos / General Mackenna</v>
          </cell>
          <cell r="B182">
            <v>0</v>
          </cell>
          <cell r="C182">
            <v>-1.12017317951397</v>
          </cell>
        </row>
        <row r="183">
          <cell r="A183" t="str">
            <v>S044 - Plaza Manuel Rodríguez</v>
          </cell>
          <cell r="B183">
            <v>0</v>
          </cell>
          <cell r="C183">
            <v>-0.76844228847642049</v>
          </cell>
        </row>
        <row r="184">
          <cell r="A184" t="str">
            <v>S05 - Metro Bellas Artes</v>
          </cell>
          <cell r="B184">
            <v>0</v>
          </cell>
          <cell r="C184">
            <v>-1.1154133211974251</v>
          </cell>
        </row>
        <row r="185">
          <cell r="A185" t="str">
            <v>S07 - Metro Los Héroes</v>
          </cell>
          <cell r="B185">
            <v>0</v>
          </cell>
          <cell r="C185">
            <v>0.1181080619579893</v>
          </cell>
        </row>
        <row r="186">
          <cell r="A186" t="str">
            <v>S09 - Santo Domingo / Morandé</v>
          </cell>
          <cell r="B186">
            <v>0</v>
          </cell>
          <cell r="C186">
            <v>-1.072806810743151</v>
          </cell>
        </row>
        <row r="187">
          <cell r="A187" t="str">
            <v>S11 - Metro Toesca</v>
          </cell>
          <cell r="B187">
            <v>0</v>
          </cell>
          <cell r="C187">
            <v>-0.99095987605964864</v>
          </cell>
        </row>
        <row r="188">
          <cell r="A188" t="str">
            <v>S12 - Barrio Lastarria</v>
          </cell>
          <cell r="B188">
            <v>0</v>
          </cell>
          <cell r="C188">
            <v>-1.0096948048906189</v>
          </cell>
        </row>
        <row r="189">
          <cell r="A189" t="str">
            <v>S13 - Universidad Católica</v>
          </cell>
          <cell r="B189">
            <v>0</v>
          </cell>
          <cell r="C189">
            <v>-0.39820428498213523</v>
          </cell>
        </row>
        <row r="190">
          <cell r="A190" t="str">
            <v>S14 - Santa Isabel / Carmen</v>
          </cell>
          <cell r="B190">
            <v>0</v>
          </cell>
          <cell r="C190">
            <v>-0.73478993367131673</v>
          </cell>
        </row>
        <row r="191">
          <cell r="A191" t="str">
            <v>S16 - Teatro Municipal</v>
          </cell>
          <cell r="B191">
            <v>0</v>
          </cell>
          <cell r="C191">
            <v>-0.8692398402883883</v>
          </cell>
        </row>
        <row r="192">
          <cell r="A192" t="str">
            <v>S17 - San Isidro / Santa Isabel</v>
          </cell>
          <cell r="B192">
            <v>0</v>
          </cell>
          <cell r="C192">
            <v>-1.679865001322572</v>
          </cell>
        </row>
        <row r="193">
          <cell r="A193" t="str">
            <v>S18 - Metro Santa Ana</v>
          </cell>
          <cell r="B193">
            <v>0</v>
          </cell>
          <cell r="C193">
            <v>-0.37493684683644468</v>
          </cell>
        </row>
        <row r="194">
          <cell r="A194" t="str">
            <v>S19 - Palacio de La Moneda</v>
          </cell>
          <cell r="B194">
            <v>0</v>
          </cell>
          <cell r="C194">
            <v>-2.8100257857888049E-2</v>
          </cell>
        </row>
        <row r="195">
          <cell r="A195" t="str">
            <v>S20 - Metro Santa Lucía</v>
          </cell>
          <cell r="B195">
            <v>0</v>
          </cell>
          <cell r="C195">
            <v>-0.90834372881365233</v>
          </cell>
        </row>
        <row r="196">
          <cell r="A196" t="str">
            <v>S21 - Metro Quinta Normal</v>
          </cell>
          <cell r="B196">
            <v>0</v>
          </cell>
          <cell r="C196">
            <v>-0.46560632629142268</v>
          </cell>
        </row>
        <row r="197">
          <cell r="A197" t="str">
            <v>S23 - Portugal / Santa Victoria</v>
          </cell>
          <cell r="B197">
            <v>0</v>
          </cell>
          <cell r="C197">
            <v>-0.11153569929397</v>
          </cell>
        </row>
        <row r="198">
          <cell r="A198" t="str">
            <v>S24 - Plaza Yungay</v>
          </cell>
          <cell r="B198">
            <v>0</v>
          </cell>
          <cell r="C198">
            <v>-1.196962071035268</v>
          </cell>
        </row>
        <row r="199">
          <cell r="A199" t="str">
            <v>S25 - Plaza de Armas</v>
          </cell>
          <cell r="B199">
            <v>0</v>
          </cell>
          <cell r="C199">
            <v>-0.30575595697858332</v>
          </cell>
        </row>
        <row r="200">
          <cell r="A200" t="str">
            <v>S27 - Teatinos / Huérfanos</v>
          </cell>
          <cell r="B200">
            <v>0</v>
          </cell>
          <cell r="C200">
            <v>-3.1524431371578517E-2</v>
          </cell>
        </row>
        <row r="201">
          <cell r="A201" t="str">
            <v>S30 - San Pablo</v>
          </cell>
          <cell r="B201">
            <v>0</v>
          </cell>
          <cell r="C201">
            <v>-1.2097705883740471</v>
          </cell>
        </row>
        <row r="202">
          <cell r="A202" t="str">
            <v>S31- Argomedo / Portugal</v>
          </cell>
          <cell r="B202">
            <v>0</v>
          </cell>
          <cell r="C202">
            <v>-0.82357176289964173</v>
          </cell>
        </row>
        <row r="203">
          <cell r="A203" t="str">
            <v>S32 - Gorbea</v>
          </cell>
          <cell r="B203">
            <v>0</v>
          </cell>
          <cell r="C203">
            <v>-0.84191550780622082</v>
          </cell>
        </row>
        <row r="204">
          <cell r="A204" t="str">
            <v>S34 - Parque de los Reyes</v>
          </cell>
          <cell r="B204">
            <v>0</v>
          </cell>
          <cell r="C204">
            <v>-0.56159537802432657</v>
          </cell>
        </row>
        <row r="205">
          <cell r="A205" t="str">
            <v>S35 - José Miguel Carrera</v>
          </cell>
          <cell r="B205">
            <v>0</v>
          </cell>
          <cell r="C205">
            <v>-0.62799431159873065</v>
          </cell>
        </row>
        <row r="206">
          <cell r="A206" t="str">
            <v>S37 - FAU</v>
          </cell>
          <cell r="B206">
            <v>0</v>
          </cell>
          <cell r="C206">
            <v>-0.6125356497855915</v>
          </cell>
        </row>
        <row r="207">
          <cell r="A207" t="str">
            <v>S39 - Metro Parque Almagro</v>
          </cell>
          <cell r="B207">
            <v>0</v>
          </cell>
          <cell r="C207">
            <v>-0.77275990807143002</v>
          </cell>
        </row>
        <row r="208">
          <cell r="A208" t="str">
            <v>S40 - Erasmo Escala</v>
          </cell>
          <cell r="B208">
            <v>0</v>
          </cell>
          <cell r="C208">
            <v>-0.28986301756737382</v>
          </cell>
        </row>
        <row r="209">
          <cell r="A209" t="str">
            <v>S41 - Fanor Velasco</v>
          </cell>
          <cell r="B209">
            <v>0</v>
          </cell>
          <cell r="C209">
            <v>-0.80179378083475017</v>
          </cell>
        </row>
        <row r="210">
          <cell r="A210" t="str">
            <v>S45 - Cueto</v>
          </cell>
          <cell r="B210">
            <v>0</v>
          </cell>
          <cell r="C210">
            <v>-0.43414404531890399</v>
          </cell>
        </row>
        <row r="211">
          <cell r="A211" t="str">
            <v>S46 - Metro ULA</v>
          </cell>
          <cell r="B211">
            <v>0</v>
          </cell>
          <cell r="C211">
            <v>-0.33496759011122063</v>
          </cell>
        </row>
        <row r="212">
          <cell r="A212" t="str">
            <v>S50 - Gral. Jofré</v>
          </cell>
          <cell r="B212">
            <v>0</v>
          </cell>
          <cell r="C212">
            <v>-0.49874704232448269</v>
          </cell>
        </row>
        <row r="213">
          <cell r="A213" t="str">
            <v>S54 - Plaza Ercilla</v>
          </cell>
          <cell r="B213">
            <v>0</v>
          </cell>
          <cell r="C213">
            <v>-0.32213815114739069</v>
          </cell>
        </row>
        <row r="214">
          <cell r="A214" t="str">
            <v>S57 - Beauchef</v>
          </cell>
          <cell r="B214">
            <v>0</v>
          </cell>
          <cell r="C214">
            <v>-0.2379881338623023</v>
          </cell>
        </row>
        <row r="215">
          <cell r="A215" t="str">
            <v>S58 - Domeyko / Av. España</v>
          </cell>
          <cell r="B215">
            <v>0</v>
          </cell>
          <cell r="C215">
            <v>-0.10091013537842471</v>
          </cell>
        </row>
        <row r="216">
          <cell r="A216" t="str">
            <v>S64 - República / Gorbea</v>
          </cell>
          <cell r="B216">
            <v>0</v>
          </cell>
          <cell r="C216">
            <v>-0.88310324035056598</v>
          </cell>
        </row>
        <row r="217">
          <cell r="A217" t="str">
            <v>S80 - Nataniel cox / Miguel Olivares</v>
          </cell>
          <cell r="B217">
            <v>0</v>
          </cell>
          <cell r="C217">
            <v>-0.68098471830458873</v>
          </cell>
        </row>
        <row r="218">
          <cell r="A218" t="str">
            <v>Teste - 271</v>
          </cell>
          <cell r="B218">
            <v>0</v>
          </cell>
        </row>
        <row r="219">
          <cell r="A219" t="str">
            <v>V02 - Alonso de Cordova</v>
          </cell>
          <cell r="B219">
            <v>0</v>
          </cell>
          <cell r="C219">
            <v>1.0416402811862899</v>
          </cell>
        </row>
        <row r="220">
          <cell r="A220" t="str">
            <v>V05 - Americo Vespucio / Las Hualtatas</v>
          </cell>
          <cell r="B220">
            <v>0</v>
          </cell>
          <cell r="C220">
            <v>0.56385789715443213</v>
          </cell>
        </row>
        <row r="221">
          <cell r="A221" t="str">
            <v>V06 - Vespucio / Vitacura</v>
          </cell>
          <cell r="B221">
            <v>0</v>
          </cell>
          <cell r="C221">
            <v>0.58875320226382555</v>
          </cell>
        </row>
        <row r="222">
          <cell r="A222" t="str">
            <v>V07 - Bicentenario</v>
          </cell>
          <cell r="B222">
            <v>0</v>
          </cell>
          <cell r="C222">
            <v>0.50227826750663473</v>
          </cell>
        </row>
        <row r="223">
          <cell r="A223" t="str">
            <v>V10 - Casa Costanera</v>
          </cell>
          <cell r="B223">
            <v>0</v>
          </cell>
          <cell r="C223">
            <v>0.98995442105744402</v>
          </cell>
        </row>
        <row r="224">
          <cell r="A224" t="str">
            <v>V30 - Los Laureles</v>
          </cell>
          <cell r="B224">
            <v>0</v>
          </cell>
          <cell r="C224">
            <v>0.38813001013496601</v>
          </cell>
        </row>
        <row r="225">
          <cell r="A225" t="str">
            <v>V34 - Mestizo</v>
          </cell>
          <cell r="B225">
            <v>0</v>
          </cell>
          <cell r="C225">
            <v>0.55474212195452433</v>
          </cell>
        </row>
        <row r="226">
          <cell r="A226" t="str">
            <v>V35 - Municipalidad de Vitacura</v>
          </cell>
          <cell r="B226">
            <v>0</v>
          </cell>
          <cell r="C226">
            <v>0.8928339600558084</v>
          </cell>
        </row>
        <row r="227">
          <cell r="A227" t="str">
            <v>V37 - Naciones Unidas</v>
          </cell>
          <cell r="B227">
            <v>0</v>
          </cell>
          <cell r="C227">
            <v>0.47798819498472339</v>
          </cell>
        </row>
        <row r="228">
          <cell r="A228" t="str">
            <v>V39 - Pedro Canisio</v>
          </cell>
          <cell r="B228">
            <v>0</v>
          </cell>
          <cell r="C228">
            <v>0.8031838310216366</v>
          </cell>
        </row>
        <row r="229">
          <cell r="A229" t="str">
            <v>V40 - Paul Claudel</v>
          </cell>
          <cell r="B229">
            <v>0</v>
          </cell>
          <cell r="C229">
            <v>0.51648920078971894</v>
          </cell>
        </row>
        <row r="230">
          <cell r="A230" t="str">
            <v>V43 - Plaza Lo Castillo</v>
          </cell>
          <cell r="B230">
            <v>0</v>
          </cell>
          <cell r="C230">
            <v>0.50255438425483645</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1000"/>
  <sheetViews>
    <sheetView workbookViewId="0"/>
  </sheetViews>
  <sheetFormatPr baseColWidth="10" defaultColWidth="14.44140625" defaultRowHeight="15" customHeight="1" x14ac:dyDescent="0.3"/>
  <cols>
    <col min="1" max="26" width="10.6640625" customWidth="1"/>
  </cols>
  <sheetData>
    <row r="1" spans="1:1" ht="14.25" customHeight="1" x14ac:dyDescent="0.3">
      <c r="A1" s="3" t="s">
        <v>170</v>
      </c>
    </row>
    <row r="2" spans="1:1" ht="14.25" customHeight="1" x14ac:dyDescent="0.3"/>
    <row r="3" spans="1:1" ht="14.25" customHeight="1" x14ac:dyDescent="0.3"/>
    <row r="4" spans="1:1" ht="14.25" customHeight="1" x14ac:dyDescent="0.3"/>
    <row r="5" spans="1:1" ht="14.25" customHeight="1" x14ac:dyDescent="0.3"/>
    <row r="6" spans="1:1" ht="14.25" customHeight="1" x14ac:dyDescent="0.3"/>
    <row r="7" spans="1:1" ht="14.25" customHeight="1" x14ac:dyDescent="0.3"/>
    <row r="8" spans="1:1" ht="14.25" customHeight="1" x14ac:dyDescent="0.3"/>
    <row r="9" spans="1:1" ht="14.25" customHeight="1" x14ac:dyDescent="0.3"/>
    <row r="10" spans="1:1" ht="14.25" customHeight="1" x14ac:dyDescent="0.3"/>
    <row r="11" spans="1:1" ht="14.25" customHeight="1" x14ac:dyDescent="0.3"/>
    <row r="12" spans="1:1" ht="14.25" customHeight="1" x14ac:dyDescent="0.3"/>
    <row r="13" spans="1:1" ht="14.25" customHeight="1" x14ac:dyDescent="0.3"/>
    <row r="14" spans="1:1" ht="14.25" customHeight="1" x14ac:dyDescent="0.3"/>
    <row r="15" spans="1:1" ht="14.25" customHeight="1" x14ac:dyDescent="0.3"/>
    <row r="16" spans="1:1" ht="14.25" customHeight="1" x14ac:dyDescent="0.3"/>
    <row r="17" spans="1:1" ht="14.25" customHeight="1" x14ac:dyDescent="0.3"/>
    <row r="18" spans="1:1" ht="14.25" customHeight="1" x14ac:dyDescent="0.3">
      <c r="A18" s="3" t="s">
        <v>171</v>
      </c>
    </row>
    <row r="19" spans="1:1" ht="14.25" customHeight="1" x14ac:dyDescent="0.3"/>
    <row r="20" spans="1:1" ht="14.25" customHeight="1" x14ac:dyDescent="0.3"/>
    <row r="21" spans="1:1" ht="14.25" customHeight="1" x14ac:dyDescent="0.3"/>
    <row r="22" spans="1:1" ht="14.25" customHeight="1" x14ac:dyDescent="0.3"/>
    <row r="23" spans="1:1" ht="14.25" customHeight="1" x14ac:dyDescent="0.3"/>
    <row r="24" spans="1:1" ht="14.25" customHeight="1" x14ac:dyDescent="0.3"/>
    <row r="25" spans="1:1" ht="14.25" customHeight="1" x14ac:dyDescent="0.3"/>
    <row r="26" spans="1:1" ht="14.25" customHeight="1" x14ac:dyDescent="0.3"/>
    <row r="27" spans="1:1" ht="14.25" customHeight="1" x14ac:dyDescent="0.3"/>
    <row r="28" spans="1:1" ht="14.25" customHeight="1" x14ac:dyDescent="0.3"/>
    <row r="29" spans="1:1" ht="14.25" customHeight="1" x14ac:dyDescent="0.3"/>
    <row r="30" spans="1:1" ht="14.25" customHeight="1" x14ac:dyDescent="0.3"/>
    <row r="31" spans="1:1" ht="14.25" customHeight="1" x14ac:dyDescent="0.3"/>
    <row r="32" spans="1:1" ht="14.25" customHeight="1" x14ac:dyDescent="0.3"/>
    <row r="33" spans="1:1" ht="14.25" customHeight="1" x14ac:dyDescent="0.3"/>
    <row r="34" spans="1:1" ht="14.25" customHeight="1" x14ac:dyDescent="0.3"/>
    <row r="35" spans="1:1" ht="14.25" customHeight="1" x14ac:dyDescent="0.3">
      <c r="A35" s="3" t="s">
        <v>172</v>
      </c>
    </row>
    <row r="36" spans="1:1" ht="14.25" customHeight="1" x14ac:dyDescent="0.3"/>
    <row r="37" spans="1:1" ht="14.25" customHeight="1" x14ac:dyDescent="0.3"/>
    <row r="38" spans="1:1" ht="14.25" customHeight="1" x14ac:dyDescent="0.3"/>
    <row r="39" spans="1:1" ht="14.25" customHeight="1" x14ac:dyDescent="0.3"/>
    <row r="40" spans="1:1" ht="14.25" customHeight="1" x14ac:dyDescent="0.3"/>
    <row r="41" spans="1:1" ht="14.25" customHeight="1" x14ac:dyDescent="0.3"/>
    <row r="42" spans="1:1" ht="14.25" customHeight="1" x14ac:dyDescent="0.3"/>
    <row r="43" spans="1:1" ht="14.25" customHeight="1" x14ac:dyDescent="0.3"/>
    <row r="44" spans="1:1" ht="14.25" customHeight="1" x14ac:dyDescent="0.3"/>
    <row r="45" spans="1:1" ht="14.25" customHeight="1" x14ac:dyDescent="0.3"/>
    <row r="46" spans="1:1" ht="14.25" customHeight="1" x14ac:dyDescent="0.3"/>
    <row r="47" spans="1:1" ht="14.25" customHeight="1" x14ac:dyDescent="0.3"/>
    <row r="48" spans="1:1" ht="14.25" customHeight="1" x14ac:dyDescent="0.3"/>
    <row r="49" spans="1:1" ht="14.25" customHeight="1" x14ac:dyDescent="0.3"/>
    <row r="50" spans="1:1" ht="14.25" customHeight="1" x14ac:dyDescent="0.3"/>
    <row r="51" spans="1:1" ht="14.25" customHeight="1" x14ac:dyDescent="0.3"/>
    <row r="52" spans="1:1" ht="14.25" customHeight="1" x14ac:dyDescent="0.3">
      <c r="A52" s="3" t="s">
        <v>173</v>
      </c>
    </row>
    <row r="53" spans="1:1" ht="14.25" customHeight="1" x14ac:dyDescent="0.3"/>
    <row r="54" spans="1:1" ht="14.25" customHeight="1" x14ac:dyDescent="0.3"/>
    <row r="55" spans="1:1" ht="14.25" customHeight="1" x14ac:dyDescent="0.3"/>
    <row r="56" spans="1:1" ht="14.25" customHeight="1" x14ac:dyDescent="0.3"/>
    <row r="57" spans="1:1" ht="14.25" customHeight="1" x14ac:dyDescent="0.3"/>
    <row r="58" spans="1:1" ht="14.25" customHeight="1" x14ac:dyDescent="0.3"/>
    <row r="59" spans="1:1" ht="14.25" customHeight="1" x14ac:dyDescent="0.3"/>
    <row r="60" spans="1:1" ht="14.25" customHeight="1" x14ac:dyDescent="0.3"/>
    <row r="61" spans="1:1" ht="14.25" customHeight="1" x14ac:dyDescent="0.3"/>
    <row r="62" spans="1:1" ht="14.25" customHeight="1" x14ac:dyDescent="0.3"/>
    <row r="63" spans="1:1" ht="14.25" customHeight="1" x14ac:dyDescent="0.3"/>
    <row r="64" spans="1:1" ht="14.25" customHeight="1" x14ac:dyDescent="0.3"/>
    <row r="65" spans="1:1" ht="14.25" customHeight="1" x14ac:dyDescent="0.3"/>
    <row r="66" spans="1:1" ht="14.25" customHeight="1" x14ac:dyDescent="0.3"/>
    <row r="67" spans="1:1" ht="14.25" customHeight="1" x14ac:dyDescent="0.3"/>
    <row r="68" spans="1:1" ht="14.25" customHeight="1" x14ac:dyDescent="0.3"/>
    <row r="69" spans="1:1" ht="14.25" customHeight="1" x14ac:dyDescent="0.3">
      <c r="A69" s="3" t="s">
        <v>174</v>
      </c>
    </row>
    <row r="70" spans="1:1" ht="14.25" customHeight="1" x14ac:dyDescent="0.3"/>
    <row r="71" spans="1:1" ht="14.25" customHeight="1" x14ac:dyDescent="0.3"/>
    <row r="72" spans="1:1" ht="14.25" customHeight="1" x14ac:dyDescent="0.3"/>
    <row r="73" spans="1:1" ht="14.25" customHeight="1" x14ac:dyDescent="0.3"/>
    <row r="74" spans="1:1" ht="14.25" customHeight="1" x14ac:dyDescent="0.3"/>
    <row r="75" spans="1:1" ht="14.25" customHeight="1" x14ac:dyDescent="0.3"/>
    <row r="76" spans="1:1" ht="14.25" customHeight="1" x14ac:dyDescent="0.3"/>
    <row r="77" spans="1:1" ht="14.25" customHeight="1" x14ac:dyDescent="0.3"/>
    <row r="78" spans="1:1" ht="14.25" customHeight="1" x14ac:dyDescent="0.3"/>
    <row r="79" spans="1:1" ht="14.25" customHeight="1" x14ac:dyDescent="0.3"/>
    <row r="80" spans="1:1" ht="14.25" customHeight="1" x14ac:dyDescent="0.3"/>
    <row r="81" spans="1:1" ht="14.25" customHeight="1" x14ac:dyDescent="0.3"/>
    <row r="82" spans="1:1" ht="14.25" customHeight="1" x14ac:dyDescent="0.3"/>
    <row r="83" spans="1:1" ht="14.25" customHeight="1" x14ac:dyDescent="0.3"/>
    <row r="84" spans="1:1" ht="14.25" customHeight="1" x14ac:dyDescent="0.3"/>
    <row r="85" spans="1:1" ht="14.25" customHeight="1" x14ac:dyDescent="0.3"/>
    <row r="86" spans="1:1" ht="14.25" customHeight="1" x14ac:dyDescent="0.3">
      <c r="A86" s="3" t="s">
        <v>175</v>
      </c>
    </row>
    <row r="87" spans="1:1" ht="14.25" customHeight="1" x14ac:dyDescent="0.3"/>
    <row r="88" spans="1:1" ht="14.25" customHeight="1" x14ac:dyDescent="0.3"/>
    <row r="89" spans="1:1" ht="14.25" customHeight="1" x14ac:dyDescent="0.3"/>
    <row r="90" spans="1:1" ht="14.25" customHeight="1" x14ac:dyDescent="0.3"/>
    <row r="91" spans="1:1" ht="14.25" customHeight="1" x14ac:dyDescent="0.3"/>
    <row r="92" spans="1:1" ht="14.25" customHeight="1" x14ac:dyDescent="0.3"/>
    <row r="93" spans="1:1" ht="14.25" customHeight="1" x14ac:dyDescent="0.3"/>
    <row r="94" spans="1:1" ht="14.25" customHeight="1" x14ac:dyDescent="0.3"/>
    <row r="95" spans="1:1" ht="14.25" customHeight="1" x14ac:dyDescent="0.3"/>
    <row r="96" spans="1:1" ht="14.25" customHeight="1" x14ac:dyDescent="0.3"/>
    <row r="97" spans="1:1" ht="14.25" customHeight="1" x14ac:dyDescent="0.3"/>
    <row r="98" spans="1:1" ht="14.25" customHeight="1" x14ac:dyDescent="0.3"/>
    <row r="99" spans="1:1" ht="14.25" customHeight="1" x14ac:dyDescent="0.3"/>
    <row r="100" spans="1:1" ht="14.25" customHeight="1" x14ac:dyDescent="0.3"/>
    <row r="101" spans="1:1" ht="14.25" customHeight="1" x14ac:dyDescent="0.3"/>
    <row r="102" spans="1:1" ht="14.25" customHeight="1" x14ac:dyDescent="0.3"/>
    <row r="103" spans="1:1" ht="14.25" customHeight="1" x14ac:dyDescent="0.3">
      <c r="A103" s="3" t="s">
        <v>176</v>
      </c>
    </row>
    <row r="104" spans="1:1" ht="14.25" customHeight="1" x14ac:dyDescent="0.3"/>
    <row r="105" spans="1:1" ht="14.25" customHeight="1" x14ac:dyDescent="0.3"/>
    <row r="106" spans="1:1" ht="14.25" customHeight="1" x14ac:dyDescent="0.3"/>
    <row r="107" spans="1:1" ht="14.25" customHeight="1" x14ac:dyDescent="0.3"/>
    <row r="108" spans="1:1" ht="14.25" customHeight="1" x14ac:dyDescent="0.3"/>
    <row r="109" spans="1:1" ht="14.25" customHeight="1" x14ac:dyDescent="0.3"/>
    <row r="110" spans="1:1" ht="14.25" customHeight="1" x14ac:dyDescent="0.3"/>
    <row r="111" spans="1:1" ht="14.25" customHeight="1" x14ac:dyDescent="0.3"/>
    <row r="112" spans="1:1"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O1000"/>
  <sheetViews>
    <sheetView workbookViewId="0">
      <selection activeCell="L2" sqref="L2"/>
    </sheetView>
  </sheetViews>
  <sheetFormatPr baseColWidth="10" defaultColWidth="14.44140625" defaultRowHeight="15" customHeight="1" x14ac:dyDescent="0.3"/>
  <cols>
    <col min="1" max="1" width="17.6640625" customWidth="1"/>
    <col min="2" max="2" width="14.6640625" customWidth="1"/>
    <col min="3" max="8" width="8.88671875" customWidth="1"/>
    <col min="9" max="9" width="25.5546875" customWidth="1"/>
    <col min="10" max="12" width="18.33203125" customWidth="1"/>
    <col min="13" max="13" width="30.6640625" customWidth="1"/>
    <col min="14" max="26" width="8.88671875" customWidth="1"/>
  </cols>
  <sheetData>
    <row r="1" spans="1:15" ht="14.25" customHeight="1"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row>
    <row r="2" spans="1:15" ht="14.25" customHeight="1" x14ac:dyDescent="0.3">
      <c r="A2" s="2" t="s">
        <v>15</v>
      </c>
      <c r="B2" s="2">
        <v>17.13395852741456</v>
      </c>
      <c r="C2" s="2">
        <v>120</v>
      </c>
      <c r="D2" s="2">
        <v>9.2767610549926758</v>
      </c>
      <c r="E2" s="2" t="s">
        <v>16</v>
      </c>
      <c r="F2" s="2" t="s">
        <v>17</v>
      </c>
      <c r="G2" s="2" t="s">
        <v>18</v>
      </c>
      <c r="H2" s="2" t="s">
        <v>19</v>
      </c>
      <c r="I2" s="2">
        <v>9</v>
      </c>
      <c r="J2" s="2" t="s">
        <v>20</v>
      </c>
      <c r="K2" s="2" t="s">
        <v>21</v>
      </c>
      <c r="L2" s="2" t="s">
        <v>22</v>
      </c>
      <c r="M2" s="2" t="s">
        <v>23</v>
      </c>
      <c r="N2" s="2">
        <f t="shared" ref="N2:N32" si="0">WEEKDAY(A2,2)</f>
        <v>5</v>
      </c>
      <c r="O2" s="2" t="str">
        <f t="shared" ref="O2:O32" si="1">IF(N2=1,"Lunes",IF(N2=2,"Martes",IF(N2=3,"Miercoles",IF(N2=4,"Jueves",IF(N2=5,"Viernes",IF(N2=6,"Sabado",IF(N2=7,"Domingo")))))))</f>
        <v>Viernes</v>
      </c>
    </row>
    <row r="3" spans="1:15" ht="14.25" customHeight="1" x14ac:dyDescent="0.3">
      <c r="A3" s="3" t="s">
        <v>24</v>
      </c>
      <c r="B3" s="3">
        <v>20.47456125362994</v>
      </c>
      <c r="C3" s="3">
        <v>120</v>
      </c>
      <c r="D3" s="3">
        <v>18.702792644500729</v>
      </c>
      <c r="E3" s="3" t="s">
        <v>16</v>
      </c>
      <c r="F3" s="3" t="s">
        <v>25</v>
      </c>
      <c r="G3" s="3" t="s">
        <v>18</v>
      </c>
      <c r="H3" s="3" t="s">
        <v>26</v>
      </c>
      <c r="I3" s="3">
        <v>14</v>
      </c>
      <c r="J3" s="3" t="s">
        <v>27</v>
      </c>
      <c r="K3" s="3" t="s">
        <v>28</v>
      </c>
      <c r="L3" s="3" t="s">
        <v>22</v>
      </c>
      <c r="N3" s="2">
        <f t="shared" si="0"/>
        <v>6</v>
      </c>
      <c r="O3" s="2" t="str">
        <f t="shared" si="1"/>
        <v>Sabado</v>
      </c>
    </row>
    <row r="4" spans="1:15" ht="14.25" customHeight="1" x14ac:dyDescent="0.3">
      <c r="A4" s="3" t="s">
        <v>29</v>
      </c>
      <c r="B4" s="3">
        <v>10.45904851004949</v>
      </c>
      <c r="C4" s="3">
        <v>120</v>
      </c>
      <c r="D4" s="3">
        <v>15.40433573722839</v>
      </c>
      <c r="E4" s="3" t="s">
        <v>16</v>
      </c>
      <c r="F4" s="3" t="s">
        <v>30</v>
      </c>
      <c r="G4" s="3" t="s">
        <v>18</v>
      </c>
      <c r="H4" s="3" t="s">
        <v>31</v>
      </c>
      <c r="I4" s="3">
        <v>7</v>
      </c>
      <c r="J4" s="3" t="s">
        <v>32</v>
      </c>
      <c r="K4" s="3" t="s">
        <v>33</v>
      </c>
      <c r="L4" s="3" t="s">
        <v>22</v>
      </c>
      <c r="N4" s="2">
        <f t="shared" si="0"/>
        <v>7</v>
      </c>
      <c r="O4" s="2" t="str">
        <f t="shared" si="1"/>
        <v>Domingo</v>
      </c>
    </row>
    <row r="5" spans="1:15" ht="14.25" customHeight="1" x14ac:dyDescent="0.3">
      <c r="A5" s="3" t="s">
        <v>34</v>
      </c>
      <c r="B5" s="3">
        <v>10.40954166522426</v>
      </c>
      <c r="C5" s="3">
        <v>120</v>
      </c>
      <c r="D5" s="3">
        <v>2.7906384468078609</v>
      </c>
      <c r="E5" s="3" t="s">
        <v>16</v>
      </c>
      <c r="F5" s="3" t="s">
        <v>35</v>
      </c>
      <c r="G5" s="3" t="s">
        <v>18</v>
      </c>
      <c r="H5" s="3" t="s">
        <v>36</v>
      </c>
      <c r="I5" s="3">
        <v>9</v>
      </c>
      <c r="J5" s="3" t="s">
        <v>37</v>
      </c>
      <c r="K5" s="3" t="s">
        <v>38</v>
      </c>
      <c r="L5" s="3" t="s">
        <v>22</v>
      </c>
      <c r="N5" s="2">
        <f t="shared" si="0"/>
        <v>1</v>
      </c>
      <c r="O5" s="2" t="str">
        <f t="shared" si="1"/>
        <v>Lunes</v>
      </c>
    </row>
    <row r="6" spans="1:15" ht="14.25" customHeight="1" x14ac:dyDescent="0.3">
      <c r="A6" s="3" t="s">
        <v>39</v>
      </c>
      <c r="B6" s="3">
        <v>11.66774672479853</v>
      </c>
      <c r="C6" s="3">
        <v>120</v>
      </c>
      <c r="D6" s="3">
        <v>17.181369543075562</v>
      </c>
      <c r="E6" s="3" t="s">
        <v>16</v>
      </c>
      <c r="F6" s="3" t="s">
        <v>40</v>
      </c>
      <c r="G6" s="3" t="s">
        <v>18</v>
      </c>
      <c r="H6" s="3" t="s">
        <v>41</v>
      </c>
      <c r="I6" s="3">
        <v>11</v>
      </c>
      <c r="J6" s="3" t="s">
        <v>42</v>
      </c>
      <c r="K6" s="3" t="s">
        <v>43</v>
      </c>
      <c r="L6" s="3" t="s">
        <v>22</v>
      </c>
      <c r="N6" s="2">
        <f t="shared" si="0"/>
        <v>2</v>
      </c>
      <c r="O6" s="2" t="str">
        <f t="shared" si="1"/>
        <v>Martes</v>
      </c>
    </row>
    <row r="7" spans="1:15" ht="14.25" customHeight="1" x14ac:dyDescent="0.3">
      <c r="A7" s="3" t="s">
        <v>44</v>
      </c>
      <c r="B7" s="3">
        <v>14.86922900812101</v>
      </c>
      <c r="C7" s="3">
        <v>120</v>
      </c>
      <c r="D7" s="3">
        <v>28.179603338241581</v>
      </c>
      <c r="E7" s="3" t="s">
        <v>16</v>
      </c>
      <c r="F7" s="3" t="s">
        <v>45</v>
      </c>
      <c r="G7" s="3" t="s">
        <v>18</v>
      </c>
      <c r="H7" s="3" t="s">
        <v>46</v>
      </c>
      <c r="I7" s="3">
        <v>8</v>
      </c>
      <c r="J7" s="3" t="s">
        <v>47</v>
      </c>
      <c r="K7" s="3" t="s">
        <v>48</v>
      </c>
      <c r="L7" s="3" t="s">
        <v>22</v>
      </c>
      <c r="N7" s="2">
        <f t="shared" si="0"/>
        <v>3</v>
      </c>
      <c r="O7" s="2" t="str">
        <f t="shared" si="1"/>
        <v>Miercoles</v>
      </c>
    </row>
    <row r="8" spans="1:15" ht="14.25" customHeight="1" x14ac:dyDescent="0.3">
      <c r="A8" s="3" t="s">
        <v>49</v>
      </c>
      <c r="B8" s="3">
        <v>11.697597677419219</v>
      </c>
      <c r="C8" s="3">
        <v>120</v>
      </c>
      <c r="D8" s="3">
        <v>22.32016754150391</v>
      </c>
      <c r="E8" s="3" t="s">
        <v>16</v>
      </c>
      <c r="F8" s="3" t="s">
        <v>50</v>
      </c>
      <c r="G8" s="3" t="s">
        <v>18</v>
      </c>
      <c r="H8" s="3" t="s">
        <v>51</v>
      </c>
      <c r="I8" s="3">
        <v>9</v>
      </c>
      <c r="J8" s="3" t="s">
        <v>52</v>
      </c>
      <c r="K8" s="3" t="s">
        <v>53</v>
      </c>
      <c r="L8" s="3" t="s">
        <v>22</v>
      </c>
      <c r="N8" s="2">
        <f t="shared" si="0"/>
        <v>4</v>
      </c>
      <c r="O8" s="2" t="str">
        <f t="shared" si="1"/>
        <v>Jueves</v>
      </c>
    </row>
    <row r="9" spans="1:15" ht="14.25" customHeight="1" x14ac:dyDescent="0.3">
      <c r="A9" s="3" t="s">
        <v>54</v>
      </c>
      <c r="B9" s="3">
        <v>7.6220379086563366</v>
      </c>
      <c r="C9" s="3">
        <v>120</v>
      </c>
      <c r="D9" s="3">
        <v>1.116302490234375</v>
      </c>
      <c r="E9" s="3" t="s">
        <v>16</v>
      </c>
      <c r="F9" s="3" t="s">
        <v>55</v>
      </c>
      <c r="G9" s="3" t="s">
        <v>18</v>
      </c>
      <c r="H9" s="3" t="s">
        <v>56</v>
      </c>
      <c r="I9" s="3">
        <v>7</v>
      </c>
      <c r="J9" s="3" t="s">
        <v>57</v>
      </c>
      <c r="K9" s="3" t="s">
        <v>58</v>
      </c>
      <c r="L9" s="3" t="s">
        <v>22</v>
      </c>
      <c r="N9" s="2">
        <f t="shared" si="0"/>
        <v>5</v>
      </c>
      <c r="O9" s="2" t="str">
        <f t="shared" si="1"/>
        <v>Viernes</v>
      </c>
    </row>
    <row r="10" spans="1:15" ht="14.25" customHeight="1" x14ac:dyDescent="0.3">
      <c r="A10" s="3" t="s">
        <v>59</v>
      </c>
      <c r="B10" s="3">
        <v>12.282983388419909</v>
      </c>
      <c r="C10" s="3">
        <v>120</v>
      </c>
      <c r="D10" s="3">
        <v>1.7780458927154541</v>
      </c>
      <c r="E10" s="3" t="s">
        <v>16</v>
      </c>
      <c r="F10" s="3" t="s">
        <v>60</v>
      </c>
      <c r="G10" s="3" t="s">
        <v>18</v>
      </c>
      <c r="H10" s="3" t="s">
        <v>61</v>
      </c>
      <c r="I10" s="3">
        <v>9</v>
      </c>
      <c r="J10" s="3" t="s">
        <v>62</v>
      </c>
      <c r="K10" s="3" t="s">
        <v>63</v>
      </c>
      <c r="L10" s="3" t="s">
        <v>22</v>
      </c>
      <c r="N10" s="2">
        <f t="shared" si="0"/>
        <v>6</v>
      </c>
      <c r="O10" s="2" t="str">
        <f t="shared" si="1"/>
        <v>Sabado</v>
      </c>
    </row>
    <row r="11" spans="1:15" ht="14.25" customHeight="1" x14ac:dyDescent="0.3">
      <c r="A11" s="3" t="s">
        <v>64</v>
      </c>
      <c r="B11" s="3">
        <v>27.47235034777016</v>
      </c>
      <c r="C11" s="3">
        <v>120</v>
      </c>
      <c r="D11" s="3">
        <v>106.4970557689667</v>
      </c>
      <c r="E11" s="3" t="s">
        <v>16</v>
      </c>
      <c r="F11" s="3" t="s">
        <v>65</v>
      </c>
      <c r="G11" s="3" t="s">
        <v>18</v>
      </c>
      <c r="H11" s="3" t="s">
        <v>66</v>
      </c>
      <c r="I11" s="3">
        <v>11</v>
      </c>
      <c r="J11" s="3" t="s">
        <v>67</v>
      </c>
      <c r="K11" s="3" t="s">
        <v>68</v>
      </c>
      <c r="L11" s="3" t="s">
        <v>22</v>
      </c>
      <c r="N11" s="2">
        <f t="shared" si="0"/>
        <v>7</v>
      </c>
      <c r="O11" s="2" t="str">
        <f t="shared" si="1"/>
        <v>Domingo</v>
      </c>
    </row>
    <row r="12" spans="1:15" ht="14.25" customHeight="1" x14ac:dyDescent="0.3">
      <c r="A12" s="3" t="s">
        <v>69</v>
      </c>
      <c r="B12" s="3">
        <v>29.68770954126353</v>
      </c>
      <c r="C12" s="3">
        <v>120</v>
      </c>
      <c r="D12" s="3">
        <v>120.37998509407041</v>
      </c>
      <c r="E12" s="3" t="s">
        <v>16</v>
      </c>
      <c r="F12" s="3" t="s">
        <v>70</v>
      </c>
      <c r="G12" s="3" t="s">
        <v>18</v>
      </c>
      <c r="H12" s="3" t="s">
        <v>71</v>
      </c>
      <c r="I12" s="3">
        <v>12</v>
      </c>
      <c r="J12" s="3" t="s">
        <v>72</v>
      </c>
      <c r="K12" s="3" t="s">
        <v>73</v>
      </c>
      <c r="L12" s="3" t="s">
        <v>22</v>
      </c>
      <c r="N12" s="2">
        <f t="shared" si="0"/>
        <v>1</v>
      </c>
      <c r="O12" s="2" t="str">
        <f t="shared" si="1"/>
        <v>Lunes</v>
      </c>
    </row>
    <row r="13" spans="1:15" ht="14.25" customHeight="1" x14ac:dyDescent="0.3">
      <c r="A13" s="3" t="s">
        <v>74</v>
      </c>
      <c r="B13" s="3">
        <v>14.170850796831919</v>
      </c>
      <c r="C13" s="3">
        <v>120</v>
      </c>
      <c r="D13" s="3">
        <v>17.494173049926761</v>
      </c>
      <c r="E13" s="3" t="s">
        <v>16</v>
      </c>
      <c r="F13" s="3" t="s">
        <v>75</v>
      </c>
      <c r="G13" s="3" t="s">
        <v>18</v>
      </c>
      <c r="H13" s="3" t="s">
        <v>76</v>
      </c>
      <c r="I13" s="3">
        <v>10</v>
      </c>
      <c r="J13" s="3" t="s">
        <v>77</v>
      </c>
      <c r="K13" s="3" t="s">
        <v>78</v>
      </c>
      <c r="L13" s="3" t="s">
        <v>22</v>
      </c>
      <c r="N13" s="2">
        <f t="shared" si="0"/>
        <v>2</v>
      </c>
      <c r="O13" s="2" t="str">
        <f t="shared" si="1"/>
        <v>Martes</v>
      </c>
    </row>
    <row r="14" spans="1:15" ht="14.25" customHeight="1" x14ac:dyDescent="0.3">
      <c r="A14" s="3" t="s">
        <v>79</v>
      </c>
      <c r="B14" s="3">
        <v>14.052379669636769</v>
      </c>
      <c r="C14" s="3">
        <v>120</v>
      </c>
      <c r="D14" s="3">
        <v>32.434411525726318</v>
      </c>
      <c r="E14" s="3" t="s">
        <v>16</v>
      </c>
      <c r="F14" s="3" t="s">
        <v>80</v>
      </c>
      <c r="G14" s="3" t="s">
        <v>18</v>
      </c>
      <c r="H14" s="3" t="s">
        <v>81</v>
      </c>
      <c r="I14" s="3">
        <v>7</v>
      </c>
      <c r="J14" s="3" t="s">
        <v>82</v>
      </c>
      <c r="K14" s="3" t="s">
        <v>83</v>
      </c>
      <c r="L14" s="3" t="s">
        <v>22</v>
      </c>
      <c r="N14" s="2">
        <f t="shared" si="0"/>
        <v>3</v>
      </c>
      <c r="O14" s="2" t="str">
        <f t="shared" si="1"/>
        <v>Miercoles</v>
      </c>
    </row>
    <row r="15" spans="1:15" ht="14.25" customHeight="1" x14ac:dyDescent="0.3">
      <c r="A15" s="3" t="s">
        <v>84</v>
      </c>
      <c r="B15" s="3">
        <v>12.299630695884581</v>
      </c>
      <c r="C15" s="3">
        <v>120</v>
      </c>
      <c r="D15" s="3">
        <v>8.9710423946380615</v>
      </c>
      <c r="E15" s="3" t="s">
        <v>16</v>
      </c>
      <c r="F15" s="3" t="s">
        <v>85</v>
      </c>
      <c r="G15" s="3" t="s">
        <v>18</v>
      </c>
      <c r="H15" s="3" t="s">
        <v>86</v>
      </c>
      <c r="I15" s="3">
        <v>7</v>
      </c>
      <c r="J15" s="3" t="s">
        <v>87</v>
      </c>
      <c r="K15" s="3" t="s">
        <v>88</v>
      </c>
      <c r="L15" s="3" t="s">
        <v>22</v>
      </c>
      <c r="N15" s="2">
        <f t="shared" si="0"/>
        <v>4</v>
      </c>
      <c r="O15" s="2" t="str">
        <f t="shared" si="1"/>
        <v>Jueves</v>
      </c>
    </row>
    <row r="16" spans="1:15" ht="14.25" customHeight="1" x14ac:dyDescent="0.3">
      <c r="A16" s="3" t="s">
        <v>89</v>
      </c>
      <c r="B16" s="3">
        <v>24.8479254156005</v>
      </c>
      <c r="C16" s="3">
        <v>120</v>
      </c>
      <c r="D16" s="3">
        <v>16.610533952713009</v>
      </c>
      <c r="E16" s="3" t="s">
        <v>16</v>
      </c>
      <c r="F16" s="3" t="s">
        <v>90</v>
      </c>
      <c r="G16" s="3" t="s">
        <v>18</v>
      </c>
      <c r="H16" s="3" t="s">
        <v>91</v>
      </c>
      <c r="I16" s="3">
        <v>11</v>
      </c>
      <c r="J16" s="3" t="s">
        <v>92</v>
      </c>
      <c r="K16" s="3" t="s">
        <v>93</v>
      </c>
      <c r="L16" s="3" t="s">
        <v>22</v>
      </c>
      <c r="N16" s="2">
        <f t="shared" si="0"/>
        <v>5</v>
      </c>
      <c r="O16" s="2" t="str">
        <f t="shared" si="1"/>
        <v>Viernes</v>
      </c>
    </row>
    <row r="17" spans="1:15" ht="14.25" customHeight="1" x14ac:dyDescent="0.3">
      <c r="A17" s="3" t="s">
        <v>94</v>
      </c>
      <c r="B17" s="3">
        <v>15.81889194012083</v>
      </c>
      <c r="C17" s="3">
        <v>120</v>
      </c>
      <c r="D17" s="3">
        <v>3.590265035629272</v>
      </c>
      <c r="E17" s="3" t="s">
        <v>16</v>
      </c>
      <c r="F17" s="3" t="s">
        <v>95</v>
      </c>
      <c r="G17" s="3" t="s">
        <v>18</v>
      </c>
      <c r="H17" s="3" t="s">
        <v>96</v>
      </c>
      <c r="I17" s="3">
        <v>9</v>
      </c>
      <c r="J17" s="3" t="s">
        <v>97</v>
      </c>
      <c r="K17" s="3" t="s">
        <v>98</v>
      </c>
      <c r="L17" s="3" t="s">
        <v>22</v>
      </c>
      <c r="N17" s="2">
        <f t="shared" si="0"/>
        <v>6</v>
      </c>
      <c r="O17" s="2" t="str">
        <f t="shared" si="1"/>
        <v>Sabado</v>
      </c>
    </row>
    <row r="18" spans="1:15" ht="14.25" customHeight="1" x14ac:dyDescent="0.3">
      <c r="A18" s="3" t="s">
        <v>99</v>
      </c>
      <c r="B18" s="3">
        <v>26.10267222923132</v>
      </c>
      <c r="C18" s="3">
        <v>120</v>
      </c>
      <c r="D18" s="3">
        <v>120.5470409393311</v>
      </c>
      <c r="E18" s="3" t="s">
        <v>16</v>
      </c>
      <c r="F18" s="3" t="s">
        <v>100</v>
      </c>
      <c r="G18" s="3" t="s">
        <v>18</v>
      </c>
      <c r="H18" s="3" t="s">
        <v>101</v>
      </c>
      <c r="I18" s="3">
        <v>14</v>
      </c>
      <c r="J18" s="3" t="s">
        <v>102</v>
      </c>
      <c r="K18" s="3" t="s">
        <v>103</v>
      </c>
      <c r="L18" s="3" t="s">
        <v>22</v>
      </c>
      <c r="N18" s="2">
        <f t="shared" si="0"/>
        <v>7</v>
      </c>
      <c r="O18" s="2" t="str">
        <f t="shared" si="1"/>
        <v>Domingo</v>
      </c>
    </row>
    <row r="19" spans="1:15" ht="14.25" customHeight="1" x14ac:dyDescent="0.3">
      <c r="A19" s="3" t="s">
        <v>104</v>
      </c>
      <c r="B19" s="3">
        <v>10.419441029604091</v>
      </c>
      <c r="C19" s="3">
        <v>120</v>
      </c>
      <c r="D19" s="3">
        <v>2.314220666885376</v>
      </c>
      <c r="E19" s="3" t="s">
        <v>16</v>
      </c>
      <c r="F19" s="3" t="s">
        <v>105</v>
      </c>
      <c r="G19" s="3" t="s">
        <v>18</v>
      </c>
      <c r="H19" s="3" t="s">
        <v>106</v>
      </c>
      <c r="I19" s="3">
        <v>8</v>
      </c>
      <c r="J19" s="3" t="s">
        <v>107</v>
      </c>
      <c r="K19" s="3" t="s">
        <v>108</v>
      </c>
      <c r="L19" s="3" t="s">
        <v>22</v>
      </c>
      <c r="N19" s="2">
        <f t="shared" si="0"/>
        <v>1</v>
      </c>
      <c r="O19" s="2" t="str">
        <f t="shared" si="1"/>
        <v>Lunes</v>
      </c>
    </row>
    <row r="20" spans="1:15" ht="14.25" customHeight="1" x14ac:dyDescent="0.3">
      <c r="A20" s="3" t="s">
        <v>109</v>
      </c>
      <c r="B20" s="3">
        <v>5.8011690189423248</v>
      </c>
      <c r="C20" s="3">
        <v>120</v>
      </c>
      <c r="D20" s="3">
        <v>0.78505611419677734</v>
      </c>
      <c r="E20" s="3" t="s">
        <v>16</v>
      </c>
      <c r="F20" s="3" t="s">
        <v>110</v>
      </c>
      <c r="G20" s="3" t="s">
        <v>18</v>
      </c>
      <c r="H20" s="3" t="s">
        <v>111</v>
      </c>
      <c r="I20" s="3">
        <v>5</v>
      </c>
      <c r="J20" s="3" t="s">
        <v>112</v>
      </c>
      <c r="K20" s="3" t="s">
        <v>113</v>
      </c>
      <c r="L20" s="3" t="s">
        <v>22</v>
      </c>
      <c r="N20" s="2">
        <f t="shared" si="0"/>
        <v>2</v>
      </c>
      <c r="O20" s="2" t="str">
        <f t="shared" si="1"/>
        <v>Martes</v>
      </c>
    </row>
    <row r="21" spans="1:15" ht="14.25" customHeight="1" x14ac:dyDescent="0.3">
      <c r="A21" s="3" t="s">
        <v>114</v>
      </c>
      <c r="B21" s="3">
        <v>15.006242219566451</v>
      </c>
      <c r="C21" s="3">
        <v>120</v>
      </c>
      <c r="D21" s="3">
        <v>23.244024038314819</v>
      </c>
      <c r="E21" s="3" t="s">
        <v>16</v>
      </c>
      <c r="F21" s="3" t="s">
        <v>115</v>
      </c>
      <c r="G21" s="3" t="s">
        <v>18</v>
      </c>
      <c r="H21" s="3" t="s">
        <v>116</v>
      </c>
      <c r="I21" s="3">
        <v>9</v>
      </c>
      <c r="J21" s="3" t="s">
        <v>117</v>
      </c>
      <c r="K21" s="3" t="s">
        <v>118</v>
      </c>
      <c r="L21" s="3" t="s">
        <v>22</v>
      </c>
      <c r="N21" s="2">
        <f t="shared" si="0"/>
        <v>3</v>
      </c>
      <c r="O21" s="2" t="str">
        <f t="shared" si="1"/>
        <v>Miercoles</v>
      </c>
    </row>
    <row r="22" spans="1:15" ht="14.25" customHeight="1" x14ac:dyDescent="0.3">
      <c r="A22" s="3" t="s">
        <v>119</v>
      </c>
      <c r="B22" s="3">
        <v>12.163092506770299</v>
      </c>
      <c r="C22" s="3">
        <v>120</v>
      </c>
      <c r="D22" s="3">
        <v>3.8106510639190669</v>
      </c>
      <c r="E22" s="3" t="s">
        <v>16</v>
      </c>
      <c r="F22" s="3" t="s">
        <v>120</v>
      </c>
      <c r="G22" s="3" t="s">
        <v>18</v>
      </c>
      <c r="H22" s="3" t="s">
        <v>121</v>
      </c>
      <c r="I22" s="3">
        <v>7</v>
      </c>
      <c r="J22" s="3" t="s">
        <v>122</v>
      </c>
      <c r="K22" s="3" t="s">
        <v>123</v>
      </c>
      <c r="L22" s="3" t="s">
        <v>22</v>
      </c>
      <c r="N22" s="2">
        <f t="shared" si="0"/>
        <v>4</v>
      </c>
      <c r="O22" s="2" t="str">
        <f t="shared" si="1"/>
        <v>Jueves</v>
      </c>
    </row>
    <row r="23" spans="1:15" ht="14.25" customHeight="1" x14ac:dyDescent="0.3">
      <c r="A23" s="3" t="s">
        <v>124</v>
      </c>
      <c r="B23" s="3">
        <v>9.9447589758097372</v>
      </c>
      <c r="C23" s="3">
        <v>120</v>
      </c>
      <c r="D23" s="3">
        <v>3.198758602142334</v>
      </c>
      <c r="E23" s="3" t="s">
        <v>16</v>
      </c>
      <c r="F23" s="3" t="s">
        <v>125</v>
      </c>
      <c r="G23" s="3" t="s">
        <v>18</v>
      </c>
      <c r="H23" s="3" t="s">
        <v>126</v>
      </c>
      <c r="I23" s="3">
        <v>7</v>
      </c>
      <c r="J23" s="3" t="s">
        <v>127</v>
      </c>
      <c r="K23" s="3" t="s">
        <v>128</v>
      </c>
      <c r="L23" s="3" t="s">
        <v>22</v>
      </c>
      <c r="N23" s="2">
        <f t="shared" si="0"/>
        <v>5</v>
      </c>
      <c r="O23" s="2" t="str">
        <f t="shared" si="1"/>
        <v>Viernes</v>
      </c>
    </row>
    <row r="24" spans="1:15" ht="14.25" customHeight="1" x14ac:dyDescent="0.3">
      <c r="A24" s="3" t="s">
        <v>129</v>
      </c>
      <c r="B24" s="3">
        <v>9.5178907458734709</v>
      </c>
      <c r="C24" s="3">
        <v>120</v>
      </c>
      <c r="D24" s="3">
        <v>2.1487476825714111</v>
      </c>
      <c r="E24" s="3" t="s">
        <v>16</v>
      </c>
      <c r="F24" s="3" t="s">
        <v>130</v>
      </c>
      <c r="G24" s="3" t="s">
        <v>18</v>
      </c>
      <c r="H24" s="3" t="s">
        <v>131</v>
      </c>
      <c r="I24" s="3">
        <v>6</v>
      </c>
      <c r="J24" s="3" t="s">
        <v>132</v>
      </c>
      <c r="K24" s="3" t="s">
        <v>133</v>
      </c>
      <c r="L24" s="3" t="s">
        <v>22</v>
      </c>
      <c r="N24" s="2">
        <f t="shared" si="0"/>
        <v>6</v>
      </c>
      <c r="O24" s="2" t="str">
        <f t="shared" si="1"/>
        <v>Sabado</v>
      </c>
    </row>
    <row r="25" spans="1:15" ht="14.25" customHeight="1" x14ac:dyDescent="0.3">
      <c r="A25" s="3" t="s">
        <v>134</v>
      </c>
      <c r="B25" s="3">
        <v>20.475954709890349</v>
      </c>
      <c r="C25" s="3">
        <v>120</v>
      </c>
      <c r="D25" s="3">
        <v>4.7754330635070801</v>
      </c>
      <c r="E25" s="3" t="s">
        <v>16</v>
      </c>
      <c r="F25" s="3" t="s">
        <v>135</v>
      </c>
      <c r="G25" s="3" t="s">
        <v>18</v>
      </c>
      <c r="H25" s="3" t="s">
        <v>136</v>
      </c>
      <c r="I25" s="3">
        <v>11</v>
      </c>
      <c r="J25" s="3" t="s">
        <v>137</v>
      </c>
      <c r="K25" s="3" t="s">
        <v>138</v>
      </c>
      <c r="L25" s="3" t="s">
        <v>22</v>
      </c>
      <c r="N25" s="2">
        <f t="shared" si="0"/>
        <v>7</v>
      </c>
      <c r="O25" s="2" t="str">
        <f t="shared" si="1"/>
        <v>Domingo</v>
      </c>
    </row>
    <row r="26" spans="1:15" ht="14.25" customHeight="1" x14ac:dyDescent="0.3">
      <c r="A26" s="3" t="s">
        <v>139</v>
      </c>
      <c r="B26" s="3">
        <v>17.862546287219491</v>
      </c>
      <c r="C26" s="3">
        <v>120</v>
      </c>
      <c r="D26" s="3">
        <v>17.985917329788212</v>
      </c>
      <c r="E26" s="3" t="s">
        <v>16</v>
      </c>
      <c r="F26" s="3" t="s">
        <v>140</v>
      </c>
      <c r="G26" s="3" t="s">
        <v>18</v>
      </c>
      <c r="H26" s="3" t="s">
        <v>141</v>
      </c>
      <c r="I26" s="3">
        <v>12</v>
      </c>
      <c r="J26" s="3" t="s">
        <v>142</v>
      </c>
      <c r="K26" s="3" t="s">
        <v>143</v>
      </c>
      <c r="L26" s="3" t="s">
        <v>22</v>
      </c>
      <c r="N26" s="2">
        <f t="shared" si="0"/>
        <v>1</v>
      </c>
      <c r="O26" s="2" t="str">
        <f t="shared" si="1"/>
        <v>Lunes</v>
      </c>
    </row>
    <row r="27" spans="1:15" ht="14.25" customHeight="1" x14ac:dyDescent="0.3">
      <c r="A27" s="3" t="s">
        <v>144</v>
      </c>
      <c r="B27" s="3">
        <v>10.45904851004949</v>
      </c>
      <c r="C27" s="3">
        <v>120</v>
      </c>
      <c r="D27" s="3">
        <v>10.197651863098139</v>
      </c>
      <c r="E27" s="3" t="s">
        <v>16</v>
      </c>
      <c r="F27" s="3" t="s">
        <v>30</v>
      </c>
      <c r="G27" s="3" t="s">
        <v>18</v>
      </c>
      <c r="H27" s="3" t="s">
        <v>31</v>
      </c>
      <c r="I27" s="3">
        <v>7</v>
      </c>
      <c r="J27" s="3" t="s">
        <v>32</v>
      </c>
      <c r="K27" s="3" t="s">
        <v>33</v>
      </c>
      <c r="L27" s="3" t="s">
        <v>22</v>
      </c>
      <c r="N27" s="2">
        <f t="shared" si="0"/>
        <v>2</v>
      </c>
      <c r="O27" s="2" t="str">
        <f t="shared" si="1"/>
        <v>Martes</v>
      </c>
    </row>
    <row r="28" spans="1:15" ht="14.25" customHeight="1" x14ac:dyDescent="0.3">
      <c r="A28" s="3" t="s">
        <v>145</v>
      </c>
      <c r="B28" s="3">
        <v>18.55154222712207</v>
      </c>
      <c r="C28" s="3">
        <v>120</v>
      </c>
      <c r="D28" s="3">
        <v>40.097976207733147</v>
      </c>
      <c r="E28" s="3" t="s">
        <v>16</v>
      </c>
      <c r="F28" s="3" t="s">
        <v>146</v>
      </c>
      <c r="G28" s="3" t="s">
        <v>18</v>
      </c>
      <c r="H28" s="3" t="s">
        <v>147</v>
      </c>
      <c r="I28" s="3">
        <v>9</v>
      </c>
      <c r="J28" s="3" t="s">
        <v>148</v>
      </c>
      <c r="K28" s="3" t="s">
        <v>149</v>
      </c>
      <c r="L28" s="3" t="s">
        <v>22</v>
      </c>
      <c r="N28" s="2">
        <f t="shared" si="0"/>
        <v>3</v>
      </c>
      <c r="O28" s="2" t="str">
        <f t="shared" si="1"/>
        <v>Miercoles</v>
      </c>
    </row>
    <row r="29" spans="1:15" ht="14.25" customHeight="1" x14ac:dyDescent="0.3">
      <c r="A29" s="3" t="s">
        <v>150</v>
      </c>
      <c r="B29" s="3">
        <v>16.230971961105169</v>
      </c>
      <c r="C29" s="3">
        <v>120</v>
      </c>
      <c r="D29" s="3">
        <v>24.16279125213623</v>
      </c>
      <c r="E29" s="3" t="s">
        <v>16</v>
      </c>
      <c r="F29" s="3" t="s">
        <v>151</v>
      </c>
      <c r="G29" s="3" t="s">
        <v>18</v>
      </c>
      <c r="H29" s="3" t="s">
        <v>152</v>
      </c>
      <c r="I29" s="3">
        <v>9</v>
      </c>
      <c r="J29" s="3" t="s">
        <v>153</v>
      </c>
      <c r="K29" s="3" t="s">
        <v>154</v>
      </c>
      <c r="L29" s="3" t="s">
        <v>22</v>
      </c>
      <c r="N29" s="2">
        <f t="shared" si="0"/>
        <v>4</v>
      </c>
      <c r="O29" s="2" t="str">
        <f t="shared" si="1"/>
        <v>Jueves</v>
      </c>
    </row>
    <row r="30" spans="1:15" ht="14.25" customHeight="1" x14ac:dyDescent="0.3">
      <c r="A30" s="3" t="s">
        <v>155</v>
      </c>
      <c r="B30" s="3">
        <v>17.778035596435618</v>
      </c>
      <c r="C30" s="3">
        <v>120</v>
      </c>
      <c r="D30" s="3">
        <v>0.88385772705078125</v>
      </c>
      <c r="E30" s="3" t="s">
        <v>16</v>
      </c>
      <c r="F30" s="3" t="s">
        <v>156</v>
      </c>
      <c r="G30" s="3" t="s">
        <v>18</v>
      </c>
      <c r="H30" s="3" t="s">
        <v>157</v>
      </c>
      <c r="I30" s="3">
        <v>9</v>
      </c>
      <c r="J30" s="3" t="s">
        <v>158</v>
      </c>
      <c r="K30" s="3" t="s">
        <v>159</v>
      </c>
      <c r="L30" s="3" t="s">
        <v>22</v>
      </c>
      <c r="N30" s="2">
        <f t="shared" si="0"/>
        <v>5</v>
      </c>
      <c r="O30" s="2" t="str">
        <f t="shared" si="1"/>
        <v>Viernes</v>
      </c>
    </row>
    <row r="31" spans="1:15" ht="14.25" customHeight="1" x14ac:dyDescent="0.3">
      <c r="A31" s="3" t="s">
        <v>160</v>
      </c>
      <c r="B31" s="3">
        <v>9.5815154163694807</v>
      </c>
      <c r="C31" s="3">
        <v>120</v>
      </c>
      <c r="D31" s="3">
        <v>2.884630680084229</v>
      </c>
      <c r="E31" s="3" t="s">
        <v>16</v>
      </c>
      <c r="F31" s="3" t="s">
        <v>161</v>
      </c>
      <c r="G31" s="3" t="s">
        <v>18</v>
      </c>
      <c r="H31" s="3" t="s">
        <v>162</v>
      </c>
      <c r="I31" s="3">
        <v>7</v>
      </c>
      <c r="J31" s="3" t="s">
        <v>163</v>
      </c>
      <c r="K31" s="3" t="s">
        <v>164</v>
      </c>
      <c r="L31" s="3" t="s">
        <v>22</v>
      </c>
      <c r="N31" s="2">
        <f t="shared" si="0"/>
        <v>6</v>
      </c>
      <c r="O31" s="2" t="str">
        <f t="shared" si="1"/>
        <v>Sabado</v>
      </c>
    </row>
    <row r="32" spans="1:15" ht="14.25" customHeight="1" x14ac:dyDescent="0.3">
      <c r="A32" s="3" t="s">
        <v>165</v>
      </c>
      <c r="B32" s="3">
        <v>14.79361769898849</v>
      </c>
      <c r="C32" s="3">
        <v>120</v>
      </c>
      <c r="D32" s="3">
        <v>1.814134359359741</v>
      </c>
      <c r="E32" s="3" t="s">
        <v>16</v>
      </c>
      <c r="F32" s="3" t="s">
        <v>166</v>
      </c>
      <c r="G32" s="3" t="s">
        <v>18</v>
      </c>
      <c r="H32" s="3" t="s">
        <v>167</v>
      </c>
      <c r="I32" s="3">
        <v>12</v>
      </c>
      <c r="J32" s="3" t="s">
        <v>168</v>
      </c>
      <c r="K32" s="3" t="s">
        <v>169</v>
      </c>
      <c r="L32" s="3" t="s">
        <v>22</v>
      </c>
      <c r="N32" s="2">
        <f t="shared" si="0"/>
        <v>7</v>
      </c>
      <c r="O32" s="2" t="str">
        <f t="shared" si="1"/>
        <v>Domingo</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5" right="0.75" top="1" bottom="1"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W1000"/>
  <sheetViews>
    <sheetView workbookViewId="0"/>
  </sheetViews>
  <sheetFormatPr baseColWidth="10" defaultColWidth="14.44140625" defaultRowHeight="15" customHeight="1" x14ac:dyDescent="0.3"/>
  <cols>
    <col min="1" max="1" width="32.44140625" customWidth="1"/>
    <col min="2" max="2" width="58.6640625" customWidth="1"/>
    <col min="3" max="3" width="21.88671875" customWidth="1"/>
    <col min="4" max="4" width="12" customWidth="1"/>
    <col min="5" max="11" width="10.6640625" customWidth="1"/>
    <col min="12" max="12" width="21.6640625" customWidth="1"/>
    <col min="13" max="13" width="37.6640625" customWidth="1"/>
    <col min="14" max="20" width="10.6640625" customWidth="1"/>
    <col min="21" max="21" width="16" customWidth="1"/>
    <col min="22" max="22" width="10.6640625" customWidth="1"/>
    <col min="23" max="23" width="23.33203125" customWidth="1"/>
    <col min="24" max="26" width="10.6640625" customWidth="1"/>
  </cols>
  <sheetData>
    <row r="1" spans="1:23" ht="14.25" customHeight="1" x14ac:dyDescent="0.3">
      <c r="A1" s="4" t="s">
        <v>177</v>
      </c>
      <c r="B1" s="2" t="s">
        <v>178</v>
      </c>
      <c r="C1" s="2" t="s">
        <v>179</v>
      </c>
      <c r="L1" s="5"/>
      <c r="T1" s="3" t="s">
        <v>180</v>
      </c>
      <c r="U1" s="5"/>
    </row>
    <row r="2" spans="1:23" ht="14.25" customHeight="1" x14ac:dyDescent="0.3">
      <c r="A2" s="3" t="s">
        <v>6</v>
      </c>
      <c r="B2" s="2" t="s">
        <v>180</v>
      </c>
      <c r="C2" s="2" t="s">
        <v>181</v>
      </c>
      <c r="D2" s="2" t="s">
        <v>182</v>
      </c>
      <c r="E2" s="2" t="s">
        <v>183</v>
      </c>
      <c r="F2" s="6" t="s">
        <v>184</v>
      </c>
      <c r="G2" s="6" t="s">
        <v>185</v>
      </c>
      <c r="H2" s="6" t="s">
        <v>186</v>
      </c>
      <c r="I2" s="6" t="s">
        <v>187</v>
      </c>
      <c r="J2" s="6" t="s">
        <v>188</v>
      </c>
      <c r="K2" s="6" t="s">
        <v>189</v>
      </c>
      <c r="L2" s="7" t="s">
        <v>190</v>
      </c>
      <c r="M2" s="8" t="s">
        <v>191</v>
      </c>
      <c r="N2" s="9" t="s">
        <v>192</v>
      </c>
      <c r="O2" s="9">
        <v>4</v>
      </c>
      <c r="P2" s="3" t="s">
        <v>193</v>
      </c>
      <c r="T2" s="1" t="s">
        <v>180</v>
      </c>
      <c r="U2" s="1" t="s">
        <v>194</v>
      </c>
      <c r="V2" s="2"/>
    </row>
    <row r="3" spans="1:23" ht="14.25" customHeight="1" x14ac:dyDescent="0.3">
      <c r="A3" s="3">
        <v>0.9957863323050703</v>
      </c>
      <c r="B3" s="9" t="s">
        <v>195</v>
      </c>
      <c r="C3" s="9">
        <v>15</v>
      </c>
      <c r="D3" s="9">
        <v>4</v>
      </c>
      <c r="E3" s="9">
        <v>6</v>
      </c>
      <c r="F3" s="9">
        <v>6</v>
      </c>
      <c r="G3" s="9">
        <v>4</v>
      </c>
      <c r="H3" s="9">
        <v>1</v>
      </c>
      <c r="I3" s="3">
        <v>13</v>
      </c>
      <c r="J3" s="9">
        <v>6</v>
      </c>
      <c r="K3" s="3">
        <v>6</v>
      </c>
      <c r="L3" s="7">
        <f t="shared" ref="L3:L22" si="0">AVERAGE(C3:K3)</f>
        <v>6.7777777777777777</v>
      </c>
      <c r="N3" s="9" t="s">
        <v>196</v>
      </c>
      <c r="O3" s="9">
        <v>10</v>
      </c>
      <c r="P3" s="3" t="s">
        <v>197</v>
      </c>
      <c r="T3" s="3" t="s">
        <v>198</v>
      </c>
      <c r="U3" s="3">
        <v>5</v>
      </c>
      <c r="V3" s="2"/>
      <c r="W3" s="2" t="s">
        <v>195</v>
      </c>
    </row>
    <row r="4" spans="1:23" ht="14.25" customHeight="1" x14ac:dyDescent="0.3">
      <c r="A4" s="3">
        <v>0.98995442105744402</v>
      </c>
      <c r="B4" s="9" t="s">
        <v>199</v>
      </c>
      <c r="C4" s="9">
        <v>2</v>
      </c>
      <c r="D4" s="9">
        <v>1</v>
      </c>
      <c r="E4" s="9">
        <v>1</v>
      </c>
      <c r="F4" s="9">
        <v>1</v>
      </c>
      <c r="G4" s="9">
        <v>8</v>
      </c>
      <c r="H4" s="9">
        <v>1</v>
      </c>
      <c r="I4" s="3">
        <v>1</v>
      </c>
      <c r="J4" s="9">
        <v>2</v>
      </c>
      <c r="K4" s="3">
        <v>0</v>
      </c>
      <c r="L4" s="7">
        <f t="shared" si="0"/>
        <v>1.8888888888888888</v>
      </c>
      <c r="N4" s="9" t="s">
        <v>200</v>
      </c>
      <c r="O4" s="9">
        <v>5</v>
      </c>
      <c r="P4" s="3" t="s">
        <v>201</v>
      </c>
      <c r="T4" s="3" t="s">
        <v>202</v>
      </c>
      <c r="U4" s="3">
        <v>8</v>
      </c>
      <c r="V4" s="2"/>
      <c r="W4" s="2" t="s">
        <v>199</v>
      </c>
    </row>
    <row r="5" spans="1:23" ht="14.25" customHeight="1" x14ac:dyDescent="0.3">
      <c r="A5" s="3">
        <v>0.8031838310216366</v>
      </c>
      <c r="B5" s="9" t="s">
        <v>203</v>
      </c>
      <c r="C5" s="9">
        <v>8</v>
      </c>
      <c r="D5" s="9">
        <v>5</v>
      </c>
      <c r="E5" s="9">
        <v>2</v>
      </c>
      <c r="F5" s="9">
        <v>6</v>
      </c>
      <c r="G5" s="9">
        <v>7</v>
      </c>
      <c r="H5" s="9">
        <v>4</v>
      </c>
      <c r="I5" s="3">
        <v>3</v>
      </c>
      <c r="J5" s="9">
        <v>4</v>
      </c>
      <c r="K5" s="3">
        <v>4</v>
      </c>
      <c r="L5" s="7">
        <f t="shared" si="0"/>
        <v>4.7777777777777777</v>
      </c>
      <c r="N5" s="9" t="s">
        <v>193</v>
      </c>
      <c r="O5" s="9">
        <v>30</v>
      </c>
      <c r="P5" s="3" t="s">
        <v>204</v>
      </c>
      <c r="T5" s="3" t="s">
        <v>205</v>
      </c>
      <c r="U5" s="3">
        <v>0</v>
      </c>
      <c r="V5" s="2"/>
      <c r="W5" s="2" t="s">
        <v>203</v>
      </c>
    </row>
    <row r="6" spans="1:23" ht="14.25" customHeight="1" x14ac:dyDescent="0.3">
      <c r="A6" s="3">
        <v>0.7952330657044463</v>
      </c>
      <c r="B6" s="9" t="s">
        <v>206</v>
      </c>
      <c r="C6" s="9">
        <v>1</v>
      </c>
      <c r="D6" s="9">
        <v>9</v>
      </c>
      <c r="E6" s="9">
        <v>41</v>
      </c>
      <c r="F6" s="9">
        <v>30</v>
      </c>
      <c r="G6" s="9">
        <v>12</v>
      </c>
      <c r="H6" s="9">
        <v>3</v>
      </c>
      <c r="I6" s="3">
        <v>25</v>
      </c>
      <c r="J6" s="9">
        <v>12</v>
      </c>
      <c r="K6" s="3">
        <v>23</v>
      </c>
      <c r="L6" s="7">
        <f t="shared" si="0"/>
        <v>17.333333333333332</v>
      </c>
      <c r="N6" s="9" t="s">
        <v>207</v>
      </c>
      <c r="O6" s="9">
        <v>12</v>
      </c>
      <c r="P6" s="3" t="s">
        <v>208</v>
      </c>
      <c r="T6" s="3" t="s">
        <v>209</v>
      </c>
      <c r="U6" s="3">
        <v>1</v>
      </c>
      <c r="V6" s="2"/>
      <c r="W6" s="2" t="s">
        <v>206</v>
      </c>
    </row>
    <row r="7" spans="1:23" ht="14.25" customHeight="1" x14ac:dyDescent="0.3">
      <c r="A7" s="3">
        <v>0.65812761495518723</v>
      </c>
      <c r="B7" s="9" t="s">
        <v>202</v>
      </c>
      <c r="C7" s="9">
        <v>4</v>
      </c>
      <c r="D7" s="9">
        <v>1</v>
      </c>
      <c r="E7" s="9">
        <v>4</v>
      </c>
      <c r="F7" s="9">
        <v>1</v>
      </c>
      <c r="G7" s="9">
        <v>3</v>
      </c>
      <c r="H7" s="9">
        <v>0</v>
      </c>
      <c r="I7" s="3">
        <v>6</v>
      </c>
      <c r="J7" s="9">
        <v>5</v>
      </c>
      <c r="K7" s="3">
        <v>8</v>
      </c>
      <c r="L7" s="7">
        <f t="shared" si="0"/>
        <v>3.5555555555555554</v>
      </c>
      <c r="N7" s="9" t="s">
        <v>197</v>
      </c>
      <c r="O7" s="9">
        <v>15</v>
      </c>
      <c r="P7" s="3" t="s">
        <v>210</v>
      </c>
      <c r="T7" s="3" t="s">
        <v>211</v>
      </c>
      <c r="U7" s="3">
        <v>15</v>
      </c>
      <c r="V7" s="2"/>
      <c r="W7" s="2" t="s">
        <v>202</v>
      </c>
    </row>
    <row r="8" spans="1:23" ht="14.25" customHeight="1" x14ac:dyDescent="0.3">
      <c r="A8" s="3">
        <v>0.65757862978307635</v>
      </c>
      <c r="B8" s="9" t="s">
        <v>205</v>
      </c>
      <c r="C8" s="9">
        <v>0</v>
      </c>
      <c r="D8" s="9">
        <v>1</v>
      </c>
      <c r="E8" s="9">
        <v>0</v>
      </c>
      <c r="F8" s="9">
        <v>4</v>
      </c>
      <c r="G8" s="9">
        <v>0</v>
      </c>
      <c r="H8" s="9">
        <v>1</v>
      </c>
      <c r="I8" s="3">
        <v>5</v>
      </c>
      <c r="J8" s="9">
        <v>1</v>
      </c>
      <c r="K8" s="3">
        <v>5</v>
      </c>
      <c r="L8" s="7">
        <f t="shared" si="0"/>
        <v>1.8888888888888888</v>
      </c>
      <c r="N8" s="9" t="s">
        <v>212</v>
      </c>
      <c r="O8" s="9">
        <v>15</v>
      </c>
      <c r="P8" s="3" t="s">
        <v>213</v>
      </c>
      <c r="T8" s="3" t="s">
        <v>214</v>
      </c>
      <c r="U8" s="3">
        <v>14</v>
      </c>
      <c r="V8" s="2"/>
      <c r="W8" s="2" t="s">
        <v>205</v>
      </c>
    </row>
    <row r="9" spans="1:23" ht="14.25" customHeight="1" x14ac:dyDescent="0.3">
      <c r="A9" s="3">
        <v>0.44467337167202509</v>
      </c>
      <c r="B9" s="9" t="s">
        <v>215</v>
      </c>
      <c r="C9" s="9">
        <v>15</v>
      </c>
      <c r="D9" s="9">
        <v>11</v>
      </c>
      <c r="E9" s="9">
        <v>4</v>
      </c>
      <c r="F9" s="9">
        <v>19</v>
      </c>
      <c r="G9" s="9">
        <v>7</v>
      </c>
      <c r="H9" s="9">
        <v>2</v>
      </c>
      <c r="I9" s="3">
        <v>13</v>
      </c>
      <c r="J9" s="9">
        <v>2</v>
      </c>
      <c r="K9" s="3">
        <v>11</v>
      </c>
      <c r="L9" s="7">
        <f t="shared" si="0"/>
        <v>9.3333333333333339</v>
      </c>
      <c r="N9" s="9" t="s">
        <v>216</v>
      </c>
      <c r="O9" s="9">
        <v>10</v>
      </c>
      <c r="P9" s="3" t="s">
        <v>196</v>
      </c>
      <c r="T9" s="3" t="s">
        <v>217</v>
      </c>
      <c r="U9" s="3">
        <v>10</v>
      </c>
      <c r="V9" s="2"/>
      <c r="W9" s="2" t="s">
        <v>215</v>
      </c>
    </row>
    <row r="10" spans="1:23" ht="14.25" customHeight="1" x14ac:dyDescent="0.3">
      <c r="A10" s="3">
        <v>0.28220965544261112</v>
      </c>
      <c r="B10" s="9" t="s">
        <v>218</v>
      </c>
      <c r="C10" s="9">
        <v>11</v>
      </c>
      <c r="D10" s="9">
        <v>15</v>
      </c>
      <c r="E10" s="9">
        <v>14</v>
      </c>
      <c r="F10" s="9">
        <v>11</v>
      </c>
      <c r="G10" s="9">
        <v>13</v>
      </c>
      <c r="H10" s="9">
        <v>5</v>
      </c>
      <c r="I10" s="3">
        <v>11</v>
      </c>
      <c r="J10" s="9">
        <v>10</v>
      </c>
      <c r="K10" s="3">
        <v>14</v>
      </c>
      <c r="L10" s="7">
        <f t="shared" si="0"/>
        <v>11.555555555555555</v>
      </c>
      <c r="N10" s="9" t="s">
        <v>201</v>
      </c>
      <c r="O10" s="9">
        <v>11</v>
      </c>
      <c r="P10" s="3" t="s">
        <v>219</v>
      </c>
      <c r="T10" s="3" t="s">
        <v>206</v>
      </c>
      <c r="U10" s="3">
        <v>8</v>
      </c>
      <c r="V10" s="2"/>
      <c r="W10" s="2" t="s">
        <v>218</v>
      </c>
    </row>
    <row r="11" spans="1:23" ht="14.25" customHeight="1" x14ac:dyDescent="0.3">
      <c r="A11" s="3">
        <v>0.26647717855960468</v>
      </c>
      <c r="B11" s="9" t="s">
        <v>198</v>
      </c>
      <c r="C11" s="9">
        <v>6</v>
      </c>
      <c r="D11" s="9">
        <v>2</v>
      </c>
      <c r="E11" s="9">
        <v>7</v>
      </c>
      <c r="F11" s="9">
        <v>0</v>
      </c>
      <c r="G11" s="9">
        <v>2</v>
      </c>
      <c r="H11" s="9">
        <v>2</v>
      </c>
      <c r="I11" s="3">
        <v>0</v>
      </c>
      <c r="J11" s="9">
        <v>2</v>
      </c>
      <c r="K11" s="3">
        <v>5</v>
      </c>
      <c r="L11" s="7">
        <f t="shared" si="0"/>
        <v>2.8888888888888888</v>
      </c>
      <c r="T11" s="3" t="s">
        <v>195</v>
      </c>
      <c r="U11" s="3">
        <v>1</v>
      </c>
      <c r="V11" s="2"/>
      <c r="W11" s="2" t="s">
        <v>198</v>
      </c>
    </row>
    <row r="12" spans="1:23" ht="14.25" customHeight="1" x14ac:dyDescent="0.3">
      <c r="A12" s="3">
        <v>2.6646209564781631E-3</v>
      </c>
      <c r="B12" s="9" t="s">
        <v>209</v>
      </c>
      <c r="C12" s="9">
        <v>5</v>
      </c>
      <c r="D12" s="9">
        <v>6</v>
      </c>
      <c r="E12" s="9">
        <v>3</v>
      </c>
      <c r="F12" s="9">
        <v>3</v>
      </c>
      <c r="G12" s="9">
        <v>1</v>
      </c>
      <c r="H12" s="9">
        <v>3</v>
      </c>
      <c r="I12" s="3">
        <v>2</v>
      </c>
      <c r="J12" s="9">
        <v>2</v>
      </c>
      <c r="K12" s="3">
        <v>3</v>
      </c>
      <c r="L12" s="7">
        <f t="shared" si="0"/>
        <v>3.1111111111111112</v>
      </c>
      <c r="N12" s="9" t="s">
        <v>219</v>
      </c>
      <c r="O12" s="9">
        <v>2</v>
      </c>
      <c r="P12" s="3" t="s">
        <v>220</v>
      </c>
      <c r="T12" s="3" t="s">
        <v>218</v>
      </c>
      <c r="U12" s="3">
        <v>2</v>
      </c>
      <c r="V12" s="2"/>
      <c r="W12" s="2" t="s">
        <v>209</v>
      </c>
    </row>
    <row r="13" spans="1:23" ht="14.25" customHeight="1" x14ac:dyDescent="0.3">
      <c r="A13" s="3">
        <v>-0.3761105231824623</v>
      </c>
      <c r="B13" s="9" t="s">
        <v>214</v>
      </c>
      <c r="C13" s="9">
        <v>7</v>
      </c>
      <c r="D13" s="9">
        <v>4</v>
      </c>
      <c r="E13" s="9">
        <v>5</v>
      </c>
      <c r="F13" s="9">
        <v>14</v>
      </c>
      <c r="G13" s="9">
        <v>10</v>
      </c>
      <c r="H13" s="9">
        <v>15</v>
      </c>
      <c r="I13" s="3">
        <v>15</v>
      </c>
      <c r="J13" s="9">
        <v>3</v>
      </c>
      <c r="K13" s="3">
        <v>10</v>
      </c>
      <c r="L13" s="7">
        <f t="shared" si="0"/>
        <v>9.2222222222222214</v>
      </c>
      <c r="N13" s="9" t="s">
        <v>210</v>
      </c>
      <c r="O13" s="9">
        <v>5</v>
      </c>
      <c r="P13" s="3" t="s">
        <v>221</v>
      </c>
      <c r="T13" s="3" t="s">
        <v>215</v>
      </c>
      <c r="U13" s="3">
        <v>8</v>
      </c>
      <c r="V13" s="2"/>
      <c r="W13" s="2" t="s">
        <v>214</v>
      </c>
    </row>
    <row r="14" spans="1:23" ht="14.25" customHeight="1" x14ac:dyDescent="0.3">
      <c r="A14" s="3">
        <v>-0.61856740376708086</v>
      </c>
      <c r="B14" s="9" t="s">
        <v>211</v>
      </c>
      <c r="C14" s="9">
        <v>7</v>
      </c>
      <c r="D14" s="9">
        <v>11</v>
      </c>
      <c r="E14" s="9">
        <v>9</v>
      </c>
      <c r="F14" s="9">
        <v>13</v>
      </c>
      <c r="G14" s="9">
        <v>13</v>
      </c>
      <c r="H14" s="9">
        <v>12</v>
      </c>
      <c r="I14" s="3">
        <v>7</v>
      </c>
      <c r="J14" s="9">
        <v>6</v>
      </c>
      <c r="K14" s="3">
        <v>3</v>
      </c>
      <c r="L14" s="7">
        <f t="shared" si="0"/>
        <v>9</v>
      </c>
      <c r="N14" s="9" t="s">
        <v>222</v>
      </c>
      <c r="O14" s="9">
        <v>26</v>
      </c>
      <c r="P14" s="3" t="s">
        <v>223</v>
      </c>
      <c r="T14" s="3" t="s">
        <v>224</v>
      </c>
      <c r="U14" s="3">
        <v>11</v>
      </c>
      <c r="V14" s="2"/>
      <c r="W14" s="2" t="s">
        <v>211</v>
      </c>
    </row>
    <row r="15" spans="1:23" ht="14.25" customHeight="1" x14ac:dyDescent="0.3">
      <c r="A15" s="3">
        <v>-0.76845746918237878</v>
      </c>
      <c r="B15" s="9" t="s">
        <v>225</v>
      </c>
      <c r="C15" s="9">
        <v>3</v>
      </c>
      <c r="D15" s="9">
        <v>7</v>
      </c>
      <c r="E15" s="9">
        <v>10</v>
      </c>
      <c r="F15" s="9">
        <v>8</v>
      </c>
      <c r="G15" s="9">
        <v>9</v>
      </c>
      <c r="H15" s="9">
        <v>10</v>
      </c>
      <c r="I15" s="3">
        <v>10</v>
      </c>
      <c r="J15" s="9">
        <v>3</v>
      </c>
      <c r="K15" s="3">
        <v>6</v>
      </c>
      <c r="L15" s="7">
        <f t="shared" si="0"/>
        <v>7.333333333333333</v>
      </c>
      <c r="N15" s="9" t="s">
        <v>226</v>
      </c>
      <c r="O15" s="9">
        <v>5</v>
      </c>
      <c r="P15" s="3" t="s">
        <v>216</v>
      </c>
      <c r="T15" s="3" t="s">
        <v>227</v>
      </c>
      <c r="U15" s="3">
        <v>10</v>
      </c>
      <c r="V15" s="2"/>
      <c r="W15" s="2" t="s">
        <v>225</v>
      </c>
    </row>
    <row r="16" spans="1:23" ht="14.25" customHeight="1" x14ac:dyDescent="0.3">
      <c r="A16" s="3">
        <v>-0.82357176289964173</v>
      </c>
      <c r="B16" s="9" t="s">
        <v>228</v>
      </c>
      <c r="C16" s="9">
        <v>22</v>
      </c>
      <c r="D16" s="9">
        <v>18</v>
      </c>
      <c r="E16" s="9">
        <v>20</v>
      </c>
      <c r="F16" s="9">
        <v>17</v>
      </c>
      <c r="G16" s="9">
        <v>23</v>
      </c>
      <c r="H16" s="9">
        <v>21</v>
      </c>
      <c r="I16" s="3">
        <v>18</v>
      </c>
      <c r="J16" s="9">
        <v>16</v>
      </c>
      <c r="K16" s="3">
        <v>17</v>
      </c>
      <c r="L16" s="7">
        <f t="shared" si="0"/>
        <v>19.111111111111111</v>
      </c>
      <c r="N16" s="9" t="s">
        <v>221</v>
      </c>
      <c r="O16" s="9">
        <v>16</v>
      </c>
      <c r="P16" s="3" t="s">
        <v>226</v>
      </c>
      <c r="T16" s="3" t="s">
        <v>225</v>
      </c>
      <c r="U16" s="3">
        <v>6</v>
      </c>
      <c r="V16" s="2"/>
      <c r="W16" s="2" t="s">
        <v>228</v>
      </c>
    </row>
    <row r="17" spans="1:23" ht="14.25" customHeight="1" x14ac:dyDescent="0.3">
      <c r="A17" s="3">
        <v>-0.83166677317607873</v>
      </c>
      <c r="B17" s="9" t="s">
        <v>217</v>
      </c>
      <c r="C17" s="9">
        <v>5</v>
      </c>
      <c r="D17" s="9">
        <v>11</v>
      </c>
      <c r="E17" s="9">
        <v>10</v>
      </c>
      <c r="F17" s="9">
        <v>8</v>
      </c>
      <c r="G17" s="9">
        <v>7</v>
      </c>
      <c r="H17" s="9">
        <v>9</v>
      </c>
      <c r="I17" s="3">
        <v>2</v>
      </c>
      <c r="J17" s="9">
        <v>10</v>
      </c>
      <c r="K17" s="3">
        <v>8</v>
      </c>
      <c r="L17" s="7">
        <f t="shared" si="0"/>
        <v>7.7777777777777777</v>
      </c>
      <c r="N17" s="9" t="s">
        <v>223</v>
      </c>
      <c r="O17" s="9">
        <v>0</v>
      </c>
      <c r="P17" s="3" t="s">
        <v>212</v>
      </c>
      <c r="T17" s="3" t="s">
        <v>221</v>
      </c>
      <c r="U17" s="3">
        <v>17</v>
      </c>
      <c r="V17" s="2"/>
      <c r="W17" s="2" t="s">
        <v>217</v>
      </c>
    </row>
    <row r="18" spans="1:23" ht="14.25" customHeight="1" x14ac:dyDescent="0.3">
      <c r="A18" s="3">
        <v>-0.99035075718315457</v>
      </c>
      <c r="B18" s="9" t="s">
        <v>227</v>
      </c>
      <c r="C18" s="9">
        <v>3</v>
      </c>
      <c r="D18" s="9">
        <v>14</v>
      </c>
      <c r="E18" s="9">
        <v>14</v>
      </c>
      <c r="F18" s="9">
        <v>16</v>
      </c>
      <c r="G18" s="9">
        <v>11</v>
      </c>
      <c r="H18" s="9">
        <v>17</v>
      </c>
      <c r="I18" s="3">
        <v>5</v>
      </c>
      <c r="J18" s="9">
        <v>10</v>
      </c>
      <c r="K18" s="3">
        <v>9</v>
      </c>
      <c r="L18" s="7">
        <f t="shared" si="0"/>
        <v>11</v>
      </c>
      <c r="N18" s="9" t="s">
        <v>213</v>
      </c>
      <c r="O18" s="9">
        <v>1</v>
      </c>
      <c r="P18" s="3" t="s">
        <v>222</v>
      </c>
      <c r="T18" s="3" t="s">
        <v>222</v>
      </c>
      <c r="U18" s="3">
        <v>17</v>
      </c>
      <c r="V18" s="2"/>
      <c r="W18" s="2" t="s">
        <v>227</v>
      </c>
    </row>
    <row r="19" spans="1:23" ht="14.25" customHeight="1" x14ac:dyDescent="0.3">
      <c r="A19" s="3">
        <v>-1.072806810743151</v>
      </c>
      <c r="B19" s="9" t="s">
        <v>221</v>
      </c>
      <c r="C19" s="9">
        <v>14</v>
      </c>
      <c r="D19" s="9">
        <v>11</v>
      </c>
      <c r="E19" s="9">
        <v>13</v>
      </c>
      <c r="F19" s="9">
        <v>15</v>
      </c>
      <c r="G19" s="9">
        <v>11</v>
      </c>
      <c r="H19" s="9">
        <v>18</v>
      </c>
      <c r="I19" s="3">
        <v>11</v>
      </c>
      <c r="J19" s="9">
        <v>13</v>
      </c>
      <c r="K19" s="3">
        <v>16</v>
      </c>
      <c r="L19" s="7">
        <f t="shared" si="0"/>
        <v>13.555555555555555</v>
      </c>
      <c r="N19" s="9" t="s">
        <v>204</v>
      </c>
      <c r="O19" s="9">
        <v>11</v>
      </c>
      <c r="P19" s="3" t="s">
        <v>229</v>
      </c>
      <c r="T19" s="3" t="s">
        <v>207</v>
      </c>
      <c r="U19" s="3">
        <v>19</v>
      </c>
      <c r="V19" s="2"/>
      <c r="W19" s="2" t="s">
        <v>221</v>
      </c>
    </row>
    <row r="20" spans="1:23" ht="14.25" customHeight="1" x14ac:dyDescent="0.3">
      <c r="A20" s="3">
        <v>-1.1339562965442611</v>
      </c>
      <c r="B20" s="9" t="s">
        <v>224</v>
      </c>
      <c r="C20" s="9">
        <v>13</v>
      </c>
      <c r="D20" s="9">
        <v>15</v>
      </c>
      <c r="E20" s="9">
        <v>15</v>
      </c>
      <c r="F20" s="9">
        <v>4</v>
      </c>
      <c r="G20" s="9">
        <v>7</v>
      </c>
      <c r="H20" s="9">
        <v>15</v>
      </c>
      <c r="I20" s="3">
        <v>12</v>
      </c>
      <c r="J20" s="9">
        <v>13</v>
      </c>
      <c r="K20" s="3">
        <v>12</v>
      </c>
      <c r="L20" s="7">
        <f t="shared" si="0"/>
        <v>11.777777777777779</v>
      </c>
      <c r="N20" s="9" t="s">
        <v>208</v>
      </c>
      <c r="O20" s="9">
        <v>1</v>
      </c>
      <c r="P20" s="3" t="s">
        <v>207</v>
      </c>
      <c r="T20" s="3" t="s">
        <v>228</v>
      </c>
      <c r="U20" s="3">
        <v>18</v>
      </c>
      <c r="V20" s="2"/>
      <c r="W20" s="2" t="s">
        <v>224</v>
      </c>
    </row>
    <row r="21" spans="1:23" ht="14.25" customHeight="1" x14ac:dyDescent="0.3">
      <c r="A21" s="3">
        <v>-1.196962071035268</v>
      </c>
      <c r="B21" s="9" t="s">
        <v>207</v>
      </c>
      <c r="C21" s="9">
        <v>6</v>
      </c>
      <c r="D21" s="9">
        <v>15</v>
      </c>
      <c r="E21" s="9">
        <v>16</v>
      </c>
      <c r="F21" s="9">
        <v>15</v>
      </c>
      <c r="G21" s="9">
        <v>16</v>
      </c>
      <c r="H21" s="9">
        <v>12</v>
      </c>
      <c r="I21" s="3">
        <v>8</v>
      </c>
      <c r="J21" s="9">
        <v>18</v>
      </c>
      <c r="K21" s="3">
        <v>12</v>
      </c>
      <c r="L21" s="7">
        <f t="shared" si="0"/>
        <v>13.111111111111111</v>
      </c>
      <c r="N21" s="9" t="s">
        <v>229</v>
      </c>
      <c r="O21" s="9">
        <v>16</v>
      </c>
      <c r="P21" s="3" t="s">
        <v>192</v>
      </c>
      <c r="T21" s="3" t="s">
        <v>199</v>
      </c>
      <c r="U21" s="3">
        <v>2</v>
      </c>
      <c r="V21" s="2"/>
      <c r="W21" s="2" t="s">
        <v>207</v>
      </c>
    </row>
    <row r="22" spans="1:23" ht="14.25" customHeight="1" x14ac:dyDescent="0.3">
      <c r="A22" s="3">
        <v>-1.679865001322572</v>
      </c>
      <c r="B22" s="9" t="s">
        <v>222</v>
      </c>
      <c r="C22" s="9">
        <v>4</v>
      </c>
      <c r="D22" s="9">
        <v>25</v>
      </c>
      <c r="E22" s="9">
        <v>27</v>
      </c>
      <c r="F22" s="9">
        <v>27</v>
      </c>
      <c r="G22" s="9">
        <v>23</v>
      </c>
      <c r="H22" s="9">
        <v>27</v>
      </c>
      <c r="I22" s="3">
        <v>25</v>
      </c>
      <c r="J22" s="9">
        <v>24</v>
      </c>
      <c r="K22" s="3">
        <v>26</v>
      </c>
      <c r="L22" s="7">
        <f t="shared" si="0"/>
        <v>23.111111111111111</v>
      </c>
      <c r="N22" s="9" t="s">
        <v>220</v>
      </c>
      <c r="O22" s="9">
        <v>12</v>
      </c>
      <c r="P22" s="3" t="s">
        <v>200</v>
      </c>
      <c r="T22" s="3" t="s">
        <v>203</v>
      </c>
      <c r="U22" s="3">
        <v>3</v>
      </c>
      <c r="W22" s="2" t="s">
        <v>222</v>
      </c>
    </row>
    <row r="23" spans="1:23" ht="14.25" customHeight="1" x14ac:dyDescent="0.3">
      <c r="L23" s="5"/>
    </row>
    <row r="24" spans="1:23" ht="14.25" customHeight="1" x14ac:dyDescent="0.3">
      <c r="B24" s="2" t="s">
        <v>178</v>
      </c>
      <c r="C24" s="2" t="s">
        <v>230</v>
      </c>
      <c r="L24" s="5"/>
      <c r="O24" s="2"/>
    </row>
    <row r="25" spans="1:23" ht="14.25" customHeight="1" x14ac:dyDescent="0.3">
      <c r="B25" s="2" t="s">
        <v>180</v>
      </c>
      <c r="C25" s="6">
        <v>45938</v>
      </c>
      <c r="D25" s="6">
        <v>45945</v>
      </c>
      <c r="E25" s="6">
        <v>45952</v>
      </c>
      <c r="F25" s="6">
        <v>45959</v>
      </c>
      <c r="G25" s="6">
        <v>45966</v>
      </c>
      <c r="H25" s="6">
        <v>45973</v>
      </c>
      <c r="I25" s="6">
        <v>45980</v>
      </c>
      <c r="J25" s="6">
        <v>45987</v>
      </c>
      <c r="K25" s="6">
        <v>45994</v>
      </c>
      <c r="L25" s="7" t="s">
        <v>231</v>
      </c>
      <c r="P25" s="5"/>
    </row>
    <row r="26" spans="1:23" ht="14.25" customHeight="1" x14ac:dyDescent="0.3">
      <c r="A26" s="3">
        <v>0.9957863323050703</v>
      </c>
      <c r="B26" s="9" t="s">
        <v>195</v>
      </c>
      <c r="C26" s="9">
        <v>3</v>
      </c>
      <c r="D26" s="9">
        <v>11</v>
      </c>
      <c r="E26" s="9">
        <v>7</v>
      </c>
      <c r="F26" s="9">
        <v>4</v>
      </c>
      <c r="G26" s="9">
        <v>6</v>
      </c>
      <c r="H26" s="9">
        <v>4</v>
      </c>
      <c r="I26" s="3">
        <v>9</v>
      </c>
      <c r="J26" s="3">
        <v>9</v>
      </c>
      <c r="K26" s="3">
        <v>3</v>
      </c>
      <c r="L26" s="7">
        <f t="shared" ref="L26:L45" si="1">AVERAGE(C26:K26)</f>
        <v>6.2222222222222223</v>
      </c>
      <c r="P26" s="5"/>
    </row>
    <row r="27" spans="1:23" ht="14.25" customHeight="1" x14ac:dyDescent="0.3">
      <c r="A27" s="3">
        <v>0.98995442105744402</v>
      </c>
      <c r="B27" s="9" t="s">
        <v>199</v>
      </c>
      <c r="C27" s="9">
        <v>4</v>
      </c>
      <c r="D27" s="9">
        <v>1</v>
      </c>
      <c r="E27" s="9">
        <v>1</v>
      </c>
      <c r="F27" s="9">
        <v>0</v>
      </c>
      <c r="G27" s="9">
        <v>1</v>
      </c>
      <c r="H27" s="9">
        <v>1</v>
      </c>
      <c r="I27" s="3">
        <v>2</v>
      </c>
      <c r="J27" s="3">
        <v>3</v>
      </c>
      <c r="K27" s="3">
        <v>1</v>
      </c>
      <c r="L27" s="7">
        <f t="shared" si="1"/>
        <v>1.5555555555555556</v>
      </c>
      <c r="P27" s="5"/>
    </row>
    <row r="28" spans="1:23" ht="14.25" customHeight="1" x14ac:dyDescent="0.3">
      <c r="A28" s="3">
        <v>0.8031838310216366</v>
      </c>
      <c r="B28" s="9" t="s">
        <v>203</v>
      </c>
      <c r="C28" s="9">
        <v>7</v>
      </c>
      <c r="D28" s="9">
        <v>2</v>
      </c>
      <c r="E28" s="9">
        <v>3</v>
      </c>
      <c r="F28" s="9">
        <v>0</v>
      </c>
      <c r="G28" s="9">
        <v>8</v>
      </c>
      <c r="H28" s="9">
        <v>8</v>
      </c>
      <c r="I28" s="3">
        <v>3</v>
      </c>
      <c r="J28" s="3">
        <v>7</v>
      </c>
      <c r="K28" s="3">
        <v>1</v>
      </c>
      <c r="L28" s="7">
        <f t="shared" si="1"/>
        <v>4.333333333333333</v>
      </c>
      <c r="P28" s="5"/>
    </row>
    <row r="29" spans="1:23" ht="14.25" customHeight="1" x14ac:dyDescent="0.3">
      <c r="A29" s="3">
        <v>0.7952330657044463</v>
      </c>
      <c r="B29" s="9" t="s">
        <v>206</v>
      </c>
      <c r="C29" s="9">
        <v>19</v>
      </c>
      <c r="D29" s="9">
        <v>37</v>
      </c>
      <c r="E29" s="9">
        <v>6</v>
      </c>
      <c r="F29" s="9">
        <v>13</v>
      </c>
      <c r="G29" s="9">
        <v>8</v>
      </c>
      <c r="H29" s="9">
        <v>17</v>
      </c>
      <c r="I29" s="3">
        <v>18</v>
      </c>
      <c r="J29" s="3">
        <v>20</v>
      </c>
      <c r="K29" s="3">
        <v>26</v>
      </c>
      <c r="L29" s="7">
        <f t="shared" si="1"/>
        <v>18.222222222222221</v>
      </c>
      <c r="P29" s="5"/>
    </row>
    <row r="30" spans="1:23" ht="14.25" customHeight="1" x14ac:dyDescent="0.3">
      <c r="A30" s="3">
        <v>0.65812761495518723</v>
      </c>
      <c r="B30" s="9" t="s">
        <v>202</v>
      </c>
      <c r="C30" s="9">
        <v>4</v>
      </c>
      <c r="D30" s="9">
        <v>1</v>
      </c>
      <c r="E30" s="9">
        <v>9</v>
      </c>
      <c r="F30" s="9">
        <v>6</v>
      </c>
      <c r="G30" s="9">
        <v>5</v>
      </c>
      <c r="H30" s="9">
        <v>1</v>
      </c>
      <c r="I30" s="3">
        <v>7</v>
      </c>
      <c r="J30" s="3">
        <v>0</v>
      </c>
      <c r="K30" s="3">
        <v>4</v>
      </c>
      <c r="L30" s="7">
        <f t="shared" si="1"/>
        <v>4.1111111111111107</v>
      </c>
      <c r="P30" s="5"/>
    </row>
    <row r="31" spans="1:23" ht="14.25" customHeight="1" x14ac:dyDescent="0.3">
      <c r="A31" s="3">
        <v>0.65757862978307635</v>
      </c>
      <c r="B31" s="9" t="s">
        <v>205</v>
      </c>
      <c r="C31" s="9">
        <v>2</v>
      </c>
      <c r="D31" s="9">
        <v>1</v>
      </c>
      <c r="E31" s="9">
        <v>0</v>
      </c>
      <c r="F31" s="9">
        <v>1</v>
      </c>
      <c r="G31" s="9">
        <v>0</v>
      </c>
      <c r="H31" s="9">
        <v>2</v>
      </c>
      <c r="I31" s="3">
        <v>4</v>
      </c>
      <c r="J31" s="3">
        <v>5</v>
      </c>
      <c r="K31" s="3">
        <v>2</v>
      </c>
      <c r="L31" s="7">
        <f t="shared" si="1"/>
        <v>1.8888888888888888</v>
      </c>
      <c r="P31" s="5"/>
    </row>
    <row r="32" spans="1:23" ht="14.25" customHeight="1" x14ac:dyDescent="0.3">
      <c r="A32" s="3">
        <v>0.44467337167202509</v>
      </c>
      <c r="B32" s="9" t="s">
        <v>215</v>
      </c>
      <c r="C32" s="9">
        <v>15</v>
      </c>
      <c r="D32" s="9">
        <v>11</v>
      </c>
      <c r="E32" s="9">
        <v>3</v>
      </c>
      <c r="F32" s="9">
        <v>8</v>
      </c>
      <c r="G32" s="9">
        <v>6</v>
      </c>
      <c r="H32" s="9">
        <v>11</v>
      </c>
      <c r="I32" s="3">
        <v>6</v>
      </c>
      <c r="J32" s="3">
        <v>11</v>
      </c>
      <c r="K32" s="3">
        <v>9</v>
      </c>
      <c r="L32" s="7">
        <f t="shared" si="1"/>
        <v>8.8888888888888893</v>
      </c>
      <c r="P32" s="5"/>
    </row>
    <row r="33" spans="1:16" ht="14.25" customHeight="1" x14ac:dyDescent="0.3">
      <c r="A33" s="3">
        <v>0.28220965544261112</v>
      </c>
      <c r="B33" s="9" t="s">
        <v>218</v>
      </c>
      <c r="C33" s="9">
        <v>13</v>
      </c>
      <c r="D33" s="9">
        <v>16</v>
      </c>
      <c r="E33" s="9">
        <v>6</v>
      </c>
      <c r="F33" s="9">
        <v>6</v>
      </c>
      <c r="G33" s="9">
        <v>1</v>
      </c>
      <c r="H33" s="9">
        <v>12</v>
      </c>
      <c r="I33" s="3">
        <v>13</v>
      </c>
      <c r="J33" s="3">
        <v>9</v>
      </c>
      <c r="K33" s="3">
        <v>7</v>
      </c>
      <c r="L33" s="7">
        <f t="shared" si="1"/>
        <v>9.2222222222222214</v>
      </c>
      <c r="P33" s="5"/>
    </row>
    <row r="34" spans="1:16" ht="14.25" customHeight="1" x14ac:dyDescent="0.3">
      <c r="A34" s="3">
        <v>0.26647717855960468</v>
      </c>
      <c r="B34" s="9" t="s">
        <v>198</v>
      </c>
      <c r="C34" s="9">
        <v>3</v>
      </c>
      <c r="D34" s="9">
        <v>4</v>
      </c>
      <c r="E34" s="9">
        <v>5</v>
      </c>
      <c r="F34" s="9">
        <v>4</v>
      </c>
      <c r="G34" s="9">
        <v>1</v>
      </c>
      <c r="H34" s="9">
        <v>0</v>
      </c>
      <c r="I34" s="3">
        <v>4</v>
      </c>
      <c r="J34" s="3">
        <v>9</v>
      </c>
      <c r="K34" s="3">
        <v>5</v>
      </c>
      <c r="L34" s="7">
        <f t="shared" si="1"/>
        <v>3.8888888888888888</v>
      </c>
      <c r="P34" s="5"/>
    </row>
    <row r="35" spans="1:16" ht="14.25" customHeight="1" x14ac:dyDescent="0.3">
      <c r="A35" s="3">
        <v>2.6646209564781631E-3</v>
      </c>
      <c r="B35" s="9" t="s">
        <v>209</v>
      </c>
      <c r="C35" s="9">
        <v>3</v>
      </c>
      <c r="D35" s="9">
        <v>5</v>
      </c>
      <c r="E35" s="9">
        <v>3</v>
      </c>
      <c r="F35" s="9">
        <v>7</v>
      </c>
      <c r="G35" s="9">
        <v>1</v>
      </c>
      <c r="H35" s="9">
        <v>5</v>
      </c>
      <c r="I35" s="3">
        <v>1</v>
      </c>
      <c r="J35" s="3">
        <v>5</v>
      </c>
      <c r="K35" s="3">
        <v>3</v>
      </c>
      <c r="L35" s="7">
        <f t="shared" si="1"/>
        <v>3.6666666666666665</v>
      </c>
      <c r="P35" s="5"/>
    </row>
    <row r="36" spans="1:16" ht="14.25" customHeight="1" x14ac:dyDescent="0.3">
      <c r="A36" s="3">
        <v>-0.3761105231824623</v>
      </c>
      <c r="B36" s="9" t="s">
        <v>214</v>
      </c>
      <c r="C36" s="9">
        <v>8</v>
      </c>
      <c r="D36" s="9">
        <v>7</v>
      </c>
      <c r="E36" s="9">
        <v>9</v>
      </c>
      <c r="F36" s="9">
        <v>14</v>
      </c>
      <c r="G36" s="9">
        <v>11</v>
      </c>
      <c r="H36" s="9">
        <v>5</v>
      </c>
      <c r="I36" s="3">
        <v>6</v>
      </c>
      <c r="J36" s="3">
        <v>10</v>
      </c>
      <c r="K36" s="3">
        <v>9</v>
      </c>
      <c r="L36" s="7">
        <f t="shared" si="1"/>
        <v>8.7777777777777786</v>
      </c>
      <c r="P36" s="5"/>
    </row>
    <row r="37" spans="1:16" ht="14.25" customHeight="1" x14ac:dyDescent="0.3">
      <c r="A37" s="3">
        <v>-0.61856740376708086</v>
      </c>
      <c r="B37" s="9" t="s">
        <v>211</v>
      </c>
      <c r="C37" s="9">
        <v>6</v>
      </c>
      <c r="D37" s="9">
        <v>14</v>
      </c>
      <c r="E37" s="9">
        <v>9</v>
      </c>
      <c r="F37" s="9">
        <v>4</v>
      </c>
      <c r="G37" s="9">
        <v>12</v>
      </c>
      <c r="H37" s="9">
        <v>8</v>
      </c>
      <c r="I37" s="3">
        <v>14</v>
      </c>
      <c r="J37" s="3">
        <v>10</v>
      </c>
      <c r="K37" s="3">
        <v>13</v>
      </c>
      <c r="L37" s="7">
        <f t="shared" si="1"/>
        <v>10</v>
      </c>
      <c r="P37" s="5"/>
    </row>
    <row r="38" spans="1:16" ht="14.25" customHeight="1" x14ac:dyDescent="0.3">
      <c r="A38" s="3">
        <v>-0.76845746918237878</v>
      </c>
      <c r="B38" s="9" t="s">
        <v>225</v>
      </c>
      <c r="C38" s="9">
        <v>7</v>
      </c>
      <c r="D38" s="9">
        <v>6</v>
      </c>
      <c r="E38" s="9">
        <v>4</v>
      </c>
      <c r="F38" s="9">
        <v>9</v>
      </c>
      <c r="G38" s="9">
        <v>11</v>
      </c>
      <c r="H38" s="9">
        <v>8</v>
      </c>
      <c r="I38" s="3">
        <v>10</v>
      </c>
      <c r="J38" s="3">
        <v>7</v>
      </c>
      <c r="K38" s="3">
        <v>9</v>
      </c>
      <c r="L38" s="7">
        <f t="shared" si="1"/>
        <v>7.8888888888888893</v>
      </c>
      <c r="P38" s="5"/>
    </row>
    <row r="39" spans="1:16" ht="14.25" customHeight="1" x14ac:dyDescent="0.3">
      <c r="A39" s="3">
        <v>-0.82357176289964173</v>
      </c>
      <c r="B39" s="9" t="s">
        <v>228</v>
      </c>
      <c r="C39" s="9">
        <v>19</v>
      </c>
      <c r="D39" s="9">
        <v>22</v>
      </c>
      <c r="E39" s="9">
        <v>21</v>
      </c>
      <c r="F39" s="9">
        <v>19</v>
      </c>
      <c r="G39" s="9">
        <v>22</v>
      </c>
      <c r="H39" s="9">
        <v>22</v>
      </c>
      <c r="I39" s="3">
        <v>20</v>
      </c>
      <c r="J39" s="3">
        <v>9</v>
      </c>
      <c r="K39" s="3">
        <v>17</v>
      </c>
      <c r="L39" s="7">
        <f t="shared" si="1"/>
        <v>19</v>
      </c>
      <c r="P39" s="5"/>
    </row>
    <row r="40" spans="1:16" ht="14.25" customHeight="1" x14ac:dyDescent="0.3">
      <c r="A40" s="3">
        <v>-0.83166677317607873</v>
      </c>
      <c r="B40" s="9" t="s">
        <v>217</v>
      </c>
      <c r="C40" s="9">
        <v>7</v>
      </c>
      <c r="D40" s="9">
        <v>10</v>
      </c>
      <c r="E40" s="9">
        <v>9</v>
      </c>
      <c r="F40" s="9">
        <v>9</v>
      </c>
      <c r="G40" s="9">
        <v>8</v>
      </c>
      <c r="H40" s="9">
        <v>11</v>
      </c>
      <c r="I40" s="3">
        <v>7</v>
      </c>
      <c r="J40" s="3">
        <v>8</v>
      </c>
      <c r="K40" s="3">
        <v>7</v>
      </c>
      <c r="L40" s="7">
        <f t="shared" si="1"/>
        <v>8.4444444444444446</v>
      </c>
      <c r="P40" s="5"/>
    </row>
    <row r="41" spans="1:16" ht="14.25" customHeight="1" x14ac:dyDescent="0.3">
      <c r="A41" s="3">
        <v>-0.99035075718315457</v>
      </c>
      <c r="B41" s="9" t="s">
        <v>227</v>
      </c>
      <c r="C41" s="9">
        <v>6</v>
      </c>
      <c r="D41" s="9">
        <v>7</v>
      </c>
      <c r="E41" s="9">
        <v>16</v>
      </c>
      <c r="F41" s="9">
        <v>3</v>
      </c>
      <c r="G41" s="9">
        <v>12</v>
      </c>
      <c r="H41" s="9">
        <v>12</v>
      </c>
      <c r="I41" s="3">
        <v>10</v>
      </c>
      <c r="J41" s="3">
        <v>9</v>
      </c>
      <c r="K41" s="3">
        <v>15</v>
      </c>
      <c r="L41" s="7">
        <f t="shared" si="1"/>
        <v>10</v>
      </c>
      <c r="P41" s="5"/>
    </row>
    <row r="42" spans="1:16" ht="14.25" customHeight="1" x14ac:dyDescent="0.3">
      <c r="A42" s="3">
        <v>-1.072806810743151</v>
      </c>
      <c r="B42" s="9" t="s">
        <v>221</v>
      </c>
      <c r="C42" s="9">
        <v>17</v>
      </c>
      <c r="D42" s="9">
        <v>14</v>
      </c>
      <c r="E42" s="9">
        <v>19</v>
      </c>
      <c r="F42" s="9">
        <v>17</v>
      </c>
      <c r="G42" s="9">
        <v>16</v>
      </c>
      <c r="H42" s="9">
        <v>9</v>
      </c>
      <c r="I42" s="3">
        <v>19</v>
      </c>
      <c r="J42" s="3">
        <v>18</v>
      </c>
      <c r="K42" s="3">
        <v>6</v>
      </c>
      <c r="L42" s="7">
        <f t="shared" si="1"/>
        <v>15</v>
      </c>
      <c r="P42" s="5"/>
    </row>
    <row r="43" spans="1:16" ht="14.25" customHeight="1" x14ac:dyDescent="0.3">
      <c r="A43" s="3">
        <v>-1.1339562965442611</v>
      </c>
      <c r="B43" s="9" t="s">
        <v>224</v>
      </c>
      <c r="C43" s="9">
        <v>15</v>
      </c>
      <c r="D43" s="9">
        <v>15</v>
      </c>
      <c r="E43" s="9">
        <v>8</v>
      </c>
      <c r="F43" s="9">
        <v>5</v>
      </c>
      <c r="G43" s="9">
        <v>7</v>
      </c>
      <c r="H43" s="9">
        <v>14</v>
      </c>
      <c r="I43" s="3">
        <v>3</v>
      </c>
      <c r="J43" s="3">
        <v>8</v>
      </c>
      <c r="K43" s="3">
        <v>9</v>
      </c>
      <c r="L43" s="7">
        <f t="shared" si="1"/>
        <v>9.3333333333333339</v>
      </c>
      <c r="P43" s="5"/>
    </row>
    <row r="44" spans="1:16" ht="14.25" customHeight="1" x14ac:dyDescent="0.3">
      <c r="A44" s="3">
        <v>-1.196962071035268</v>
      </c>
      <c r="B44" s="9" t="s">
        <v>207</v>
      </c>
      <c r="C44" s="9">
        <v>1</v>
      </c>
      <c r="D44" s="9">
        <v>6</v>
      </c>
      <c r="E44" s="9">
        <v>6</v>
      </c>
      <c r="F44" s="9">
        <v>16</v>
      </c>
      <c r="G44" s="9">
        <v>11</v>
      </c>
      <c r="H44" s="9">
        <v>16</v>
      </c>
      <c r="I44" s="3">
        <v>18</v>
      </c>
      <c r="J44" s="3">
        <v>2</v>
      </c>
      <c r="K44" s="3">
        <v>7</v>
      </c>
      <c r="L44" s="7">
        <f t="shared" si="1"/>
        <v>9.2222222222222214</v>
      </c>
      <c r="P44" s="5"/>
    </row>
    <row r="45" spans="1:16" ht="14.25" customHeight="1" x14ac:dyDescent="0.3">
      <c r="A45" s="3">
        <v>-1.679865001322572</v>
      </c>
      <c r="B45" s="9" t="s">
        <v>222</v>
      </c>
      <c r="C45" s="9">
        <v>24</v>
      </c>
      <c r="D45" s="9">
        <v>25</v>
      </c>
      <c r="E45" s="9">
        <v>27</v>
      </c>
      <c r="F45" s="9">
        <v>23</v>
      </c>
      <c r="G45" s="9">
        <v>23</v>
      </c>
      <c r="H45" s="9">
        <v>26</v>
      </c>
      <c r="I45" s="3">
        <v>26</v>
      </c>
      <c r="J45" s="3">
        <v>19</v>
      </c>
      <c r="K45" s="3">
        <v>22</v>
      </c>
      <c r="L45" s="7">
        <f t="shared" si="1"/>
        <v>23.888888888888889</v>
      </c>
    </row>
    <row r="46" spans="1:16" ht="14.25" customHeight="1" x14ac:dyDescent="0.3">
      <c r="I46" s="9"/>
      <c r="L46" s="5"/>
    </row>
    <row r="47" spans="1:16" ht="14.25" customHeight="1" x14ac:dyDescent="0.3">
      <c r="L47" s="5"/>
    </row>
    <row r="48" spans="1:16" ht="14.25" customHeight="1" x14ac:dyDescent="0.3">
      <c r="B48" s="2" t="s">
        <v>178</v>
      </c>
      <c r="C48" s="2" t="s">
        <v>232</v>
      </c>
      <c r="L48" s="5"/>
    </row>
    <row r="49" spans="1:12" ht="14.25" customHeight="1" x14ac:dyDescent="0.3">
      <c r="B49" s="2" t="s">
        <v>180</v>
      </c>
      <c r="C49" s="6">
        <v>45939</v>
      </c>
      <c r="D49" s="6">
        <v>45946</v>
      </c>
      <c r="E49" s="6">
        <v>45953</v>
      </c>
      <c r="F49" s="6">
        <v>45960</v>
      </c>
      <c r="G49" s="6">
        <v>45967</v>
      </c>
      <c r="H49" s="6">
        <v>45974</v>
      </c>
      <c r="I49" s="6">
        <v>45981</v>
      </c>
      <c r="J49" s="6">
        <v>45988</v>
      </c>
      <c r="K49" s="6">
        <v>45995</v>
      </c>
      <c r="L49" s="7" t="s">
        <v>233</v>
      </c>
    </row>
    <row r="50" spans="1:12" ht="14.25" customHeight="1" x14ac:dyDescent="0.3">
      <c r="A50" s="3">
        <v>0.9957863323050703</v>
      </c>
      <c r="B50" s="9" t="s">
        <v>195</v>
      </c>
      <c r="C50" s="9">
        <v>11</v>
      </c>
      <c r="D50" s="9">
        <v>14</v>
      </c>
      <c r="E50" s="9">
        <v>12</v>
      </c>
      <c r="F50" s="9">
        <v>7</v>
      </c>
      <c r="G50" s="9">
        <v>7</v>
      </c>
      <c r="H50" s="9">
        <v>3</v>
      </c>
      <c r="I50" s="3">
        <v>8</v>
      </c>
      <c r="J50" s="3">
        <v>9</v>
      </c>
      <c r="K50" s="3">
        <v>10</v>
      </c>
      <c r="L50" s="7">
        <f t="shared" ref="L50:L69" si="2">AVERAGE(C50:K50)</f>
        <v>9</v>
      </c>
    </row>
    <row r="51" spans="1:12" ht="14.25" customHeight="1" x14ac:dyDescent="0.3">
      <c r="A51" s="3">
        <v>0.98995442105744402</v>
      </c>
      <c r="B51" s="9" t="s">
        <v>199</v>
      </c>
      <c r="C51" s="9">
        <v>0</v>
      </c>
      <c r="D51" s="9">
        <v>0</v>
      </c>
      <c r="E51" s="9">
        <v>0</v>
      </c>
      <c r="F51" s="9">
        <v>0</v>
      </c>
      <c r="G51" s="9">
        <v>5</v>
      </c>
      <c r="H51" s="9">
        <v>0</v>
      </c>
      <c r="I51" s="3">
        <v>1</v>
      </c>
      <c r="J51" s="3">
        <v>2</v>
      </c>
      <c r="K51" s="3">
        <v>0</v>
      </c>
      <c r="L51" s="7">
        <f t="shared" si="2"/>
        <v>0.88888888888888884</v>
      </c>
    </row>
    <row r="52" spans="1:12" ht="14.25" customHeight="1" x14ac:dyDescent="0.3">
      <c r="A52" s="3">
        <v>0.8031838310216366</v>
      </c>
      <c r="B52" s="9" t="s">
        <v>203</v>
      </c>
      <c r="C52" s="9">
        <v>6</v>
      </c>
      <c r="D52" s="9">
        <v>5</v>
      </c>
      <c r="E52" s="9">
        <v>7</v>
      </c>
      <c r="F52" s="9">
        <v>5</v>
      </c>
      <c r="G52" s="9">
        <v>1</v>
      </c>
      <c r="H52" s="9">
        <v>0</v>
      </c>
      <c r="I52" s="3">
        <v>1</v>
      </c>
      <c r="J52" s="3">
        <v>3</v>
      </c>
      <c r="K52" s="3">
        <v>4</v>
      </c>
      <c r="L52" s="7">
        <f t="shared" si="2"/>
        <v>3.5555555555555554</v>
      </c>
    </row>
    <row r="53" spans="1:12" ht="14.25" customHeight="1" x14ac:dyDescent="0.3">
      <c r="A53" s="3">
        <v>0.7952330657044463</v>
      </c>
      <c r="B53" s="9" t="s">
        <v>206</v>
      </c>
      <c r="C53" s="9">
        <v>37</v>
      </c>
      <c r="D53" s="9">
        <v>33</v>
      </c>
      <c r="E53" s="9">
        <v>13</v>
      </c>
      <c r="F53" s="9">
        <v>2</v>
      </c>
      <c r="G53" s="9">
        <v>18</v>
      </c>
      <c r="H53" s="9">
        <v>15</v>
      </c>
      <c r="I53" s="3">
        <v>26</v>
      </c>
      <c r="J53" s="3">
        <v>14</v>
      </c>
      <c r="K53" s="3">
        <v>17</v>
      </c>
      <c r="L53" s="7">
        <f t="shared" si="2"/>
        <v>19.444444444444443</v>
      </c>
    </row>
    <row r="54" spans="1:12" ht="14.25" customHeight="1" x14ac:dyDescent="0.3">
      <c r="A54" s="3">
        <v>0.65812761495518723</v>
      </c>
      <c r="B54" s="9" t="s">
        <v>202</v>
      </c>
      <c r="C54" s="9">
        <v>6</v>
      </c>
      <c r="D54" s="9">
        <v>3</v>
      </c>
      <c r="E54" s="9">
        <v>2</v>
      </c>
      <c r="F54" s="9">
        <v>5</v>
      </c>
      <c r="G54" s="9">
        <v>3</v>
      </c>
      <c r="H54" s="9">
        <v>4</v>
      </c>
      <c r="I54" s="3">
        <v>5</v>
      </c>
      <c r="J54" s="3">
        <v>2</v>
      </c>
      <c r="K54" s="3">
        <v>1</v>
      </c>
      <c r="L54" s="7">
        <f t="shared" si="2"/>
        <v>3.4444444444444446</v>
      </c>
    </row>
    <row r="55" spans="1:12" ht="14.25" customHeight="1" x14ac:dyDescent="0.3">
      <c r="A55" s="3">
        <v>0.65757862978307635</v>
      </c>
      <c r="B55" s="9" t="s">
        <v>205</v>
      </c>
      <c r="C55" s="9">
        <v>2</v>
      </c>
      <c r="D55" s="9">
        <v>0</v>
      </c>
      <c r="E55" s="9">
        <v>1</v>
      </c>
      <c r="F55" s="9">
        <v>2</v>
      </c>
      <c r="G55" s="9">
        <v>0</v>
      </c>
      <c r="H55" s="9">
        <v>4</v>
      </c>
      <c r="I55" s="3">
        <v>4</v>
      </c>
      <c r="J55" s="3">
        <v>0</v>
      </c>
      <c r="K55" s="3">
        <v>1</v>
      </c>
      <c r="L55" s="7">
        <f t="shared" si="2"/>
        <v>1.5555555555555556</v>
      </c>
    </row>
    <row r="56" spans="1:12" ht="14.25" customHeight="1" x14ac:dyDescent="0.3">
      <c r="A56" s="3">
        <v>0.44467337167202509</v>
      </c>
      <c r="B56" s="9" t="s">
        <v>215</v>
      </c>
      <c r="C56" s="9">
        <v>12</v>
      </c>
      <c r="D56" s="9">
        <v>8</v>
      </c>
      <c r="E56" s="9">
        <v>15</v>
      </c>
      <c r="F56" s="9">
        <v>2</v>
      </c>
      <c r="G56" s="9">
        <v>18</v>
      </c>
      <c r="H56" s="9">
        <v>11</v>
      </c>
      <c r="I56" s="3">
        <v>1</v>
      </c>
      <c r="J56" s="3">
        <v>10</v>
      </c>
      <c r="K56" s="3">
        <v>7</v>
      </c>
      <c r="L56" s="7">
        <f t="shared" si="2"/>
        <v>9.3333333333333339</v>
      </c>
    </row>
    <row r="57" spans="1:12" ht="14.25" customHeight="1" x14ac:dyDescent="0.3">
      <c r="A57" s="3">
        <v>0.28220965544261112</v>
      </c>
      <c r="B57" s="9" t="s">
        <v>218</v>
      </c>
      <c r="C57" s="9">
        <v>4</v>
      </c>
      <c r="D57" s="9">
        <v>19</v>
      </c>
      <c r="E57" s="9">
        <v>8</v>
      </c>
      <c r="F57" s="9">
        <v>8</v>
      </c>
      <c r="G57" s="9">
        <v>2</v>
      </c>
      <c r="H57" s="9">
        <v>15</v>
      </c>
      <c r="I57" s="3">
        <v>9</v>
      </c>
      <c r="J57" s="3">
        <v>19</v>
      </c>
      <c r="K57" s="3">
        <v>5</v>
      </c>
      <c r="L57" s="7">
        <f t="shared" si="2"/>
        <v>9.8888888888888893</v>
      </c>
    </row>
    <row r="58" spans="1:12" ht="14.25" customHeight="1" x14ac:dyDescent="0.3">
      <c r="A58" s="3">
        <v>0.26647717855960468</v>
      </c>
      <c r="B58" s="9" t="s">
        <v>198</v>
      </c>
      <c r="C58" s="9">
        <v>3</v>
      </c>
      <c r="D58" s="9">
        <v>1</v>
      </c>
      <c r="E58" s="9">
        <v>6</v>
      </c>
      <c r="F58" s="9">
        <v>3</v>
      </c>
      <c r="G58" s="9">
        <v>3</v>
      </c>
      <c r="H58" s="9">
        <v>2</v>
      </c>
      <c r="I58" s="3">
        <v>1</v>
      </c>
      <c r="J58" s="3">
        <v>1</v>
      </c>
      <c r="K58" s="3">
        <v>0</v>
      </c>
      <c r="L58" s="7">
        <f t="shared" si="2"/>
        <v>2.2222222222222223</v>
      </c>
    </row>
    <row r="59" spans="1:12" ht="14.25" customHeight="1" x14ac:dyDescent="0.3">
      <c r="A59" s="3">
        <v>2.6646209564781631E-3</v>
      </c>
      <c r="B59" s="9" t="s">
        <v>209</v>
      </c>
      <c r="C59" s="9">
        <v>3</v>
      </c>
      <c r="D59" s="9">
        <v>2</v>
      </c>
      <c r="E59" s="9">
        <v>3</v>
      </c>
      <c r="F59" s="9">
        <v>6</v>
      </c>
      <c r="G59" s="9">
        <v>0</v>
      </c>
      <c r="H59" s="9">
        <v>4</v>
      </c>
      <c r="I59" s="3">
        <v>5</v>
      </c>
      <c r="J59" s="3">
        <v>2</v>
      </c>
      <c r="K59" s="3">
        <v>3</v>
      </c>
      <c r="L59" s="7">
        <f t="shared" si="2"/>
        <v>3.1111111111111112</v>
      </c>
    </row>
    <row r="60" spans="1:12" ht="14.25" customHeight="1" x14ac:dyDescent="0.3">
      <c r="A60" s="3">
        <v>-0.3761105231824623</v>
      </c>
      <c r="B60" s="9" t="s">
        <v>214</v>
      </c>
      <c r="C60" s="9">
        <v>9</v>
      </c>
      <c r="D60" s="9">
        <v>14</v>
      </c>
      <c r="E60" s="9">
        <v>12</v>
      </c>
      <c r="F60" s="9">
        <v>15</v>
      </c>
      <c r="G60" s="9">
        <v>6</v>
      </c>
      <c r="H60" s="9">
        <v>5</v>
      </c>
      <c r="I60" s="3">
        <v>10</v>
      </c>
      <c r="J60" s="3">
        <v>6</v>
      </c>
      <c r="K60" s="3">
        <v>10</v>
      </c>
      <c r="L60" s="7">
        <f t="shared" si="2"/>
        <v>9.6666666666666661</v>
      </c>
    </row>
    <row r="61" spans="1:12" ht="14.25" customHeight="1" x14ac:dyDescent="0.3">
      <c r="A61" s="3">
        <v>-0.61856740376708086</v>
      </c>
      <c r="B61" s="9" t="s">
        <v>211</v>
      </c>
      <c r="C61" s="9">
        <v>7</v>
      </c>
      <c r="D61" s="9">
        <v>12</v>
      </c>
      <c r="E61" s="9">
        <v>10</v>
      </c>
      <c r="F61" s="9">
        <v>4</v>
      </c>
      <c r="G61" s="9">
        <v>14</v>
      </c>
      <c r="H61" s="9">
        <v>3</v>
      </c>
      <c r="I61" s="3">
        <v>11</v>
      </c>
      <c r="J61" s="3">
        <v>11</v>
      </c>
      <c r="K61" s="3">
        <v>9</v>
      </c>
      <c r="L61" s="7">
        <f t="shared" si="2"/>
        <v>9</v>
      </c>
    </row>
    <row r="62" spans="1:12" ht="14.25" customHeight="1" x14ac:dyDescent="0.3">
      <c r="A62" s="3">
        <v>-0.76845746918237878</v>
      </c>
      <c r="B62" s="9" t="s">
        <v>225</v>
      </c>
      <c r="C62" s="9">
        <v>4</v>
      </c>
      <c r="D62" s="9">
        <v>6</v>
      </c>
      <c r="E62" s="9">
        <v>6</v>
      </c>
      <c r="F62" s="9">
        <v>9</v>
      </c>
      <c r="G62" s="9">
        <v>11</v>
      </c>
      <c r="H62" s="9">
        <v>6</v>
      </c>
      <c r="I62" s="3">
        <v>8</v>
      </c>
      <c r="J62" s="3">
        <v>8</v>
      </c>
      <c r="K62" s="3">
        <v>4</v>
      </c>
      <c r="L62" s="7">
        <f t="shared" si="2"/>
        <v>6.8888888888888893</v>
      </c>
    </row>
    <row r="63" spans="1:12" ht="14.25" customHeight="1" x14ac:dyDescent="0.3">
      <c r="A63" s="3">
        <v>-0.82357176289964173</v>
      </c>
      <c r="B63" s="9" t="s">
        <v>228</v>
      </c>
      <c r="C63" s="9">
        <v>19</v>
      </c>
      <c r="D63" s="9">
        <v>18</v>
      </c>
      <c r="E63" s="9">
        <v>23</v>
      </c>
      <c r="F63" s="9">
        <v>23</v>
      </c>
      <c r="G63" s="9">
        <v>22</v>
      </c>
      <c r="H63" s="9">
        <v>22</v>
      </c>
      <c r="I63" s="3">
        <v>19</v>
      </c>
      <c r="J63" s="3">
        <v>17</v>
      </c>
      <c r="K63" s="3">
        <v>17</v>
      </c>
      <c r="L63" s="7">
        <f t="shared" si="2"/>
        <v>20</v>
      </c>
    </row>
    <row r="64" spans="1:12" ht="14.25" customHeight="1" x14ac:dyDescent="0.3">
      <c r="A64" s="3">
        <v>-0.83166677317607873</v>
      </c>
      <c r="B64" s="9" t="s">
        <v>217</v>
      </c>
      <c r="C64" s="9">
        <v>10</v>
      </c>
      <c r="D64" s="9">
        <v>4</v>
      </c>
      <c r="E64" s="9">
        <v>4</v>
      </c>
      <c r="F64" s="9">
        <v>6</v>
      </c>
      <c r="G64" s="9">
        <v>6</v>
      </c>
      <c r="H64" s="9">
        <v>1</v>
      </c>
      <c r="I64" s="3">
        <v>10</v>
      </c>
      <c r="J64" s="3">
        <v>9</v>
      </c>
      <c r="K64" s="3">
        <v>7</v>
      </c>
      <c r="L64" s="7">
        <f t="shared" si="2"/>
        <v>6.333333333333333</v>
      </c>
    </row>
    <row r="65" spans="1:12" ht="14.25" customHeight="1" x14ac:dyDescent="0.3">
      <c r="A65" s="3">
        <v>-0.99035075718315457</v>
      </c>
      <c r="B65" s="9" t="s">
        <v>227</v>
      </c>
      <c r="C65" s="9">
        <v>12</v>
      </c>
      <c r="D65" s="9">
        <v>17</v>
      </c>
      <c r="E65" s="9">
        <v>8</v>
      </c>
      <c r="F65" s="9">
        <v>16</v>
      </c>
      <c r="G65" s="9">
        <v>15</v>
      </c>
      <c r="H65" s="9">
        <v>1</v>
      </c>
      <c r="I65" s="3">
        <v>12</v>
      </c>
      <c r="J65" s="3">
        <v>13</v>
      </c>
      <c r="K65" s="3">
        <v>6</v>
      </c>
      <c r="L65" s="7">
        <f t="shared" si="2"/>
        <v>11.111111111111111</v>
      </c>
    </row>
    <row r="66" spans="1:12" ht="14.25" customHeight="1" x14ac:dyDescent="0.3">
      <c r="A66" s="3">
        <v>-1.072806810743151</v>
      </c>
      <c r="B66" s="9" t="s">
        <v>221</v>
      </c>
      <c r="C66" s="9">
        <v>18</v>
      </c>
      <c r="D66" s="9">
        <v>13</v>
      </c>
      <c r="E66" s="9">
        <v>13</v>
      </c>
      <c r="F66" s="9">
        <v>10</v>
      </c>
      <c r="G66" s="9">
        <v>17</v>
      </c>
      <c r="H66" s="9">
        <v>10</v>
      </c>
      <c r="I66" s="3">
        <v>16</v>
      </c>
      <c r="J66" s="3">
        <v>8</v>
      </c>
      <c r="K66" s="3">
        <v>8</v>
      </c>
      <c r="L66" s="7">
        <f t="shared" si="2"/>
        <v>12.555555555555555</v>
      </c>
    </row>
    <row r="67" spans="1:12" ht="14.25" customHeight="1" x14ac:dyDescent="0.3">
      <c r="A67" s="3">
        <v>-1.1339562965442611</v>
      </c>
      <c r="B67" s="9" t="s">
        <v>224</v>
      </c>
      <c r="C67" s="9">
        <v>8</v>
      </c>
      <c r="D67" s="9">
        <v>6</v>
      </c>
      <c r="E67" s="9">
        <v>9</v>
      </c>
      <c r="F67" s="9">
        <v>10</v>
      </c>
      <c r="G67" s="9">
        <v>12</v>
      </c>
      <c r="H67" s="9">
        <v>1</v>
      </c>
      <c r="I67" s="3">
        <v>4</v>
      </c>
      <c r="J67" s="3">
        <v>7</v>
      </c>
      <c r="K67" s="3">
        <v>1</v>
      </c>
      <c r="L67" s="7">
        <f t="shared" si="2"/>
        <v>6.4444444444444446</v>
      </c>
    </row>
    <row r="68" spans="1:12" ht="14.25" customHeight="1" x14ac:dyDescent="0.3">
      <c r="A68" s="3">
        <v>-1.196962071035268</v>
      </c>
      <c r="B68" s="9" t="s">
        <v>207</v>
      </c>
      <c r="C68" s="9">
        <v>5</v>
      </c>
      <c r="D68" s="9">
        <v>14</v>
      </c>
      <c r="E68" s="9">
        <v>7</v>
      </c>
      <c r="F68" s="9">
        <v>18</v>
      </c>
      <c r="G68" s="9">
        <v>4</v>
      </c>
      <c r="H68" s="9">
        <v>15</v>
      </c>
      <c r="I68" s="3">
        <v>17</v>
      </c>
      <c r="J68" s="3">
        <v>12</v>
      </c>
      <c r="K68" s="3">
        <v>8</v>
      </c>
      <c r="L68" s="7">
        <f t="shared" si="2"/>
        <v>11.111111111111111</v>
      </c>
    </row>
    <row r="69" spans="1:12" ht="14.25" customHeight="1" x14ac:dyDescent="0.3">
      <c r="A69" s="3">
        <v>-1.679865001322572</v>
      </c>
      <c r="B69" s="9" t="s">
        <v>222</v>
      </c>
      <c r="C69" s="9">
        <v>19</v>
      </c>
      <c r="D69" s="9">
        <v>24</v>
      </c>
      <c r="E69" s="9">
        <v>23</v>
      </c>
      <c r="F69" s="9">
        <v>25</v>
      </c>
      <c r="G69" s="9">
        <v>25</v>
      </c>
      <c r="H69" s="9">
        <v>27</v>
      </c>
      <c r="I69" s="3">
        <v>27</v>
      </c>
      <c r="J69" s="3">
        <v>26</v>
      </c>
      <c r="K69" s="3">
        <v>21</v>
      </c>
      <c r="L69" s="7">
        <f t="shared" si="2"/>
        <v>24.111111111111111</v>
      </c>
    </row>
    <row r="70" spans="1:12" ht="14.25" customHeight="1" x14ac:dyDescent="0.3">
      <c r="L70" s="5"/>
    </row>
    <row r="71" spans="1:12" ht="14.25" customHeight="1" x14ac:dyDescent="0.3">
      <c r="L71" s="5"/>
    </row>
    <row r="72" spans="1:12" ht="14.25" customHeight="1" x14ac:dyDescent="0.3">
      <c r="B72" s="2" t="s">
        <v>178</v>
      </c>
      <c r="C72" s="2" t="s">
        <v>234</v>
      </c>
      <c r="L72" s="5"/>
    </row>
    <row r="73" spans="1:12" ht="14.25" customHeight="1" x14ac:dyDescent="0.3">
      <c r="B73" s="2" t="s">
        <v>180</v>
      </c>
      <c r="C73" s="6">
        <v>45940</v>
      </c>
      <c r="D73" s="6">
        <v>45947</v>
      </c>
      <c r="E73" s="6">
        <v>45954</v>
      </c>
      <c r="F73" s="6">
        <v>45961</v>
      </c>
      <c r="G73" s="6">
        <v>45968</v>
      </c>
      <c r="H73" s="6">
        <v>45975</v>
      </c>
      <c r="I73" s="6">
        <v>45982</v>
      </c>
      <c r="J73" s="6">
        <v>45989</v>
      </c>
      <c r="K73" s="6">
        <v>45996</v>
      </c>
      <c r="L73" s="7" t="s">
        <v>235</v>
      </c>
    </row>
    <row r="74" spans="1:12" ht="14.25" customHeight="1" x14ac:dyDescent="0.3">
      <c r="A74" s="3">
        <v>0.9957863323050703</v>
      </c>
      <c r="B74" s="9" t="s">
        <v>195</v>
      </c>
      <c r="C74" s="9">
        <v>3</v>
      </c>
      <c r="D74" s="9">
        <v>12</v>
      </c>
      <c r="E74" s="9">
        <v>7</v>
      </c>
      <c r="F74" s="9">
        <v>4</v>
      </c>
      <c r="G74" s="9">
        <v>5</v>
      </c>
      <c r="H74" s="9">
        <v>14</v>
      </c>
      <c r="I74" s="3">
        <v>8</v>
      </c>
      <c r="J74" s="3">
        <v>5</v>
      </c>
      <c r="K74" s="3">
        <v>13</v>
      </c>
      <c r="L74" s="7">
        <f t="shared" ref="L74:L93" si="3">AVERAGE(C74:K74)</f>
        <v>7.8888888888888893</v>
      </c>
    </row>
    <row r="75" spans="1:12" ht="14.25" customHeight="1" x14ac:dyDescent="0.3">
      <c r="A75" s="3">
        <v>0.98995442105744402</v>
      </c>
      <c r="B75" s="9" t="s">
        <v>199</v>
      </c>
      <c r="C75" s="9">
        <v>1</v>
      </c>
      <c r="D75" s="9">
        <v>4</v>
      </c>
      <c r="E75" s="9">
        <v>5</v>
      </c>
      <c r="F75" s="9">
        <v>9</v>
      </c>
      <c r="G75" s="9">
        <v>1</v>
      </c>
      <c r="H75" s="9">
        <v>4</v>
      </c>
      <c r="I75" s="3">
        <v>0</v>
      </c>
      <c r="J75" s="3">
        <v>4</v>
      </c>
      <c r="K75" s="3">
        <v>0</v>
      </c>
      <c r="L75" s="7">
        <f t="shared" si="3"/>
        <v>3.1111111111111112</v>
      </c>
    </row>
    <row r="76" spans="1:12" ht="14.25" customHeight="1" x14ac:dyDescent="0.3">
      <c r="A76" s="3">
        <v>0.8031838310216366</v>
      </c>
      <c r="B76" s="9" t="s">
        <v>203</v>
      </c>
      <c r="C76" s="9">
        <v>6</v>
      </c>
      <c r="D76" s="9">
        <v>5</v>
      </c>
      <c r="E76" s="9">
        <v>1</v>
      </c>
      <c r="F76" s="9">
        <v>3</v>
      </c>
      <c r="G76" s="9">
        <v>0</v>
      </c>
      <c r="H76" s="9">
        <v>1</v>
      </c>
      <c r="I76" s="3">
        <v>1</v>
      </c>
      <c r="J76" s="3">
        <v>1</v>
      </c>
      <c r="K76" s="3">
        <v>5</v>
      </c>
      <c r="L76" s="7">
        <f t="shared" si="3"/>
        <v>2.5555555555555554</v>
      </c>
    </row>
    <row r="77" spans="1:12" ht="14.25" customHeight="1" x14ac:dyDescent="0.3">
      <c r="A77" s="3">
        <v>0.7952330657044463</v>
      </c>
      <c r="B77" s="9" t="s">
        <v>206</v>
      </c>
      <c r="C77" s="9">
        <v>32</v>
      </c>
      <c r="D77" s="9">
        <v>32</v>
      </c>
      <c r="E77" s="9">
        <v>38</v>
      </c>
      <c r="F77" s="9">
        <v>8</v>
      </c>
      <c r="G77" s="9">
        <v>11</v>
      </c>
      <c r="H77" s="9">
        <v>10</v>
      </c>
      <c r="I77" s="3">
        <v>16</v>
      </c>
      <c r="J77" s="3">
        <v>20</v>
      </c>
      <c r="K77" s="3">
        <v>7</v>
      </c>
      <c r="L77" s="7">
        <f t="shared" si="3"/>
        <v>19.333333333333332</v>
      </c>
    </row>
    <row r="78" spans="1:12" ht="14.25" customHeight="1" x14ac:dyDescent="0.3">
      <c r="A78" s="3">
        <v>0.65812761495518723</v>
      </c>
      <c r="B78" s="9" t="s">
        <v>202</v>
      </c>
      <c r="C78" s="9">
        <v>8</v>
      </c>
      <c r="D78" s="9">
        <v>8</v>
      </c>
      <c r="E78" s="9">
        <v>8</v>
      </c>
      <c r="F78" s="9">
        <v>0</v>
      </c>
      <c r="G78" s="9">
        <v>0</v>
      </c>
      <c r="H78" s="9">
        <v>4</v>
      </c>
      <c r="I78" s="3">
        <v>2</v>
      </c>
      <c r="J78" s="3">
        <v>4</v>
      </c>
      <c r="K78" s="3">
        <v>5</v>
      </c>
      <c r="L78" s="7">
        <f t="shared" si="3"/>
        <v>4.333333333333333</v>
      </c>
    </row>
    <row r="79" spans="1:12" ht="14.25" customHeight="1" x14ac:dyDescent="0.3">
      <c r="A79" s="3">
        <v>0.65757862978307635</v>
      </c>
      <c r="B79" s="9" t="s">
        <v>205</v>
      </c>
      <c r="C79" s="9">
        <v>2</v>
      </c>
      <c r="D79" s="9">
        <v>2</v>
      </c>
      <c r="E79" s="9">
        <v>0</v>
      </c>
      <c r="F79" s="9">
        <v>0</v>
      </c>
      <c r="G79" s="9">
        <v>0</v>
      </c>
      <c r="H79" s="9">
        <v>3</v>
      </c>
      <c r="I79" s="3">
        <v>5</v>
      </c>
      <c r="J79" s="3">
        <v>0</v>
      </c>
      <c r="K79" s="3">
        <v>3</v>
      </c>
      <c r="L79" s="7">
        <f t="shared" si="3"/>
        <v>1.6666666666666667</v>
      </c>
    </row>
    <row r="80" spans="1:12" ht="14.25" customHeight="1" x14ac:dyDescent="0.3">
      <c r="A80" s="3">
        <v>0.44467337167202509</v>
      </c>
      <c r="B80" s="9" t="s">
        <v>215</v>
      </c>
      <c r="C80" s="9">
        <v>10</v>
      </c>
      <c r="D80" s="9">
        <v>1</v>
      </c>
      <c r="E80" s="9">
        <v>6</v>
      </c>
      <c r="F80" s="9">
        <v>1</v>
      </c>
      <c r="G80" s="9">
        <v>12</v>
      </c>
      <c r="H80" s="9">
        <v>10</v>
      </c>
      <c r="I80" s="3">
        <v>2</v>
      </c>
      <c r="J80" s="3">
        <v>12</v>
      </c>
      <c r="K80" s="3">
        <v>10</v>
      </c>
      <c r="L80" s="7">
        <f t="shared" si="3"/>
        <v>7.1111111111111107</v>
      </c>
    </row>
    <row r="81" spans="1:12" ht="14.25" customHeight="1" x14ac:dyDescent="0.3">
      <c r="A81" s="3">
        <v>0.28220965544261112</v>
      </c>
      <c r="B81" s="9" t="s">
        <v>218</v>
      </c>
      <c r="C81" s="9">
        <v>9</v>
      </c>
      <c r="D81" s="9">
        <v>4</v>
      </c>
      <c r="E81" s="9">
        <v>14</v>
      </c>
      <c r="F81" s="9">
        <v>2</v>
      </c>
      <c r="G81" s="9">
        <v>7</v>
      </c>
      <c r="H81" s="9">
        <v>15</v>
      </c>
      <c r="I81" s="3">
        <v>14</v>
      </c>
      <c r="J81" s="3">
        <v>9</v>
      </c>
      <c r="K81" s="3">
        <v>0</v>
      </c>
      <c r="L81" s="7">
        <f t="shared" si="3"/>
        <v>8.2222222222222214</v>
      </c>
    </row>
    <row r="82" spans="1:12" ht="14.25" customHeight="1" x14ac:dyDescent="0.3">
      <c r="A82" s="3">
        <v>0.26647717855960468</v>
      </c>
      <c r="B82" s="9" t="s">
        <v>198</v>
      </c>
      <c r="C82" s="9">
        <v>1</v>
      </c>
      <c r="D82" s="9">
        <v>2</v>
      </c>
      <c r="E82" s="9">
        <v>3</v>
      </c>
      <c r="F82" s="9">
        <v>1</v>
      </c>
      <c r="G82" s="9">
        <v>2</v>
      </c>
      <c r="H82" s="9">
        <v>0</v>
      </c>
      <c r="I82" s="3">
        <v>0</v>
      </c>
      <c r="J82" s="3">
        <v>3</v>
      </c>
      <c r="K82" s="3">
        <v>0</v>
      </c>
      <c r="L82" s="7">
        <f t="shared" si="3"/>
        <v>1.3333333333333333</v>
      </c>
    </row>
    <row r="83" spans="1:12" ht="14.25" customHeight="1" x14ac:dyDescent="0.3">
      <c r="A83" s="3">
        <v>2.6646209564781631E-3</v>
      </c>
      <c r="B83" s="9" t="s">
        <v>209</v>
      </c>
      <c r="C83" s="9">
        <v>6</v>
      </c>
      <c r="D83" s="9">
        <v>5</v>
      </c>
      <c r="E83" s="9">
        <v>5</v>
      </c>
      <c r="F83" s="9">
        <v>1</v>
      </c>
      <c r="G83" s="9">
        <v>5</v>
      </c>
      <c r="H83" s="9">
        <v>4</v>
      </c>
      <c r="I83" s="3">
        <v>7</v>
      </c>
      <c r="J83" s="3">
        <v>6</v>
      </c>
      <c r="K83" s="3">
        <v>1</v>
      </c>
      <c r="L83" s="7">
        <f t="shared" si="3"/>
        <v>4.4444444444444446</v>
      </c>
    </row>
    <row r="84" spans="1:12" ht="14.25" customHeight="1" x14ac:dyDescent="0.3">
      <c r="A84" s="3">
        <v>-0.3761105231824623</v>
      </c>
      <c r="B84" s="9" t="s">
        <v>214</v>
      </c>
      <c r="C84" s="9">
        <v>11</v>
      </c>
      <c r="D84" s="9">
        <v>6</v>
      </c>
      <c r="E84" s="9">
        <v>7</v>
      </c>
      <c r="F84" s="9">
        <v>15</v>
      </c>
      <c r="G84" s="9">
        <v>8</v>
      </c>
      <c r="H84" s="9">
        <v>10</v>
      </c>
      <c r="I84" s="3">
        <v>6</v>
      </c>
      <c r="J84" s="3">
        <v>15</v>
      </c>
      <c r="K84" s="3">
        <v>11</v>
      </c>
      <c r="L84" s="7">
        <f t="shared" si="3"/>
        <v>9.8888888888888893</v>
      </c>
    </row>
    <row r="85" spans="1:12" ht="14.25" customHeight="1" x14ac:dyDescent="0.3">
      <c r="A85" s="3">
        <v>-0.61856740376708086</v>
      </c>
      <c r="B85" s="9" t="s">
        <v>211</v>
      </c>
      <c r="C85" s="9">
        <v>14</v>
      </c>
      <c r="D85" s="9">
        <v>13</v>
      </c>
      <c r="E85" s="9">
        <v>13</v>
      </c>
      <c r="F85" s="9">
        <v>14</v>
      </c>
      <c r="G85" s="9">
        <v>8</v>
      </c>
      <c r="H85" s="9">
        <v>13</v>
      </c>
      <c r="I85" s="3">
        <v>12</v>
      </c>
      <c r="J85" s="3">
        <v>11</v>
      </c>
      <c r="K85" s="3">
        <v>12</v>
      </c>
      <c r="L85" s="7">
        <f t="shared" si="3"/>
        <v>12.222222222222221</v>
      </c>
    </row>
    <row r="86" spans="1:12" ht="14.25" customHeight="1" x14ac:dyDescent="0.3">
      <c r="A86" s="3">
        <v>-0.76845746918237878</v>
      </c>
      <c r="B86" s="9" t="s">
        <v>225</v>
      </c>
      <c r="C86" s="9">
        <v>10</v>
      </c>
      <c r="D86" s="9">
        <v>7</v>
      </c>
      <c r="E86" s="9">
        <v>11</v>
      </c>
      <c r="F86" s="9">
        <v>11</v>
      </c>
      <c r="G86" s="9">
        <v>10</v>
      </c>
      <c r="H86" s="9">
        <v>8</v>
      </c>
      <c r="I86" s="3">
        <v>4</v>
      </c>
      <c r="J86" s="3">
        <v>6</v>
      </c>
      <c r="K86" s="3">
        <v>7</v>
      </c>
      <c r="L86" s="7">
        <f t="shared" si="3"/>
        <v>8.2222222222222214</v>
      </c>
    </row>
    <row r="87" spans="1:12" ht="14.25" customHeight="1" x14ac:dyDescent="0.3">
      <c r="A87" s="3">
        <v>-0.82357176289964173</v>
      </c>
      <c r="B87" s="9" t="s">
        <v>228</v>
      </c>
      <c r="C87" s="9">
        <v>17</v>
      </c>
      <c r="D87" s="9">
        <v>18</v>
      </c>
      <c r="E87" s="9">
        <v>20</v>
      </c>
      <c r="F87" s="9">
        <v>12</v>
      </c>
      <c r="G87" s="9">
        <v>23</v>
      </c>
      <c r="H87" s="9">
        <v>23</v>
      </c>
      <c r="I87" s="3">
        <v>19</v>
      </c>
      <c r="J87" s="3">
        <v>18</v>
      </c>
      <c r="K87" s="3">
        <v>18</v>
      </c>
      <c r="L87" s="7">
        <f t="shared" si="3"/>
        <v>18.666666666666668</v>
      </c>
    </row>
    <row r="88" spans="1:12" ht="14.25" customHeight="1" x14ac:dyDescent="0.3">
      <c r="A88" s="3">
        <v>-0.83166677317607873</v>
      </c>
      <c r="B88" s="9" t="s">
        <v>217</v>
      </c>
      <c r="C88" s="9">
        <v>11</v>
      </c>
      <c r="D88" s="9">
        <v>8</v>
      </c>
      <c r="E88" s="9">
        <v>8</v>
      </c>
      <c r="F88" s="9">
        <v>10</v>
      </c>
      <c r="G88" s="9">
        <v>7</v>
      </c>
      <c r="H88" s="9">
        <v>9</v>
      </c>
      <c r="I88" s="3">
        <v>7</v>
      </c>
      <c r="J88" s="3">
        <v>7</v>
      </c>
      <c r="K88" s="3">
        <v>8</v>
      </c>
      <c r="L88" s="7">
        <f t="shared" si="3"/>
        <v>8.3333333333333339</v>
      </c>
    </row>
    <row r="89" spans="1:12" ht="14.25" customHeight="1" x14ac:dyDescent="0.3">
      <c r="A89" s="3">
        <v>-0.99035075718315457</v>
      </c>
      <c r="B89" s="9" t="s">
        <v>227</v>
      </c>
      <c r="C89" s="9">
        <v>16</v>
      </c>
      <c r="D89" s="9">
        <v>10</v>
      </c>
      <c r="E89" s="9">
        <v>10</v>
      </c>
      <c r="F89" s="9">
        <v>15</v>
      </c>
      <c r="G89" s="9">
        <v>15</v>
      </c>
      <c r="H89" s="9">
        <v>6</v>
      </c>
      <c r="I89" s="3">
        <v>15</v>
      </c>
      <c r="J89" s="3">
        <v>11</v>
      </c>
      <c r="K89" s="3">
        <v>17</v>
      </c>
      <c r="L89" s="7">
        <f t="shared" si="3"/>
        <v>12.777777777777779</v>
      </c>
    </row>
    <row r="90" spans="1:12" ht="14.25" customHeight="1" x14ac:dyDescent="0.3">
      <c r="A90" s="3">
        <v>-1.072806810743151</v>
      </c>
      <c r="B90" s="9" t="s">
        <v>221</v>
      </c>
      <c r="C90" s="9">
        <v>15</v>
      </c>
      <c r="D90" s="9">
        <v>18</v>
      </c>
      <c r="E90" s="9">
        <v>9</v>
      </c>
      <c r="F90" s="9">
        <v>13</v>
      </c>
      <c r="G90" s="9">
        <v>17</v>
      </c>
      <c r="H90" s="9">
        <v>10</v>
      </c>
      <c r="I90" s="3">
        <v>16</v>
      </c>
      <c r="J90" s="3">
        <v>14</v>
      </c>
      <c r="K90" s="3">
        <v>16</v>
      </c>
      <c r="L90" s="7">
        <f t="shared" si="3"/>
        <v>14.222222222222221</v>
      </c>
    </row>
    <row r="91" spans="1:12" ht="14.25" customHeight="1" x14ac:dyDescent="0.3">
      <c r="A91" s="3">
        <v>-1.1339562965442611</v>
      </c>
      <c r="B91" s="9" t="s">
        <v>224</v>
      </c>
      <c r="C91" s="9">
        <v>15</v>
      </c>
      <c r="D91" s="9">
        <v>15</v>
      </c>
      <c r="E91" s="9">
        <v>5</v>
      </c>
      <c r="F91" s="9">
        <v>15</v>
      </c>
      <c r="G91" s="9">
        <v>11</v>
      </c>
      <c r="H91" s="9">
        <v>10</v>
      </c>
      <c r="I91" s="3">
        <v>3</v>
      </c>
      <c r="J91" s="3">
        <v>6</v>
      </c>
      <c r="K91" s="3">
        <v>15</v>
      </c>
      <c r="L91" s="7">
        <f t="shared" si="3"/>
        <v>10.555555555555555</v>
      </c>
    </row>
    <row r="92" spans="1:12" ht="14.25" customHeight="1" x14ac:dyDescent="0.3">
      <c r="A92" s="3">
        <v>-1.196962071035268</v>
      </c>
      <c r="B92" s="9" t="s">
        <v>207</v>
      </c>
      <c r="C92" s="9">
        <v>13</v>
      </c>
      <c r="D92" s="9">
        <v>17</v>
      </c>
      <c r="E92" s="9">
        <v>7</v>
      </c>
      <c r="F92" s="9">
        <v>17</v>
      </c>
      <c r="G92" s="9">
        <v>11</v>
      </c>
      <c r="H92" s="9">
        <v>14</v>
      </c>
      <c r="I92" s="3">
        <v>15</v>
      </c>
      <c r="J92" s="3">
        <v>7</v>
      </c>
      <c r="K92" s="3">
        <v>13</v>
      </c>
      <c r="L92" s="7">
        <f t="shared" si="3"/>
        <v>12.666666666666666</v>
      </c>
    </row>
    <row r="93" spans="1:12" ht="14.25" customHeight="1" x14ac:dyDescent="0.3">
      <c r="A93" s="3">
        <v>-1.679865001322572</v>
      </c>
      <c r="B93" s="9" t="s">
        <v>222</v>
      </c>
      <c r="C93" s="9">
        <v>24</v>
      </c>
      <c r="D93" s="9">
        <v>24</v>
      </c>
      <c r="E93" s="9">
        <v>26</v>
      </c>
      <c r="F93" s="9">
        <v>18</v>
      </c>
      <c r="G93" s="9">
        <v>23</v>
      </c>
      <c r="H93" s="9">
        <v>26</v>
      </c>
      <c r="I93" s="3">
        <v>23</v>
      </c>
      <c r="J93" s="3">
        <v>26</v>
      </c>
      <c r="K93" s="3">
        <v>26</v>
      </c>
      <c r="L93" s="7">
        <f t="shared" si="3"/>
        <v>24</v>
      </c>
    </row>
    <row r="94" spans="1:12" ht="14.25" customHeight="1" x14ac:dyDescent="0.3">
      <c r="L94" s="5"/>
    </row>
    <row r="95" spans="1:12" ht="14.25" customHeight="1" x14ac:dyDescent="0.3">
      <c r="L95" s="5"/>
    </row>
    <row r="96" spans="1:12" ht="14.25" customHeight="1" x14ac:dyDescent="0.3">
      <c r="B96" s="2" t="s">
        <v>178</v>
      </c>
      <c r="C96" s="2" t="s">
        <v>236</v>
      </c>
      <c r="F96" s="3" t="s">
        <v>237</v>
      </c>
      <c r="L96" s="5"/>
    </row>
    <row r="97" spans="1:12" ht="14.25" customHeight="1" x14ac:dyDescent="0.3">
      <c r="B97" s="2" t="s">
        <v>180</v>
      </c>
      <c r="C97" s="6">
        <v>45941</v>
      </c>
      <c r="D97" s="6">
        <v>45948</v>
      </c>
      <c r="E97" s="6">
        <v>45955</v>
      </c>
      <c r="F97" s="6">
        <v>45962</v>
      </c>
      <c r="G97" s="6">
        <v>45969</v>
      </c>
      <c r="H97" s="6">
        <v>45976</v>
      </c>
      <c r="I97" s="6">
        <v>45983</v>
      </c>
      <c r="J97" s="6">
        <v>45990</v>
      </c>
      <c r="K97" s="6">
        <v>45997</v>
      </c>
      <c r="L97" s="7" t="s">
        <v>238</v>
      </c>
    </row>
    <row r="98" spans="1:12" ht="14.25" customHeight="1" x14ac:dyDescent="0.3">
      <c r="A98" s="3">
        <v>0.9957863323050703</v>
      </c>
      <c r="B98" s="9" t="s">
        <v>195</v>
      </c>
      <c r="C98" s="9">
        <v>9</v>
      </c>
      <c r="D98" s="9">
        <v>11</v>
      </c>
      <c r="E98" s="9">
        <v>2</v>
      </c>
      <c r="F98" s="9">
        <v>4</v>
      </c>
      <c r="G98" s="9">
        <v>0</v>
      </c>
      <c r="H98" s="9">
        <v>6</v>
      </c>
      <c r="I98" s="3">
        <v>0</v>
      </c>
      <c r="J98" s="3">
        <v>13</v>
      </c>
      <c r="K98" s="3">
        <v>10</v>
      </c>
      <c r="L98" s="10">
        <f t="shared" ref="L98:L117" si="4">AVERAGE(C98:K98)</f>
        <v>6.1111111111111107</v>
      </c>
    </row>
    <row r="99" spans="1:12" ht="14.25" customHeight="1" x14ac:dyDescent="0.3">
      <c r="A99" s="3">
        <v>0.98995442105744402</v>
      </c>
      <c r="B99" s="9" t="s">
        <v>199</v>
      </c>
      <c r="C99" s="9">
        <v>2</v>
      </c>
      <c r="D99" s="9">
        <v>10</v>
      </c>
      <c r="E99" s="9">
        <v>0</v>
      </c>
      <c r="F99" s="9">
        <v>5</v>
      </c>
      <c r="G99" s="9">
        <v>0</v>
      </c>
      <c r="H99" s="9">
        <v>4</v>
      </c>
      <c r="I99" s="3">
        <v>0</v>
      </c>
      <c r="J99" s="3">
        <v>7</v>
      </c>
      <c r="K99" s="3">
        <v>1</v>
      </c>
      <c r="L99" s="10">
        <f t="shared" si="4"/>
        <v>3.2222222222222223</v>
      </c>
    </row>
    <row r="100" spans="1:12" ht="14.25" customHeight="1" x14ac:dyDescent="0.3">
      <c r="A100" s="3">
        <v>0.8031838310216366</v>
      </c>
      <c r="B100" s="9" t="s">
        <v>203</v>
      </c>
      <c r="C100" s="9">
        <v>7</v>
      </c>
      <c r="D100" s="9">
        <v>4</v>
      </c>
      <c r="E100" s="9">
        <v>4</v>
      </c>
      <c r="F100" s="9">
        <v>2</v>
      </c>
      <c r="G100" s="9">
        <v>6</v>
      </c>
      <c r="H100" s="9">
        <v>5</v>
      </c>
      <c r="I100" s="3">
        <v>3</v>
      </c>
      <c r="J100" s="3">
        <v>3</v>
      </c>
      <c r="K100" s="3">
        <v>1</v>
      </c>
      <c r="L100" s="10">
        <f t="shared" si="4"/>
        <v>3.8888888888888888</v>
      </c>
    </row>
    <row r="101" spans="1:12" ht="14.25" customHeight="1" x14ac:dyDescent="0.3">
      <c r="A101" s="3">
        <v>0.7952330657044463</v>
      </c>
      <c r="B101" s="9" t="s">
        <v>206</v>
      </c>
      <c r="C101" s="9">
        <v>2</v>
      </c>
      <c r="D101" s="9">
        <v>26</v>
      </c>
      <c r="E101" s="9">
        <v>36</v>
      </c>
      <c r="F101" s="9">
        <v>4</v>
      </c>
      <c r="G101" s="9">
        <v>13</v>
      </c>
      <c r="H101" s="9">
        <v>15</v>
      </c>
      <c r="I101" s="3">
        <v>10</v>
      </c>
      <c r="J101" s="3">
        <v>19</v>
      </c>
      <c r="K101" s="3">
        <v>26</v>
      </c>
      <c r="L101" s="10">
        <f t="shared" si="4"/>
        <v>16.777777777777779</v>
      </c>
    </row>
    <row r="102" spans="1:12" ht="14.25" customHeight="1" x14ac:dyDescent="0.3">
      <c r="A102" s="3">
        <v>0.65812761495518723</v>
      </c>
      <c r="B102" s="9" t="s">
        <v>202</v>
      </c>
      <c r="C102" s="9">
        <v>3</v>
      </c>
      <c r="D102" s="9">
        <v>5</v>
      </c>
      <c r="E102" s="9">
        <v>8</v>
      </c>
      <c r="F102" s="9">
        <v>0</v>
      </c>
      <c r="G102" s="9">
        <v>1</v>
      </c>
      <c r="H102" s="9">
        <v>3</v>
      </c>
      <c r="I102" s="3">
        <v>1</v>
      </c>
      <c r="J102" s="3">
        <v>1</v>
      </c>
      <c r="K102" s="3">
        <v>1</v>
      </c>
      <c r="L102" s="10">
        <f t="shared" si="4"/>
        <v>2.5555555555555554</v>
      </c>
    </row>
    <row r="103" spans="1:12" ht="14.25" customHeight="1" x14ac:dyDescent="0.3">
      <c r="A103" s="3">
        <v>0.65757862978307635</v>
      </c>
      <c r="B103" s="9" t="s">
        <v>205</v>
      </c>
      <c r="C103" s="9">
        <v>0</v>
      </c>
      <c r="D103" s="9">
        <v>0</v>
      </c>
      <c r="E103" s="9">
        <v>1</v>
      </c>
      <c r="F103" s="9">
        <v>4</v>
      </c>
      <c r="G103" s="9">
        <v>0</v>
      </c>
      <c r="H103" s="9">
        <v>4</v>
      </c>
      <c r="I103" s="3">
        <v>1</v>
      </c>
      <c r="J103" s="3">
        <v>0</v>
      </c>
      <c r="K103" s="3">
        <v>1</v>
      </c>
      <c r="L103" s="10">
        <f t="shared" si="4"/>
        <v>1.2222222222222223</v>
      </c>
    </row>
    <row r="104" spans="1:12" ht="14.25" customHeight="1" x14ac:dyDescent="0.3">
      <c r="A104" s="3">
        <v>0.44467337167202509</v>
      </c>
      <c r="B104" s="9" t="s">
        <v>215</v>
      </c>
      <c r="C104" s="9">
        <v>11</v>
      </c>
      <c r="D104" s="9">
        <v>0</v>
      </c>
      <c r="E104" s="9">
        <v>18</v>
      </c>
      <c r="F104" s="9">
        <v>1</v>
      </c>
      <c r="G104" s="9">
        <v>3</v>
      </c>
      <c r="H104" s="9">
        <v>13</v>
      </c>
      <c r="I104" s="3">
        <v>2</v>
      </c>
      <c r="J104" s="3">
        <v>15</v>
      </c>
      <c r="K104" s="3">
        <v>5</v>
      </c>
      <c r="L104" s="10">
        <f t="shared" si="4"/>
        <v>7.5555555555555554</v>
      </c>
    </row>
    <row r="105" spans="1:12" ht="14.25" customHeight="1" x14ac:dyDescent="0.3">
      <c r="A105" s="3">
        <v>0.28220965544261112</v>
      </c>
      <c r="B105" s="9" t="s">
        <v>218</v>
      </c>
      <c r="C105" s="9">
        <v>8</v>
      </c>
      <c r="D105" s="9">
        <v>7</v>
      </c>
      <c r="E105" s="9">
        <v>3</v>
      </c>
      <c r="F105" s="9">
        <v>4</v>
      </c>
      <c r="G105" s="9">
        <v>7</v>
      </c>
      <c r="H105" s="9">
        <v>6</v>
      </c>
      <c r="I105" s="3">
        <v>1</v>
      </c>
      <c r="J105" s="3">
        <v>17</v>
      </c>
      <c r="K105" s="3">
        <v>21</v>
      </c>
      <c r="L105" s="10">
        <f t="shared" si="4"/>
        <v>8.2222222222222214</v>
      </c>
    </row>
    <row r="106" spans="1:12" ht="14.25" customHeight="1" x14ac:dyDescent="0.3">
      <c r="A106" s="3">
        <v>0.26647717855960468</v>
      </c>
      <c r="B106" s="9" t="s">
        <v>198</v>
      </c>
      <c r="C106" s="9">
        <v>1</v>
      </c>
      <c r="D106" s="9">
        <v>1</v>
      </c>
      <c r="E106" s="9">
        <v>0</v>
      </c>
      <c r="F106" s="9">
        <v>1</v>
      </c>
      <c r="G106" s="9">
        <v>6</v>
      </c>
      <c r="H106" s="9">
        <v>3</v>
      </c>
      <c r="I106" s="3">
        <v>6</v>
      </c>
      <c r="J106" s="3">
        <v>1</v>
      </c>
      <c r="K106" s="3">
        <v>0</v>
      </c>
      <c r="L106" s="10">
        <f t="shared" si="4"/>
        <v>2.1111111111111112</v>
      </c>
    </row>
    <row r="107" spans="1:12" ht="14.25" customHeight="1" x14ac:dyDescent="0.3">
      <c r="A107" s="3">
        <v>2.6646209564781631E-3</v>
      </c>
      <c r="B107" s="9" t="s">
        <v>209</v>
      </c>
      <c r="C107" s="9">
        <v>6</v>
      </c>
      <c r="D107" s="9">
        <v>3</v>
      </c>
      <c r="E107" s="9">
        <v>0</v>
      </c>
      <c r="F107" s="9">
        <v>2</v>
      </c>
      <c r="G107" s="9">
        <v>3</v>
      </c>
      <c r="H107" s="9">
        <v>6</v>
      </c>
      <c r="I107" s="3">
        <v>3</v>
      </c>
      <c r="J107" s="3">
        <v>6</v>
      </c>
      <c r="K107" s="3">
        <v>0</v>
      </c>
      <c r="L107" s="10">
        <f t="shared" si="4"/>
        <v>3.2222222222222223</v>
      </c>
    </row>
    <row r="108" spans="1:12" ht="14.25" customHeight="1" x14ac:dyDescent="0.3">
      <c r="A108" s="3">
        <v>-0.3761105231824623</v>
      </c>
      <c r="B108" s="9" t="s">
        <v>214</v>
      </c>
      <c r="C108" s="9">
        <v>10</v>
      </c>
      <c r="D108" s="9">
        <v>4</v>
      </c>
      <c r="E108" s="9">
        <v>3</v>
      </c>
      <c r="F108" s="9">
        <v>14</v>
      </c>
      <c r="G108" s="9">
        <v>10</v>
      </c>
      <c r="H108" s="9">
        <v>12</v>
      </c>
      <c r="I108" s="3">
        <v>14</v>
      </c>
      <c r="J108" s="3">
        <v>2</v>
      </c>
      <c r="K108" s="3">
        <v>4</v>
      </c>
      <c r="L108" s="10">
        <f t="shared" si="4"/>
        <v>8.1111111111111107</v>
      </c>
    </row>
    <row r="109" spans="1:12" ht="14.25" customHeight="1" x14ac:dyDescent="0.3">
      <c r="A109" s="3">
        <v>-0.61856740376708086</v>
      </c>
      <c r="B109" s="9" t="s">
        <v>211</v>
      </c>
      <c r="C109" s="9">
        <v>14</v>
      </c>
      <c r="D109" s="9">
        <v>13</v>
      </c>
      <c r="E109" s="9">
        <v>8</v>
      </c>
      <c r="F109" s="9">
        <v>7</v>
      </c>
      <c r="G109" s="9">
        <v>13</v>
      </c>
      <c r="H109" s="9">
        <v>8</v>
      </c>
      <c r="I109" s="3">
        <v>12</v>
      </c>
      <c r="J109" s="3">
        <v>15</v>
      </c>
      <c r="K109" s="3">
        <v>9</v>
      </c>
      <c r="L109" s="10">
        <f t="shared" si="4"/>
        <v>11</v>
      </c>
    </row>
    <row r="110" spans="1:12" ht="14.25" customHeight="1" x14ac:dyDescent="0.3">
      <c r="A110" s="3">
        <v>-0.76845746918237878</v>
      </c>
      <c r="B110" s="9" t="s">
        <v>225</v>
      </c>
      <c r="C110" s="9">
        <v>6</v>
      </c>
      <c r="D110" s="9">
        <v>9</v>
      </c>
      <c r="E110" s="9">
        <v>1</v>
      </c>
      <c r="F110" s="9">
        <v>7</v>
      </c>
      <c r="G110" s="9">
        <v>11</v>
      </c>
      <c r="H110" s="9">
        <v>6</v>
      </c>
      <c r="I110" s="3">
        <v>6</v>
      </c>
      <c r="J110" s="3">
        <v>10</v>
      </c>
      <c r="K110" s="3">
        <v>5</v>
      </c>
      <c r="L110" s="10">
        <f t="shared" si="4"/>
        <v>6.7777777777777777</v>
      </c>
    </row>
    <row r="111" spans="1:12" ht="14.25" customHeight="1" x14ac:dyDescent="0.3">
      <c r="A111" s="3">
        <v>-0.82357176289964173</v>
      </c>
      <c r="B111" s="9" t="s">
        <v>228</v>
      </c>
      <c r="C111" s="9">
        <v>23</v>
      </c>
      <c r="D111" s="9">
        <v>20</v>
      </c>
      <c r="E111" s="9">
        <v>20</v>
      </c>
      <c r="F111" s="9">
        <v>17</v>
      </c>
      <c r="G111" s="9">
        <v>22</v>
      </c>
      <c r="H111" s="9">
        <v>23</v>
      </c>
      <c r="I111" s="3">
        <v>23</v>
      </c>
      <c r="J111" s="3">
        <v>20</v>
      </c>
      <c r="K111" s="3">
        <v>23</v>
      </c>
      <c r="L111" s="10">
        <f t="shared" si="4"/>
        <v>21.222222222222221</v>
      </c>
    </row>
    <row r="112" spans="1:12" ht="14.25" customHeight="1" x14ac:dyDescent="0.3">
      <c r="A112" s="3">
        <v>-0.83166677317607873</v>
      </c>
      <c r="B112" s="9" t="s">
        <v>217</v>
      </c>
      <c r="C112" s="9">
        <v>1</v>
      </c>
      <c r="D112" s="9">
        <v>9</v>
      </c>
      <c r="E112" s="9">
        <v>9</v>
      </c>
      <c r="F112" s="9">
        <v>11</v>
      </c>
      <c r="G112" s="9">
        <v>7</v>
      </c>
      <c r="H112" s="9">
        <v>9</v>
      </c>
      <c r="I112" s="3">
        <v>9</v>
      </c>
      <c r="J112" s="3">
        <v>5</v>
      </c>
      <c r="K112" s="3">
        <v>7</v>
      </c>
      <c r="L112" s="10">
        <f t="shared" si="4"/>
        <v>7.4444444444444446</v>
      </c>
    </row>
    <row r="113" spans="1:12" ht="14.25" customHeight="1" x14ac:dyDescent="0.3">
      <c r="A113" s="3">
        <v>-0.99035075718315457</v>
      </c>
      <c r="B113" s="9" t="s">
        <v>227</v>
      </c>
      <c r="C113" s="9">
        <v>6</v>
      </c>
      <c r="D113" s="9">
        <v>11</v>
      </c>
      <c r="E113" s="9">
        <v>14</v>
      </c>
      <c r="F113" s="9">
        <v>8</v>
      </c>
      <c r="G113" s="9">
        <v>17</v>
      </c>
      <c r="H113" s="9">
        <v>13</v>
      </c>
      <c r="I113" s="3">
        <v>14</v>
      </c>
      <c r="J113" s="3">
        <v>11</v>
      </c>
      <c r="K113" s="3">
        <v>7</v>
      </c>
      <c r="L113" s="10">
        <f t="shared" si="4"/>
        <v>11.222222222222221</v>
      </c>
    </row>
    <row r="114" spans="1:12" ht="14.25" customHeight="1" x14ac:dyDescent="0.3">
      <c r="A114" s="3">
        <v>-1.072806810743151</v>
      </c>
      <c r="B114" s="9" t="s">
        <v>221</v>
      </c>
      <c r="C114" s="9">
        <v>5</v>
      </c>
      <c r="D114" s="9">
        <v>16</v>
      </c>
      <c r="E114" s="9">
        <v>9</v>
      </c>
      <c r="F114" s="9">
        <v>16</v>
      </c>
      <c r="G114" s="9">
        <v>15</v>
      </c>
      <c r="H114" s="9">
        <v>16</v>
      </c>
      <c r="I114" s="3">
        <v>9</v>
      </c>
      <c r="J114" s="3">
        <v>13</v>
      </c>
      <c r="K114" s="3">
        <v>14</v>
      </c>
      <c r="L114" s="10">
        <f t="shared" si="4"/>
        <v>12.555555555555555</v>
      </c>
    </row>
    <row r="115" spans="1:12" ht="14.25" customHeight="1" x14ac:dyDescent="0.3">
      <c r="A115" s="3">
        <v>-1.1339562965442611</v>
      </c>
      <c r="B115" s="9" t="s">
        <v>224</v>
      </c>
      <c r="C115" s="9">
        <v>15</v>
      </c>
      <c r="D115" s="9">
        <v>11</v>
      </c>
      <c r="E115" s="9">
        <v>5</v>
      </c>
      <c r="F115" s="9">
        <v>8</v>
      </c>
      <c r="G115" s="9">
        <v>13</v>
      </c>
      <c r="H115" s="9">
        <v>3</v>
      </c>
      <c r="I115" s="3">
        <v>12</v>
      </c>
      <c r="J115" s="3">
        <v>5</v>
      </c>
      <c r="K115" s="3">
        <v>2</v>
      </c>
      <c r="L115" s="10">
        <f t="shared" si="4"/>
        <v>8.2222222222222214</v>
      </c>
    </row>
    <row r="116" spans="1:12" ht="14.25" customHeight="1" x14ac:dyDescent="0.3">
      <c r="A116" s="3">
        <v>-1.196962071035268</v>
      </c>
      <c r="B116" s="9" t="s">
        <v>207</v>
      </c>
      <c r="C116" s="9">
        <v>12</v>
      </c>
      <c r="D116" s="9">
        <v>14</v>
      </c>
      <c r="E116" s="9">
        <v>12</v>
      </c>
      <c r="F116" s="9">
        <v>6</v>
      </c>
      <c r="G116" s="9">
        <v>11</v>
      </c>
      <c r="H116" s="9">
        <v>13</v>
      </c>
      <c r="I116" s="3">
        <v>19</v>
      </c>
      <c r="J116" s="3">
        <v>15</v>
      </c>
      <c r="K116" s="3">
        <v>17</v>
      </c>
      <c r="L116" s="10">
        <f t="shared" si="4"/>
        <v>13.222222222222221</v>
      </c>
    </row>
    <row r="117" spans="1:12" ht="14.25" customHeight="1" x14ac:dyDescent="0.3">
      <c r="A117" s="3">
        <v>-1.679865001322572</v>
      </c>
      <c r="B117" s="9" t="s">
        <v>222</v>
      </c>
      <c r="C117" s="9">
        <v>21</v>
      </c>
      <c r="D117" s="9">
        <v>27</v>
      </c>
      <c r="E117" s="9">
        <v>26</v>
      </c>
      <c r="F117" s="9">
        <v>22</v>
      </c>
      <c r="G117" s="9">
        <v>25</v>
      </c>
      <c r="H117" s="9">
        <v>27</v>
      </c>
      <c r="I117" s="3">
        <v>27</v>
      </c>
      <c r="J117" s="3">
        <v>27</v>
      </c>
      <c r="K117" s="3">
        <v>21</v>
      </c>
      <c r="L117" s="10">
        <f t="shared" si="4"/>
        <v>24.777777777777779</v>
      </c>
    </row>
    <row r="118" spans="1:12" ht="14.25" customHeight="1" x14ac:dyDescent="0.3">
      <c r="L118" s="5"/>
    </row>
    <row r="119" spans="1:12" ht="14.25" customHeight="1" x14ac:dyDescent="0.3">
      <c r="L119" s="5"/>
    </row>
    <row r="120" spans="1:12" ht="14.25" customHeight="1" x14ac:dyDescent="0.3">
      <c r="B120" s="2" t="s">
        <v>178</v>
      </c>
      <c r="C120" s="2" t="s">
        <v>239</v>
      </c>
      <c r="L120" s="5"/>
    </row>
    <row r="121" spans="1:12" ht="14.25" customHeight="1" x14ac:dyDescent="0.3">
      <c r="B121" s="2" t="s">
        <v>180</v>
      </c>
      <c r="C121" s="6">
        <v>45942</v>
      </c>
      <c r="D121" s="6">
        <v>45949</v>
      </c>
      <c r="E121" s="6">
        <v>45956</v>
      </c>
      <c r="F121" s="6">
        <v>45963</v>
      </c>
      <c r="G121" s="6">
        <v>45970</v>
      </c>
      <c r="H121" s="6">
        <v>45977</v>
      </c>
      <c r="I121" s="6">
        <v>45984</v>
      </c>
      <c r="J121" s="6">
        <v>45991</v>
      </c>
      <c r="K121" s="6">
        <v>45998</v>
      </c>
      <c r="L121" s="7" t="s">
        <v>240</v>
      </c>
    </row>
    <row r="122" spans="1:12" ht="14.25" customHeight="1" x14ac:dyDescent="0.3">
      <c r="A122" s="3">
        <v>0.9957863323050703</v>
      </c>
      <c r="B122" s="9" t="s">
        <v>195</v>
      </c>
      <c r="C122" s="9">
        <v>12</v>
      </c>
      <c r="D122" s="9">
        <v>1</v>
      </c>
      <c r="E122" s="9">
        <v>5</v>
      </c>
      <c r="F122" s="9">
        <v>2</v>
      </c>
      <c r="G122" s="9">
        <v>1</v>
      </c>
      <c r="H122" s="9">
        <v>3</v>
      </c>
      <c r="I122" s="3">
        <v>0</v>
      </c>
      <c r="J122" s="3">
        <v>12</v>
      </c>
      <c r="K122" s="3">
        <v>4</v>
      </c>
      <c r="L122" s="7">
        <f t="shared" ref="L122:L141" si="5">AVERAGE(C122:K122)</f>
        <v>4.4444444444444446</v>
      </c>
    </row>
    <row r="123" spans="1:12" ht="14.25" customHeight="1" x14ac:dyDescent="0.3">
      <c r="A123" s="3">
        <v>0.98995442105744402</v>
      </c>
      <c r="B123" s="9" t="s">
        <v>199</v>
      </c>
      <c r="C123" s="9">
        <v>1</v>
      </c>
      <c r="D123" s="9">
        <v>6</v>
      </c>
      <c r="E123" s="9">
        <v>6</v>
      </c>
      <c r="F123" s="9">
        <v>0</v>
      </c>
      <c r="G123" s="9">
        <v>2</v>
      </c>
      <c r="H123" s="9">
        <v>5</v>
      </c>
      <c r="I123" s="3">
        <v>3</v>
      </c>
      <c r="J123" s="3">
        <v>5</v>
      </c>
      <c r="K123" s="3">
        <v>6</v>
      </c>
      <c r="L123" s="7">
        <f t="shared" si="5"/>
        <v>3.7777777777777777</v>
      </c>
    </row>
    <row r="124" spans="1:12" ht="14.25" customHeight="1" x14ac:dyDescent="0.3">
      <c r="A124" s="3">
        <v>0.8031838310216366</v>
      </c>
      <c r="B124" s="9" t="s">
        <v>203</v>
      </c>
      <c r="C124" s="9">
        <v>3</v>
      </c>
      <c r="D124" s="9">
        <v>7</v>
      </c>
      <c r="E124" s="9">
        <v>4</v>
      </c>
      <c r="F124" s="9">
        <v>4</v>
      </c>
      <c r="G124" s="9">
        <v>3</v>
      </c>
      <c r="H124" s="9">
        <v>4</v>
      </c>
      <c r="I124" s="3">
        <v>0</v>
      </c>
      <c r="J124" s="3">
        <v>3</v>
      </c>
      <c r="K124" s="3">
        <v>2</v>
      </c>
      <c r="L124" s="7">
        <f t="shared" si="5"/>
        <v>3.3333333333333335</v>
      </c>
    </row>
    <row r="125" spans="1:12" ht="14.25" customHeight="1" x14ac:dyDescent="0.3">
      <c r="A125" s="3">
        <v>0.7952330657044463</v>
      </c>
      <c r="B125" s="9" t="s">
        <v>206</v>
      </c>
      <c r="C125" s="9">
        <v>20</v>
      </c>
      <c r="D125" s="9">
        <v>6</v>
      </c>
      <c r="E125" s="9">
        <v>16</v>
      </c>
      <c r="F125" s="9">
        <v>3</v>
      </c>
      <c r="G125" s="9">
        <v>17</v>
      </c>
      <c r="H125" s="9">
        <v>31</v>
      </c>
      <c r="I125" s="3">
        <v>16</v>
      </c>
      <c r="J125" s="3">
        <v>17</v>
      </c>
      <c r="K125" s="3">
        <v>5</v>
      </c>
      <c r="L125" s="7">
        <f t="shared" si="5"/>
        <v>14.555555555555555</v>
      </c>
    </row>
    <row r="126" spans="1:12" ht="14.25" customHeight="1" x14ac:dyDescent="0.3">
      <c r="A126" s="3">
        <v>0.65812761495518723</v>
      </c>
      <c r="B126" s="9" t="s">
        <v>202</v>
      </c>
      <c r="C126" s="9">
        <v>4</v>
      </c>
      <c r="D126" s="9">
        <v>3</v>
      </c>
      <c r="E126" s="9">
        <v>2</v>
      </c>
      <c r="F126" s="9">
        <v>3</v>
      </c>
      <c r="G126" s="9">
        <v>7</v>
      </c>
      <c r="H126" s="9">
        <v>0</v>
      </c>
      <c r="I126" s="3">
        <v>6</v>
      </c>
      <c r="J126" s="3">
        <v>6</v>
      </c>
      <c r="K126" s="3">
        <v>10</v>
      </c>
      <c r="L126" s="7">
        <f t="shared" si="5"/>
        <v>4.5555555555555554</v>
      </c>
    </row>
    <row r="127" spans="1:12" ht="14.25" customHeight="1" x14ac:dyDescent="0.3">
      <c r="A127" s="3">
        <v>0.65757862978307635</v>
      </c>
      <c r="B127" s="9" t="s">
        <v>205</v>
      </c>
      <c r="C127" s="9">
        <v>3</v>
      </c>
      <c r="D127" s="9">
        <v>1</v>
      </c>
      <c r="E127" s="9">
        <v>2</v>
      </c>
      <c r="F127" s="9">
        <v>1</v>
      </c>
      <c r="G127" s="9">
        <v>0</v>
      </c>
      <c r="H127" s="9">
        <v>3</v>
      </c>
      <c r="I127" s="3">
        <v>0</v>
      </c>
      <c r="J127" s="3">
        <v>1</v>
      </c>
      <c r="K127" s="3">
        <v>3</v>
      </c>
      <c r="L127" s="7">
        <f t="shared" si="5"/>
        <v>1.5555555555555556</v>
      </c>
    </row>
    <row r="128" spans="1:12" ht="14.25" customHeight="1" x14ac:dyDescent="0.3">
      <c r="A128" s="3">
        <v>0.44467337167202509</v>
      </c>
      <c r="B128" s="9" t="s">
        <v>215</v>
      </c>
      <c r="C128" s="9">
        <v>6</v>
      </c>
      <c r="D128" s="9">
        <v>14</v>
      </c>
      <c r="E128" s="9">
        <v>6</v>
      </c>
      <c r="F128" s="9">
        <v>1</v>
      </c>
      <c r="G128" s="9">
        <v>8</v>
      </c>
      <c r="H128" s="9">
        <v>2</v>
      </c>
      <c r="I128" s="3">
        <v>6</v>
      </c>
      <c r="J128" s="3">
        <v>14</v>
      </c>
      <c r="K128" s="3">
        <v>5</v>
      </c>
      <c r="L128" s="7">
        <f t="shared" si="5"/>
        <v>6.8888888888888893</v>
      </c>
    </row>
    <row r="129" spans="1:12" ht="14.25" customHeight="1" x14ac:dyDescent="0.3">
      <c r="A129" s="3">
        <v>0.28220965544261112</v>
      </c>
      <c r="B129" s="9" t="s">
        <v>218</v>
      </c>
      <c r="C129" s="9">
        <v>4</v>
      </c>
      <c r="D129" s="9">
        <v>1</v>
      </c>
      <c r="E129" s="9">
        <v>13</v>
      </c>
      <c r="F129" s="9">
        <v>0</v>
      </c>
      <c r="G129" s="9">
        <v>2</v>
      </c>
      <c r="H129" s="9">
        <v>0</v>
      </c>
      <c r="I129" s="3">
        <v>18</v>
      </c>
      <c r="J129" s="3">
        <v>10</v>
      </c>
      <c r="K129" s="3">
        <v>15</v>
      </c>
      <c r="L129" s="7">
        <f t="shared" si="5"/>
        <v>7</v>
      </c>
    </row>
    <row r="130" spans="1:12" ht="14.25" customHeight="1" x14ac:dyDescent="0.3">
      <c r="A130" s="3">
        <v>0.26647717855960468</v>
      </c>
      <c r="B130" s="9" t="s">
        <v>198</v>
      </c>
      <c r="C130" s="9">
        <v>11</v>
      </c>
      <c r="D130" s="9">
        <v>7</v>
      </c>
      <c r="E130" s="9">
        <v>5</v>
      </c>
      <c r="F130" s="9">
        <v>5</v>
      </c>
      <c r="G130" s="9">
        <v>5</v>
      </c>
      <c r="H130" s="9">
        <v>1</v>
      </c>
      <c r="I130" s="3">
        <v>3</v>
      </c>
      <c r="J130" s="3">
        <v>4</v>
      </c>
      <c r="K130" s="3">
        <v>11</v>
      </c>
      <c r="L130" s="7">
        <f t="shared" si="5"/>
        <v>5.7777777777777777</v>
      </c>
    </row>
    <row r="131" spans="1:12" ht="14.25" customHeight="1" x14ac:dyDescent="0.3">
      <c r="A131" s="3">
        <v>2.6646209564781631E-3</v>
      </c>
      <c r="B131" s="9" t="s">
        <v>209</v>
      </c>
      <c r="C131" s="9">
        <v>2</v>
      </c>
      <c r="D131" s="9">
        <v>4</v>
      </c>
      <c r="E131" s="9">
        <v>5</v>
      </c>
      <c r="F131" s="9">
        <v>1</v>
      </c>
      <c r="G131" s="9">
        <v>1</v>
      </c>
      <c r="H131" s="9">
        <v>3</v>
      </c>
      <c r="I131" s="3">
        <v>5</v>
      </c>
      <c r="J131" s="3">
        <v>0</v>
      </c>
      <c r="K131" s="3">
        <v>4</v>
      </c>
      <c r="L131" s="7">
        <f t="shared" si="5"/>
        <v>2.7777777777777777</v>
      </c>
    </row>
    <row r="132" spans="1:12" ht="14.25" customHeight="1" x14ac:dyDescent="0.3">
      <c r="A132" s="3">
        <v>-0.3761105231824623</v>
      </c>
      <c r="B132" s="9" t="s">
        <v>214</v>
      </c>
      <c r="C132" s="9">
        <v>14</v>
      </c>
      <c r="D132" s="9">
        <v>3</v>
      </c>
      <c r="E132" s="9">
        <v>8</v>
      </c>
      <c r="F132" s="9">
        <v>12</v>
      </c>
      <c r="G132" s="9">
        <v>14</v>
      </c>
      <c r="H132" s="9">
        <v>15</v>
      </c>
      <c r="I132" s="3">
        <v>10</v>
      </c>
      <c r="J132" s="3">
        <v>3</v>
      </c>
      <c r="K132" s="3">
        <v>7</v>
      </c>
      <c r="L132" s="7">
        <f t="shared" si="5"/>
        <v>9.5555555555555554</v>
      </c>
    </row>
    <row r="133" spans="1:12" ht="14.25" customHeight="1" x14ac:dyDescent="0.3">
      <c r="A133" s="3">
        <v>-0.61856740376708086</v>
      </c>
      <c r="B133" s="9" t="s">
        <v>211</v>
      </c>
      <c r="C133" s="9">
        <v>12</v>
      </c>
      <c r="D133" s="9">
        <v>14</v>
      </c>
      <c r="E133" s="9">
        <v>13</v>
      </c>
      <c r="F133" s="9">
        <v>6</v>
      </c>
      <c r="G133" s="9">
        <v>15</v>
      </c>
      <c r="H133" s="9">
        <v>11</v>
      </c>
      <c r="I133" s="3">
        <v>14</v>
      </c>
      <c r="J133" s="3">
        <v>14</v>
      </c>
      <c r="K133" s="3">
        <v>14</v>
      </c>
      <c r="L133" s="7">
        <f t="shared" si="5"/>
        <v>12.555555555555555</v>
      </c>
    </row>
    <row r="134" spans="1:12" ht="14.25" customHeight="1" x14ac:dyDescent="0.3">
      <c r="A134" s="3">
        <v>-0.76845746918237878</v>
      </c>
      <c r="B134" s="9" t="s">
        <v>225</v>
      </c>
      <c r="C134" s="9">
        <v>9</v>
      </c>
      <c r="D134" s="9">
        <v>7</v>
      </c>
      <c r="E134" s="9">
        <v>6</v>
      </c>
      <c r="F134" s="9">
        <v>9</v>
      </c>
      <c r="G134" s="9">
        <v>11</v>
      </c>
      <c r="H134" s="9">
        <v>11</v>
      </c>
      <c r="I134" s="3">
        <v>7</v>
      </c>
      <c r="J134" s="3">
        <v>6</v>
      </c>
      <c r="K134" s="3">
        <v>9</v>
      </c>
      <c r="L134" s="7">
        <f t="shared" si="5"/>
        <v>8.3333333333333339</v>
      </c>
    </row>
    <row r="135" spans="1:12" ht="14.25" customHeight="1" x14ac:dyDescent="0.3">
      <c r="A135" s="3">
        <v>-0.82357176289964173</v>
      </c>
      <c r="B135" s="9" t="s">
        <v>228</v>
      </c>
      <c r="C135" s="9">
        <v>11</v>
      </c>
      <c r="D135" s="9">
        <v>22</v>
      </c>
      <c r="E135" s="9">
        <v>15</v>
      </c>
      <c r="F135" s="9">
        <v>15</v>
      </c>
      <c r="G135" s="9">
        <v>17</v>
      </c>
      <c r="H135" s="9">
        <v>19</v>
      </c>
      <c r="I135" s="3">
        <v>18</v>
      </c>
      <c r="J135" s="3">
        <v>11</v>
      </c>
      <c r="K135" s="3">
        <v>17</v>
      </c>
      <c r="L135" s="7">
        <f t="shared" si="5"/>
        <v>16.111111111111111</v>
      </c>
    </row>
    <row r="136" spans="1:12" ht="14.25" customHeight="1" x14ac:dyDescent="0.3">
      <c r="A136" s="3">
        <v>-0.83166677317607873</v>
      </c>
      <c r="B136" s="9" t="s">
        <v>217</v>
      </c>
      <c r="C136" s="9">
        <v>10</v>
      </c>
      <c r="D136" s="9">
        <v>5</v>
      </c>
      <c r="E136" s="9">
        <v>8</v>
      </c>
      <c r="F136" s="9">
        <v>8</v>
      </c>
      <c r="G136" s="9">
        <v>11</v>
      </c>
      <c r="H136" s="9">
        <v>11</v>
      </c>
      <c r="I136" s="3">
        <v>5</v>
      </c>
      <c r="J136" s="3">
        <v>5</v>
      </c>
      <c r="K136" s="3">
        <v>9</v>
      </c>
      <c r="L136" s="7">
        <f t="shared" si="5"/>
        <v>8</v>
      </c>
    </row>
    <row r="137" spans="1:12" ht="14.25" customHeight="1" x14ac:dyDescent="0.3">
      <c r="A137" s="3">
        <v>-0.99035075718315457</v>
      </c>
      <c r="B137" s="9" t="s">
        <v>227</v>
      </c>
      <c r="C137" s="9">
        <v>10</v>
      </c>
      <c r="D137" s="9">
        <v>16</v>
      </c>
      <c r="E137" s="9">
        <v>14</v>
      </c>
      <c r="F137" s="9">
        <v>11</v>
      </c>
      <c r="G137" s="9">
        <v>15</v>
      </c>
      <c r="H137" s="9">
        <v>14</v>
      </c>
      <c r="I137" s="3">
        <v>17</v>
      </c>
      <c r="J137" s="3">
        <v>10</v>
      </c>
      <c r="K137" s="3">
        <v>9</v>
      </c>
      <c r="L137" s="7">
        <f t="shared" si="5"/>
        <v>12.888888888888889</v>
      </c>
    </row>
    <row r="138" spans="1:12" ht="14.25" customHeight="1" x14ac:dyDescent="0.3">
      <c r="A138" s="3">
        <v>-1.072806810743151</v>
      </c>
      <c r="B138" s="9" t="s">
        <v>221</v>
      </c>
      <c r="C138" s="9">
        <v>11</v>
      </c>
      <c r="D138" s="9">
        <v>5</v>
      </c>
      <c r="E138" s="9">
        <v>13</v>
      </c>
      <c r="F138" s="9">
        <v>11</v>
      </c>
      <c r="G138" s="9">
        <v>17</v>
      </c>
      <c r="H138" s="9">
        <v>14</v>
      </c>
      <c r="I138" s="3">
        <v>10</v>
      </c>
      <c r="J138" s="3">
        <v>17</v>
      </c>
      <c r="K138" s="3">
        <v>11</v>
      </c>
      <c r="L138" s="7">
        <f t="shared" si="5"/>
        <v>12.111111111111111</v>
      </c>
    </row>
    <row r="139" spans="1:12" ht="14.25" customHeight="1" x14ac:dyDescent="0.3">
      <c r="A139" s="3">
        <v>-1.1339562965442611</v>
      </c>
      <c r="B139" s="9" t="s">
        <v>224</v>
      </c>
      <c r="C139" s="9">
        <v>15</v>
      </c>
      <c r="D139" s="9">
        <v>15</v>
      </c>
      <c r="E139" s="9">
        <v>15</v>
      </c>
      <c r="F139" s="9">
        <v>8</v>
      </c>
      <c r="G139" s="9">
        <v>15</v>
      </c>
      <c r="H139" s="9">
        <v>11</v>
      </c>
      <c r="I139" s="3">
        <v>8</v>
      </c>
      <c r="J139" s="3">
        <v>13</v>
      </c>
      <c r="K139" s="3">
        <v>9</v>
      </c>
      <c r="L139" s="7">
        <f t="shared" si="5"/>
        <v>12.111111111111111</v>
      </c>
    </row>
    <row r="140" spans="1:12" ht="14.25" customHeight="1" x14ac:dyDescent="0.3">
      <c r="A140" s="3">
        <v>-1.196962071035268</v>
      </c>
      <c r="B140" s="9" t="s">
        <v>207</v>
      </c>
      <c r="C140" s="9">
        <v>15</v>
      </c>
      <c r="D140" s="9">
        <v>17</v>
      </c>
      <c r="E140" s="9">
        <v>19</v>
      </c>
      <c r="F140" s="9">
        <v>12</v>
      </c>
      <c r="G140" s="9">
        <v>19</v>
      </c>
      <c r="H140" s="9">
        <v>6</v>
      </c>
      <c r="I140" s="3">
        <v>19</v>
      </c>
      <c r="J140" s="3">
        <v>15</v>
      </c>
      <c r="K140" s="3">
        <v>19</v>
      </c>
      <c r="L140" s="7">
        <f t="shared" si="5"/>
        <v>15.666666666666666</v>
      </c>
    </row>
    <row r="141" spans="1:12" ht="14.25" customHeight="1" x14ac:dyDescent="0.3">
      <c r="A141" s="3">
        <v>-1.679865001322572</v>
      </c>
      <c r="B141" s="9" t="s">
        <v>222</v>
      </c>
      <c r="C141" s="9">
        <v>9</v>
      </c>
      <c r="D141" s="9">
        <v>18</v>
      </c>
      <c r="E141" s="9">
        <v>21</v>
      </c>
      <c r="F141" s="9">
        <v>18</v>
      </c>
      <c r="G141" s="9">
        <v>18</v>
      </c>
      <c r="H141" s="9">
        <v>26</v>
      </c>
      <c r="I141" s="3">
        <v>21</v>
      </c>
      <c r="J141" s="3">
        <v>13</v>
      </c>
      <c r="K141" s="3">
        <v>25</v>
      </c>
      <c r="L141" s="7">
        <f t="shared" si="5"/>
        <v>18.777777777777779</v>
      </c>
    </row>
    <row r="142" spans="1:12" ht="14.25" customHeight="1" x14ac:dyDescent="0.3">
      <c r="L142" s="5"/>
    </row>
    <row r="143" spans="1:12" ht="14.25" customHeight="1" x14ac:dyDescent="0.3">
      <c r="L143" s="5"/>
    </row>
    <row r="144" spans="1:12" ht="14.25" customHeight="1" x14ac:dyDescent="0.3">
      <c r="B144" s="2" t="s">
        <v>178</v>
      </c>
      <c r="C144" s="2" t="s">
        <v>241</v>
      </c>
      <c r="D144" s="3" t="s">
        <v>242</v>
      </c>
      <c r="E144" s="3" t="s">
        <v>243</v>
      </c>
      <c r="F144" s="3" t="s">
        <v>244</v>
      </c>
      <c r="L144" s="5"/>
    </row>
    <row r="145" spans="1:12" ht="14.25" customHeight="1" x14ac:dyDescent="0.3">
      <c r="B145" s="2" t="s">
        <v>180</v>
      </c>
      <c r="C145" s="6">
        <v>45943</v>
      </c>
      <c r="D145" s="6">
        <v>45950</v>
      </c>
      <c r="E145" s="6">
        <v>45957</v>
      </c>
      <c r="F145" s="6">
        <v>45964</v>
      </c>
      <c r="G145" s="6">
        <v>45971</v>
      </c>
      <c r="H145" s="6">
        <v>45978</v>
      </c>
      <c r="I145" s="6">
        <v>45985</v>
      </c>
      <c r="J145" s="6">
        <v>45992</v>
      </c>
      <c r="K145" s="6">
        <v>45999</v>
      </c>
      <c r="L145" s="7" t="s">
        <v>245</v>
      </c>
    </row>
    <row r="146" spans="1:12" ht="14.25" customHeight="1" x14ac:dyDescent="0.3">
      <c r="A146" s="3">
        <v>0.9957863323050703</v>
      </c>
      <c r="B146" s="9" t="s">
        <v>195</v>
      </c>
      <c r="C146" s="9">
        <v>0</v>
      </c>
      <c r="D146" s="3">
        <v>3</v>
      </c>
      <c r="E146" s="3">
        <v>3</v>
      </c>
      <c r="F146" s="3">
        <v>3</v>
      </c>
      <c r="G146" s="9">
        <v>3</v>
      </c>
      <c r="H146" s="9">
        <v>1</v>
      </c>
      <c r="I146" s="3">
        <v>6</v>
      </c>
      <c r="J146" s="3">
        <v>5</v>
      </c>
      <c r="K146" s="3">
        <v>3</v>
      </c>
      <c r="L146" s="7">
        <f t="shared" ref="L146:L165" si="6">AVERAGE(C146:K146)</f>
        <v>3</v>
      </c>
    </row>
    <row r="147" spans="1:12" ht="14.25" customHeight="1" x14ac:dyDescent="0.3">
      <c r="A147" s="3">
        <v>0.98995442105744402</v>
      </c>
      <c r="B147" s="9" t="s">
        <v>199</v>
      </c>
      <c r="C147" s="9">
        <v>0</v>
      </c>
      <c r="D147" s="3">
        <v>2</v>
      </c>
      <c r="E147" s="3">
        <v>2</v>
      </c>
      <c r="F147" s="3">
        <v>2</v>
      </c>
      <c r="G147" s="9">
        <v>0</v>
      </c>
      <c r="H147" s="9">
        <v>4</v>
      </c>
      <c r="I147" s="3">
        <v>3</v>
      </c>
      <c r="J147" s="3">
        <v>0</v>
      </c>
      <c r="K147" s="3">
        <v>4</v>
      </c>
      <c r="L147" s="7">
        <f t="shared" si="6"/>
        <v>1.8888888888888888</v>
      </c>
    </row>
    <row r="148" spans="1:12" ht="14.25" customHeight="1" x14ac:dyDescent="0.3">
      <c r="A148" s="3">
        <v>0.8031838310216366</v>
      </c>
      <c r="B148" s="9" t="s">
        <v>203</v>
      </c>
      <c r="C148" s="9">
        <v>3</v>
      </c>
      <c r="D148" s="3">
        <v>2</v>
      </c>
      <c r="E148" s="3">
        <v>2</v>
      </c>
      <c r="F148" s="3">
        <v>2</v>
      </c>
      <c r="G148" s="9">
        <v>0</v>
      </c>
      <c r="H148" s="9">
        <v>2</v>
      </c>
      <c r="I148" s="3">
        <v>1</v>
      </c>
      <c r="J148" s="3">
        <v>4</v>
      </c>
      <c r="K148" s="3">
        <v>2</v>
      </c>
      <c r="L148" s="7">
        <f t="shared" si="6"/>
        <v>2</v>
      </c>
    </row>
    <row r="149" spans="1:12" ht="14.25" customHeight="1" x14ac:dyDescent="0.3">
      <c r="A149" s="3">
        <v>0.7952330657044463</v>
      </c>
      <c r="B149" s="9" t="s">
        <v>206</v>
      </c>
      <c r="C149" s="9">
        <v>14</v>
      </c>
      <c r="D149" s="3">
        <v>13</v>
      </c>
      <c r="E149" s="3">
        <v>13</v>
      </c>
      <c r="F149" s="3">
        <v>13</v>
      </c>
      <c r="G149" s="9">
        <v>16</v>
      </c>
      <c r="H149" s="9">
        <v>5</v>
      </c>
      <c r="I149" s="3">
        <v>1</v>
      </c>
      <c r="J149" s="3">
        <v>17</v>
      </c>
      <c r="K149" s="3">
        <v>18</v>
      </c>
      <c r="L149" s="7">
        <f t="shared" si="6"/>
        <v>12.222222222222221</v>
      </c>
    </row>
    <row r="150" spans="1:12" ht="14.25" customHeight="1" x14ac:dyDescent="0.3">
      <c r="A150" s="3">
        <v>0.65812761495518723</v>
      </c>
      <c r="B150" s="9" t="s">
        <v>202</v>
      </c>
      <c r="C150" s="9">
        <v>3</v>
      </c>
      <c r="D150" s="3">
        <v>3</v>
      </c>
      <c r="E150" s="3">
        <v>3</v>
      </c>
      <c r="F150" s="3">
        <v>3</v>
      </c>
      <c r="G150" s="9">
        <v>4</v>
      </c>
      <c r="H150" s="9">
        <v>0</v>
      </c>
      <c r="I150" s="3">
        <v>4</v>
      </c>
      <c r="J150" s="3">
        <v>7</v>
      </c>
      <c r="K150" s="3">
        <v>11</v>
      </c>
      <c r="L150" s="7">
        <f t="shared" si="6"/>
        <v>4.2222222222222223</v>
      </c>
    </row>
    <row r="151" spans="1:12" ht="14.25" customHeight="1" x14ac:dyDescent="0.3">
      <c r="A151" s="3">
        <v>0.65757862978307635</v>
      </c>
      <c r="B151" s="9" t="s">
        <v>205</v>
      </c>
      <c r="C151" s="9">
        <v>4</v>
      </c>
      <c r="D151" s="3">
        <v>1</v>
      </c>
      <c r="E151" s="3">
        <v>1</v>
      </c>
      <c r="F151" s="3">
        <v>1</v>
      </c>
      <c r="G151" s="9">
        <v>1</v>
      </c>
      <c r="H151" s="9">
        <v>3</v>
      </c>
      <c r="I151" s="3">
        <v>1</v>
      </c>
      <c r="J151" s="3">
        <v>0</v>
      </c>
      <c r="K151" s="3">
        <v>3</v>
      </c>
      <c r="L151" s="7">
        <f t="shared" si="6"/>
        <v>1.6666666666666667</v>
      </c>
    </row>
    <row r="152" spans="1:12" ht="14.25" customHeight="1" x14ac:dyDescent="0.3">
      <c r="A152" s="3">
        <v>0.44467337167202509</v>
      </c>
      <c r="B152" s="9" t="s">
        <v>215</v>
      </c>
      <c r="C152" s="9">
        <v>5</v>
      </c>
      <c r="D152" s="3">
        <v>8</v>
      </c>
      <c r="E152" s="3">
        <v>8</v>
      </c>
      <c r="F152" s="3">
        <v>8</v>
      </c>
      <c r="G152" s="9">
        <v>5</v>
      </c>
      <c r="H152" s="9">
        <v>2</v>
      </c>
      <c r="I152" s="3">
        <v>6</v>
      </c>
      <c r="J152" s="3">
        <v>0</v>
      </c>
      <c r="K152" s="3">
        <v>3</v>
      </c>
      <c r="L152" s="7">
        <f t="shared" si="6"/>
        <v>5</v>
      </c>
    </row>
    <row r="153" spans="1:12" ht="14.25" customHeight="1" x14ac:dyDescent="0.3">
      <c r="A153" s="3">
        <v>0.28220965544261112</v>
      </c>
      <c r="B153" s="9" t="s">
        <v>218</v>
      </c>
      <c r="C153" s="9">
        <v>7</v>
      </c>
      <c r="D153" s="3">
        <v>6</v>
      </c>
      <c r="E153" s="3">
        <v>6</v>
      </c>
      <c r="F153" s="3">
        <v>6</v>
      </c>
      <c r="G153" s="9">
        <v>6</v>
      </c>
      <c r="H153" s="9">
        <v>0</v>
      </c>
      <c r="I153" s="3">
        <v>9</v>
      </c>
      <c r="J153" s="3">
        <v>8</v>
      </c>
      <c r="K153" s="3">
        <v>8</v>
      </c>
      <c r="L153" s="7">
        <f t="shared" si="6"/>
        <v>6.2222222222222223</v>
      </c>
    </row>
    <row r="154" spans="1:12" ht="14.25" customHeight="1" x14ac:dyDescent="0.3">
      <c r="A154" s="3">
        <v>0.26647717855960468</v>
      </c>
      <c r="B154" s="9" t="s">
        <v>198</v>
      </c>
      <c r="C154" s="9">
        <v>7</v>
      </c>
      <c r="D154" s="3">
        <v>4</v>
      </c>
      <c r="E154" s="3">
        <v>4</v>
      </c>
      <c r="F154" s="3">
        <v>4</v>
      </c>
      <c r="G154" s="9">
        <v>1</v>
      </c>
      <c r="H154" s="9">
        <v>0</v>
      </c>
      <c r="I154" s="3">
        <v>0</v>
      </c>
      <c r="J154" s="3">
        <v>1</v>
      </c>
      <c r="K154" s="3">
        <v>10</v>
      </c>
      <c r="L154" s="7">
        <f t="shared" si="6"/>
        <v>3.4444444444444446</v>
      </c>
    </row>
    <row r="155" spans="1:12" ht="14.25" customHeight="1" x14ac:dyDescent="0.3">
      <c r="A155" s="3">
        <v>2.6646209564781631E-3</v>
      </c>
      <c r="B155" s="9" t="s">
        <v>209</v>
      </c>
      <c r="C155" s="9">
        <v>2</v>
      </c>
      <c r="D155" s="3">
        <v>2</v>
      </c>
      <c r="E155" s="3">
        <v>2</v>
      </c>
      <c r="F155" s="3">
        <v>2</v>
      </c>
      <c r="G155" s="9">
        <v>1</v>
      </c>
      <c r="H155" s="9">
        <v>5</v>
      </c>
      <c r="I155" s="3">
        <v>5</v>
      </c>
      <c r="J155" s="3">
        <v>1</v>
      </c>
      <c r="K155" s="3">
        <v>4</v>
      </c>
      <c r="L155" s="7">
        <f t="shared" si="6"/>
        <v>2.6666666666666665</v>
      </c>
    </row>
    <row r="156" spans="1:12" ht="14.25" customHeight="1" x14ac:dyDescent="0.3">
      <c r="A156" s="3">
        <v>-0.3761105231824623</v>
      </c>
      <c r="B156" s="9" t="s">
        <v>214</v>
      </c>
      <c r="C156" s="9">
        <v>14</v>
      </c>
      <c r="D156" s="3">
        <v>10</v>
      </c>
      <c r="E156" s="3">
        <v>10</v>
      </c>
      <c r="F156" s="3">
        <v>10</v>
      </c>
      <c r="G156" s="9">
        <v>9</v>
      </c>
      <c r="H156" s="9">
        <v>13</v>
      </c>
      <c r="I156" s="3">
        <v>14</v>
      </c>
      <c r="J156" s="3">
        <v>0</v>
      </c>
      <c r="K156" s="3">
        <v>15</v>
      </c>
      <c r="L156" s="7">
        <f t="shared" si="6"/>
        <v>10.555555555555555</v>
      </c>
    </row>
    <row r="157" spans="1:12" ht="14.25" customHeight="1" x14ac:dyDescent="0.3">
      <c r="A157" s="3">
        <v>-0.61856740376708086</v>
      </c>
      <c r="B157" s="9" t="s">
        <v>211</v>
      </c>
      <c r="C157" s="9">
        <v>14</v>
      </c>
      <c r="D157" s="3">
        <v>11</v>
      </c>
      <c r="E157" s="3">
        <v>11</v>
      </c>
      <c r="F157" s="3">
        <v>11</v>
      </c>
      <c r="G157" s="9">
        <v>15</v>
      </c>
      <c r="H157" s="9">
        <v>8</v>
      </c>
      <c r="I157" s="3">
        <v>14</v>
      </c>
      <c r="J157" s="3">
        <v>9</v>
      </c>
      <c r="K157" s="3">
        <v>14</v>
      </c>
      <c r="L157" s="7">
        <f t="shared" si="6"/>
        <v>11.888888888888889</v>
      </c>
    </row>
    <row r="158" spans="1:12" ht="14.25" customHeight="1" x14ac:dyDescent="0.3">
      <c r="A158" s="3">
        <v>-0.76845746918237878</v>
      </c>
      <c r="B158" s="9" t="s">
        <v>225</v>
      </c>
      <c r="C158" s="9">
        <v>10</v>
      </c>
      <c r="D158" s="3">
        <v>7</v>
      </c>
      <c r="E158" s="3">
        <v>7</v>
      </c>
      <c r="F158" s="3">
        <v>7</v>
      </c>
      <c r="G158" s="9">
        <v>10</v>
      </c>
      <c r="H158" s="9">
        <v>10</v>
      </c>
      <c r="I158" s="3">
        <v>10</v>
      </c>
      <c r="J158" s="3">
        <v>5</v>
      </c>
      <c r="K158" s="3">
        <v>9</v>
      </c>
      <c r="L158" s="7">
        <f t="shared" si="6"/>
        <v>8.3333333333333339</v>
      </c>
    </row>
    <row r="159" spans="1:12" ht="14.25" customHeight="1" x14ac:dyDescent="0.3">
      <c r="A159" s="3">
        <v>-0.82357176289964173</v>
      </c>
      <c r="B159" s="9" t="s">
        <v>228</v>
      </c>
      <c r="C159" s="9">
        <v>21</v>
      </c>
      <c r="D159" s="3">
        <v>19</v>
      </c>
      <c r="E159" s="3">
        <v>19</v>
      </c>
      <c r="F159" s="3">
        <v>19</v>
      </c>
      <c r="G159" s="9">
        <v>23</v>
      </c>
      <c r="H159" s="9">
        <v>21</v>
      </c>
      <c r="I159" s="3">
        <v>20</v>
      </c>
      <c r="J159" s="3">
        <v>15</v>
      </c>
      <c r="K159" s="3">
        <v>23</v>
      </c>
      <c r="L159" s="7">
        <f t="shared" si="6"/>
        <v>20</v>
      </c>
    </row>
    <row r="160" spans="1:12" ht="14.25" customHeight="1" x14ac:dyDescent="0.3">
      <c r="A160" s="3">
        <v>-0.83166677317607873</v>
      </c>
      <c r="B160" s="9" t="s">
        <v>217</v>
      </c>
      <c r="C160" s="9">
        <v>8</v>
      </c>
      <c r="D160" s="3">
        <v>7</v>
      </c>
      <c r="E160" s="3">
        <v>7</v>
      </c>
      <c r="F160" s="3">
        <v>7</v>
      </c>
      <c r="G160" s="9">
        <v>6</v>
      </c>
      <c r="H160" s="9">
        <v>11</v>
      </c>
      <c r="I160" s="3">
        <v>6</v>
      </c>
      <c r="J160" s="3">
        <v>10</v>
      </c>
      <c r="K160" s="3">
        <v>9</v>
      </c>
      <c r="L160" s="7">
        <f t="shared" si="6"/>
        <v>7.8888888888888893</v>
      </c>
    </row>
    <row r="161" spans="1:12" ht="14.25" customHeight="1" x14ac:dyDescent="0.3">
      <c r="A161" s="3">
        <v>-0.99035075718315457</v>
      </c>
      <c r="B161" s="9" t="s">
        <v>227</v>
      </c>
      <c r="C161" s="9">
        <v>16</v>
      </c>
      <c r="D161" s="3">
        <v>13</v>
      </c>
      <c r="E161" s="3">
        <v>13</v>
      </c>
      <c r="F161" s="3">
        <v>13</v>
      </c>
      <c r="G161" s="9">
        <v>16</v>
      </c>
      <c r="H161" s="9">
        <v>17</v>
      </c>
      <c r="I161" s="3">
        <v>17</v>
      </c>
      <c r="J161" s="3">
        <v>15</v>
      </c>
      <c r="K161" s="3">
        <v>17</v>
      </c>
      <c r="L161" s="7">
        <f t="shared" si="6"/>
        <v>15.222222222222221</v>
      </c>
    </row>
    <row r="162" spans="1:12" ht="14.25" customHeight="1" x14ac:dyDescent="0.3">
      <c r="A162" s="3">
        <v>-1.072806810743151</v>
      </c>
      <c r="B162" s="9" t="s">
        <v>221</v>
      </c>
      <c r="C162" s="9">
        <v>18</v>
      </c>
      <c r="D162" s="3">
        <v>14</v>
      </c>
      <c r="E162" s="3">
        <v>14</v>
      </c>
      <c r="F162" s="3">
        <v>14</v>
      </c>
      <c r="G162" s="9">
        <v>18</v>
      </c>
      <c r="H162" s="9">
        <v>18</v>
      </c>
      <c r="I162" s="3">
        <v>16</v>
      </c>
      <c r="J162" s="3">
        <v>3</v>
      </c>
      <c r="K162" s="3">
        <v>4</v>
      </c>
      <c r="L162" s="7">
        <f t="shared" si="6"/>
        <v>13.222222222222221</v>
      </c>
    </row>
    <row r="163" spans="1:12" ht="14.25" customHeight="1" x14ac:dyDescent="0.3">
      <c r="A163" s="3">
        <v>-1.1339562965442611</v>
      </c>
      <c r="B163" s="9" t="s">
        <v>224</v>
      </c>
      <c r="C163" s="9">
        <v>15</v>
      </c>
      <c r="D163" s="3">
        <v>11</v>
      </c>
      <c r="E163" s="3">
        <v>11</v>
      </c>
      <c r="F163" s="3">
        <v>11</v>
      </c>
      <c r="G163" s="9">
        <v>15</v>
      </c>
      <c r="H163" s="9">
        <v>13</v>
      </c>
      <c r="I163" s="3">
        <v>14</v>
      </c>
      <c r="J163" s="3">
        <v>13</v>
      </c>
      <c r="K163" s="3">
        <v>14</v>
      </c>
      <c r="L163" s="7">
        <f t="shared" si="6"/>
        <v>13</v>
      </c>
    </row>
    <row r="164" spans="1:12" ht="14.25" customHeight="1" x14ac:dyDescent="0.3">
      <c r="A164" s="3">
        <v>-1.196962071035268</v>
      </c>
      <c r="B164" s="9" t="s">
        <v>207</v>
      </c>
      <c r="C164" s="9">
        <v>13</v>
      </c>
      <c r="D164" s="3">
        <v>14</v>
      </c>
      <c r="E164" s="3">
        <v>14</v>
      </c>
      <c r="F164" s="3">
        <v>14</v>
      </c>
      <c r="G164" s="9">
        <v>17</v>
      </c>
      <c r="H164" s="9">
        <v>10</v>
      </c>
      <c r="I164" s="3">
        <v>17</v>
      </c>
      <c r="J164" s="3">
        <v>16</v>
      </c>
      <c r="K164" s="3">
        <v>18</v>
      </c>
      <c r="L164" s="7">
        <f t="shared" si="6"/>
        <v>14.777777777777779</v>
      </c>
    </row>
    <row r="165" spans="1:12" ht="14.25" customHeight="1" x14ac:dyDescent="0.3">
      <c r="A165" s="3">
        <v>-1.679865001322572</v>
      </c>
      <c r="B165" s="9" t="s">
        <v>222</v>
      </c>
      <c r="C165" s="9">
        <v>7</v>
      </c>
      <c r="D165" s="3">
        <v>21</v>
      </c>
      <c r="E165" s="3">
        <v>21</v>
      </c>
      <c r="F165" s="3">
        <v>21</v>
      </c>
      <c r="G165" s="9">
        <v>23</v>
      </c>
      <c r="H165" s="9">
        <v>20</v>
      </c>
      <c r="I165" s="3">
        <v>26</v>
      </c>
      <c r="J165" s="3">
        <v>27</v>
      </c>
      <c r="K165" s="3">
        <v>26</v>
      </c>
      <c r="L165" s="7">
        <f t="shared" si="6"/>
        <v>21.333333333333332</v>
      </c>
    </row>
    <row r="166" spans="1:12" ht="14.25" customHeight="1" x14ac:dyDescent="0.3">
      <c r="L166" s="5"/>
    </row>
    <row r="167" spans="1:12" ht="14.25" customHeight="1" x14ac:dyDescent="0.3">
      <c r="L167" s="5"/>
    </row>
    <row r="168" spans="1:12" ht="14.25" customHeight="1" x14ac:dyDescent="0.3">
      <c r="L168" s="5"/>
    </row>
    <row r="169" spans="1:12" ht="14.25" customHeight="1" x14ac:dyDescent="0.3">
      <c r="L169" s="5"/>
    </row>
    <row r="170" spans="1:12" ht="14.25" customHeight="1" x14ac:dyDescent="0.3">
      <c r="L170" s="5"/>
    </row>
    <row r="171" spans="1:12" ht="14.25" customHeight="1" x14ac:dyDescent="0.3">
      <c r="L171" s="5"/>
    </row>
    <row r="172" spans="1:12" ht="14.25" customHeight="1" x14ac:dyDescent="0.3">
      <c r="L172" s="5"/>
    </row>
    <row r="173" spans="1:12" ht="14.25" customHeight="1" x14ac:dyDescent="0.3">
      <c r="L173" s="5"/>
    </row>
    <row r="174" spans="1:12" ht="14.25" customHeight="1" x14ac:dyDescent="0.3">
      <c r="L174" s="5"/>
    </row>
    <row r="175" spans="1:12" ht="14.25" customHeight="1" x14ac:dyDescent="0.3">
      <c r="L175" s="5"/>
    </row>
    <row r="176" spans="1:12" ht="14.25" customHeight="1" x14ac:dyDescent="0.3">
      <c r="L176" s="5"/>
    </row>
    <row r="177" spans="12:12" ht="14.25" customHeight="1" x14ac:dyDescent="0.3">
      <c r="L177" s="5"/>
    </row>
    <row r="178" spans="12:12" ht="14.25" customHeight="1" x14ac:dyDescent="0.3">
      <c r="L178" s="5"/>
    </row>
    <row r="179" spans="12:12" ht="14.25" customHeight="1" x14ac:dyDescent="0.3">
      <c r="L179" s="5"/>
    </row>
    <row r="180" spans="12:12" ht="14.25" customHeight="1" x14ac:dyDescent="0.3">
      <c r="L180" s="5"/>
    </row>
    <row r="181" spans="12:12" ht="14.25" customHeight="1" x14ac:dyDescent="0.3">
      <c r="L181" s="5"/>
    </row>
    <row r="182" spans="12:12" ht="14.25" customHeight="1" x14ac:dyDescent="0.3">
      <c r="L182" s="5"/>
    </row>
    <row r="183" spans="12:12" ht="14.25" customHeight="1" x14ac:dyDescent="0.3">
      <c r="L183" s="5"/>
    </row>
    <row r="184" spans="12:12" ht="14.25" customHeight="1" x14ac:dyDescent="0.3">
      <c r="L184" s="5"/>
    </row>
    <row r="185" spans="12:12" ht="14.25" customHeight="1" x14ac:dyDescent="0.3">
      <c r="L185" s="5"/>
    </row>
    <row r="186" spans="12:12" ht="14.25" customHeight="1" x14ac:dyDescent="0.3">
      <c r="L186" s="5"/>
    </row>
    <row r="187" spans="12:12" ht="14.25" customHeight="1" x14ac:dyDescent="0.3">
      <c r="L187" s="5"/>
    </row>
    <row r="188" spans="12:12" ht="14.25" customHeight="1" x14ac:dyDescent="0.3">
      <c r="L188" s="5"/>
    </row>
    <row r="189" spans="12:12" ht="14.25" customHeight="1" x14ac:dyDescent="0.3">
      <c r="L189" s="5"/>
    </row>
    <row r="190" spans="12:12" ht="14.25" customHeight="1" x14ac:dyDescent="0.3">
      <c r="L190" s="5"/>
    </row>
    <row r="191" spans="12:12" ht="14.25" customHeight="1" x14ac:dyDescent="0.3">
      <c r="L191" s="5"/>
    </row>
    <row r="192" spans="12:12" ht="14.25" customHeight="1" x14ac:dyDescent="0.3">
      <c r="L192" s="5"/>
    </row>
    <row r="193" spans="12:12" ht="14.25" customHeight="1" x14ac:dyDescent="0.3">
      <c r="L193" s="5"/>
    </row>
    <row r="194" spans="12:12" ht="14.25" customHeight="1" x14ac:dyDescent="0.3">
      <c r="L194" s="5"/>
    </row>
    <row r="195" spans="12:12" ht="14.25" customHeight="1" x14ac:dyDescent="0.3">
      <c r="L195" s="5"/>
    </row>
    <row r="196" spans="12:12" ht="14.25" customHeight="1" x14ac:dyDescent="0.3">
      <c r="L196" s="5"/>
    </row>
    <row r="197" spans="12:12" ht="14.25" customHeight="1" x14ac:dyDescent="0.3">
      <c r="L197" s="5"/>
    </row>
    <row r="198" spans="12:12" ht="14.25" customHeight="1" x14ac:dyDescent="0.3">
      <c r="L198" s="5"/>
    </row>
    <row r="199" spans="12:12" ht="14.25" customHeight="1" x14ac:dyDescent="0.3">
      <c r="L199" s="5"/>
    </row>
    <row r="200" spans="12:12" ht="14.25" customHeight="1" x14ac:dyDescent="0.3">
      <c r="L200" s="5"/>
    </row>
    <row r="201" spans="12:12" ht="14.25" customHeight="1" x14ac:dyDescent="0.3">
      <c r="L201" s="5"/>
    </row>
    <row r="202" spans="12:12" ht="14.25" customHeight="1" x14ac:dyDescent="0.3">
      <c r="L202" s="5"/>
    </row>
    <row r="203" spans="12:12" ht="14.25" customHeight="1" x14ac:dyDescent="0.3">
      <c r="L203" s="5"/>
    </row>
    <row r="204" spans="12:12" ht="14.25" customHeight="1" x14ac:dyDescent="0.3">
      <c r="L204" s="5"/>
    </row>
    <row r="205" spans="12:12" ht="14.25" customHeight="1" x14ac:dyDescent="0.3">
      <c r="L205" s="5"/>
    </row>
    <row r="206" spans="12:12" ht="14.25" customHeight="1" x14ac:dyDescent="0.3">
      <c r="L206" s="5"/>
    </row>
    <row r="207" spans="12:12" ht="14.25" customHeight="1" x14ac:dyDescent="0.3">
      <c r="L207" s="5"/>
    </row>
    <row r="208" spans="12:12" ht="14.25" customHeight="1" x14ac:dyDescent="0.3">
      <c r="L208" s="5"/>
    </row>
    <row r="209" spans="12:12" ht="14.25" customHeight="1" x14ac:dyDescent="0.3">
      <c r="L209" s="5"/>
    </row>
    <row r="210" spans="12:12" ht="14.25" customHeight="1" x14ac:dyDescent="0.3">
      <c r="L210" s="5"/>
    </row>
    <row r="211" spans="12:12" ht="14.25" customHeight="1" x14ac:dyDescent="0.3">
      <c r="L211" s="5"/>
    </row>
    <row r="212" spans="12:12" ht="14.25" customHeight="1" x14ac:dyDescent="0.3">
      <c r="L212" s="5"/>
    </row>
    <row r="213" spans="12:12" ht="14.25" customHeight="1" x14ac:dyDescent="0.3">
      <c r="L213" s="5"/>
    </row>
    <row r="214" spans="12:12" ht="14.25" customHeight="1" x14ac:dyDescent="0.3">
      <c r="L214" s="5"/>
    </row>
    <row r="215" spans="12:12" ht="14.25" customHeight="1" x14ac:dyDescent="0.3">
      <c r="L215" s="5"/>
    </row>
    <row r="216" spans="12:12" ht="14.25" customHeight="1" x14ac:dyDescent="0.3">
      <c r="L216" s="5"/>
    </row>
    <row r="217" spans="12:12" ht="14.25" customHeight="1" x14ac:dyDescent="0.3">
      <c r="L217" s="5"/>
    </row>
    <row r="218" spans="12:12" ht="14.25" customHeight="1" x14ac:dyDescent="0.3">
      <c r="L218" s="5"/>
    </row>
    <row r="219" spans="12:12" ht="14.25" customHeight="1" x14ac:dyDescent="0.3">
      <c r="L219" s="5"/>
    </row>
    <row r="220" spans="12:12" ht="14.25" customHeight="1" x14ac:dyDescent="0.3">
      <c r="L220" s="5"/>
    </row>
    <row r="221" spans="12:12" ht="14.25" customHeight="1" x14ac:dyDescent="0.3">
      <c r="L221" s="5"/>
    </row>
    <row r="222" spans="12:12" ht="14.25" customHeight="1" x14ac:dyDescent="0.3">
      <c r="L222" s="5"/>
    </row>
    <row r="223" spans="12:12" ht="14.25" customHeight="1" x14ac:dyDescent="0.3">
      <c r="L223" s="5"/>
    </row>
    <row r="224" spans="12:12" ht="14.25" customHeight="1" x14ac:dyDescent="0.3">
      <c r="L224" s="5"/>
    </row>
    <row r="225" spans="12:12" ht="14.25" customHeight="1" x14ac:dyDescent="0.3">
      <c r="L225" s="5"/>
    </row>
    <row r="226" spans="12:12" ht="14.25" customHeight="1" x14ac:dyDescent="0.3">
      <c r="L226" s="5"/>
    </row>
    <row r="227" spans="12:12" ht="14.25" customHeight="1" x14ac:dyDescent="0.3">
      <c r="L227" s="5"/>
    </row>
    <row r="228" spans="12:12" ht="14.25" customHeight="1" x14ac:dyDescent="0.3">
      <c r="L228" s="5"/>
    </row>
    <row r="229" spans="12:12" ht="14.25" customHeight="1" x14ac:dyDescent="0.3">
      <c r="L229" s="5"/>
    </row>
    <row r="230" spans="12:12" ht="14.25" customHeight="1" x14ac:dyDescent="0.3">
      <c r="L230" s="5"/>
    </row>
    <row r="231" spans="12:12" ht="14.25" customHeight="1" x14ac:dyDescent="0.3">
      <c r="L231" s="5"/>
    </row>
    <row r="232" spans="12:12" ht="14.25" customHeight="1" x14ac:dyDescent="0.3">
      <c r="L232" s="5"/>
    </row>
    <row r="233" spans="12:12" ht="14.25" customHeight="1" x14ac:dyDescent="0.3">
      <c r="L233" s="5"/>
    </row>
    <row r="234" spans="12:12" ht="14.25" customHeight="1" x14ac:dyDescent="0.3">
      <c r="L234" s="5"/>
    </row>
    <row r="235" spans="12:12" ht="14.25" customHeight="1" x14ac:dyDescent="0.3">
      <c r="L235" s="5"/>
    </row>
    <row r="236" spans="12:12" ht="14.25" customHeight="1" x14ac:dyDescent="0.3">
      <c r="L236" s="5"/>
    </row>
    <row r="237" spans="12:12" ht="14.25" customHeight="1" x14ac:dyDescent="0.3">
      <c r="L237" s="5"/>
    </row>
    <row r="238" spans="12:12" ht="14.25" customHeight="1" x14ac:dyDescent="0.3">
      <c r="L238" s="5"/>
    </row>
    <row r="239" spans="12:12" ht="14.25" customHeight="1" x14ac:dyDescent="0.3">
      <c r="L239" s="5"/>
    </row>
    <row r="240" spans="12:12" ht="14.25" customHeight="1" x14ac:dyDescent="0.3">
      <c r="L240" s="5"/>
    </row>
    <row r="241" spans="12:12" ht="14.25" customHeight="1" x14ac:dyDescent="0.3">
      <c r="L241" s="5"/>
    </row>
    <row r="242" spans="12:12" ht="14.25" customHeight="1" x14ac:dyDescent="0.3">
      <c r="L242" s="5"/>
    </row>
    <row r="243" spans="12:12" ht="14.25" customHeight="1" x14ac:dyDescent="0.3">
      <c r="L243" s="5"/>
    </row>
    <row r="244" spans="12:12" ht="14.25" customHeight="1" x14ac:dyDescent="0.3">
      <c r="L244" s="5"/>
    </row>
    <row r="245" spans="12:12" ht="14.25" customHeight="1" x14ac:dyDescent="0.3">
      <c r="L245" s="5"/>
    </row>
    <row r="246" spans="12:12" ht="14.25" customHeight="1" x14ac:dyDescent="0.3">
      <c r="L246" s="5"/>
    </row>
    <row r="247" spans="12:12" ht="14.25" customHeight="1" x14ac:dyDescent="0.3">
      <c r="L247" s="5"/>
    </row>
    <row r="248" spans="12:12" ht="14.25" customHeight="1" x14ac:dyDescent="0.3">
      <c r="L248" s="5"/>
    </row>
    <row r="249" spans="12:12" ht="14.25" customHeight="1" x14ac:dyDescent="0.3">
      <c r="L249" s="5"/>
    </row>
    <row r="250" spans="12:12" ht="14.25" customHeight="1" x14ac:dyDescent="0.3">
      <c r="L250" s="5"/>
    </row>
    <row r="251" spans="12:12" ht="14.25" customHeight="1" x14ac:dyDescent="0.3">
      <c r="L251" s="5"/>
    </row>
    <row r="252" spans="12:12" ht="14.25" customHeight="1" x14ac:dyDescent="0.3">
      <c r="L252" s="5"/>
    </row>
    <row r="253" spans="12:12" ht="14.25" customHeight="1" x14ac:dyDescent="0.3">
      <c r="L253" s="5"/>
    </row>
    <row r="254" spans="12:12" ht="14.25" customHeight="1" x14ac:dyDescent="0.3">
      <c r="L254" s="5"/>
    </row>
    <row r="255" spans="12:12" ht="14.25" customHeight="1" x14ac:dyDescent="0.3">
      <c r="L255" s="5"/>
    </row>
    <row r="256" spans="12:12" ht="14.25" customHeight="1" x14ac:dyDescent="0.3">
      <c r="L256" s="5"/>
    </row>
    <row r="257" spans="12:12" ht="14.25" customHeight="1" x14ac:dyDescent="0.3">
      <c r="L257" s="5"/>
    </row>
    <row r="258" spans="12:12" ht="14.25" customHeight="1" x14ac:dyDescent="0.3">
      <c r="L258" s="5"/>
    </row>
    <row r="259" spans="12:12" ht="14.25" customHeight="1" x14ac:dyDescent="0.3">
      <c r="L259" s="5"/>
    </row>
    <row r="260" spans="12:12" ht="14.25" customHeight="1" x14ac:dyDescent="0.3">
      <c r="L260" s="5"/>
    </row>
    <row r="261" spans="12:12" ht="14.25" customHeight="1" x14ac:dyDescent="0.3">
      <c r="L261" s="5"/>
    </row>
    <row r="262" spans="12:12" ht="14.25" customHeight="1" x14ac:dyDescent="0.3">
      <c r="L262" s="5"/>
    </row>
    <row r="263" spans="12:12" ht="14.25" customHeight="1" x14ac:dyDescent="0.3">
      <c r="L263" s="5"/>
    </row>
    <row r="264" spans="12:12" ht="14.25" customHeight="1" x14ac:dyDescent="0.3">
      <c r="L264" s="5"/>
    </row>
    <row r="265" spans="12:12" ht="14.25" customHeight="1" x14ac:dyDescent="0.3">
      <c r="L265" s="5"/>
    </row>
    <row r="266" spans="12:12" ht="14.25" customHeight="1" x14ac:dyDescent="0.3">
      <c r="L266" s="5"/>
    </row>
    <row r="267" spans="12:12" ht="14.25" customHeight="1" x14ac:dyDescent="0.3">
      <c r="L267" s="5"/>
    </row>
    <row r="268" spans="12:12" ht="14.25" customHeight="1" x14ac:dyDescent="0.3">
      <c r="L268" s="5"/>
    </row>
    <row r="269" spans="12:12" ht="14.25" customHeight="1" x14ac:dyDescent="0.3">
      <c r="L269" s="5"/>
    </row>
    <row r="270" spans="12:12" ht="14.25" customHeight="1" x14ac:dyDescent="0.3">
      <c r="L270" s="5"/>
    </row>
    <row r="271" spans="12:12" ht="14.25" customHeight="1" x14ac:dyDescent="0.3">
      <c r="L271" s="5"/>
    </row>
    <row r="272" spans="12:12" ht="14.25" customHeight="1" x14ac:dyDescent="0.3">
      <c r="L272" s="5"/>
    </row>
    <row r="273" spans="12:12" ht="14.25" customHeight="1" x14ac:dyDescent="0.3">
      <c r="L273" s="5"/>
    </row>
    <row r="274" spans="12:12" ht="14.25" customHeight="1" x14ac:dyDescent="0.3">
      <c r="L274" s="5"/>
    </row>
    <row r="275" spans="12:12" ht="14.25" customHeight="1" x14ac:dyDescent="0.3">
      <c r="L275" s="5"/>
    </row>
    <row r="276" spans="12:12" ht="14.25" customHeight="1" x14ac:dyDescent="0.3">
      <c r="L276" s="5"/>
    </row>
    <row r="277" spans="12:12" ht="14.25" customHeight="1" x14ac:dyDescent="0.3">
      <c r="L277" s="5"/>
    </row>
    <row r="278" spans="12:12" ht="14.25" customHeight="1" x14ac:dyDescent="0.3">
      <c r="L278" s="5"/>
    </row>
    <row r="279" spans="12:12" ht="14.25" customHeight="1" x14ac:dyDescent="0.3">
      <c r="L279" s="5"/>
    </row>
    <row r="280" spans="12:12" ht="14.25" customHeight="1" x14ac:dyDescent="0.3">
      <c r="L280" s="5"/>
    </row>
    <row r="281" spans="12:12" ht="14.25" customHeight="1" x14ac:dyDescent="0.3">
      <c r="L281" s="5"/>
    </row>
    <row r="282" spans="12:12" ht="14.25" customHeight="1" x14ac:dyDescent="0.3">
      <c r="L282" s="5"/>
    </row>
    <row r="283" spans="12:12" ht="14.25" customHeight="1" x14ac:dyDescent="0.3">
      <c r="L283" s="5"/>
    </row>
    <row r="284" spans="12:12" ht="14.25" customHeight="1" x14ac:dyDescent="0.3">
      <c r="L284" s="5"/>
    </row>
    <row r="285" spans="12:12" ht="14.25" customHeight="1" x14ac:dyDescent="0.3">
      <c r="L285" s="5"/>
    </row>
    <row r="286" spans="12:12" ht="14.25" customHeight="1" x14ac:dyDescent="0.3">
      <c r="L286" s="5"/>
    </row>
    <row r="287" spans="12:12" ht="14.25" customHeight="1" x14ac:dyDescent="0.3">
      <c r="L287" s="5"/>
    </row>
    <row r="288" spans="12:12" ht="14.25" customHeight="1" x14ac:dyDescent="0.3">
      <c r="L288" s="5"/>
    </row>
    <row r="289" spans="12:12" ht="14.25" customHeight="1" x14ac:dyDescent="0.3">
      <c r="L289" s="5"/>
    </row>
    <row r="290" spans="12:12" ht="14.25" customHeight="1" x14ac:dyDescent="0.3">
      <c r="L290" s="5"/>
    </row>
    <row r="291" spans="12:12" ht="14.25" customHeight="1" x14ac:dyDescent="0.3">
      <c r="L291" s="5"/>
    </row>
    <row r="292" spans="12:12" ht="14.25" customHeight="1" x14ac:dyDescent="0.3">
      <c r="L292" s="5"/>
    </row>
    <row r="293" spans="12:12" ht="14.25" customHeight="1" x14ac:dyDescent="0.3">
      <c r="L293" s="5"/>
    </row>
    <row r="294" spans="12:12" ht="14.25" customHeight="1" x14ac:dyDescent="0.3">
      <c r="L294" s="5"/>
    </row>
    <row r="295" spans="12:12" ht="14.25" customHeight="1" x14ac:dyDescent="0.3">
      <c r="L295" s="5"/>
    </row>
    <row r="296" spans="12:12" ht="14.25" customHeight="1" x14ac:dyDescent="0.3">
      <c r="L296" s="5"/>
    </row>
    <row r="297" spans="12:12" ht="14.25" customHeight="1" x14ac:dyDescent="0.3">
      <c r="L297" s="5"/>
    </row>
    <row r="298" spans="12:12" ht="14.25" customHeight="1" x14ac:dyDescent="0.3">
      <c r="L298" s="5"/>
    </row>
    <row r="299" spans="12:12" ht="14.25" customHeight="1" x14ac:dyDescent="0.3">
      <c r="L299" s="5"/>
    </row>
    <row r="300" spans="12:12" ht="14.25" customHeight="1" x14ac:dyDescent="0.3">
      <c r="L300" s="5"/>
    </row>
    <row r="301" spans="12:12" ht="14.25" customHeight="1" x14ac:dyDescent="0.3">
      <c r="L301" s="5"/>
    </row>
    <row r="302" spans="12:12" ht="14.25" customHeight="1" x14ac:dyDescent="0.3">
      <c r="L302" s="5"/>
    </row>
    <row r="303" spans="12:12" ht="14.25" customHeight="1" x14ac:dyDescent="0.3">
      <c r="L303" s="5"/>
    </row>
    <row r="304" spans="12:12" ht="14.25" customHeight="1" x14ac:dyDescent="0.3">
      <c r="L304" s="5"/>
    </row>
    <row r="305" spans="12:12" ht="14.25" customHeight="1" x14ac:dyDescent="0.3">
      <c r="L305" s="5"/>
    </row>
    <row r="306" spans="12:12" ht="14.25" customHeight="1" x14ac:dyDescent="0.3">
      <c r="L306" s="5"/>
    </row>
    <row r="307" spans="12:12" ht="14.25" customHeight="1" x14ac:dyDescent="0.3">
      <c r="L307" s="5"/>
    </row>
    <row r="308" spans="12:12" ht="14.25" customHeight="1" x14ac:dyDescent="0.3">
      <c r="L308" s="5"/>
    </row>
    <row r="309" spans="12:12" ht="14.25" customHeight="1" x14ac:dyDescent="0.3">
      <c r="L309" s="5"/>
    </row>
    <row r="310" spans="12:12" ht="14.25" customHeight="1" x14ac:dyDescent="0.3">
      <c r="L310" s="5"/>
    </row>
    <row r="311" spans="12:12" ht="14.25" customHeight="1" x14ac:dyDescent="0.3">
      <c r="L311" s="5"/>
    </row>
    <row r="312" spans="12:12" ht="14.25" customHeight="1" x14ac:dyDescent="0.3">
      <c r="L312" s="5"/>
    </row>
    <row r="313" spans="12:12" ht="14.25" customHeight="1" x14ac:dyDescent="0.3">
      <c r="L313" s="5"/>
    </row>
    <row r="314" spans="12:12" ht="14.25" customHeight="1" x14ac:dyDescent="0.3">
      <c r="L314" s="5"/>
    </row>
    <row r="315" spans="12:12" ht="14.25" customHeight="1" x14ac:dyDescent="0.3">
      <c r="L315" s="5"/>
    </row>
    <row r="316" spans="12:12" ht="14.25" customHeight="1" x14ac:dyDescent="0.3">
      <c r="L316" s="5"/>
    </row>
    <row r="317" spans="12:12" ht="14.25" customHeight="1" x14ac:dyDescent="0.3">
      <c r="L317" s="5"/>
    </row>
    <row r="318" spans="12:12" ht="14.25" customHeight="1" x14ac:dyDescent="0.3">
      <c r="L318" s="5"/>
    </row>
    <row r="319" spans="12:12" ht="14.25" customHeight="1" x14ac:dyDescent="0.3">
      <c r="L319" s="5"/>
    </row>
    <row r="320" spans="12:12" ht="14.25" customHeight="1" x14ac:dyDescent="0.3">
      <c r="L320" s="5"/>
    </row>
    <row r="321" spans="12:12" ht="14.25" customHeight="1" x14ac:dyDescent="0.3">
      <c r="L321" s="5"/>
    </row>
    <row r="322" spans="12:12" ht="14.25" customHeight="1" x14ac:dyDescent="0.3">
      <c r="L322" s="5"/>
    </row>
    <row r="323" spans="12:12" ht="14.25" customHeight="1" x14ac:dyDescent="0.3">
      <c r="L323" s="5"/>
    </row>
    <row r="324" spans="12:12" ht="14.25" customHeight="1" x14ac:dyDescent="0.3">
      <c r="L324" s="5"/>
    </row>
    <row r="325" spans="12:12" ht="14.25" customHeight="1" x14ac:dyDescent="0.3">
      <c r="L325" s="5"/>
    </row>
    <row r="326" spans="12:12" ht="14.25" customHeight="1" x14ac:dyDescent="0.3">
      <c r="L326" s="5"/>
    </row>
    <row r="327" spans="12:12" ht="14.25" customHeight="1" x14ac:dyDescent="0.3">
      <c r="L327" s="5"/>
    </row>
    <row r="328" spans="12:12" ht="14.25" customHeight="1" x14ac:dyDescent="0.3">
      <c r="L328" s="5"/>
    </row>
    <row r="329" spans="12:12" ht="14.25" customHeight="1" x14ac:dyDescent="0.3">
      <c r="L329" s="5"/>
    </row>
    <row r="330" spans="12:12" ht="14.25" customHeight="1" x14ac:dyDescent="0.3">
      <c r="L330" s="5"/>
    </row>
    <row r="331" spans="12:12" ht="14.25" customHeight="1" x14ac:dyDescent="0.3">
      <c r="L331" s="5"/>
    </row>
    <row r="332" spans="12:12" ht="14.25" customHeight="1" x14ac:dyDescent="0.3">
      <c r="L332" s="5"/>
    </row>
    <row r="333" spans="12:12" ht="14.25" customHeight="1" x14ac:dyDescent="0.3">
      <c r="L333" s="5"/>
    </row>
    <row r="334" spans="12:12" ht="14.25" customHeight="1" x14ac:dyDescent="0.3">
      <c r="L334" s="5"/>
    </row>
    <row r="335" spans="12:12" ht="14.25" customHeight="1" x14ac:dyDescent="0.3">
      <c r="L335" s="5"/>
    </row>
    <row r="336" spans="12:12" ht="14.25" customHeight="1" x14ac:dyDescent="0.3">
      <c r="L336" s="5"/>
    </row>
    <row r="337" spans="12:12" ht="14.25" customHeight="1" x14ac:dyDescent="0.3">
      <c r="L337" s="5"/>
    </row>
    <row r="338" spans="12:12" ht="14.25" customHeight="1" x14ac:dyDescent="0.3">
      <c r="L338" s="5"/>
    </row>
    <row r="339" spans="12:12" ht="14.25" customHeight="1" x14ac:dyDescent="0.3">
      <c r="L339" s="5"/>
    </row>
    <row r="340" spans="12:12" ht="14.25" customHeight="1" x14ac:dyDescent="0.3">
      <c r="L340" s="5"/>
    </row>
    <row r="341" spans="12:12" ht="14.25" customHeight="1" x14ac:dyDescent="0.3">
      <c r="L341" s="5"/>
    </row>
    <row r="342" spans="12:12" ht="14.25" customHeight="1" x14ac:dyDescent="0.3">
      <c r="L342" s="5"/>
    </row>
    <row r="343" spans="12:12" ht="14.25" customHeight="1" x14ac:dyDescent="0.3">
      <c r="L343" s="5"/>
    </row>
    <row r="344" spans="12:12" ht="14.25" customHeight="1" x14ac:dyDescent="0.3">
      <c r="L344" s="5"/>
    </row>
    <row r="345" spans="12:12" ht="14.25" customHeight="1" x14ac:dyDescent="0.3">
      <c r="L345" s="5"/>
    </row>
    <row r="346" spans="12:12" ht="14.25" customHeight="1" x14ac:dyDescent="0.3">
      <c r="L346" s="5"/>
    </row>
    <row r="347" spans="12:12" ht="14.25" customHeight="1" x14ac:dyDescent="0.3">
      <c r="L347" s="5"/>
    </row>
    <row r="348" spans="12:12" ht="14.25" customHeight="1" x14ac:dyDescent="0.3">
      <c r="L348" s="5"/>
    </row>
    <row r="349" spans="12:12" ht="14.25" customHeight="1" x14ac:dyDescent="0.3">
      <c r="L349" s="5"/>
    </row>
    <row r="350" spans="12:12" ht="14.25" customHeight="1" x14ac:dyDescent="0.3">
      <c r="L350" s="5"/>
    </row>
    <row r="351" spans="12:12" ht="14.25" customHeight="1" x14ac:dyDescent="0.3">
      <c r="L351" s="5"/>
    </row>
    <row r="352" spans="12:12" ht="14.25" customHeight="1" x14ac:dyDescent="0.3">
      <c r="L352" s="5"/>
    </row>
    <row r="353" spans="12:12" ht="14.25" customHeight="1" x14ac:dyDescent="0.3">
      <c r="L353" s="5"/>
    </row>
    <row r="354" spans="12:12" ht="14.25" customHeight="1" x14ac:dyDescent="0.3">
      <c r="L354" s="5"/>
    </row>
    <row r="355" spans="12:12" ht="14.25" customHeight="1" x14ac:dyDescent="0.3">
      <c r="L355" s="5"/>
    </row>
    <row r="356" spans="12:12" ht="14.25" customHeight="1" x14ac:dyDescent="0.3">
      <c r="L356" s="5"/>
    </row>
    <row r="357" spans="12:12" ht="14.25" customHeight="1" x14ac:dyDescent="0.3">
      <c r="L357" s="5"/>
    </row>
    <row r="358" spans="12:12" ht="14.25" customHeight="1" x14ac:dyDescent="0.3">
      <c r="L358" s="5"/>
    </row>
    <row r="359" spans="12:12" ht="14.25" customHeight="1" x14ac:dyDescent="0.3">
      <c r="L359" s="5"/>
    </row>
    <row r="360" spans="12:12" ht="14.25" customHeight="1" x14ac:dyDescent="0.3">
      <c r="L360" s="5"/>
    </row>
    <row r="361" spans="12:12" ht="14.25" customHeight="1" x14ac:dyDescent="0.3">
      <c r="L361" s="5"/>
    </row>
    <row r="362" spans="12:12" ht="14.25" customHeight="1" x14ac:dyDescent="0.3">
      <c r="L362" s="5"/>
    </row>
    <row r="363" spans="12:12" ht="14.25" customHeight="1" x14ac:dyDescent="0.3">
      <c r="L363" s="5"/>
    </row>
    <row r="364" spans="12:12" ht="14.25" customHeight="1" x14ac:dyDescent="0.3">
      <c r="L364" s="5"/>
    </row>
    <row r="365" spans="12:12" ht="14.25" customHeight="1" x14ac:dyDescent="0.3">
      <c r="L365" s="5"/>
    </row>
    <row r="366" spans="12:12" ht="14.25" customHeight="1" x14ac:dyDescent="0.3">
      <c r="L366" s="5"/>
    </row>
    <row r="367" spans="12:12" ht="14.25" customHeight="1" x14ac:dyDescent="0.3">
      <c r="L367" s="5"/>
    </row>
    <row r="368" spans="12:12" ht="14.25" customHeight="1" x14ac:dyDescent="0.3">
      <c r="L368" s="5"/>
    </row>
    <row r="369" spans="12:12" ht="14.25" customHeight="1" x14ac:dyDescent="0.3">
      <c r="L369" s="5"/>
    </row>
    <row r="370" spans="12:12" ht="14.25" customHeight="1" x14ac:dyDescent="0.3">
      <c r="L370" s="5"/>
    </row>
    <row r="371" spans="12:12" ht="14.25" customHeight="1" x14ac:dyDescent="0.3">
      <c r="L371" s="5"/>
    </row>
    <row r="372" spans="12:12" ht="14.25" customHeight="1" x14ac:dyDescent="0.3">
      <c r="L372" s="5"/>
    </row>
    <row r="373" spans="12:12" ht="14.25" customHeight="1" x14ac:dyDescent="0.3">
      <c r="L373" s="5"/>
    </row>
    <row r="374" spans="12:12" ht="14.25" customHeight="1" x14ac:dyDescent="0.3">
      <c r="L374" s="5"/>
    </row>
    <row r="375" spans="12:12" ht="14.25" customHeight="1" x14ac:dyDescent="0.3">
      <c r="L375" s="5"/>
    </row>
    <row r="376" spans="12:12" ht="14.25" customHeight="1" x14ac:dyDescent="0.3">
      <c r="L376" s="5"/>
    </row>
    <row r="377" spans="12:12" ht="14.25" customHeight="1" x14ac:dyDescent="0.3">
      <c r="L377" s="5"/>
    </row>
    <row r="378" spans="12:12" ht="14.25" customHeight="1" x14ac:dyDescent="0.3">
      <c r="L378" s="5"/>
    </row>
    <row r="379" spans="12:12" ht="14.25" customHeight="1" x14ac:dyDescent="0.3">
      <c r="L379" s="5"/>
    </row>
    <row r="380" spans="12:12" ht="14.25" customHeight="1" x14ac:dyDescent="0.3">
      <c r="L380" s="5"/>
    </row>
    <row r="381" spans="12:12" ht="14.25" customHeight="1" x14ac:dyDescent="0.3">
      <c r="L381" s="5"/>
    </row>
    <row r="382" spans="12:12" ht="14.25" customHeight="1" x14ac:dyDescent="0.3">
      <c r="L382" s="5"/>
    </row>
    <row r="383" spans="12:12" ht="14.25" customHeight="1" x14ac:dyDescent="0.3">
      <c r="L383" s="5"/>
    </row>
    <row r="384" spans="12:12" ht="14.25" customHeight="1" x14ac:dyDescent="0.3">
      <c r="L384" s="5"/>
    </row>
    <row r="385" spans="12:12" ht="14.25" customHeight="1" x14ac:dyDescent="0.3">
      <c r="L385" s="5"/>
    </row>
    <row r="386" spans="12:12" ht="14.25" customHeight="1" x14ac:dyDescent="0.3">
      <c r="L386" s="5"/>
    </row>
    <row r="387" spans="12:12" ht="14.25" customHeight="1" x14ac:dyDescent="0.3">
      <c r="L387" s="5"/>
    </row>
    <row r="388" spans="12:12" ht="14.25" customHeight="1" x14ac:dyDescent="0.3">
      <c r="L388" s="5"/>
    </row>
    <row r="389" spans="12:12" ht="14.25" customHeight="1" x14ac:dyDescent="0.3">
      <c r="L389" s="5"/>
    </row>
    <row r="390" spans="12:12" ht="14.25" customHeight="1" x14ac:dyDescent="0.3">
      <c r="L390" s="5"/>
    </row>
    <row r="391" spans="12:12" ht="14.25" customHeight="1" x14ac:dyDescent="0.3">
      <c r="L391" s="5"/>
    </row>
    <row r="392" spans="12:12" ht="14.25" customHeight="1" x14ac:dyDescent="0.3">
      <c r="L392" s="5"/>
    </row>
    <row r="393" spans="12:12" ht="14.25" customHeight="1" x14ac:dyDescent="0.3">
      <c r="L393" s="5"/>
    </row>
    <row r="394" spans="12:12" ht="14.25" customHeight="1" x14ac:dyDescent="0.3">
      <c r="L394" s="5"/>
    </row>
    <row r="395" spans="12:12" ht="14.25" customHeight="1" x14ac:dyDescent="0.3">
      <c r="L395" s="5"/>
    </row>
    <row r="396" spans="12:12" ht="14.25" customHeight="1" x14ac:dyDescent="0.3">
      <c r="L396" s="5"/>
    </row>
    <row r="397" spans="12:12" ht="14.25" customHeight="1" x14ac:dyDescent="0.3">
      <c r="L397" s="5"/>
    </row>
    <row r="398" spans="12:12" ht="14.25" customHeight="1" x14ac:dyDescent="0.3">
      <c r="L398" s="5"/>
    </row>
    <row r="399" spans="12:12" ht="14.25" customHeight="1" x14ac:dyDescent="0.3">
      <c r="L399" s="5"/>
    </row>
    <row r="400" spans="12:12" ht="14.25" customHeight="1" x14ac:dyDescent="0.3">
      <c r="L400" s="5"/>
    </row>
    <row r="401" spans="12:12" ht="14.25" customHeight="1" x14ac:dyDescent="0.3">
      <c r="L401" s="5"/>
    </row>
    <row r="402" spans="12:12" ht="14.25" customHeight="1" x14ac:dyDescent="0.3">
      <c r="L402" s="5"/>
    </row>
    <row r="403" spans="12:12" ht="14.25" customHeight="1" x14ac:dyDescent="0.3">
      <c r="L403" s="5"/>
    </row>
    <row r="404" spans="12:12" ht="14.25" customHeight="1" x14ac:dyDescent="0.3">
      <c r="L404" s="5"/>
    </row>
    <row r="405" spans="12:12" ht="14.25" customHeight="1" x14ac:dyDescent="0.3">
      <c r="L405" s="5"/>
    </row>
    <row r="406" spans="12:12" ht="14.25" customHeight="1" x14ac:dyDescent="0.3">
      <c r="L406" s="5"/>
    </row>
    <row r="407" spans="12:12" ht="14.25" customHeight="1" x14ac:dyDescent="0.3">
      <c r="L407" s="5"/>
    </row>
    <row r="408" spans="12:12" ht="14.25" customHeight="1" x14ac:dyDescent="0.3">
      <c r="L408" s="5"/>
    </row>
    <row r="409" spans="12:12" ht="14.25" customHeight="1" x14ac:dyDescent="0.3">
      <c r="L409" s="5"/>
    </row>
    <row r="410" spans="12:12" ht="14.25" customHeight="1" x14ac:dyDescent="0.3">
      <c r="L410" s="5"/>
    </row>
    <row r="411" spans="12:12" ht="14.25" customHeight="1" x14ac:dyDescent="0.3">
      <c r="L411" s="5"/>
    </row>
    <row r="412" spans="12:12" ht="14.25" customHeight="1" x14ac:dyDescent="0.3">
      <c r="L412" s="5"/>
    </row>
    <row r="413" spans="12:12" ht="14.25" customHeight="1" x14ac:dyDescent="0.3">
      <c r="L413" s="5"/>
    </row>
    <row r="414" spans="12:12" ht="14.25" customHeight="1" x14ac:dyDescent="0.3">
      <c r="L414" s="5"/>
    </row>
    <row r="415" spans="12:12" ht="14.25" customHeight="1" x14ac:dyDescent="0.3">
      <c r="L415" s="5"/>
    </row>
    <row r="416" spans="12:12" ht="14.25" customHeight="1" x14ac:dyDescent="0.3">
      <c r="L416" s="5"/>
    </row>
    <row r="417" spans="12:12" ht="14.25" customHeight="1" x14ac:dyDescent="0.3">
      <c r="L417" s="5"/>
    </row>
    <row r="418" spans="12:12" ht="14.25" customHeight="1" x14ac:dyDescent="0.3">
      <c r="L418" s="5"/>
    </row>
    <row r="419" spans="12:12" ht="14.25" customHeight="1" x14ac:dyDescent="0.3">
      <c r="L419" s="5"/>
    </row>
    <row r="420" spans="12:12" ht="14.25" customHeight="1" x14ac:dyDescent="0.3">
      <c r="L420" s="5"/>
    </row>
    <row r="421" spans="12:12" ht="14.25" customHeight="1" x14ac:dyDescent="0.3">
      <c r="L421" s="5"/>
    </row>
    <row r="422" spans="12:12" ht="14.25" customHeight="1" x14ac:dyDescent="0.3">
      <c r="L422" s="5"/>
    </row>
    <row r="423" spans="12:12" ht="14.25" customHeight="1" x14ac:dyDescent="0.3">
      <c r="L423" s="5"/>
    </row>
    <row r="424" spans="12:12" ht="14.25" customHeight="1" x14ac:dyDescent="0.3">
      <c r="L424" s="5"/>
    </row>
    <row r="425" spans="12:12" ht="14.25" customHeight="1" x14ac:dyDescent="0.3">
      <c r="L425" s="5"/>
    </row>
    <row r="426" spans="12:12" ht="14.25" customHeight="1" x14ac:dyDescent="0.3">
      <c r="L426" s="5"/>
    </row>
    <row r="427" spans="12:12" ht="14.25" customHeight="1" x14ac:dyDescent="0.3">
      <c r="L427" s="5"/>
    </row>
    <row r="428" spans="12:12" ht="14.25" customHeight="1" x14ac:dyDescent="0.3">
      <c r="L428" s="5"/>
    </row>
    <row r="429" spans="12:12" ht="14.25" customHeight="1" x14ac:dyDescent="0.3">
      <c r="L429" s="5"/>
    </row>
    <row r="430" spans="12:12" ht="14.25" customHeight="1" x14ac:dyDescent="0.3">
      <c r="L430" s="5"/>
    </row>
    <row r="431" spans="12:12" ht="14.25" customHeight="1" x14ac:dyDescent="0.3">
      <c r="L431" s="5"/>
    </row>
    <row r="432" spans="12:12" ht="14.25" customHeight="1" x14ac:dyDescent="0.3">
      <c r="L432" s="5"/>
    </row>
    <row r="433" spans="12:12" ht="14.25" customHeight="1" x14ac:dyDescent="0.3">
      <c r="L433" s="5"/>
    </row>
    <row r="434" spans="12:12" ht="14.25" customHeight="1" x14ac:dyDescent="0.3">
      <c r="L434" s="5"/>
    </row>
    <row r="435" spans="12:12" ht="14.25" customHeight="1" x14ac:dyDescent="0.3">
      <c r="L435" s="5"/>
    </row>
    <row r="436" spans="12:12" ht="14.25" customHeight="1" x14ac:dyDescent="0.3">
      <c r="L436" s="5"/>
    </row>
    <row r="437" spans="12:12" ht="14.25" customHeight="1" x14ac:dyDescent="0.3">
      <c r="L437" s="5"/>
    </row>
    <row r="438" spans="12:12" ht="14.25" customHeight="1" x14ac:dyDescent="0.3">
      <c r="L438" s="5"/>
    </row>
    <row r="439" spans="12:12" ht="14.25" customHeight="1" x14ac:dyDescent="0.3">
      <c r="L439" s="5"/>
    </row>
    <row r="440" spans="12:12" ht="14.25" customHeight="1" x14ac:dyDescent="0.3">
      <c r="L440" s="5"/>
    </row>
    <row r="441" spans="12:12" ht="14.25" customHeight="1" x14ac:dyDescent="0.3">
      <c r="L441" s="5"/>
    </row>
    <row r="442" spans="12:12" ht="14.25" customHeight="1" x14ac:dyDescent="0.3">
      <c r="L442" s="5"/>
    </row>
    <row r="443" spans="12:12" ht="14.25" customHeight="1" x14ac:dyDescent="0.3">
      <c r="L443" s="5"/>
    </row>
    <row r="444" spans="12:12" ht="14.25" customHeight="1" x14ac:dyDescent="0.3">
      <c r="L444" s="5"/>
    </row>
    <row r="445" spans="12:12" ht="14.25" customHeight="1" x14ac:dyDescent="0.3">
      <c r="L445" s="5"/>
    </row>
    <row r="446" spans="12:12" ht="14.25" customHeight="1" x14ac:dyDescent="0.3">
      <c r="L446" s="5"/>
    </row>
    <row r="447" spans="12:12" ht="14.25" customHeight="1" x14ac:dyDescent="0.3">
      <c r="L447" s="5"/>
    </row>
    <row r="448" spans="12:12" ht="14.25" customHeight="1" x14ac:dyDescent="0.3">
      <c r="L448" s="5"/>
    </row>
    <row r="449" spans="12:12" ht="14.25" customHeight="1" x14ac:dyDescent="0.3">
      <c r="L449" s="5"/>
    </row>
    <row r="450" spans="12:12" ht="14.25" customHeight="1" x14ac:dyDescent="0.3">
      <c r="L450" s="5"/>
    </row>
    <row r="451" spans="12:12" ht="14.25" customHeight="1" x14ac:dyDescent="0.3">
      <c r="L451" s="5"/>
    </row>
    <row r="452" spans="12:12" ht="14.25" customHeight="1" x14ac:dyDescent="0.3">
      <c r="L452" s="5"/>
    </row>
    <row r="453" spans="12:12" ht="14.25" customHeight="1" x14ac:dyDescent="0.3">
      <c r="L453" s="5"/>
    </row>
    <row r="454" spans="12:12" ht="14.25" customHeight="1" x14ac:dyDescent="0.3">
      <c r="L454" s="5"/>
    </row>
    <row r="455" spans="12:12" ht="14.25" customHeight="1" x14ac:dyDescent="0.3">
      <c r="L455" s="5"/>
    </row>
    <row r="456" spans="12:12" ht="14.25" customHeight="1" x14ac:dyDescent="0.3">
      <c r="L456" s="5"/>
    </row>
    <row r="457" spans="12:12" ht="14.25" customHeight="1" x14ac:dyDescent="0.3">
      <c r="L457" s="5"/>
    </row>
    <row r="458" spans="12:12" ht="14.25" customHeight="1" x14ac:dyDescent="0.3">
      <c r="L458" s="5"/>
    </row>
    <row r="459" spans="12:12" ht="14.25" customHeight="1" x14ac:dyDescent="0.3">
      <c r="L459" s="5"/>
    </row>
    <row r="460" spans="12:12" ht="14.25" customHeight="1" x14ac:dyDescent="0.3">
      <c r="L460" s="5"/>
    </row>
    <row r="461" spans="12:12" ht="14.25" customHeight="1" x14ac:dyDescent="0.3">
      <c r="L461" s="5"/>
    </row>
    <row r="462" spans="12:12" ht="14.25" customHeight="1" x14ac:dyDescent="0.3">
      <c r="L462" s="5"/>
    </row>
    <row r="463" spans="12:12" ht="14.25" customHeight="1" x14ac:dyDescent="0.3">
      <c r="L463" s="5"/>
    </row>
    <row r="464" spans="12:12" ht="14.25" customHeight="1" x14ac:dyDescent="0.3">
      <c r="L464" s="5"/>
    </row>
    <row r="465" spans="12:12" ht="14.25" customHeight="1" x14ac:dyDescent="0.3">
      <c r="L465" s="5"/>
    </row>
    <row r="466" spans="12:12" ht="14.25" customHeight="1" x14ac:dyDescent="0.3">
      <c r="L466" s="5"/>
    </row>
    <row r="467" spans="12:12" ht="14.25" customHeight="1" x14ac:dyDescent="0.3">
      <c r="L467" s="5"/>
    </row>
    <row r="468" spans="12:12" ht="14.25" customHeight="1" x14ac:dyDescent="0.3">
      <c r="L468" s="5"/>
    </row>
    <row r="469" spans="12:12" ht="14.25" customHeight="1" x14ac:dyDescent="0.3">
      <c r="L469" s="5"/>
    </row>
    <row r="470" spans="12:12" ht="14.25" customHeight="1" x14ac:dyDescent="0.3">
      <c r="L470" s="5"/>
    </row>
    <row r="471" spans="12:12" ht="14.25" customHeight="1" x14ac:dyDescent="0.3">
      <c r="L471" s="5"/>
    </row>
    <row r="472" spans="12:12" ht="14.25" customHeight="1" x14ac:dyDescent="0.3">
      <c r="L472" s="5"/>
    </row>
    <row r="473" spans="12:12" ht="14.25" customHeight="1" x14ac:dyDescent="0.3">
      <c r="L473" s="5"/>
    </row>
    <row r="474" spans="12:12" ht="14.25" customHeight="1" x14ac:dyDescent="0.3">
      <c r="L474" s="5"/>
    </row>
    <row r="475" spans="12:12" ht="14.25" customHeight="1" x14ac:dyDescent="0.3">
      <c r="L475" s="5"/>
    </row>
    <row r="476" spans="12:12" ht="14.25" customHeight="1" x14ac:dyDescent="0.3">
      <c r="L476" s="5"/>
    </row>
    <row r="477" spans="12:12" ht="14.25" customHeight="1" x14ac:dyDescent="0.3">
      <c r="L477" s="5"/>
    </row>
    <row r="478" spans="12:12" ht="14.25" customHeight="1" x14ac:dyDescent="0.3">
      <c r="L478" s="5"/>
    </row>
    <row r="479" spans="12:12" ht="14.25" customHeight="1" x14ac:dyDescent="0.3">
      <c r="L479" s="5"/>
    </row>
    <row r="480" spans="12:12" ht="14.25" customHeight="1" x14ac:dyDescent="0.3">
      <c r="L480" s="5"/>
    </row>
    <row r="481" spans="12:12" ht="14.25" customHeight="1" x14ac:dyDescent="0.3">
      <c r="L481" s="5"/>
    </row>
    <row r="482" spans="12:12" ht="14.25" customHeight="1" x14ac:dyDescent="0.3">
      <c r="L482" s="5"/>
    </row>
    <row r="483" spans="12:12" ht="14.25" customHeight="1" x14ac:dyDescent="0.3">
      <c r="L483" s="5"/>
    </row>
    <row r="484" spans="12:12" ht="14.25" customHeight="1" x14ac:dyDescent="0.3">
      <c r="L484" s="5"/>
    </row>
    <row r="485" spans="12:12" ht="14.25" customHeight="1" x14ac:dyDescent="0.3">
      <c r="L485" s="5"/>
    </row>
    <row r="486" spans="12:12" ht="14.25" customHeight="1" x14ac:dyDescent="0.3">
      <c r="L486" s="5"/>
    </row>
    <row r="487" spans="12:12" ht="14.25" customHeight="1" x14ac:dyDescent="0.3">
      <c r="L487" s="5"/>
    </row>
    <row r="488" spans="12:12" ht="14.25" customHeight="1" x14ac:dyDescent="0.3">
      <c r="L488" s="5"/>
    </row>
    <row r="489" spans="12:12" ht="14.25" customHeight="1" x14ac:dyDescent="0.3">
      <c r="L489" s="5"/>
    </row>
    <row r="490" spans="12:12" ht="14.25" customHeight="1" x14ac:dyDescent="0.3">
      <c r="L490" s="5"/>
    </row>
    <row r="491" spans="12:12" ht="14.25" customHeight="1" x14ac:dyDescent="0.3">
      <c r="L491" s="5"/>
    </row>
    <row r="492" spans="12:12" ht="14.25" customHeight="1" x14ac:dyDescent="0.3">
      <c r="L492" s="5"/>
    </row>
    <row r="493" spans="12:12" ht="14.25" customHeight="1" x14ac:dyDescent="0.3">
      <c r="L493" s="5"/>
    </row>
    <row r="494" spans="12:12" ht="14.25" customHeight="1" x14ac:dyDescent="0.3">
      <c r="L494" s="5"/>
    </row>
    <row r="495" spans="12:12" ht="14.25" customHeight="1" x14ac:dyDescent="0.3">
      <c r="L495" s="5"/>
    </row>
    <row r="496" spans="12:12" ht="14.25" customHeight="1" x14ac:dyDescent="0.3">
      <c r="L496" s="5"/>
    </row>
    <row r="497" spans="12:12" ht="14.25" customHeight="1" x14ac:dyDescent="0.3">
      <c r="L497" s="5"/>
    </row>
    <row r="498" spans="12:12" ht="14.25" customHeight="1" x14ac:dyDescent="0.3">
      <c r="L498" s="5"/>
    </row>
    <row r="499" spans="12:12" ht="14.25" customHeight="1" x14ac:dyDescent="0.3">
      <c r="L499" s="5"/>
    </row>
    <row r="500" spans="12:12" ht="14.25" customHeight="1" x14ac:dyDescent="0.3">
      <c r="L500" s="5"/>
    </row>
    <row r="501" spans="12:12" ht="14.25" customHeight="1" x14ac:dyDescent="0.3">
      <c r="L501" s="5"/>
    </row>
    <row r="502" spans="12:12" ht="14.25" customHeight="1" x14ac:dyDescent="0.3">
      <c r="L502" s="5"/>
    </row>
    <row r="503" spans="12:12" ht="14.25" customHeight="1" x14ac:dyDescent="0.3">
      <c r="L503" s="5"/>
    </row>
    <row r="504" spans="12:12" ht="14.25" customHeight="1" x14ac:dyDescent="0.3">
      <c r="L504" s="5"/>
    </row>
    <row r="505" spans="12:12" ht="14.25" customHeight="1" x14ac:dyDescent="0.3">
      <c r="L505" s="5"/>
    </row>
    <row r="506" spans="12:12" ht="14.25" customHeight="1" x14ac:dyDescent="0.3">
      <c r="L506" s="5"/>
    </row>
    <row r="507" spans="12:12" ht="14.25" customHeight="1" x14ac:dyDescent="0.3">
      <c r="L507" s="5"/>
    </row>
    <row r="508" spans="12:12" ht="14.25" customHeight="1" x14ac:dyDescent="0.3">
      <c r="L508" s="5"/>
    </row>
    <row r="509" spans="12:12" ht="14.25" customHeight="1" x14ac:dyDescent="0.3">
      <c r="L509" s="5"/>
    </row>
    <row r="510" spans="12:12" ht="14.25" customHeight="1" x14ac:dyDescent="0.3">
      <c r="L510" s="5"/>
    </row>
    <row r="511" spans="12:12" ht="14.25" customHeight="1" x14ac:dyDescent="0.3">
      <c r="L511" s="5"/>
    </row>
    <row r="512" spans="12:12" ht="14.25" customHeight="1" x14ac:dyDescent="0.3">
      <c r="L512" s="5"/>
    </row>
    <row r="513" spans="12:12" ht="14.25" customHeight="1" x14ac:dyDescent="0.3">
      <c r="L513" s="5"/>
    </row>
    <row r="514" spans="12:12" ht="14.25" customHeight="1" x14ac:dyDescent="0.3">
      <c r="L514" s="5"/>
    </row>
    <row r="515" spans="12:12" ht="14.25" customHeight="1" x14ac:dyDescent="0.3">
      <c r="L515" s="5"/>
    </row>
    <row r="516" spans="12:12" ht="14.25" customHeight="1" x14ac:dyDescent="0.3">
      <c r="L516" s="5"/>
    </row>
    <row r="517" spans="12:12" ht="14.25" customHeight="1" x14ac:dyDescent="0.3">
      <c r="L517" s="5"/>
    </row>
    <row r="518" spans="12:12" ht="14.25" customHeight="1" x14ac:dyDescent="0.3">
      <c r="L518" s="5"/>
    </row>
    <row r="519" spans="12:12" ht="14.25" customHeight="1" x14ac:dyDescent="0.3">
      <c r="L519" s="5"/>
    </row>
    <row r="520" spans="12:12" ht="14.25" customHeight="1" x14ac:dyDescent="0.3">
      <c r="L520" s="5"/>
    </row>
    <row r="521" spans="12:12" ht="14.25" customHeight="1" x14ac:dyDescent="0.3">
      <c r="L521" s="5"/>
    </row>
    <row r="522" spans="12:12" ht="14.25" customHeight="1" x14ac:dyDescent="0.3">
      <c r="L522" s="5"/>
    </row>
    <row r="523" spans="12:12" ht="14.25" customHeight="1" x14ac:dyDescent="0.3">
      <c r="L523" s="5"/>
    </row>
    <row r="524" spans="12:12" ht="14.25" customHeight="1" x14ac:dyDescent="0.3">
      <c r="L524" s="5"/>
    </row>
    <row r="525" spans="12:12" ht="14.25" customHeight="1" x14ac:dyDescent="0.3">
      <c r="L525" s="5"/>
    </row>
    <row r="526" spans="12:12" ht="14.25" customHeight="1" x14ac:dyDescent="0.3">
      <c r="L526" s="5"/>
    </row>
    <row r="527" spans="12:12" ht="14.25" customHeight="1" x14ac:dyDescent="0.3">
      <c r="L527" s="5"/>
    </row>
    <row r="528" spans="12:12" ht="14.25" customHeight="1" x14ac:dyDescent="0.3">
      <c r="L528" s="5"/>
    </row>
    <row r="529" spans="12:12" ht="14.25" customHeight="1" x14ac:dyDescent="0.3">
      <c r="L529" s="5"/>
    </row>
    <row r="530" spans="12:12" ht="14.25" customHeight="1" x14ac:dyDescent="0.3">
      <c r="L530" s="5"/>
    </row>
    <row r="531" spans="12:12" ht="14.25" customHeight="1" x14ac:dyDescent="0.3">
      <c r="L531" s="5"/>
    </row>
    <row r="532" spans="12:12" ht="14.25" customHeight="1" x14ac:dyDescent="0.3">
      <c r="L532" s="5"/>
    </row>
    <row r="533" spans="12:12" ht="14.25" customHeight="1" x14ac:dyDescent="0.3">
      <c r="L533" s="5"/>
    </row>
    <row r="534" spans="12:12" ht="14.25" customHeight="1" x14ac:dyDescent="0.3">
      <c r="L534" s="5"/>
    </row>
    <row r="535" spans="12:12" ht="14.25" customHeight="1" x14ac:dyDescent="0.3">
      <c r="L535" s="5"/>
    </row>
    <row r="536" spans="12:12" ht="14.25" customHeight="1" x14ac:dyDescent="0.3">
      <c r="L536" s="5"/>
    </row>
    <row r="537" spans="12:12" ht="14.25" customHeight="1" x14ac:dyDescent="0.3">
      <c r="L537" s="5"/>
    </row>
    <row r="538" spans="12:12" ht="14.25" customHeight="1" x14ac:dyDescent="0.3">
      <c r="L538" s="5"/>
    </row>
    <row r="539" spans="12:12" ht="14.25" customHeight="1" x14ac:dyDescent="0.3">
      <c r="L539" s="5"/>
    </row>
    <row r="540" spans="12:12" ht="14.25" customHeight="1" x14ac:dyDescent="0.3">
      <c r="L540" s="5"/>
    </row>
    <row r="541" spans="12:12" ht="14.25" customHeight="1" x14ac:dyDescent="0.3">
      <c r="L541" s="5"/>
    </row>
    <row r="542" spans="12:12" ht="14.25" customHeight="1" x14ac:dyDescent="0.3">
      <c r="L542" s="5"/>
    </row>
    <row r="543" spans="12:12" ht="14.25" customHeight="1" x14ac:dyDescent="0.3">
      <c r="L543" s="5"/>
    </row>
    <row r="544" spans="12:12" ht="14.25" customHeight="1" x14ac:dyDescent="0.3">
      <c r="L544" s="5"/>
    </row>
    <row r="545" spans="12:12" ht="14.25" customHeight="1" x14ac:dyDescent="0.3">
      <c r="L545" s="5"/>
    </row>
    <row r="546" spans="12:12" ht="14.25" customHeight="1" x14ac:dyDescent="0.3">
      <c r="L546" s="5"/>
    </row>
    <row r="547" spans="12:12" ht="14.25" customHeight="1" x14ac:dyDescent="0.3">
      <c r="L547" s="5"/>
    </row>
    <row r="548" spans="12:12" ht="14.25" customHeight="1" x14ac:dyDescent="0.3">
      <c r="L548" s="5"/>
    </row>
    <row r="549" spans="12:12" ht="14.25" customHeight="1" x14ac:dyDescent="0.3">
      <c r="L549" s="5"/>
    </row>
    <row r="550" spans="12:12" ht="14.25" customHeight="1" x14ac:dyDescent="0.3">
      <c r="L550" s="5"/>
    </row>
    <row r="551" spans="12:12" ht="14.25" customHeight="1" x14ac:dyDescent="0.3">
      <c r="L551" s="5"/>
    </row>
    <row r="552" spans="12:12" ht="14.25" customHeight="1" x14ac:dyDescent="0.3">
      <c r="L552" s="5"/>
    </row>
    <row r="553" spans="12:12" ht="14.25" customHeight="1" x14ac:dyDescent="0.3">
      <c r="L553" s="5"/>
    </row>
    <row r="554" spans="12:12" ht="14.25" customHeight="1" x14ac:dyDescent="0.3">
      <c r="L554" s="5"/>
    </row>
    <row r="555" spans="12:12" ht="14.25" customHeight="1" x14ac:dyDescent="0.3">
      <c r="L555" s="5"/>
    </row>
    <row r="556" spans="12:12" ht="14.25" customHeight="1" x14ac:dyDescent="0.3">
      <c r="L556" s="5"/>
    </row>
    <row r="557" spans="12:12" ht="14.25" customHeight="1" x14ac:dyDescent="0.3">
      <c r="L557" s="5"/>
    </row>
    <row r="558" spans="12:12" ht="14.25" customHeight="1" x14ac:dyDescent="0.3">
      <c r="L558" s="5"/>
    </row>
    <row r="559" spans="12:12" ht="14.25" customHeight="1" x14ac:dyDescent="0.3">
      <c r="L559" s="5"/>
    </row>
    <row r="560" spans="12:12" ht="14.25" customHeight="1" x14ac:dyDescent="0.3">
      <c r="L560" s="5"/>
    </row>
    <row r="561" spans="12:12" ht="14.25" customHeight="1" x14ac:dyDescent="0.3">
      <c r="L561" s="5"/>
    </row>
    <row r="562" spans="12:12" ht="14.25" customHeight="1" x14ac:dyDescent="0.3">
      <c r="L562" s="5"/>
    </row>
    <row r="563" spans="12:12" ht="14.25" customHeight="1" x14ac:dyDescent="0.3">
      <c r="L563" s="5"/>
    </row>
    <row r="564" spans="12:12" ht="14.25" customHeight="1" x14ac:dyDescent="0.3">
      <c r="L564" s="5"/>
    </row>
    <row r="565" spans="12:12" ht="14.25" customHeight="1" x14ac:dyDescent="0.3">
      <c r="L565" s="5"/>
    </row>
    <row r="566" spans="12:12" ht="14.25" customHeight="1" x14ac:dyDescent="0.3">
      <c r="L566" s="5"/>
    </row>
    <row r="567" spans="12:12" ht="14.25" customHeight="1" x14ac:dyDescent="0.3">
      <c r="L567" s="5"/>
    </row>
    <row r="568" spans="12:12" ht="14.25" customHeight="1" x14ac:dyDescent="0.3">
      <c r="L568" s="5"/>
    </row>
    <row r="569" spans="12:12" ht="14.25" customHeight="1" x14ac:dyDescent="0.3">
      <c r="L569" s="5"/>
    </row>
    <row r="570" spans="12:12" ht="14.25" customHeight="1" x14ac:dyDescent="0.3">
      <c r="L570" s="5"/>
    </row>
    <row r="571" spans="12:12" ht="14.25" customHeight="1" x14ac:dyDescent="0.3">
      <c r="L571" s="5"/>
    </row>
    <row r="572" spans="12:12" ht="14.25" customHeight="1" x14ac:dyDescent="0.3">
      <c r="L572" s="5"/>
    </row>
    <row r="573" spans="12:12" ht="14.25" customHeight="1" x14ac:dyDescent="0.3">
      <c r="L573" s="5"/>
    </row>
    <row r="574" spans="12:12" ht="14.25" customHeight="1" x14ac:dyDescent="0.3">
      <c r="L574" s="5"/>
    </row>
    <row r="575" spans="12:12" ht="14.25" customHeight="1" x14ac:dyDescent="0.3">
      <c r="L575" s="5"/>
    </row>
    <row r="576" spans="12:12" ht="14.25" customHeight="1" x14ac:dyDescent="0.3">
      <c r="L576" s="5"/>
    </row>
    <row r="577" spans="12:12" ht="14.25" customHeight="1" x14ac:dyDescent="0.3">
      <c r="L577" s="5"/>
    </row>
    <row r="578" spans="12:12" ht="14.25" customHeight="1" x14ac:dyDescent="0.3">
      <c r="L578" s="5"/>
    </row>
    <row r="579" spans="12:12" ht="14.25" customHeight="1" x14ac:dyDescent="0.3">
      <c r="L579" s="5"/>
    </row>
    <row r="580" spans="12:12" ht="14.25" customHeight="1" x14ac:dyDescent="0.3">
      <c r="L580" s="5"/>
    </row>
    <row r="581" spans="12:12" ht="14.25" customHeight="1" x14ac:dyDescent="0.3">
      <c r="L581" s="5"/>
    </row>
    <row r="582" spans="12:12" ht="14.25" customHeight="1" x14ac:dyDescent="0.3">
      <c r="L582" s="5"/>
    </row>
    <row r="583" spans="12:12" ht="14.25" customHeight="1" x14ac:dyDescent="0.3">
      <c r="L583" s="5"/>
    </row>
    <row r="584" spans="12:12" ht="14.25" customHeight="1" x14ac:dyDescent="0.3">
      <c r="L584" s="5"/>
    </row>
    <row r="585" spans="12:12" ht="14.25" customHeight="1" x14ac:dyDescent="0.3">
      <c r="L585" s="5"/>
    </row>
    <row r="586" spans="12:12" ht="14.25" customHeight="1" x14ac:dyDescent="0.3">
      <c r="L586" s="5"/>
    </row>
    <row r="587" spans="12:12" ht="14.25" customHeight="1" x14ac:dyDescent="0.3">
      <c r="L587" s="5"/>
    </row>
    <row r="588" spans="12:12" ht="14.25" customHeight="1" x14ac:dyDescent="0.3">
      <c r="L588" s="5"/>
    </row>
    <row r="589" spans="12:12" ht="14.25" customHeight="1" x14ac:dyDescent="0.3">
      <c r="L589" s="5"/>
    </row>
    <row r="590" spans="12:12" ht="14.25" customHeight="1" x14ac:dyDescent="0.3">
      <c r="L590" s="5"/>
    </row>
    <row r="591" spans="12:12" ht="14.25" customHeight="1" x14ac:dyDescent="0.3">
      <c r="L591" s="5"/>
    </row>
    <row r="592" spans="12:12" ht="14.25" customHeight="1" x14ac:dyDescent="0.3">
      <c r="L592" s="5"/>
    </row>
    <row r="593" spans="12:12" ht="14.25" customHeight="1" x14ac:dyDescent="0.3">
      <c r="L593" s="5"/>
    </row>
    <row r="594" spans="12:12" ht="14.25" customHeight="1" x14ac:dyDescent="0.3">
      <c r="L594" s="5"/>
    </row>
    <row r="595" spans="12:12" ht="14.25" customHeight="1" x14ac:dyDescent="0.3">
      <c r="L595" s="5"/>
    </row>
    <row r="596" spans="12:12" ht="14.25" customHeight="1" x14ac:dyDescent="0.3">
      <c r="L596" s="5"/>
    </row>
    <row r="597" spans="12:12" ht="14.25" customHeight="1" x14ac:dyDescent="0.3">
      <c r="L597" s="5"/>
    </row>
    <row r="598" spans="12:12" ht="14.25" customHeight="1" x14ac:dyDescent="0.3">
      <c r="L598" s="5"/>
    </row>
    <row r="599" spans="12:12" ht="14.25" customHeight="1" x14ac:dyDescent="0.3">
      <c r="L599" s="5"/>
    </row>
    <row r="600" spans="12:12" ht="14.25" customHeight="1" x14ac:dyDescent="0.3">
      <c r="L600" s="5"/>
    </row>
    <row r="601" spans="12:12" ht="14.25" customHeight="1" x14ac:dyDescent="0.3">
      <c r="L601" s="5"/>
    </row>
    <row r="602" spans="12:12" ht="14.25" customHeight="1" x14ac:dyDescent="0.3">
      <c r="L602" s="5"/>
    </row>
    <row r="603" spans="12:12" ht="14.25" customHeight="1" x14ac:dyDescent="0.3">
      <c r="L603" s="5"/>
    </row>
    <row r="604" spans="12:12" ht="14.25" customHeight="1" x14ac:dyDescent="0.3">
      <c r="L604" s="5"/>
    </row>
    <row r="605" spans="12:12" ht="14.25" customHeight="1" x14ac:dyDescent="0.3">
      <c r="L605" s="5"/>
    </row>
    <row r="606" spans="12:12" ht="14.25" customHeight="1" x14ac:dyDescent="0.3">
      <c r="L606" s="5"/>
    </row>
    <row r="607" spans="12:12" ht="14.25" customHeight="1" x14ac:dyDescent="0.3">
      <c r="L607" s="5"/>
    </row>
    <row r="608" spans="12:12" ht="14.25" customHeight="1" x14ac:dyDescent="0.3">
      <c r="L608" s="5"/>
    </row>
    <row r="609" spans="12:12" ht="14.25" customHeight="1" x14ac:dyDescent="0.3">
      <c r="L609" s="5"/>
    </row>
    <row r="610" spans="12:12" ht="14.25" customHeight="1" x14ac:dyDescent="0.3">
      <c r="L610" s="5"/>
    </row>
    <row r="611" spans="12:12" ht="14.25" customHeight="1" x14ac:dyDescent="0.3">
      <c r="L611" s="5"/>
    </row>
    <row r="612" spans="12:12" ht="14.25" customHeight="1" x14ac:dyDescent="0.3">
      <c r="L612" s="5"/>
    </row>
    <row r="613" spans="12:12" ht="14.25" customHeight="1" x14ac:dyDescent="0.3">
      <c r="L613" s="5"/>
    </row>
    <row r="614" spans="12:12" ht="14.25" customHeight="1" x14ac:dyDescent="0.3">
      <c r="L614" s="5"/>
    </row>
    <row r="615" spans="12:12" ht="14.25" customHeight="1" x14ac:dyDescent="0.3">
      <c r="L615" s="5"/>
    </row>
    <row r="616" spans="12:12" ht="14.25" customHeight="1" x14ac:dyDescent="0.3">
      <c r="L616" s="5"/>
    </row>
    <row r="617" spans="12:12" ht="14.25" customHeight="1" x14ac:dyDescent="0.3">
      <c r="L617" s="5"/>
    </row>
    <row r="618" spans="12:12" ht="14.25" customHeight="1" x14ac:dyDescent="0.3">
      <c r="L618" s="5"/>
    </row>
    <row r="619" spans="12:12" ht="14.25" customHeight="1" x14ac:dyDescent="0.3">
      <c r="L619" s="5"/>
    </row>
    <row r="620" spans="12:12" ht="14.25" customHeight="1" x14ac:dyDescent="0.3">
      <c r="L620" s="5"/>
    </row>
    <row r="621" spans="12:12" ht="14.25" customHeight="1" x14ac:dyDescent="0.3">
      <c r="L621" s="5"/>
    </row>
    <row r="622" spans="12:12" ht="14.25" customHeight="1" x14ac:dyDescent="0.3">
      <c r="L622" s="5"/>
    </row>
    <row r="623" spans="12:12" ht="14.25" customHeight="1" x14ac:dyDescent="0.3">
      <c r="L623" s="5"/>
    </row>
    <row r="624" spans="12:12" ht="14.25" customHeight="1" x14ac:dyDescent="0.3">
      <c r="L624" s="5"/>
    </row>
    <row r="625" spans="12:12" ht="14.25" customHeight="1" x14ac:dyDescent="0.3">
      <c r="L625" s="5"/>
    </row>
    <row r="626" spans="12:12" ht="14.25" customHeight="1" x14ac:dyDescent="0.3">
      <c r="L626" s="5"/>
    </row>
    <row r="627" spans="12:12" ht="14.25" customHeight="1" x14ac:dyDescent="0.3">
      <c r="L627" s="5"/>
    </row>
    <row r="628" spans="12:12" ht="14.25" customHeight="1" x14ac:dyDescent="0.3">
      <c r="L628" s="5"/>
    </row>
    <row r="629" spans="12:12" ht="14.25" customHeight="1" x14ac:dyDescent="0.3">
      <c r="L629" s="5"/>
    </row>
    <row r="630" spans="12:12" ht="14.25" customHeight="1" x14ac:dyDescent="0.3">
      <c r="L630" s="5"/>
    </row>
    <row r="631" spans="12:12" ht="14.25" customHeight="1" x14ac:dyDescent="0.3">
      <c r="L631" s="5"/>
    </row>
    <row r="632" spans="12:12" ht="14.25" customHeight="1" x14ac:dyDescent="0.3">
      <c r="L632" s="5"/>
    </row>
    <row r="633" spans="12:12" ht="14.25" customHeight="1" x14ac:dyDescent="0.3">
      <c r="L633" s="5"/>
    </row>
    <row r="634" spans="12:12" ht="14.25" customHeight="1" x14ac:dyDescent="0.3">
      <c r="L634" s="5"/>
    </row>
    <row r="635" spans="12:12" ht="14.25" customHeight="1" x14ac:dyDescent="0.3">
      <c r="L635" s="5"/>
    </row>
    <row r="636" spans="12:12" ht="14.25" customHeight="1" x14ac:dyDescent="0.3">
      <c r="L636" s="5"/>
    </row>
    <row r="637" spans="12:12" ht="14.25" customHeight="1" x14ac:dyDescent="0.3">
      <c r="L637" s="5"/>
    </row>
    <row r="638" spans="12:12" ht="14.25" customHeight="1" x14ac:dyDescent="0.3">
      <c r="L638" s="5"/>
    </row>
    <row r="639" spans="12:12" ht="14.25" customHeight="1" x14ac:dyDescent="0.3">
      <c r="L639" s="5"/>
    </row>
    <row r="640" spans="12:12" ht="14.25" customHeight="1" x14ac:dyDescent="0.3">
      <c r="L640" s="5"/>
    </row>
    <row r="641" spans="12:12" ht="14.25" customHeight="1" x14ac:dyDescent="0.3">
      <c r="L641" s="5"/>
    </row>
    <row r="642" spans="12:12" ht="14.25" customHeight="1" x14ac:dyDescent="0.3">
      <c r="L642" s="5"/>
    </row>
    <row r="643" spans="12:12" ht="14.25" customHeight="1" x14ac:dyDescent="0.3">
      <c r="L643" s="5"/>
    </row>
    <row r="644" spans="12:12" ht="14.25" customHeight="1" x14ac:dyDescent="0.3">
      <c r="L644" s="5"/>
    </row>
    <row r="645" spans="12:12" ht="14.25" customHeight="1" x14ac:dyDescent="0.3">
      <c r="L645" s="5"/>
    </row>
    <row r="646" spans="12:12" ht="14.25" customHeight="1" x14ac:dyDescent="0.3">
      <c r="L646" s="5"/>
    </row>
    <row r="647" spans="12:12" ht="14.25" customHeight="1" x14ac:dyDescent="0.3">
      <c r="L647" s="5"/>
    </row>
    <row r="648" spans="12:12" ht="14.25" customHeight="1" x14ac:dyDescent="0.3">
      <c r="L648" s="5"/>
    </row>
    <row r="649" spans="12:12" ht="14.25" customHeight="1" x14ac:dyDescent="0.3">
      <c r="L649" s="5"/>
    </row>
    <row r="650" spans="12:12" ht="14.25" customHeight="1" x14ac:dyDescent="0.3">
      <c r="L650" s="5"/>
    </row>
    <row r="651" spans="12:12" ht="14.25" customHeight="1" x14ac:dyDescent="0.3">
      <c r="L651" s="5"/>
    </row>
    <row r="652" spans="12:12" ht="14.25" customHeight="1" x14ac:dyDescent="0.3">
      <c r="L652" s="5"/>
    </row>
    <row r="653" spans="12:12" ht="14.25" customHeight="1" x14ac:dyDescent="0.3">
      <c r="L653" s="5"/>
    </row>
    <row r="654" spans="12:12" ht="14.25" customHeight="1" x14ac:dyDescent="0.3">
      <c r="L654" s="5"/>
    </row>
    <row r="655" spans="12:12" ht="14.25" customHeight="1" x14ac:dyDescent="0.3">
      <c r="L655" s="5"/>
    </row>
    <row r="656" spans="12:12" ht="14.25" customHeight="1" x14ac:dyDescent="0.3">
      <c r="L656" s="5"/>
    </row>
    <row r="657" spans="12:12" ht="14.25" customHeight="1" x14ac:dyDescent="0.3">
      <c r="L657" s="5"/>
    </row>
    <row r="658" spans="12:12" ht="14.25" customHeight="1" x14ac:dyDescent="0.3">
      <c r="L658" s="5"/>
    </row>
    <row r="659" spans="12:12" ht="14.25" customHeight="1" x14ac:dyDescent="0.3">
      <c r="L659" s="5"/>
    </row>
    <row r="660" spans="12:12" ht="14.25" customHeight="1" x14ac:dyDescent="0.3">
      <c r="L660" s="5"/>
    </row>
    <row r="661" spans="12:12" ht="14.25" customHeight="1" x14ac:dyDescent="0.3">
      <c r="L661" s="5"/>
    </row>
    <row r="662" spans="12:12" ht="14.25" customHeight="1" x14ac:dyDescent="0.3">
      <c r="L662" s="5"/>
    </row>
    <row r="663" spans="12:12" ht="14.25" customHeight="1" x14ac:dyDescent="0.3">
      <c r="L663" s="5"/>
    </row>
    <row r="664" spans="12:12" ht="14.25" customHeight="1" x14ac:dyDescent="0.3">
      <c r="L664" s="5"/>
    </row>
    <row r="665" spans="12:12" ht="14.25" customHeight="1" x14ac:dyDescent="0.3">
      <c r="L665" s="5"/>
    </row>
    <row r="666" spans="12:12" ht="14.25" customHeight="1" x14ac:dyDescent="0.3">
      <c r="L666" s="5"/>
    </row>
    <row r="667" spans="12:12" ht="14.25" customHeight="1" x14ac:dyDescent="0.3">
      <c r="L667" s="5"/>
    </row>
    <row r="668" spans="12:12" ht="14.25" customHeight="1" x14ac:dyDescent="0.3">
      <c r="L668" s="5"/>
    </row>
    <row r="669" spans="12:12" ht="14.25" customHeight="1" x14ac:dyDescent="0.3">
      <c r="L669" s="5"/>
    </row>
    <row r="670" spans="12:12" ht="14.25" customHeight="1" x14ac:dyDescent="0.3">
      <c r="L670" s="5"/>
    </row>
    <row r="671" spans="12:12" ht="14.25" customHeight="1" x14ac:dyDescent="0.3">
      <c r="L671" s="5"/>
    </row>
    <row r="672" spans="12:12" ht="14.25" customHeight="1" x14ac:dyDescent="0.3">
      <c r="L672" s="5"/>
    </row>
    <row r="673" spans="12:12" ht="14.25" customHeight="1" x14ac:dyDescent="0.3">
      <c r="L673" s="5"/>
    </row>
    <row r="674" spans="12:12" ht="14.25" customHeight="1" x14ac:dyDescent="0.3">
      <c r="L674" s="5"/>
    </row>
    <row r="675" spans="12:12" ht="14.25" customHeight="1" x14ac:dyDescent="0.3">
      <c r="L675" s="5"/>
    </row>
    <row r="676" spans="12:12" ht="14.25" customHeight="1" x14ac:dyDescent="0.3">
      <c r="L676" s="5"/>
    </row>
    <row r="677" spans="12:12" ht="14.25" customHeight="1" x14ac:dyDescent="0.3">
      <c r="L677" s="5"/>
    </row>
    <row r="678" spans="12:12" ht="14.25" customHeight="1" x14ac:dyDescent="0.3">
      <c r="L678" s="5"/>
    </row>
    <row r="679" spans="12:12" ht="14.25" customHeight="1" x14ac:dyDescent="0.3">
      <c r="L679" s="5"/>
    </row>
    <row r="680" spans="12:12" ht="14.25" customHeight="1" x14ac:dyDescent="0.3">
      <c r="L680" s="5"/>
    </row>
    <row r="681" spans="12:12" ht="14.25" customHeight="1" x14ac:dyDescent="0.3">
      <c r="L681" s="5"/>
    </row>
    <row r="682" spans="12:12" ht="14.25" customHeight="1" x14ac:dyDescent="0.3">
      <c r="L682" s="5"/>
    </row>
    <row r="683" spans="12:12" ht="14.25" customHeight="1" x14ac:dyDescent="0.3">
      <c r="L683" s="5"/>
    </row>
    <row r="684" spans="12:12" ht="14.25" customHeight="1" x14ac:dyDescent="0.3">
      <c r="L684" s="5"/>
    </row>
    <row r="685" spans="12:12" ht="14.25" customHeight="1" x14ac:dyDescent="0.3">
      <c r="L685" s="5"/>
    </row>
    <row r="686" spans="12:12" ht="14.25" customHeight="1" x14ac:dyDescent="0.3">
      <c r="L686" s="5"/>
    </row>
    <row r="687" spans="12:12" ht="14.25" customHeight="1" x14ac:dyDescent="0.3">
      <c r="L687" s="5"/>
    </row>
    <row r="688" spans="12:12" ht="14.25" customHeight="1" x14ac:dyDescent="0.3">
      <c r="L688" s="5"/>
    </row>
    <row r="689" spans="12:12" ht="14.25" customHeight="1" x14ac:dyDescent="0.3">
      <c r="L689" s="5"/>
    </row>
    <row r="690" spans="12:12" ht="14.25" customHeight="1" x14ac:dyDescent="0.3">
      <c r="L690" s="5"/>
    </row>
    <row r="691" spans="12:12" ht="14.25" customHeight="1" x14ac:dyDescent="0.3">
      <c r="L691" s="5"/>
    </row>
    <row r="692" spans="12:12" ht="14.25" customHeight="1" x14ac:dyDescent="0.3">
      <c r="L692" s="5"/>
    </row>
    <row r="693" spans="12:12" ht="14.25" customHeight="1" x14ac:dyDescent="0.3">
      <c r="L693" s="5"/>
    </row>
    <row r="694" spans="12:12" ht="14.25" customHeight="1" x14ac:dyDescent="0.3">
      <c r="L694" s="5"/>
    </row>
    <row r="695" spans="12:12" ht="14.25" customHeight="1" x14ac:dyDescent="0.3">
      <c r="L695" s="5"/>
    </row>
    <row r="696" spans="12:12" ht="14.25" customHeight="1" x14ac:dyDescent="0.3">
      <c r="L696" s="5"/>
    </row>
    <row r="697" spans="12:12" ht="14.25" customHeight="1" x14ac:dyDescent="0.3">
      <c r="L697" s="5"/>
    </row>
    <row r="698" spans="12:12" ht="14.25" customHeight="1" x14ac:dyDescent="0.3">
      <c r="L698" s="5"/>
    </row>
    <row r="699" spans="12:12" ht="14.25" customHeight="1" x14ac:dyDescent="0.3">
      <c r="L699" s="5"/>
    </row>
    <row r="700" spans="12:12" ht="14.25" customHeight="1" x14ac:dyDescent="0.3">
      <c r="L700" s="5"/>
    </row>
    <row r="701" spans="12:12" ht="14.25" customHeight="1" x14ac:dyDescent="0.3">
      <c r="L701" s="5"/>
    </row>
    <row r="702" spans="12:12" ht="14.25" customHeight="1" x14ac:dyDescent="0.3">
      <c r="L702" s="5"/>
    </row>
    <row r="703" spans="12:12" ht="14.25" customHeight="1" x14ac:dyDescent="0.3">
      <c r="L703" s="5"/>
    </row>
    <row r="704" spans="12:12" ht="14.25" customHeight="1" x14ac:dyDescent="0.3">
      <c r="L704" s="5"/>
    </row>
    <row r="705" spans="12:12" ht="14.25" customHeight="1" x14ac:dyDescent="0.3">
      <c r="L705" s="5"/>
    </row>
    <row r="706" spans="12:12" ht="14.25" customHeight="1" x14ac:dyDescent="0.3">
      <c r="L706" s="5"/>
    </row>
    <row r="707" spans="12:12" ht="14.25" customHeight="1" x14ac:dyDescent="0.3">
      <c r="L707" s="5"/>
    </row>
    <row r="708" spans="12:12" ht="14.25" customHeight="1" x14ac:dyDescent="0.3">
      <c r="L708" s="5"/>
    </row>
    <row r="709" spans="12:12" ht="14.25" customHeight="1" x14ac:dyDescent="0.3">
      <c r="L709" s="5"/>
    </row>
    <row r="710" spans="12:12" ht="14.25" customHeight="1" x14ac:dyDescent="0.3">
      <c r="L710" s="5"/>
    </row>
    <row r="711" spans="12:12" ht="14.25" customHeight="1" x14ac:dyDescent="0.3">
      <c r="L711" s="5"/>
    </row>
    <row r="712" spans="12:12" ht="14.25" customHeight="1" x14ac:dyDescent="0.3">
      <c r="L712" s="5"/>
    </row>
    <row r="713" spans="12:12" ht="14.25" customHeight="1" x14ac:dyDescent="0.3">
      <c r="L713" s="5"/>
    </row>
    <row r="714" spans="12:12" ht="14.25" customHeight="1" x14ac:dyDescent="0.3">
      <c r="L714" s="5"/>
    </row>
    <row r="715" spans="12:12" ht="14.25" customHeight="1" x14ac:dyDescent="0.3">
      <c r="L715" s="5"/>
    </row>
    <row r="716" spans="12:12" ht="14.25" customHeight="1" x14ac:dyDescent="0.3">
      <c r="L716" s="5"/>
    </row>
    <row r="717" spans="12:12" ht="14.25" customHeight="1" x14ac:dyDescent="0.3">
      <c r="L717" s="5"/>
    </row>
    <row r="718" spans="12:12" ht="14.25" customHeight="1" x14ac:dyDescent="0.3">
      <c r="L718" s="5"/>
    </row>
    <row r="719" spans="12:12" ht="14.25" customHeight="1" x14ac:dyDescent="0.3">
      <c r="L719" s="5"/>
    </row>
    <row r="720" spans="12:12" ht="14.25" customHeight="1" x14ac:dyDescent="0.3">
      <c r="L720" s="5"/>
    </row>
    <row r="721" spans="12:12" ht="14.25" customHeight="1" x14ac:dyDescent="0.3">
      <c r="L721" s="5"/>
    </row>
    <row r="722" spans="12:12" ht="14.25" customHeight="1" x14ac:dyDescent="0.3">
      <c r="L722" s="5"/>
    </row>
    <row r="723" spans="12:12" ht="14.25" customHeight="1" x14ac:dyDescent="0.3">
      <c r="L723" s="5"/>
    </row>
    <row r="724" spans="12:12" ht="14.25" customHeight="1" x14ac:dyDescent="0.3">
      <c r="L724" s="5"/>
    </row>
    <row r="725" spans="12:12" ht="14.25" customHeight="1" x14ac:dyDescent="0.3">
      <c r="L725" s="5"/>
    </row>
    <row r="726" spans="12:12" ht="14.25" customHeight="1" x14ac:dyDescent="0.3">
      <c r="L726" s="5"/>
    </row>
    <row r="727" spans="12:12" ht="14.25" customHeight="1" x14ac:dyDescent="0.3">
      <c r="L727" s="5"/>
    </row>
    <row r="728" spans="12:12" ht="14.25" customHeight="1" x14ac:dyDescent="0.3">
      <c r="L728" s="5"/>
    </row>
    <row r="729" spans="12:12" ht="14.25" customHeight="1" x14ac:dyDescent="0.3">
      <c r="L729" s="5"/>
    </row>
    <row r="730" spans="12:12" ht="14.25" customHeight="1" x14ac:dyDescent="0.3">
      <c r="L730" s="5"/>
    </row>
    <row r="731" spans="12:12" ht="14.25" customHeight="1" x14ac:dyDescent="0.3">
      <c r="L731" s="5"/>
    </row>
    <row r="732" spans="12:12" ht="14.25" customHeight="1" x14ac:dyDescent="0.3">
      <c r="L732" s="5"/>
    </row>
    <row r="733" spans="12:12" ht="14.25" customHeight="1" x14ac:dyDescent="0.3">
      <c r="L733" s="5"/>
    </row>
    <row r="734" spans="12:12" ht="14.25" customHeight="1" x14ac:dyDescent="0.3">
      <c r="L734" s="5"/>
    </row>
    <row r="735" spans="12:12" ht="14.25" customHeight="1" x14ac:dyDescent="0.3">
      <c r="L735" s="5"/>
    </row>
    <row r="736" spans="12:12" ht="14.25" customHeight="1" x14ac:dyDescent="0.3">
      <c r="L736" s="5"/>
    </row>
    <row r="737" spans="12:12" ht="14.25" customHeight="1" x14ac:dyDescent="0.3">
      <c r="L737" s="5"/>
    </row>
    <row r="738" spans="12:12" ht="14.25" customHeight="1" x14ac:dyDescent="0.3">
      <c r="L738" s="5"/>
    </row>
    <row r="739" spans="12:12" ht="14.25" customHeight="1" x14ac:dyDescent="0.3">
      <c r="L739" s="5"/>
    </row>
    <row r="740" spans="12:12" ht="14.25" customHeight="1" x14ac:dyDescent="0.3">
      <c r="L740" s="5"/>
    </row>
    <row r="741" spans="12:12" ht="14.25" customHeight="1" x14ac:dyDescent="0.3">
      <c r="L741" s="5"/>
    </row>
    <row r="742" spans="12:12" ht="14.25" customHeight="1" x14ac:dyDescent="0.3">
      <c r="L742" s="5"/>
    </row>
    <row r="743" spans="12:12" ht="14.25" customHeight="1" x14ac:dyDescent="0.3">
      <c r="L743" s="5"/>
    </row>
    <row r="744" spans="12:12" ht="14.25" customHeight="1" x14ac:dyDescent="0.3">
      <c r="L744" s="5"/>
    </row>
    <row r="745" spans="12:12" ht="14.25" customHeight="1" x14ac:dyDescent="0.3">
      <c r="L745" s="5"/>
    </row>
    <row r="746" spans="12:12" ht="14.25" customHeight="1" x14ac:dyDescent="0.3">
      <c r="L746" s="5"/>
    </row>
    <row r="747" spans="12:12" ht="14.25" customHeight="1" x14ac:dyDescent="0.3">
      <c r="L747" s="5"/>
    </row>
    <row r="748" spans="12:12" ht="14.25" customHeight="1" x14ac:dyDescent="0.3">
      <c r="L748" s="5"/>
    </row>
    <row r="749" spans="12:12" ht="14.25" customHeight="1" x14ac:dyDescent="0.3">
      <c r="L749" s="5"/>
    </row>
    <row r="750" spans="12:12" ht="14.25" customHeight="1" x14ac:dyDescent="0.3">
      <c r="L750" s="5"/>
    </row>
    <row r="751" spans="12:12" ht="14.25" customHeight="1" x14ac:dyDescent="0.3">
      <c r="L751" s="5"/>
    </row>
    <row r="752" spans="12:12" ht="14.25" customHeight="1" x14ac:dyDescent="0.3">
      <c r="L752" s="5"/>
    </row>
    <row r="753" spans="12:12" ht="14.25" customHeight="1" x14ac:dyDescent="0.3">
      <c r="L753" s="5"/>
    </row>
    <row r="754" spans="12:12" ht="14.25" customHeight="1" x14ac:dyDescent="0.3">
      <c r="L754" s="5"/>
    </row>
    <row r="755" spans="12:12" ht="14.25" customHeight="1" x14ac:dyDescent="0.3">
      <c r="L755" s="5"/>
    </row>
    <row r="756" spans="12:12" ht="14.25" customHeight="1" x14ac:dyDescent="0.3">
      <c r="L756" s="5"/>
    </row>
    <row r="757" spans="12:12" ht="14.25" customHeight="1" x14ac:dyDescent="0.3">
      <c r="L757" s="5"/>
    </row>
    <row r="758" spans="12:12" ht="14.25" customHeight="1" x14ac:dyDescent="0.3">
      <c r="L758" s="5"/>
    </row>
    <row r="759" spans="12:12" ht="14.25" customHeight="1" x14ac:dyDescent="0.3">
      <c r="L759" s="5"/>
    </row>
    <row r="760" spans="12:12" ht="14.25" customHeight="1" x14ac:dyDescent="0.3">
      <c r="L760" s="5"/>
    </row>
    <row r="761" spans="12:12" ht="14.25" customHeight="1" x14ac:dyDescent="0.3">
      <c r="L761" s="5"/>
    </row>
    <row r="762" spans="12:12" ht="14.25" customHeight="1" x14ac:dyDescent="0.3">
      <c r="L762" s="5"/>
    </row>
    <row r="763" spans="12:12" ht="14.25" customHeight="1" x14ac:dyDescent="0.3">
      <c r="L763" s="5"/>
    </row>
    <row r="764" spans="12:12" ht="14.25" customHeight="1" x14ac:dyDescent="0.3">
      <c r="L764" s="5"/>
    </row>
    <row r="765" spans="12:12" ht="14.25" customHeight="1" x14ac:dyDescent="0.3">
      <c r="L765" s="5"/>
    </row>
    <row r="766" spans="12:12" ht="14.25" customHeight="1" x14ac:dyDescent="0.3">
      <c r="L766" s="5"/>
    </row>
    <row r="767" spans="12:12" ht="14.25" customHeight="1" x14ac:dyDescent="0.3">
      <c r="L767" s="5"/>
    </row>
    <row r="768" spans="12:12" ht="14.25" customHeight="1" x14ac:dyDescent="0.3">
      <c r="L768" s="5"/>
    </row>
    <row r="769" spans="12:12" ht="14.25" customHeight="1" x14ac:dyDescent="0.3">
      <c r="L769" s="5"/>
    </row>
    <row r="770" spans="12:12" ht="14.25" customHeight="1" x14ac:dyDescent="0.3">
      <c r="L770" s="5"/>
    </row>
    <row r="771" spans="12:12" ht="14.25" customHeight="1" x14ac:dyDescent="0.3">
      <c r="L771" s="5"/>
    </row>
    <row r="772" spans="12:12" ht="14.25" customHeight="1" x14ac:dyDescent="0.3">
      <c r="L772" s="5"/>
    </row>
    <row r="773" spans="12:12" ht="14.25" customHeight="1" x14ac:dyDescent="0.3">
      <c r="L773" s="5"/>
    </row>
    <row r="774" spans="12:12" ht="14.25" customHeight="1" x14ac:dyDescent="0.3">
      <c r="L774" s="5"/>
    </row>
    <row r="775" spans="12:12" ht="14.25" customHeight="1" x14ac:dyDescent="0.3">
      <c r="L775" s="5"/>
    </row>
    <row r="776" spans="12:12" ht="14.25" customHeight="1" x14ac:dyDescent="0.3">
      <c r="L776" s="5"/>
    </row>
    <row r="777" spans="12:12" ht="14.25" customHeight="1" x14ac:dyDescent="0.3">
      <c r="L777" s="5"/>
    </row>
    <row r="778" spans="12:12" ht="14.25" customHeight="1" x14ac:dyDescent="0.3">
      <c r="L778" s="5"/>
    </row>
    <row r="779" spans="12:12" ht="14.25" customHeight="1" x14ac:dyDescent="0.3">
      <c r="L779" s="5"/>
    </row>
    <row r="780" spans="12:12" ht="14.25" customHeight="1" x14ac:dyDescent="0.3">
      <c r="L780" s="5"/>
    </row>
    <row r="781" spans="12:12" ht="14.25" customHeight="1" x14ac:dyDescent="0.3">
      <c r="L781" s="5"/>
    </row>
    <row r="782" spans="12:12" ht="14.25" customHeight="1" x14ac:dyDescent="0.3">
      <c r="L782" s="5"/>
    </row>
    <row r="783" spans="12:12" ht="14.25" customHeight="1" x14ac:dyDescent="0.3">
      <c r="L783" s="5"/>
    </row>
    <row r="784" spans="12:12" ht="14.25" customHeight="1" x14ac:dyDescent="0.3">
      <c r="L784" s="5"/>
    </row>
    <row r="785" spans="12:12" ht="14.25" customHeight="1" x14ac:dyDescent="0.3">
      <c r="L785" s="5"/>
    </row>
    <row r="786" spans="12:12" ht="14.25" customHeight="1" x14ac:dyDescent="0.3">
      <c r="L786" s="5"/>
    </row>
    <row r="787" spans="12:12" ht="14.25" customHeight="1" x14ac:dyDescent="0.3">
      <c r="L787" s="5"/>
    </row>
    <row r="788" spans="12:12" ht="14.25" customHeight="1" x14ac:dyDescent="0.3">
      <c r="L788" s="5"/>
    </row>
    <row r="789" spans="12:12" ht="14.25" customHeight="1" x14ac:dyDescent="0.3">
      <c r="L789" s="5"/>
    </row>
    <row r="790" spans="12:12" ht="14.25" customHeight="1" x14ac:dyDescent="0.3">
      <c r="L790" s="5"/>
    </row>
    <row r="791" spans="12:12" ht="14.25" customHeight="1" x14ac:dyDescent="0.3">
      <c r="L791" s="5"/>
    </row>
    <row r="792" spans="12:12" ht="14.25" customHeight="1" x14ac:dyDescent="0.3">
      <c r="L792" s="5"/>
    </row>
    <row r="793" spans="12:12" ht="14.25" customHeight="1" x14ac:dyDescent="0.3">
      <c r="L793" s="5"/>
    </row>
    <row r="794" spans="12:12" ht="14.25" customHeight="1" x14ac:dyDescent="0.3">
      <c r="L794" s="5"/>
    </row>
    <row r="795" spans="12:12" ht="14.25" customHeight="1" x14ac:dyDescent="0.3">
      <c r="L795" s="5"/>
    </row>
    <row r="796" spans="12:12" ht="14.25" customHeight="1" x14ac:dyDescent="0.3">
      <c r="L796" s="5"/>
    </row>
    <row r="797" spans="12:12" ht="14.25" customHeight="1" x14ac:dyDescent="0.3">
      <c r="L797" s="5"/>
    </row>
    <row r="798" spans="12:12" ht="14.25" customHeight="1" x14ac:dyDescent="0.3">
      <c r="L798" s="5"/>
    </row>
    <row r="799" spans="12:12" ht="14.25" customHeight="1" x14ac:dyDescent="0.3">
      <c r="L799" s="5"/>
    </row>
    <row r="800" spans="12:12" ht="14.25" customHeight="1" x14ac:dyDescent="0.3">
      <c r="L800" s="5"/>
    </row>
    <row r="801" spans="12:12" ht="14.25" customHeight="1" x14ac:dyDescent="0.3">
      <c r="L801" s="5"/>
    </row>
    <row r="802" spans="12:12" ht="14.25" customHeight="1" x14ac:dyDescent="0.3">
      <c r="L802" s="5"/>
    </row>
    <row r="803" spans="12:12" ht="14.25" customHeight="1" x14ac:dyDescent="0.3">
      <c r="L803" s="5"/>
    </row>
    <row r="804" spans="12:12" ht="14.25" customHeight="1" x14ac:dyDescent="0.3">
      <c r="L804" s="5"/>
    </row>
    <row r="805" spans="12:12" ht="14.25" customHeight="1" x14ac:dyDescent="0.3">
      <c r="L805" s="5"/>
    </row>
    <row r="806" spans="12:12" ht="14.25" customHeight="1" x14ac:dyDescent="0.3">
      <c r="L806" s="5"/>
    </row>
    <row r="807" spans="12:12" ht="14.25" customHeight="1" x14ac:dyDescent="0.3">
      <c r="L807" s="5"/>
    </row>
    <row r="808" spans="12:12" ht="14.25" customHeight="1" x14ac:dyDescent="0.3">
      <c r="L808" s="5"/>
    </row>
    <row r="809" spans="12:12" ht="14.25" customHeight="1" x14ac:dyDescent="0.3">
      <c r="L809" s="5"/>
    </row>
    <row r="810" spans="12:12" ht="14.25" customHeight="1" x14ac:dyDescent="0.3">
      <c r="L810" s="5"/>
    </row>
    <row r="811" spans="12:12" ht="14.25" customHeight="1" x14ac:dyDescent="0.3">
      <c r="L811" s="5"/>
    </row>
    <row r="812" spans="12:12" ht="14.25" customHeight="1" x14ac:dyDescent="0.3">
      <c r="L812" s="5"/>
    </row>
    <row r="813" spans="12:12" ht="14.25" customHeight="1" x14ac:dyDescent="0.3">
      <c r="L813" s="5"/>
    </row>
    <row r="814" spans="12:12" ht="14.25" customHeight="1" x14ac:dyDescent="0.3">
      <c r="L814" s="5"/>
    </row>
    <row r="815" spans="12:12" ht="14.25" customHeight="1" x14ac:dyDescent="0.3">
      <c r="L815" s="5"/>
    </row>
    <row r="816" spans="12:12" ht="14.25" customHeight="1" x14ac:dyDescent="0.3">
      <c r="L816" s="5"/>
    </row>
    <row r="817" spans="12:12" ht="14.25" customHeight="1" x14ac:dyDescent="0.3">
      <c r="L817" s="5"/>
    </row>
    <row r="818" spans="12:12" ht="14.25" customHeight="1" x14ac:dyDescent="0.3">
      <c r="L818" s="5"/>
    </row>
    <row r="819" spans="12:12" ht="14.25" customHeight="1" x14ac:dyDescent="0.3">
      <c r="L819" s="5"/>
    </row>
    <row r="820" spans="12:12" ht="14.25" customHeight="1" x14ac:dyDescent="0.3">
      <c r="L820" s="5"/>
    </row>
    <row r="821" spans="12:12" ht="14.25" customHeight="1" x14ac:dyDescent="0.3">
      <c r="L821" s="5"/>
    </row>
    <row r="822" spans="12:12" ht="14.25" customHeight="1" x14ac:dyDescent="0.3">
      <c r="L822" s="5"/>
    </row>
    <row r="823" spans="12:12" ht="14.25" customHeight="1" x14ac:dyDescent="0.3">
      <c r="L823" s="5"/>
    </row>
    <row r="824" spans="12:12" ht="14.25" customHeight="1" x14ac:dyDescent="0.3">
      <c r="L824" s="5"/>
    </row>
    <row r="825" spans="12:12" ht="14.25" customHeight="1" x14ac:dyDescent="0.3">
      <c r="L825" s="5"/>
    </row>
    <row r="826" spans="12:12" ht="14.25" customHeight="1" x14ac:dyDescent="0.3">
      <c r="L826" s="5"/>
    </row>
    <row r="827" spans="12:12" ht="14.25" customHeight="1" x14ac:dyDescent="0.3">
      <c r="L827" s="5"/>
    </row>
    <row r="828" spans="12:12" ht="14.25" customHeight="1" x14ac:dyDescent="0.3">
      <c r="L828" s="5"/>
    </row>
    <row r="829" spans="12:12" ht="14.25" customHeight="1" x14ac:dyDescent="0.3">
      <c r="L829" s="5"/>
    </row>
    <row r="830" spans="12:12" ht="14.25" customHeight="1" x14ac:dyDescent="0.3">
      <c r="L830" s="5"/>
    </row>
    <row r="831" spans="12:12" ht="14.25" customHeight="1" x14ac:dyDescent="0.3">
      <c r="L831" s="5"/>
    </row>
    <row r="832" spans="12:12" ht="14.25" customHeight="1" x14ac:dyDescent="0.3">
      <c r="L832" s="5"/>
    </row>
    <row r="833" spans="12:12" ht="14.25" customHeight="1" x14ac:dyDescent="0.3">
      <c r="L833" s="5"/>
    </row>
    <row r="834" spans="12:12" ht="14.25" customHeight="1" x14ac:dyDescent="0.3">
      <c r="L834" s="5"/>
    </row>
    <row r="835" spans="12:12" ht="14.25" customHeight="1" x14ac:dyDescent="0.3">
      <c r="L835" s="5"/>
    </row>
    <row r="836" spans="12:12" ht="14.25" customHeight="1" x14ac:dyDescent="0.3">
      <c r="L836" s="5"/>
    </row>
    <row r="837" spans="12:12" ht="14.25" customHeight="1" x14ac:dyDescent="0.3">
      <c r="L837" s="5"/>
    </row>
    <row r="838" spans="12:12" ht="14.25" customHeight="1" x14ac:dyDescent="0.3">
      <c r="L838" s="5"/>
    </row>
    <row r="839" spans="12:12" ht="14.25" customHeight="1" x14ac:dyDescent="0.3">
      <c r="L839" s="5"/>
    </row>
    <row r="840" spans="12:12" ht="14.25" customHeight="1" x14ac:dyDescent="0.3">
      <c r="L840" s="5"/>
    </row>
    <row r="841" spans="12:12" ht="14.25" customHeight="1" x14ac:dyDescent="0.3">
      <c r="L841" s="5"/>
    </row>
    <row r="842" spans="12:12" ht="14.25" customHeight="1" x14ac:dyDescent="0.3">
      <c r="L842" s="5"/>
    </row>
    <row r="843" spans="12:12" ht="14.25" customHeight="1" x14ac:dyDescent="0.3">
      <c r="L843" s="5"/>
    </row>
    <row r="844" spans="12:12" ht="14.25" customHeight="1" x14ac:dyDescent="0.3">
      <c r="L844" s="5"/>
    </row>
    <row r="845" spans="12:12" ht="14.25" customHeight="1" x14ac:dyDescent="0.3">
      <c r="L845" s="5"/>
    </row>
    <row r="846" spans="12:12" ht="14.25" customHeight="1" x14ac:dyDescent="0.3">
      <c r="L846" s="5"/>
    </row>
    <row r="847" spans="12:12" ht="14.25" customHeight="1" x14ac:dyDescent="0.3">
      <c r="L847" s="5"/>
    </row>
    <row r="848" spans="12:12" ht="14.25" customHeight="1" x14ac:dyDescent="0.3">
      <c r="L848" s="5"/>
    </row>
    <row r="849" spans="12:12" ht="14.25" customHeight="1" x14ac:dyDescent="0.3">
      <c r="L849" s="5"/>
    </row>
    <row r="850" spans="12:12" ht="14.25" customHeight="1" x14ac:dyDescent="0.3">
      <c r="L850" s="5"/>
    </row>
    <row r="851" spans="12:12" ht="14.25" customHeight="1" x14ac:dyDescent="0.3">
      <c r="L851" s="5"/>
    </row>
    <row r="852" spans="12:12" ht="14.25" customHeight="1" x14ac:dyDescent="0.3">
      <c r="L852" s="5"/>
    </row>
    <row r="853" spans="12:12" ht="14.25" customHeight="1" x14ac:dyDescent="0.3">
      <c r="L853" s="5"/>
    </row>
    <row r="854" spans="12:12" ht="14.25" customHeight="1" x14ac:dyDescent="0.3">
      <c r="L854" s="5"/>
    </row>
    <row r="855" spans="12:12" ht="14.25" customHeight="1" x14ac:dyDescent="0.3">
      <c r="L855" s="5"/>
    </row>
    <row r="856" spans="12:12" ht="14.25" customHeight="1" x14ac:dyDescent="0.3">
      <c r="L856" s="5"/>
    </row>
    <row r="857" spans="12:12" ht="14.25" customHeight="1" x14ac:dyDescent="0.3">
      <c r="L857" s="5"/>
    </row>
    <row r="858" spans="12:12" ht="14.25" customHeight="1" x14ac:dyDescent="0.3">
      <c r="L858" s="5"/>
    </row>
    <row r="859" spans="12:12" ht="14.25" customHeight="1" x14ac:dyDescent="0.3">
      <c r="L859" s="5"/>
    </row>
    <row r="860" spans="12:12" ht="14.25" customHeight="1" x14ac:dyDescent="0.3">
      <c r="L860" s="5"/>
    </row>
    <row r="861" spans="12:12" ht="14.25" customHeight="1" x14ac:dyDescent="0.3">
      <c r="L861" s="5"/>
    </row>
    <row r="862" spans="12:12" ht="14.25" customHeight="1" x14ac:dyDescent="0.3">
      <c r="L862" s="5"/>
    </row>
    <row r="863" spans="12:12" ht="14.25" customHeight="1" x14ac:dyDescent="0.3">
      <c r="L863" s="5"/>
    </row>
    <row r="864" spans="12:12" ht="14.25" customHeight="1" x14ac:dyDescent="0.3">
      <c r="L864" s="5"/>
    </row>
    <row r="865" spans="12:12" ht="14.25" customHeight="1" x14ac:dyDescent="0.3">
      <c r="L865" s="5"/>
    </row>
    <row r="866" spans="12:12" ht="14.25" customHeight="1" x14ac:dyDescent="0.3">
      <c r="L866" s="5"/>
    </row>
    <row r="867" spans="12:12" ht="14.25" customHeight="1" x14ac:dyDescent="0.3">
      <c r="L867" s="5"/>
    </row>
    <row r="868" spans="12:12" ht="14.25" customHeight="1" x14ac:dyDescent="0.3">
      <c r="L868" s="5"/>
    </row>
    <row r="869" spans="12:12" ht="14.25" customHeight="1" x14ac:dyDescent="0.3">
      <c r="L869" s="5"/>
    </row>
    <row r="870" spans="12:12" ht="14.25" customHeight="1" x14ac:dyDescent="0.3">
      <c r="L870" s="5"/>
    </row>
    <row r="871" spans="12:12" ht="14.25" customHeight="1" x14ac:dyDescent="0.3">
      <c r="L871" s="5"/>
    </row>
    <row r="872" spans="12:12" ht="14.25" customHeight="1" x14ac:dyDescent="0.3">
      <c r="L872" s="5"/>
    </row>
    <row r="873" spans="12:12" ht="14.25" customHeight="1" x14ac:dyDescent="0.3">
      <c r="L873" s="5"/>
    </row>
    <row r="874" spans="12:12" ht="14.25" customHeight="1" x14ac:dyDescent="0.3">
      <c r="L874" s="5"/>
    </row>
    <row r="875" spans="12:12" ht="14.25" customHeight="1" x14ac:dyDescent="0.3">
      <c r="L875" s="5"/>
    </row>
    <row r="876" spans="12:12" ht="14.25" customHeight="1" x14ac:dyDescent="0.3">
      <c r="L876" s="5"/>
    </row>
    <row r="877" spans="12:12" ht="14.25" customHeight="1" x14ac:dyDescent="0.3">
      <c r="L877" s="5"/>
    </row>
    <row r="878" spans="12:12" ht="14.25" customHeight="1" x14ac:dyDescent="0.3">
      <c r="L878" s="5"/>
    </row>
    <row r="879" spans="12:12" ht="14.25" customHeight="1" x14ac:dyDescent="0.3">
      <c r="L879" s="5"/>
    </row>
    <row r="880" spans="12:12" ht="14.25" customHeight="1" x14ac:dyDescent="0.3">
      <c r="L880" s="5"/>
    </row>
    <row r="881" spans="12:12" ht="14.25" customHeight="1" x14ac:dyDescent="0.3">
      <c r="L881" s="5"/>
    </row>
    <row r="882" spans="12:12" ht="14.25" customHeight="1" x14ac:dyDescent="0.3">
      <c r="L882" s="5"/>
    </row>
    <row r="883" spans="12:12" ht="14.25" customHeight="1" x14ac:dyDescent="0.3">
      <c r="L883" s="5"/>
    </row>
    <row r="884" spans="12:12" ht="14.25" customHeight="1" x14ac:dyDescent="0.3">
      <c r="L884" s="5"/>
    </row>
    <row r="885" spans="12:12" ht="14.25" customHeight="1" x14ac:dyDescent="0.3">
      <c r="L885" s="5"/>
    </row>
    <row r="886" spans="12:12" ht="14.25" customHeight="1" x14ac:dyDescent="0.3">
      <c r="L886" s="5"/>
    </row>
    <row r="887" spans="12:12" ht="14.25" customHeight="1" x14ac:dyDescent="0.3">
      <c r="L887" s="5"/>
    </row>
    <row r="888" spans="12:12" ht="14.25" customHeight="1" x14ac:dyDescent="0.3">
      <c r="L888" s="5"/>
    </row>
    <row r="889" spans="12:12" ht="14.25" customHeight="1" x14ac:dyDescent="0.3">
      <c r="L889" s="5"/>
    </row>
    <row r="890" spans="12:12" ht="14.25" customHeight="1" x14ac:dyDescent="0.3">
      <c r="L890" s="5"/>
    </row>
    <row r="891" spans="12:12" ht="14.25" customHeight="1" x14ac:dyDescent="0.3">
      <c r="L891" s="5"/>
    </row>
    <row r="892" spans="12:12" ht="14.25" customHeight="1" x14ac:dyDescent="0.3">
      <c r="L892" s="5"/>
    </row>
    <row r="893" spans="12:12" ht="14.25" customHeight="1" x14ac:dyDescent="0.3">
      <c r="L893" s="5"/>
    </row>
    <row r="894" spans="12:12" ht="14.25" customHeight="1" x14ac:dyDescent="0.3">
      <c r="L894" s="5"/>
    </row>
    <row r="895" spans="12:12" ht="14.25" customHeight="1" x14ac:dyDescent="0.3">
      <c r="L895" s="5"/>
    </row>
    <row r="896" spans="12:12" ht="14.25" customHeight="1" x14ac:dyDescent="0.3">
      <c r="L896" s="5"/>
    </row>
    <row r="897" spans="12:12" ht="14.25" customHeight="1" x14ac:dyDescent="0.3">
      <c r="L897" s="5"/>
    </row>
    <row r="898" spans="12:12" ht="14.25" customHeight="1" x14ac:dyDescent="0.3">
      <c r="L898" s="5"/>
    </row>
    <row r="899" spans="12:12" ht="14.25" customHeight="1" x14ac:dyDescent="0.3">
      <c r="L899" s="5"/>
    </row>
    <row r="900" spans="12:12" ht="14.25" customHeight="1" x14ac:dyDescent="0.3">
      <c r="L900" s="5"/>
    </row>
    <row r="901" spans="12:12" ht="14.25" customHeight="1" x14ac:dyDescent="0.3">
      <c r="L901" s="5"/>
    </row>
    <row r="902" spans="12:12" ht="14.25" customHeight="1" x14ac:dyDescent="0.3">
      <c r="L902" s="5"/>
    </row>
    <row r="903" spans="12:12" ht="14.25" customHeight="1" x14ac:dyDescent="0.3">
      <c r="L903" s="5"/>
    </row>
    <row r="904" spans="12:12" ht="14.25" customHeight="1" x14ac:dyDescent="0.3">
      <c r="L904" s="5"/>
    </row>
    <row r="905" spans="12:12" ht="14.25" customHeight="1" x14ac:dyDescent="0.3">
      <c r="L905" s="5"/>
    </row>
    <row r="906" spans="12:12" ht="14.25" customHeight="1" x14ac:dyDescent="0.3">
      <c r="L906" s="5"/>
    </row>
    <row r="907" spans="12:12" ht="14.25" customHeight="1" x14ac:dyDescent="0.3">
      <c r="L907" s="5"/>
    </row>
    <row r="908" spans="12:12" ht="14.25" customHeight="1" x14ac:dyDescent="0.3">
      <c r="L908" s="5"/>
    </row>
    <row r="909" spans="12:12" ht="14.25" customHeight="1" x14ac:dyDescent="0.3">
      <c r="L909" s="5"/>
    </row>
    <row r="910" spans="12:12" ht="14.25" customHeight="1" x14ac:dyDescent="0.3">
      <c r="L910" s="5"/>
    </row>
    <row r="911" spans="12:12" ht="14.25" customHeight="1" x14ac:dyDescent="0.3">
      <c r="L911" s="5"/>
    </row>
    <row r="912" spans="12:12" ht="14.25" customHeight="1" x14ac:dyDescent="0.3">
      <c r="L912" s="5"/>
    </row>
    <row r="913" spans="12:12" ht="14.25" customHeight="1" x14ac:dyDescent="0.3">
      <c r="L913" s="5"/>
    </row>
    <row r="914" spans="12:12" ht="14.25" customHeight="1" x14ac:dyDescent="0.3">
      <c r="L914" s="5"/>
    </row>
    <row r="915" spans="12:12" ht="14.25" customHeight="1" x14ac:dyDescent="0.3">
      <c r="L915" s="5"/>
    </row>
    <row r="916" spans="12:12" ht="14.25" customHeight="1" x14ac:dyDescent="0.3">
      <c r="L916" s="5"/>
    </row>
    <row r="917" spans="12:12" ht="14.25" customHeight="1" x14ac:dyDescent="0.3">
      <c r="L917" s="5"/>
    </row>
    <row r="918" spans="12:12" ht="14.25" customHeight="1" x14ac:dyDescent="0.3">
      <c r="L918" s="5"/>
    </row>
    <row r="919" spans="12:12" ht="14.25" customHeight="1" x14ac:dyDescent="0.3">
      <c r="L919" s="5"/>
    </row>
    <row r="920" spans="12:12" ht="14.25" customHeight="1" x14ac:dyDescent="0.3">
      <c r="L920" s="5"/>
    </row>
    <row r="921" spans="12:12" ht="14.25" customHeight="1" x14ac:dyDescent="0.3">
      <c r="L921" s="5"/>
    </row>
    <row r="922" spans="12:12" ht="14.25" customHeight="1" x14ac:dyDescent="0.3">
      <c r="L922" s="5"/>
    </row>
    <row r="923" spans="12:12" ht="14.25" customHeight="1" x14ac:dyDescent="0.3">
      <c r="L923" s="5"/>
    </row>
    <row r="924" spans="12:12" ht="14.25" customHeight="1" x14ac:dyDescent="0.3">
      <c r="L924" s="5"/>
    </row>
    <row r="925" spans="12:12" ht="14.25" customHeight="1" x14ac:dyDescent="0.3">
      <c r="L925" s="5"/>
    </row>
    <row r="926" spans="12:12" ht="14.25" customHeight="1" x14ac:dyDescent="0.3">
      <c r="L926" s="5"/>
    </row>
    <row r="927" spans="12:12" ht="14.25" customHeight="1" x14ac:dyDescent="0.3">
      <c r="L927" s="5"/>
    </row>
    <row r="928" spans="12:12" ht="14.25" customHeight="1" x14ac:dyDescent="0.3">
      <c r="L928" s="5"/>
    </row>
    <row r="929" spans="12:12" ht="14.25" customHeight="1" x14ac:dyDescent="0.3">
      <c r="L929" s="5"/>
    </row>
    <row r="930" spans="12:12" ht="14.25" customHeight="1" x14ac:dyDescent="0.3">
      <c r="L930" s="5"/>
    </row>
    <row r="931" spans="12:12" ht="14.25" customHeight="1" x14ac:dyDescent="0.3">
      <c r="L931" s="5"/>
    </row>
    <row r="932" spans="12:12" ht="14.25" customHeight="1" x14ac:dyDescent="0.3">
      <c r="L932" s="5"/>
    </row>
    <row r="933" spans="12:12" ht="14.25" customHeight="1" x14ac:dyDescent="0.3">
      <c r="L933" s="5"/>
    </row>
    <row r="934" spans="12:12" ht="14.25" customHeight="1" x14ac:dyDescent="0.3">
      <c r="L934" s="5"/>
    </row>
    <row r="935" spans="12:12" ht="14.25" customHeight="1" x14ac:dyDescent="0.3">
      <c r="L935" s="5"/>
    </row>
    <row r="936" spans="12:12" ht="14.25" customHeight="1" x14ac:dyDescent="0.3">
      <c r="L936" s="5"/>
    </row>
    <row r="937" spans="12:12" ht="14.25" customHeight="1" x14ac:dyDescent="0.3">
      <c r="L937" s="5"/>
    </row>
    <row r="938" spans="12:12" ht="14.25" customHeight="1" x14ac:dyDescent="0.3">
      <c r="L938" s="5"/>
    </row>
    <row r="939" spans="12:12" ht="14.25" customHeight="1" x14ac:dyDescent="0.3">
      <c r="L939" s="5"/>
    </row>
    <row r="940" spans="12:12" ht="14.25" customHeight="1" x14ac:dyDescent="0.3">
      <c r="L940" s="5"/>
    </row>
    <row r="941" spans="12:12" ht="14.25" customHeight="1" x14ac:dyDescent="0.3">
      <c r="L941" s="5"/>
    </row>
    <row r="942" spans="12:12" ht="14.25" customHeight="1" x14ac:dyDescent="0.3">
      <c r="L942" s="5"/>
    </row>
    <row r="943" spans="12:12" ht="14.25" customHeight="1" x14ac:dyDescent="0.3">
      <c r="L943" s="5"/>
    </row>
    <row r="944" spans="12:12" ht="14.25" customHeight="1" x14ac:dyDescent="0.3">
      <c r="L944" s="5"/>
    </row>
    <row r="945" spans="12:12" ht="14.25" customHeight="1" x14ac:dyDescent="0.3">
      <c r="L945" s="5"/>
    </row>
    <row r="946" spans="12:12" ht="14.25" customHeight="1" x14ac:dyDescent="0.3">
      <c r="L946" s="5"/>
    </row>
    <row r="947" spans="12:12" ht="14.25" customHeight="1" x14ac:dyDescent="0.3">
      <c r="L947" s="5"/>
    </row>
    <row r="948" spans="12:12" ht="14.25" customHeight="1" x14ac:dyDescent="0.3">
      <c r="L948" s="5"/>
    </row>
    <row r="949" spans="12:12" ht="14.25" customHeight="1" x14ac:dyDescent="0.3">
      <c r="L949" s="5"/>
    </row>
    <row r="950" spans="12:12" ht="14.25" customHeight="1" x14ac:dyDescent="0.3">
      <c r="L950" s="5"/>
    </row>
    <row r="951" spans="12:12" ht="14.25" customHeight="1" x14ac:dyDescent="0.3">
      <c r="L951" s="5"/>
    </row>
    <row r="952" spans="12:12" ht="14.25" customHeight="1" x14ac:dyDescent="0.3">
      <c r="L952" s="5"/>
    </row>
    <row r="953" spans="12:12" ht="14.25" customHeight="1" x14ac:dyDescent="0.3">
      <c r="L953" s="5"/>
    </row>
    <row r="954" spans="12:12" ht="14.25" customHeight="1" x14ac:dyDescent="0.3">
      <c r="L954" s="5"/>
    </row>
    <row r="955" spans="12:12" ht="14.25" customHeight="1" x14ac:dyDescent="0.3">
      <c r="L955" s="5"/>
    </row>
    <row r="956" spans="12:12" ht="14.25" customHeight="1" x14ac:dyDescent="0.3">
      <c r="L956" s="5"/>
    </row>
    <row r="957" spans="12:12" ht="14.25" customHeight="1" x14ac:dyDescent="0.3">
      <c r="L957" s="5"/>
    </row>
    <row r="958" spans="12:12" ht="14.25" customHeight="1" x14ac:dyDescent="0.3">
      <c r="L958" s="5"/>
    </row>
    <row r="959" spans="12:12" ht="14.25" customHeight="1" x14ac:dyDescent="0.3">
      <c r="L959" s="5"/>
    </row>
    <row r="960" spans="12:12" ht="14.25" customHeight="1" x14ac:dyDescent="0.3">
      <c r="L960" s="5"/>
    </row>
    <row r="961" spans="12:12" ht="14.25" customHeight="1" x14ac:dyDescent="0.3">
      <c r="L961" s="5"/>
    </row>
    <row r="962" spans="12:12" ht="14.25" customHeight="1" x14ac:dyDescent="0.3">
      <c r="L962" s="5"/>
    </row>
    <row r="963" spans="12:12" ht="14.25" customHeight="1" x14ac:dyDescent="0.3">
      <c r="L963" s="5"/>
    </row>
    <row r="964" spans="12:12" ht="14.25" customHeight="1" x14ac:dyDescent="0.3">
      <c r="L964" s="5"/>
    </row>
    <row r="965" spans="12:12" ht="14.25" customHeight="1" x14ac:dyDescent="0.3">
      <c r="L965" s="5"/>
    </row>
    <row r="966" spans="12:12" ht="14.25" customHeight="1" x14ac:dyDescent="0.3">
      <c r="L966" s="5"/>
    </row>
    <row r="967" spans="12:12" ht="14.25" customHeight="1" x14ac:dyDescent="0.3">
      <c r="L967" s="5"/>
    </row>
    <row r="968" spans="12:12" ht="14.25" customHeight="1" x14ac:dyDescent="0.3">
      <c r="L968" s="5"/>
    </row>
    <row r="969" spans="12:12" ht="14.25" customHeight="1" x14ac:dyDescent="0.3">
      <c r="L969" s="5"/>
    </row>
    <row r="970" spans="12:12" ht="14.25" customHeight="1" x14ac:dyDescent="0.3">
      <c r="L970" s="5"/>
    </row>
    <row r="971" spans="12:12" ht="14.25" customHeight="1" x14ac:dyDescent="0.3">
      <c r="L971" s="5"/>
    </row>
    <row r="972" spans="12:12" ht="14.25" customHeight="1" x14ac:dyDescent="0.3">
      <c r="L972" s="5"/>
    </row>
    <row r="973" spans="12:12" ht="14.25" customHeight="1" x14ac:dyDescent="0.3">
      <c r="L973" s="5"/>
    </row>
    <row r="974" spans="12:12" ht="14.25" customHeight="1" x14ac:dyDescent="0.3">
      <c r="L974" s="5"/>
    </row>
    <row r="975" spans="12:12" ht="14.25" customHeight="1" x14ac:dyDescent="0.3">
      <c r="L975" s="5"/>
    </row>
    <row r="976" spans="12:12" ht="14.25" customHeight="1" x14ac:dyDescent="0.3">
      <c r="L976" s="5"/>
    </row>
    <row r="977" spans="12:12" ht="14.25" customHeight="1" x14ac:dyDescent="0.3">
      <c r="L977" s="5"/>
    </row>
    <row r="978" spans="12:12" ht="14.25" customHeight="1" x14ac:dyDescent="0.3">
      <c r="L978" s="5"/>
    </row>
    <row r="979" spans="12:12" ht="14.25" customHeight="1" x14ac:dyDescent="0.3">
      <c r="L979" s="5"/>
    </row>
    <row r="980" spans="12:12" ht="14.25" customHeight="1" x14ac:dyDescent="0.3">
      <c r="L980" s="5"/>
    </row>
    <row r="981" spans="12:12" ht="14.25" customHeight="1" x14ac:dyDescent="0.3">
      <c r="L981" s="5"/>
    </row>
    <row r="982" spans="12:12" ht="14.25" customHeight="1" x14ac:dyDescent="0.3">
      <c r="L982" s="5"/>
    </row>
    <row r="983" spans="12:12" ht="14.25" customHeight="1" x14ac:dyDescent="0.3">
      <c r="L983" s="5"/>
    </row>
    <row r="984" spans="12:12" ht="14.25" customHeight="1" x14ac:dyDescent="0.3">
      <c r="L984" s="5"/>
    </row>
    <row r="985" spans="12:12" ht="14.25" customHeight="1" x14ac:dyDescent="0.3">
      <c r="L985" s="5"/>
    </row>
    <row r="986" spans="12:12" ht="14.25" customHeight="1" x14ac:dyDescent="0.3">
      <c r="L986" s="5"/>
    </row>
    <row r="987" spans="12:12" ht="14.25" customHeight="1" x14ac:dyDescent="0.3">
      <c r="L987" s="5"/>
    </row>
    <row r="988" spans="12:12" ht="14.25" customHeight="1" x14ac:dyDescent="0.3">
      <c r="L988" s="5"/>
    </row>
    <row r="989" spans="12:12" ht="14.25" customHeight="1" x14ac:dyDescent="0.3">
      <c r="L989" s="5"/>
    </row>
    <row r="990" spans="12:12" ht="14.25" customHeight="1" x14ac:dyDescent="0.3">
      <c r="L990" s="5"/>
    </row>
    <row r="991" spans="12:12" ht="14.25" customHeight="1" x14ac:dyDescent="0.3">
      <c r="L991" s="5"/>
    </row>
    <row r="992" spans="12:12" ht="14.25" customHeight="1" x14ac:dyDescent="0.3">
      <c r="L992" s="5"/>
    </row>
    <row r="993" spans="12:12" ht="14.25" customHeight="1" x14ac:dyDescent="0.3">
      <c r="L993" s="5"/>
    </row>
    <row r="994" spans="12:12" ht="14.25" customHeight="1" x14ac:dyDescent="0.3">
      <c r="L994" s="5"/>
    </row>
    <row r="995" spans="12:12" ht="14.25" customHeight="1" x14ac:dyDescent="0.3">
      <c r="L995" s="5"/>
    </row>
    <row r="996" spans="12:12" ht="14.25" customHeight="1" x14ac:dyDescent="0.3">
      <c r="L996" s="5"/>
    </row>
    <row r="997" spans="12:12" ht="14.25" customHeight="1" x14ac:dyDescent="0.3">
      <c r="L997" s="5"/>
    </row>
    <row r="998" spans="12:12" ht="14.25" customHeight="1" x14ac:dyDescent="0.3">
      <c r="L998" s="5"/>
    </row>
    <row r="999" spans="12:12" ht="14.25" customHeight="1" x14ac:dyDescent="0.3">
      <c r="L999" s="5"/>
    </row>
    <row r="1000" spans="12:12" ht="14.25" customHeight="1" x14ac:dyDescent="0.3">
      <c r="L1000" s="5"/>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DD1033"/>
  <sheetViews>
    <sheetView tabSelected="1" topLeftCell="BZ112" workbookViewId="0">
      <selection activeCell="CN121" sqref="CN121"/>
    </sheetView>
  </sheetViews>
  <sheetFormatPr baseColWidth="10" defaultColWidth="14.44140625" defaultRowHeight="15" customHeight="1" x14ac:dyDescent="0.3"/>
  <cols>
    <col min="1" max="1" width="10.6640625" customWidth="1"/>
    <col min="2" max="2" width="30" customWidth="1"/>
    <col min="3" max="6" width="33.109375" customWidth="1"/>
    <col min="7" max="7" width="14.109375" customWidth="1"/>
    <col min="8" max="8" width="10.6640625" customWidth="1"/>
    <col min="9" max="9" width="15.6640625" customWidth="1"/>
    <col min="10" max="11" width="14.109375" customWidth="1"/>
    <col min="12" max="12" width="36.44140625" customWidth="1"/>
    <col min="13" max="13" width="37.109375" bestFit="1" customWidth="1"/>
    <col min="14" max="14" width="14.109375" customWidth="1"/>
    <col min="15" max="15" width="38.6640625" customWidth="1"/>
    <col min="16" max="16" width="27.5546875" customWidth="1"/>
    <col min="17" max="17" width="21.88671875" customWidth="1"/>
    <col min="18" max="19" width="15.44140625" customWidth="1"/>
    <col min="20" max="20" width="20.6640625" customWidth="1"/>
    <col min="21" max="21" width="10.6640625" customWidth="1"/>
    <col min="22" max="22" width="34" customWidth="1"/>
    <col min="23" max="23" width="14.5546875" customWidth="1"/>
    <col min="24" max="24" width="18.5546875" customWidth="1"/>
    <col min="25" max="25" width="14.6640625" customWidth="1"/>
    <col min="26" max="26" width="38" bestFit="1" customWidth="1"/>
    <col min="27" max="28" width="10.6640625" customWidth="1"/>
    <col min="29" max="32" width="20.109375" customWidth="1"/>
    <col min="33" max="33" width="14.109375" customWidth="1"/>
    <col min="34" max="37" width="10.6640625" customWidth="1"/>
    <col min="38" max="38" width="12.109375" customWidth="1"/>
    <col min="39" max="39" width="37.109375" bestFit="1" customWidth="1"/>
    <col min="40" max="40" width="10.6640625" customWidth="1"/>
    <col min="41" max="41" width="33.109375" customWidth="1"/>
    <col min="42" max="42" width="20.109375" customWidth="1"/>
    <col min="43" max="44" width="20.109375" hidden="1" customWidth="1"/>
    <col min="45" max="45" width="20.109375" customWidth="1"/>
    <col min="46" max="46" width="18.109375" customWidth="1"/>
    <col min="47" max="50" width="10.6640625" customWidth="1"/>
    <col min="51" max="51" width="12.44140625" customWidth="1"/>
    <col min="52" max="52" width="38" bestFit="1" customWidth="1"/>
    <col min="53" max="54" width="10.6640625" customWidth="1"/>
    <col min="55" max="58" width="20.109375" customWidth="1"/>
    <col min="59" max="59" width="15.6640625" customWidth="1"/>
    <col min="60" max="60" width="18.88671875" customWidth="1"/>
    <col min="61" max="64" width="10.6640625" customWidth="1"/>
    <col min="65" max="65" width="40.21875" bestFit="1" customWidth="1"/>
    <col min="66" max="67" width="10.6640625" customWidth="1"/>
    <col min="68" max="71" width="27.109375" customWidth="1"/>
    <col min="72" max="72" width="17.33203125" customWidth="1"/>
    <col min="73" max="76" width="10.6640625" customWidth="1"/>
    <col min="77" max="77" width="11.77734375" customWidth="1"/>
    <col min="78" max="78" width="40.21875" bestFit="1" customWidth="1"/>
    <col min="79" max="79" width="10.6640625" customWidth="1"/>
    <col min="80" max="80" width="37.44140625" customWidth="1"/>
    <col min="81" max="81" width="20.109375" customWidth="1"/>
    <col min="82" max="82" width="23.6640625" customWidth="1"/>
    <col min="83" max="84" width="20.109375" customWidth="1"/>
    <col min="85" max="85" width="14.109375" customWidth="1"/>
    <col min="86" max="90" width="10.6640625" customWidth="1"/>
    <col min="91" max="91" width="42.21875" customWidth="1"/>
    <col min="92" max="93" width="10.6640625" customWidth="1"/>
    <col min="94" max="97" width="20.109375" customWidth="1"/>
    <col min="98" max="98" width="14.109375" customWidth="1"/>
    <col min="99" max="102" width="10.6640625" customWidth="1"/>
    <col min="103" max="103" width="14.88671875" customWidth="1"/>
    <col min="104" max="104" width="40.21875" bestFit="1" customWidth="1"/>
    <col min="105" max="105" width="10.6640625" customWidth="1"/>
    <col min="106" max="106" width="32.6640625" customWidth="1"/>
    <col min="107" max="108" width="10.6640625" customWidth="1"/>
  </cols>
  <sheetData>
    <row r="1" spans="1:108" ht="14.25" customHeight="1" x14ac:dyDescent="0.3">
      <c r="A1" s="24"/>
      <c r="B1" s="24"/>
      <c r="C1" s="27" t="s">
        <v>246</v>
      </c>
      <c r="D1" s="27"/>
      <c r="E1" s="27"/>
      <c r="F1" s="27"/>
      <c r="G1" s="27"/>
      <c r="H1" s="24"/>
      <c r="I1" s="24"/>
      <c r="J1" s="24"/>
      <c r="K1" s="24"/>
      <c r="L1" s="24"/>
      <c r="M1" s="24"/>
      <c r="P1" s="9" t="s">
        <v>247</v>
      </c>
      <c r="AC1" s="3" t="s">
        <v>248</v>
      </c>
      <c r="AP1" s="3" t="s">
        <v>249</v>
      </c>
      <c r="BC1" s="3" t="s">
        <v>250</v>
      </c>
      <c r="BP1" s="3" t="s">
        <v>251</v>
      </c>
      <c r="CC1" s="3" t="s">
        <v>252</v>
      </c>
      <c r="CP1" s="3" t="s">
        <v>253</v>
      </c>
      <c r="DB1" t="s">
        <v>335</v>
      </c>
    </row>
    <row r="2" spans="1:108" ht="14.25" customHeight="1" x14ac:dyDescent="0.3">
      <c r="A2" s="29" t="s">
        <v>254</v>
      </c>
      <c r="B2" s="30" t="s">
        <v>180</v>
      </c>
      <c r="C2" s="30" t="s">
        <v>5</v>
      </c>
      <c r="D2" s="30" t="s">
        <v>238</v>
      </c>
      <c r="E2" s="30" t="s">
        <v>255</v>
      </c>
      <c r="F2" s="30" t="s">
        <v>256</v>
      </c>
      <c r="G2" s="30" t="s">
        <v>257</v>
      </c>
      <c r="H2" s="30" t="s">
        <v>258</v>
      </c>
      <c r="I2" s="26" t="s">
        <v>334</v>
      </c>
      <c r="J2" s="30" t="s">
        <v>12</v>
      </c>
      <c r="K2" s="30" t="s">
        <v>259</v>
      </c>
      <c r="L2" s="30" t="s">
        <v>260</v>
      </c>
      <c r="M2" s="30" t="s">
        <v>333</v>
      </c>
      <c r="O2" s="30" t="s">
        <v>180</v>
      </c>
      <c r="P2" s="30" t="s">
        <v>5</v>
      </c>
      <c r="Q2" s="30" t="s">
        <v>240</v>
      </c>
      <c r="R2" s="30" t="s">
        <v>255</v>
      </c>
      <c r="S2" s="30" t="s">
        <v>256</v>
      </c>
      <c r="T2" s="30" t="s">
        <v>257</v>
      </c>
      <c r="U2" s="30" t="s">
        <v>258</v>
      </c>
      <c r="V2" s="26" t="s">
        <v>334</v>
      </c>
      <c r="W2" s="30" t="s">
        <v>12</v>
      </c>
      <c r="X2" s="30" t="s">
        <v>259</v>
      </c>
      <c r="Y2" s="30" t="s">
        <v>260</v>
      </c>
      <c r="Z2" s="30" t="s">
        <v>333</v>
      </c>
      <c r="AB2" s="2" t="s">
        <v>180</v>
      </c>
      <c r="AC2" s="2" t="s">
        <v>5</v>
      </c>
      <c r="AD2" s="2" t="s">
        <v>245</v>
      </c>
      <c r="AE2" s="11" t="s">
        <v>255</v>
      </c>
      <c r="AF2" s="2" t="s">
        <v>256</v>
      </c>
      <c r="AG2" s="2" t="s">
        <v>257</v>
      </c>
      <c r="AH2" s="2" t="s">
        <v>258</v>
      </c>
      <c r="AI2" s="26" t="s">
        <v>334</v>
      </c>
      <c r="AJ2" s="2" t="s">
        <v>12</v>
      </c>
      <c r="AK2" s="2" t="s">
        <v>259</v>
      </c>
      <c r="AL2" s="22" t="s">
        <v>260</v>
      </c>
      <c r="AM2" s="30" t="s">
        <v>333</v>
      </c>
      <c r="AO2" s="2" t="s">
        <v>180</v>
      </c>
      <c r="AP2" s="2" t="s">
        <v>5</v>
      </c>
      <c r="AQ2" s="2" t="s">
        <v>190</v>
      </c>
      <c r="AR2" s="12" t="s">
        <v>255</v>
      </c>
      <c r="AS2" s="2" t="s">
        <v>256</v>
      </c>
      <c r="AT2" s="2" t="s">
        <v>257</v>
      </c>
      <c r="AU2" s="2" t="s">
        <v>258</v>
      </c>
      <c r="AV2" s="26" t="s">
        <v>334</v>
      </c>
      <c r="AW2" s="2" t="s">
        <v>12</v>
      </c>
      <c r="AX2" s="2" t="s">
        <v>259</v>
      </c>
      <c r="AY2" s="22" t="s">
        <v>260</v>
      </c>
      <c r="AZ2" s="30" t="s">
        <v>333</v>
      </c>
      <c r="BB2" s="30" t="s">
        <v>180</v>
      </c>
      <c r="BC2" s="30" t="s">
        <v>5</v>
      </c>
      <c r="BD2" s="30" t="s">
        <v>231</v>
      </c>
      <c r="BE2" s="35" t="s">
        <v>255</v>
      </c>
      <c r="BF2" s="30" t="s">
        <v>256</v>
      </c>
      <c r="BG2" s="30" t="s">
        <v>257</v>
      </c>
      <c r="BH2" s="30" t="s">
        <v>258</v>
      </c>
      <c r="BI2" s="26" t="s">
        <v>334</v>
      </c>
      <c r="BJ2" s="29" t="s">
        <v>12</v>
      </c>
      <c r="BK2" s="30" t="s">
        <v>259</v>
      </c>
      <c r="BL2" s="30" t="s">
        <v>260</v>
      </c>
      <c r="BM2" s="30" t="s">
        <v>333</v>
      </c>
      <c r="BO2" s="2" t="s">
        <v>180</v>
      </c>
      <c r="BP2" s="2" t="s">
        <v>5</v>
      </c>
      <c r="BQ2" s="2" t="s">
        <v>233</v>
      </c>
      <c r="BR2" s="12" t="s">
        <v>255</v>
      </c>
      <c r="BS2" s="2" t="s">
        <v>256</v>
      </c>
      <c r="BT2" s="2" t="s">
        <v>257</v>
      </c>
      <c r="BU2" s="2" t="s">
        <v>258</v>
      </c>
      <c r="BV2" s="26" t="s">
        <v>334</v>
      </c>
      <c r="BW2" s="2" t="s">
        <v>12</v>
      </c>
      <c r="BX2" s="2" t="s">
        <v>259</v>
      </c>
      <c r="BY2" s="22" t="s">
        <v>260</v>
      </c>
      <c r="BZ2" s="30" t="s">
        <v>333</v>
      </c>
      <c r="CB2" s="30" t="s">
        <v>180</v>
      </c>
      <c r="CC2" s="30" t="s">
        <v>5</v>
      </c>
      <c r="CD2" s="30" t="s">
        <v>235</v>
      </c>
      <c r="CE2" s="35" t="s">
        <v>255</v>
      </c>
      <c r="CF2" s="30" t="s">
        <v>256</v>
      </c>
      <c r="CG2" s="30" t="s">
        <v>257</v>
      </c>
      <c r="CH2" s="30" t="s">
        <v>258</v>
      </c>
      <c r="CI2" s="26" t="s">
        <v>334</v>
      </c>
      <c r="CJ2" s="30" t="s">
        <v>12</v>
      </c>
      <c r="CK2" s="30" t="s">
        <v>259</v>
      </c>
      <c r="CL2" s="30" t="s">
        <v>260</v>
      </c>
      <c r="CM2" s="30" t="s">
        <v>333</v>
      </c>
      <c r="CO2" s="2" t="s">
        <v>180</v>
      </c>
      <c r="CP2" s="2" t="s">
        <v>5</v>
      </c>
      <c r="CQ2" s="2" t="s">
        <v>238</v>
      </c>
      <c r="CR2" s="12" t="s">
        <v>255</v>
      </c>
      <c r="CS2" s="2" t="s">
        <v>256</v>
      </c>
      <c r="CT2" s="2" t="s">
        <v>257</v>
      </c>
      <c r="CU2" s="36" t="s">
        <v>258</v>
      </c>
      <c r="CV2" s="26" t="s">
        <v>334</v>
      </c>
      <c r="CW2" s="30" t="s">
        <v>12</v>
      </c>
      <c r="CX2" s="30" t="s">
        <v>259</v>
      </c>
      <c r="CY2" s="30" t="s">
        <v>260</v>
      </c>
      <c r="CZ2" s="30" t="s">
        <v>333</v>
      </c>
      <c r="DB2" s="2" t="s">
        <v>198</v>
      </c>
    </row>
    <row r="3" spans="1:108" ht="14.25" customHeight="1" x14ac:dyDescent="0.3">
      <c r="A3" s="29" t="str">
        <f t="shared" ref="A3:A22" si="0">IF(H3&gt;0,"Vaciado","Llenado")</f>
        <v>Vaciado</v>
      </c>
      <c r="B3" s="30" t="s">
        <v>195</v>
      </c>
      <c r="C3" s="30">
        <v>0</v>
      </c>
      <c r="D3" s="31">
        <v>6.1111111111111107</v>
      </c>
      <c r="E3" s="31">
        <v>0</v>
      </c>
      <c r="F3" s="29">
        <v>4</v>
      </c>
      <c r="G3" s="30">
        <v>7</v>
      </c>
      <c r="H3" s="30">
        <v>0.9957863323050703</v>
      </c>
      <c r="I3" s="26" t="s">
        <v>325</v>
      </c>
      <c r="J3" s="30">
        <v>15</v>
      </c>
      <c r="K3" s="29">
        <f>IF(E3&lt;=C3,1,0)</f>
        <v>1</v>
      </c>
      <c r="L3" s="32">
        <f>E3-C3</f>
        <v>0</v>
      </c>
      <c r="M3" s="32" t="str">
        <f>IF(H3&gt;0,
    IF(OR(C3&lt;=TRUNC(J3/2,0),C3=0),
        IF(G3=TRUNC(J3/2,0),
            "-1, Déficit y dejo la capacidad media",
            IF(AND(G3&gt;TRUNC(J3/2,0), G3&gt;C3),
                "1, Déficit y eliminé déficit",
                IF(AND(G3&lt;TRUNC(J3/2,0), G3&lt;C3),
                    "0, Déficit y no elimine déficit",
                    "-2, Déficit y resultado fue bueno")
            )
        ),
        IF(AND(G3&gt;TRUNC(J3/2,0), G3&gt;C3),
            "1, no había déficit, pero resultado fue mejor",
            IF(AND(G3&lt;TRUNC(J3/2,0),G3&lt;C3),
                "0, no había déficit y la dejo con déficit",
                IF(G3=TRUNC(J3/2,0),
                    "-1, no había déficit y dejo la capacidad media",
                    "-2,no había déficit y resultado fue bueno")
            )
        )
    ),
    IF(H3&lt;0,
        IF(C3&gt;TRUNC(J3/2,0),
            IF(G3=TRUNC(J3/2,0),
                "-1, Superávit y deje la capacidad media",
                IF(AND(G3&gt;TRUNC(J3/2,0), G3&gt;=C3),
                    "0, Superávit y no eliminé superávit",
                    IF(AND(G3&lt;TRUNC(J3/2,0),G3&lt;C3),
                        "1, Superávit y eliminé superávit",
                        "-2, Superávit y resultado fue bueno"
                    )
                )
            ),
            IF(AND(C3&lt;=TRUNC(J3/2,0),C3&gt;=0),
                IF(G3=TRUNC(J3/2,0),
                    "-1, no había superávit y deje la capacidad media",
                    IF(AND(G3&gt;TRUNC(J3/2,0), G3&gt;=C3),
                        "0, no había superávit, y la deje con superávit",
                        IF(AND(G3&lt;TRUNC(J3/2,0),G3&lt;C3),
                            "1, no había superávit, pero el resultado fue mejor",
                            "-2, no había superávit y resultado fue bueno"
                        )
                    )
                )
            )
        )
    )
)</f>
        <v>-1, Déficit y dejo la capacidad media</v>
      </c>
      <c r="O3" s="30" t="s">
        <v>195</v>
      </c>
      <c r="P3" s="30">
        <v>1</v>
      </c>
      <c r="Q3" s="31">
        <v>4.4444444444444446</v>
      </c>
      <c r="R3" s="30">
        <v>1</v>
      </c>
      <c r="S3" s="29">
        <v>1</v>
      </c>
      <c r="T3" s="30">
        <v>7</v>
      </c>
      <c r="U3" s="30">
        <v>0.9957863323050703</v>
      </c>
      <c r="V3" s="26" t="s">
        <v>325</v>
      </c>
      <c r="W3" s="30">
        <v>15</v>
      </c>
      <c r="X3" s="29">
        <f>IF(R3&lt;=P3,1,0)</f>
        <v>1</v>
      </c>
      <c r="Y3" s="29">
        <f>R3-P3</f>
        <v>0</v>
      </c>
      <c r="Z3" s="29" t="str">
        <f>IF(U3&gt;0,
    IF(OR(P3&lt;=TRUNC(W3/2,0),P3=0),
        IF(T3=TRUNC(W3/2,0),
            "-1, Déficit y dejo la capacidad media",
            IF(AND(T3&gt;TRUNC(W3/2,0), T3&gt;P3),
                "1, Déficit y eliminé déficit",
                IF(AND(T3&lt;TRUNC(W3/2,0), T3&lt;P3),
                    "0, Déficit y no elimine déficit",
                    "-2, Déficit y resultado fue bueno")
            )
        ),
        IF(AND(T3&gt;TRUNC(W3/2,0), T3&gt;P3),
            "1, no había déficit, pero resultado fue mejor",
            IF(AND(T3&lt;TRUNC(W3/2,0),T3&lt;P3),
                "0, no había déficit y la dejo con déficit",
                IF(T3=TRUNC(W3/2,0),
                    "-1, no había déficit y dejo la capacidad media",
                    "-2,no había déficit y resultado fue bueno")
            )
        )
    ),
    IF(U3&lt;0,
        IF(P3&gt;TRUNC(W3/2,0),
            IF(T3=TRUNC(W3/2,0),
                "-1, Superávit y deje la capacidad media",
                IF(AND(T3&gt;TRUNC(W3/2,0), T3&gt;=P3),
                    "0, Superávit y no eliminé superávit",
                    IF(AND(T3&lt;TRUNC(W3/2,0),T3&lt;P3),
                        "1, Superávit y eliminé superávit",
                        "-2, Superávit y resultado fue bueno"
                    )
                )
            ),
            IF(AND(P3&lt;=TRUNC(W3/2,0),P3&gt;=0),
                IF(T3=TRUNC(W3/2,0),
                    "-1, no había superávit y deje la capacidad media",
                    IF(AND(T3&gt;TRUNC(W3/2,0), T3&gt;=P3),
                        "0, no había superávit, y la deje con superávit",
                        IF(AND(T3&lt;TRUNC(W3/2,0),T3&lt;P3),
                            "1, no había superávit, pero el resultado fue mejor",
                            "-2, no había superávit y resultado fue bueno"
                        )
                    )
                )
            )
        )
    )
)</f>
        <v>-1, Déficit y dejo la capacidad media</v>
      </c>
      <c r="AB3" s="2" t="s">
        <v>195</v>
      </c>
      <c r="AC3" s="3">
        <v>4</v>
      </c>
      <c r="AD3" s="5">
        <v>3</v>
      </c>
      <c r="AE3" s="3">
        <v>4</v>
      </c>
      <c r="AF3" s="3">
        <v>4</v>
      </c>
      <c r="AG3" s="3">
        <v>7</v>
      </c>
      <c r="AH3" s="2">
        <v>0.9957863323050703</v>
      </c>
      <c r="AI3" s="26" t="s">
        <v>325</v>
      </c>
      <c r="AJ3" s="2">
        <v>15</v>
      </c>
      <c r="AK3" s="14">
        <f>IF(AE3&lt;=AC3,1,0)</f>
        <v>1</v>
      </c>
      <c r="AL3" s="34">
        <f>AE3-AC3</f>
        <v>0</v>
      </c>
      <c r="AM3" s="29" t="str">
        <f>IF(AH3&gt;0,
    IF(OR(AC3&lt;=TRUNC(AJ3/2,0),AC3=0),
        IF(AG3=TRUNC(AJ3/2,0),
            "-1, Déficit y dejo la capacidad media",
            IF(AND(AG3&gt;TRUNC(AJ3/2,0), AG3&gt;AC3),
                "1, Déficit y eliminé déficit",
                IF(AND(AG3&lt;TRUNC(AJ3/2,0), AG3&lt;AC3),
                    "0, Déficit y no elimine déficit",
                    "-2, Déficit y resultado fue bueno")
            )
        ),
        IF(AND(AG3&gt;TRUNC(AJ3/2,0), AG3&gt;AC3),
            "1, no había déficit, pero resultado fue mejor",
            IF(AND(AG3&lt;TRUNC(AJ3/2,0),AG3&lt;AC3),
                "0, no había déficit y la dejo con déficit",
                IF(AG3=TRUNC(AJ3/2,0),
                    "-1, no había déficit y dejo la capacidad media",
                    "-2,no había déficit y resultado fue bueno")
            )
        )
    ),
    IF(AH3&lt;0,
        IF(AC3&gt;TRUNC(AJ3/2,0),
            IF(AG3=TRUNC(AJ3/2,0),
                "-1, Superávit y deje la capacidad media",
                IF(AND(AG3&gt;TRUNC(AJ3/2,0), AG3&gt;=AC3),
                    "0, Superávit y no eliminé superávit",
                    IF(AND(AG3&lt;TRUNC(AJ3/2,0),AG3&lt;AC3),
                        "1, Superávit y eliminé superávit",
                        "-2, Superávit y resultado fue bueno"
                    )
                )
            ),
            IF(AND(AC3&lt;=TRUNC(AJ3/2,0),AC3&gt;=0),
                IF(AG3=TRUNC(AJ3/2,0),
                    "-1, no había superávit y deje la capacidad media",
                    IF(AND(AG3&gt;TRUNC(AJ3/2,0), AG3&gt;=AC3),
                        "0, no había superávit, y la deje con superávit",
                        IF(AND(AG3&lt;TRUNC(AJ3/2,0),AG3&lt;AC3),
                            "1, no había superávit, pero el resultado fue mejor",
                            "-2, no había superávit y resultado fue bueno"
                        )
                    )
                )
            )
        )
    )
)</f>
        <v>-1, Déficit y dejo la capacidad media</v>
      </c>
      <c r="AO3" s="2" t="s">
        <v>195</v>
      </c>
      <c r="AP3" s="3">
        <v>4</v>
      </c>
      <c r="AQ3" s="5">
        <v>6.7777777777777777</v>
      </c>
      <c r="AR3" s="3">
        <v>2</v>
      </c>
      <c r="AS3" s="3">
        <v>0</v>
      </c>
      <c r="AT3" s="3">
        <v>7</v>
      </c>
      <c r="AU3" s="15">
        <v>0.9957863323050703</v>
      </c>
      <c r="AV3" s="26" t="s">
        <v>325</v>
      </c>
      <c r="AW3" s="2">
        <v>15</v>
      </c>
      <c r="AX3" s="14">
        <f>IF(AR3&lt;=AP3,1,0)</f>
        <v>1</v>
      </c>
      <c r="AY3" s="34">
        <f>AR3-AP3</f>
        <v>-2</v>
      </c>
      <c r="AZ3" s="29" t="str">
        <f>IF(AU3&gt;0,
    IF(OR(AP3&lt;=TRUNC(AW3/2,0),AP3=0),
        IF(AT3=TRUNC(AW3/2,0),
            "-1, Déficit y dejo la capacidad media",
            IF(AND(AT3&gt;TRUNC(AW3/2,0), AT3&gt;AP3),
                "1, Déficit y eliminé déficit",
                IF(AND(AT3&lt;TRUNC(AW3/2,0), AT3&lt;AP3),
                    "0, Déficit y no elimine déficit",
                    "-2, Déficit y resultado fue bueno")
            )
        ),
        IF(AND(AT3&gt;TRUNC(AW3/2,0), AT3&gt;AP3),
            "1, no había déficit, pero resultado fue mejor",
            IF(AND(AT3&lt;TRUNC(AW3/2,0),AT3&lt;AP3),
                "0, no había déficit y la dejo con déficit",
                IF(AT3=TRUNC(AW3/2,0),
                    "-1, no había déficit y dejo la capacidad media",
                    "-2,no había déficit y resultado fue bueno")
            )
        )
    ),
    IF(AU3&lt;0,
        IF(AP3&gt;TRUNC(AW3/2,0),
            IF(AT3=TRUNC(AW3/2,0),
                "-1, Superávit y deje la capacidad media",
                IF(AND(AT3&gt;TRUNC(AW3/2,0), AT3&gt;=AP3),
                    "0, Superávit y no eliminé superávit",
                    IF(AND(AT3&lt;TRUNC(AW3/2,0),AT3&lt;AP3),
                        "1, Superávit y eliminé superávit",
                        "-2, Superávit y resultado fue bueno"
                    )
                )
            ),
            IF(AND(AP3&lt;=TRUNC(AW3/2,0),AP3&gt;=0),
                IF(AT3=TRUNC(AW3/2,0),
                    "-1, no había superávit y deje la capacidad media",
                    IF(AND(AT3&gt;TRUNC(AW3/2,0), AT3&gt;=AP3),
                        "0, no había superávit, y la deje con superávit",
                        IF(AND(AT3&lt;TRUNC(AW3/2,0),AT3&lt;AP3),
                            "1, no había superávit, pero el resultado fue mejor",
                            "-2, no había superávit y resultado fue bueno"
                        )
                    )
                )
            )
        )
    )
)</f>
        <v>-1, Déficit y dejo la capacidad media</v>
      </c>
      <c r="BB3" s="30" t="s">
        <v>195</v>
      </c>
      <c r="BC3" s="29">
        <v>4</v>
      </c>
      <c r="BD3" s="31">
        <v>6.2222222222222223</v>
      </c>
      <c r="BE3" s="29">
        <v>5</v>
      </c>
      <c r="BF3" s="29">
        <v>3</v>
      </c>
      <c r="BG3" s="29">
        <v>7</v>
      </c>
      <c r="BH3" s="30">
        <v>0.9957863323050703</v>
      </c>
      <c r="BI3" s="26" t="s">
        <v>325</v>
      </c>
      <c r="BJ3" s="30">
        <v>15</v>
      </c>
      <c r="BK3" s="29">
        <f>IF(BE3&lt;=BC3,1,0)</f>
        <v>0</v>
      </c>
      <c r="BL3" s="29">
        <f>BE3-BC3</f>
        <v>1</v>
      </c>
      <c r="BM3" s="29" t="str">
        <f>IF(BH3&gt;0,
    IF(OR(BC3&lt;=TRUNC(BJ3/2,0),BC3=0),
        IF(BG3=TRUNC(BJ3/2,0),
            "-1, Déficit y dejo la capacidad media",
            IF(AND(BG3&gt;TRUNC(BJ3/2,0), BG3&gt;BC3),
                "1, Déficit y eliminé déficit",
                IF(AND(BG3&lt;TRUNC(BJ3/2,0), BG3&lt;BC3),
                    "0, Déficit y no elimine déficit",
                    "-2, Déficit y resultado fue bueno")
            )
        ),
        IF(AND(BG3&gt;TRUNC(BJ3/2,0), BG3&gt;BC3),
            "1, no había déficit, pero resultado fue mejor",
            IF(AND(BG3&lt;TRUNC(BJ3/2,0),BG3&lt;BC3),
                "0, no había déficit y la dejo con déficit",
                IF(BG3=TRUNC(BJ3/2,0),
                    "-1, no había déficit y dejo la capacidad media",
                    "-2,no había déficit y resultado fue bueno")
            )
        )
    ),
    IF(BH3&lt;0,
        IF(BC3&gt;TRUNC(BJ3/2,0),
            IF(BG3=TRUNC(BJ3/2,0),
                "-1, Superávit y deje la capacidad media",
                IF(AND(BG3&gt;TRUNC(BJ3/2,0), BG3&gt;=BC3),
                    "0, Superávit y no eliminé superávit",
                    IF(AND(BG3&lt;TRUNC(BJ3/2,0),BG3&lt;BC3),
                        "1, Superávit y eliminé superávit",
                        "-2, Superávit y resultado fue bueno"
                    )
                )
            ),
            IF(AND(BC3&lt;=TRUNC(BJ3/2,0),BC3&gt;=0),
                IF(BG3=TRUNC(BJ3/2,0),
                    "-1, no había superávit y deje la capacidad media",
                    IF(AND(BG3&gt;TRUNC(BJ3/2,0), BG3&gt;=BC3),
                        "0, no había superávit, y la deje con superávit",
                        IF(AND(BG3&lt;TRUNC(BJ3/2,0),BG3&lt;BC3),
                            "1, no había superávit, pero el resultado fue mejor",
                            "-2, no había superávit y resultado fue bueno"
                        )
                    )
                )
            )
        )
    )
)</f>
        <v>-1, Déficit y dejo la capacidad media</v>
      </c>
      <c r="BO3" s="2" t="s">
        <v>195</v>
      </c>
      <c r="BP3" s="3">
        <v>3</v>
      </c>
      <c r="BQ3" s="5">
        <v>9</v>
      </c>
      <c r="BR3" s="3">
        <v>1</v>
      </c>
      <c r="BS3" s="3">
        <v>1</v>
      </c>
      <c r="BT3" s="3">
        <v>7</v>
      </c>
      <c r="BU3" s="2">
        <v>0.9957863323050703</v>
      </c>
      <c r="BV3" s="26" t="s">
        <v>325</v>
      </c>
      <c r="BW3" s="2">
        <v>15</v>
      </c>
      <c r="BX3" s="14">
        <f>IF(BR3&lt;=BP3,1,0)</f>
        <v>1</v>
      </c>
      <c r="BY3" s="34">
        <f>BR3-BP3</f>
        <v>-2</v>
      </c>
      <c r="BZ3" s="29" t="str">
        <f>IF(BU3&gt;0,
    IF(OR(BP3&lt;=TRUNC(BW3/2,0),BP3=0),
        IF(BT3=TRUNC(BW3/2,0),
            "-1, Déficit y dejo la capacidad media",
            IF(AND(BT3&gt;TRUNC(BW3/2,0), BT3&gt;BP3),
                "1, Déficit y eliminé déficit",
                IF(AND(BT3&lt;TRUNC(BW3/2,0), BT3&lt;BP3),
                    "0, Déficit y no elimine déficit",
                    "-2, Déficit y resultado fue bueno")
            )
        ),
        IF(AND(BT3&gt;TRUNC(BW3/2,0), BT3&gt;BP3),
            "1, no había déficit, pero resultado fue mejor",
            IF(AND(BT3&lt;TRUNC(BW3/2,0),BT3&lt;BP3),
                "0, no había déficit y la dejo con déficit",
                IF(BT3=TRUNC(BW3/2,0),
                    "-1, no había déficit y dejo la capacidad media",
                    "-2,no había déficit y resultado fue bueno")
            )
        )
    ),
    IF(BU3&lt;0,
        IF(BP3&gt;TRUNC(BW3/2,0),
            IF(BT3=TRUNC(BW3/2,0),
                "-1, Superávit y deje la capacidad media",
                IF(AND(BT3&gt;TRUNC(BW3/2,0), BT3&gt;=BP3),
                    "0, Superávit y no eliminé superávit",
                    IF(AND(BT3&lt;TRUNC(BW3/2,0),BT3&lt;BP3),
                        "1, Superávit y eliminé superávit",
                        "-2, Superávit y resultado fue bueno"
                    )
                )
            ),
            IF(AND(BP3&lt;=TRUNC(BW3/2,0),BP3&gt;=0),
                IF(BT3=TRUNC(BW3/2,0),
                    "-1, no había superávit y deje la capacidad media",
                    IF(AND(BT3&gt;TRUNC(BW3/2,0), BT3&gt;=BP3),
                        "0, no había superávit, y la deje con superávit",
                        IF(AND(BT3&lt;TRUNC(BW3/2,0),BT3&lt;BP3),
                            "1, no había superávit, pero el resultado fue mejor",
                            "-2, no había superávit y resultado fue bueno"
                        )
                    )
                )
            )
        )
    )
)</f>
        <v>-1, Déficit y dejo la capacidad media</v>
      </c>
      <c r="CB3" s="30" t="s">
        <v>195</v>
      </c>
      <c r="CC3" s="30">
        <v>14</v>
      </c>
      <c r="CD3" s="31">
        <v>7.8888888888888893</v>
      </c>
      <c r="CE3" s="30">
        <v>13</v>
      </c>
      <c r="CF3" s="29">
        <v>13</v>
      </c>
      <c r="CG3" s="30">
        <v>7</v>
      </c>
      <c r="CH3" s="30">
        <v>0.9957863323050703</v>
      </c>
      <c r="CI3" s="26" t="s">
        <v>325</v>
      </c>
      <c r="CJ3" s="30">
        <v>15</v>
      </c>
      <c r="CK3" s="29">
        <f>IF(CE3&lt;=CC3,1,0)</f>
        <v>1</v>
      </c>
      <c r="CL3" s="29">
        <f>CE3-CC3</f>
        <v>-1</v>
      </c>
      <c r="CM3" s="29" t="str">
        <f>IF(CH3&gt;0,
    IF(OR(CC3&lt;=TRUNC(CJ3/2,0),CC3=0),
        IF(CG3=TRUNC(CJ3/2,0),
            "-1, Déficit y dejo la capacidad media",
            IF(AND(CG3&gt;TRUNC(CJ3/2,0), CG3&gt;CC3),
                "1, Déficit y eliminé déficit",
                IF(AND(CG3&lt;TRUNC(CJ3/2,0), CG3&lt;CC3),
                    "0, Déficit y no elimine déficit",
                    "-2, Déficit y resultado fue bueno")
            )
        ),
        IF(AND(CG3&gt;TRUNC(CJ3/2,0), CG3&gt;CC3),
            "1, no había déficit, pero resultado fue mejor",
            IF(AND(CG3&lt;TRUNC(CJ3/2,0),CG3&lt;CC3),
                "0, no había déficit y la dejo con déficit",
                IF(CG3=TRUNC(CJ3/2,0),
                    "-1, no había déficit y dejo la capacidad media",
                    "-2,no había déficit y resultado fue bueno")
            )
        )
    ),
    IF(CH3&lt;0,
        IF(CC3&gt;TRUNC(CJ3/2,0),
            IF(CG3=TRUNC(CJ3/2,0),
                "-1, Superávit y deje la capacidad media",
                IF(AND(CG3&gt;TRUNC(CJ3/2,0), CG3&gt;=CC3),
                    "0, Superávit y no eliminé superávit",
                    IF(AND(CG3&lt;TRUNC(CJ3/2,0),CG3&lt;CC3),
                        "1, Superávit y eliminé superávit",
                        "-2, Superávit y resultado fue bueno"
                    )
                )
            ),
            IF(AND(CC3&lt;=TRUNC(CJ3/2,0),CC3&gt;=0),
                IF(CG3=TRUNC(CJ3/2,0),
                    "-1, no había superávit y deje la capacidad media",
                    IF(AND(CG3&gt;TRUNC(CJ3/2,0), CG3&gt;=CC3),
                        "0, no había superávit, y la deje con superávit",
                        IF(AND(CG3&lt;TRUNC(CJ3/2,0),CG3&lt;CC3),
                            "1, no había superávit, pero el resultado fue mejor",
                            "-2, no había superávit y resultado fue bueno"
                        )
                    )
                )
            )
        )
    )
)</f>
        <v>-1, no había déficit y dejo la capacidad media</v>
      </c>
      <c r="CO3" s="2" t="s">
        <v>195</v>
      </c>
      <c r="CP3" s="2">
        <v>6</v>
      </c>
      <c r="CQ3" s="7">
        <v>6.1111111111111107</v>
      </c>
      <c r="CR3" s="3">
        <v>8</v>
      </c>
      <c r="CS3" s="3">
        <v>7</v>
      </c>
      <c r="CT3" s="2">
        <v>7</v>
      </c>
      <c r="CU3" s="36">
        <v>0.9957863323050703</v>
      </c>
      <c r="CV3" s="26" t="s">
        <v>325</v>
      </c>
      <c r="CW3" s="30">
        <v>15</v>
      </c>
      <c r="CX3" s="29">
        <f>IF(CR3&lt;=CP3,1,0)</f>
        <v>0</v>
      </c>
      <c r="CY3" s="29">
        <f>CR3-CP3</f>
        <v>2</v>
      </c>
      <c r="CZ3" s="29" t="str">
        <f>IF(CU3&gt;0,
    IF(OR(CP3&lt;=TRUNC(CW3/2,0),CP3=0),
        IF(CT3=TRUNC(CW3/2,0),
            "-1, Déficit y dejo la capacidad media",
            IF(AND(CT3&gt;TRUNC(CW3/2,0), CT3&gt;CP3),
                "1, Déficit y eliminé déficit",
                IF(AND(CT3&lt;TRUNC(CW3/2,0), CT3&lt;CP3),
                    "0, Déficit y no elimine déficit",
                    "-2, Déficit y resultado fue bueno")
            )
        ),
        IF(AND(CT3&gt;TRUNC(CW3/2,0), CT3&gt;CP3),
            "1, no había déficit, pero resultado fue mejor",
            IF(AND(CT3&lt;TRUNC(CW3/2,0),CT3&lt;CP3),
                "0, no había déficit y la dejo con déficit",
                IF(CT3=TRUNC(CW3/2,0),
                    "-1, no había déficit y dejo la capacidad media",
                    "-2,no había déficit y resultado fue bueno")
            )
        )
    ),
    IF(CU3&lt;0,
        IF(CP3&gt;TRUNC(CW3/2,0),
            IF(CT3=TRUNC(CW3/2,0),
                "-1, Superávit y deje la capacidad media",
                IF(AND(CT3&gt;TRUNC(CW3/2,0), CT3&gt;=CP3),
                    "0, Superávit y no eliminé superávit",
                    IF(AND(CT3&lt;TRUNC(CW3/2,0),CT3&lt;CP3),
                        "1, Superávit y eliminé superávit",
                        "-2, Superávit y resultado fue bueno"
                    )
                )
            ),
            IF(AND(CP3&lt;=TRUNC(CW3/2,0),CP3&gt;=0),
                IF(CT3=TRUNC(CW3/2,0),
                    "-1, no había superávit y deje la capacidad media",
                    IF(AND(CT3&gt;TRUNC(CW3/2,0), CT3&gt;=CP3),
                        "0, no había superávit, y la deje con superávit",
                        IF(AND(CT3&lt;TRUNC(CW3/2,0),CT3&lt;CP3),
                            "1, no había superávit, pero el resultado fue mejor",
                            "-2, no había superávit y resultado fue bueno"
                        )
                    )
                )
            )
        )
    )
)</f>
        <v>-1, Déficit y dejo la capacidad media</v>
      </c>
      <c r="DB3" s="2" t="s">
        <v>202</v>
      </c>
    </row>
    <row r="4" spans="1:108" ht="14.25" customHeight="1" x14ac:dyDescent="0.3">
      <c r="A4" s="29" t="str">
        <f t="shared" si="0"/>
        <v>Vaciado</v>
      </c>
      <c r="B4" s="30" t="s">
        <v>199</v>
      </c>
      <c r="C4" s="30">
        <v>0</v>
      </c>
      <c r="D4" s="31">
        <v>3.2222222222222223</v>
      </c>
      <c r="E4" s="31">
        <v>0</v>
      </c>
      <c r="F4" s="29">
        <v>3</v>
      </c>
      <c r="G4" s="30">
        <v>5</v>
      </c>
      <c r="H4" s="30">
        <v>0.98995442105744402</v>
      </c>
      <c r="I4" s="26" t="s">
        <v>332</v>
      </c>
      <c r="J4" s="30">
        <v>11</v>
      </c>
      <c r="K4" s="29">
        <f>IF(E4&lt;=C4,1,0)</f>
        <v>1</v>
      </c>
      <c r="L4" s="32">
        <f>E4-C4</f>
        <v>0</v>
      </c>
      <c r="M4" s="32" t="str">
        <f>IF(H4&gt;0,
    IF(OR(C4&lt;=TRUNC(J4/2,0),C4=0),
        IF(G4=TRUNC(J4/2,0),
            "-1, Déficit y dejo la capacidad media",
            IF(AND(G4&gt;TRUNC(J4/2,0), G4&gt;C4),
                "1, Déficit y eliminé déficit",
                IF(AND(G4&lt;TRUNC(J4/2,0), G4&lt;C4),
                    "0, Déficit y no elimine déficit",
                    "-2, Déficit y resultado fue bueno")
            )
        ),
        IF(AND(G4&gt;TRUNC(J4/2,0), G4&gt;C4),
            "1, no había déficit, pero resultado fue mejor",
            IF(AND(G4&lt;TRUNC(J4/2,0),G4&lt;C4),
                "0, no había déficit y la dejo con déficit",
                IF(G4=TRUNC(J4/2,0),
                    "-1, no había déficit y dejo la capacidad media",
                    "-2,no había déficit y resultado fue bueno")
            )
        )
    ),
    IF(H4&lt;0,
        IF(C4&gt;TRUNC(J4/2,0),
            IF(G4=TRUNC(J4/2,0),
                "-1, Superávit y deje la capacidad media",
                IF(AND(G4&gt;TRUNC(J4/2,0), G4&gt;=C4),
                    "0, Superávit y no eliminé superávit",
                    IF(AND(G4&lt;TRUNC(J4/2,0),G4&lt;C4),
                        "1, Superávit y eliminé superávit",
                        "-2, Superávit y resultado fue bueno"
                    )
                )
            ),
            IF(AND(C4&lt;=TRUNC(J4/2,0),C4&gt;=0),
                IF(G4=TRUNC(J4/2,0),
                    "-1, no había superávit y deje la capacidad media",
                    IF(AND(G4&gt;TRUNC(J4/2,0), G4&gt;=C4),
                        "0, no había superávit, y la deje con superávit",
                        IF(AND(G4&lt;TRUNC(J4/2,0),G4&lt;C4),
                            "1, no había superávit, pero el resultado fue mejor",
                            "-2, no había superávit y resultado fue bueno"
                        )
                    )
                )
            )
        )
    )
)</f>
        <v>-1, Déficit y dejo la capacidad media</v>
      </c>
      <c r="O4" s="30" t="s">
        <v>199</v>
      </c>
      <c r="P4" s="30">
        <v>2</v>
      </c>
      <c r="Q4" s="31">
        <v>3.7777777777777777</v>
      </c>
      <c r="R4" s="30">
        <v>2</v>
      </c>
      <c r="S4" s="29">
        <v>2</v>
      </c>
      <c r="T4" s="30">
        <v>5</v>
      </c>
      <c r="U4" s="30">
        <v>0.98995442105744402</v>
      </c>
      <c r="V4" s="26" t="s">
        <v>332</v>
      </c>
      <c r="W4" s="30">
        <v>11</v>
      </c>
      <c r="X4" s="29">
        <f>IF(R4&lt;=P4,1,0)</f>
        <v>1</v>
      </c>
      <c r="Y4" s="29">
        <f>R4-P4</f>
        <v>0</v>
      </c>
      <c r="Z4" s="29" t="str">
        <f>IF(U4&gt;0,
    IF(OR(P4&lt;=TRUNC(W4/2,0),P4=0),
        IF(T4=TRUNC(W4/2,0),
            "-1, Déficit y dejo la capacidad media",
            IF(AND(T4&gt;TRUNC(W4/2,0), T4&gt;P4),
                "1, Déficit y eliminé déficit",
                IF(AND(T4&lt;TRUNC(W4/2,0), T4&lt;P4),
                    "0, Déficit y no elimine déficit",
                    "-2, Déficit y resultado fue bueno")
            )
        ),
        IF(AND(T4&gt;TRUNC(W4/2,0), T4&gt;P4),
            "1, no había déficit, pero resultado fue mejor",
            IF(AND(T4&lt;TRUNC(W4/2,0),T4&lt;P4),
                "0, no había déficit y la dejo con déficit",
                IF(T4=TRUNC(W4/2,0),
                    "-1, no había déficit y dejo la capacidad media",
                    "-2,no había déficit y resultado fue bueno")
            )
        )
    ),
    IF(U4&lt;0,
        IF(P4&gt;TRUNC(W4/2,0),
            IF(T4=TRUNC(W4/2,0),
                "-1, Superávit y deje la capacidad media",
                IF(AND(T4&gt;TRUNC(W4/2,0), T4&gt;=P4),
                    "0, Superávit y no eliminé superávit",
                    IF(AND(T4&lt;TRUNC(W4/2,0),T4&lt;P4),
                        "1, Superávit y eliminé superávit",
                        "-2, Superávit y resultado fue bueno"
                    )
                )
            ),
            IF(AND(P4&lt;=TRUNC(W4/2,0),P4&gt;=0),
                IF(T4=TRUNC(W4/2,0),
                    "-1, no había superávit y deje la capacidad media",
                    IF(AND(T4&gt;TRUNC(W4/2,0), T4&gt;=P4),
                        "0, no había superávit, y la deje con superávit",
                        IF(AND(T4&lt;TRUNC(W4/2,0),T4&lt;P4),
                            "1, no había superávit, pero el resultado fue mejor",
                            "-2, no había superávit y resultado fue bueno"
                        )
                    )
                )
            )
        )
    )
)</f>
        <v>-1, Déficit y dejo la capacidad media</v>
      </c>
      <c r="AB4" s="2" t="s">
        <v>199</v>
      </c>
      <c r="AC4" s="3">
        <v>3</v>
      </c>
      <c r="AD4" s="5">
        <v>1.8888888888888888</v>
      </c>
      <c r="AE4" s="3">
        <v>3</v>
      </c>
      <c r="AF4" s="3">
        <v>3</v>
      </c>
      <c r="AG4" s="3">
        <v>5</v>
      </c>
      <c r="AH4" s="2">
        <v>0.98995442105744402</v>
      </c>
      <c r="AI4" s="26" t="s">
        <v>332</v>
      </c>
      <c r="AJ4" s="2">
        <v>11</v>
      </c>
      <c r="AK4" s="14">
        <f>IF(AE4&lt;=AC4,1,0)</f>
        <v>1</v>
      </c>
      <c r="AL4" s="34">
        <f>AE4-AC4</f>
        <v>0</v>
      </c>
      <c r="AM4" s="29" t="str">
        <f>IF(AH4&gt;0,
    IF(OR(AC4&lt;=TRUNC(AJ4/2,0),AC4=0),
        IF(AG4=TRUNC(AJ4/2,0),
            "-1, Déficit y dejo la capacidad media",
            IF(AND(AG4&gt;TRUNC(AJ4/2,0), AG4&gt;AC4),
                "1, Déficit y eliminé déficit",
                IF(AND(AG4&lt;TRUNC(AJ4/2,0), AG4&lt;AC4),
                    "0, Déficit y no elimine déficit",
                    "-2, Déficit y resultado fue bueno")
            )
        ),
        IF(AND(AG4&gt;TRUNC(AJ4/2,0), AG4&gt;AC4),
            "1, no había déficit, pero resultado fue mejor",
            IF(AND(AG4&lt;TRUNC(AJ4/2,0),AG4&lt;AC4),
                "0, no había déficit y la dejo con déficit",
                IF(AG4=TRUNC(AJ4/2,0),
                    "-1, no había déficit y dejo la capacidad media",
                    "-2,no había déficit y resultado fue bueno")
            )
        )
    ),
    IF(AH4&lt;0,
        IF(AC4&gt;TRUNC(AJ4/2,0),
            IF(AG4=TRUNC(AJ4/2,0),
                "-1, Superávit y deje la capacidad media",
                IF(AND(AG4&gt;TRUNC(AJ4/2,0), AG4&gt;=AC4),
                    "0, Superávit y no eliminé superávit",
                    IF(AND(AG4&lt;TRUNC(AJ4/2,0),AG4&lt;AC4),
                        "1, Superávit y eliminé superávit",
                        "-2, Superávit y resultado fue bueno"
                    )
                )
            ),
            IF(AND(AC4&lt;=TRUNC(AJ4/2,0),AC4&gt;=0),
                IF(AG4=TRUNC(AJ4/2,0),
                    "-1, no había superávit y deje la capacidad media",
                    IF(AND(AG4&gt;TRUNC(AJ4/2,0), AG4&gt;=AC4),
                        "0, no había superávit, y la deje con superávit",
                        IF(AND(AG4&lt;TRUNC(AJ4/2,0),AG4&lt;AC4),
                            "1, no había superávit, pero el resultado fue mejor",
                            "-2, no había superávit y resultado fue bueno"
                        )
                    )
                )
            )
        )
    )
)</f>
        <v>-1, Déficit y dejo la capacidad media</v>
      </c>
      <c r="AO4" s="2" t="s">
        <v>199</v>
      </c>
      <c r="AP4" s="3">
        <v>8</v>
      </c>
      <c r="AQ4" s="5">
        <v>1.8888888888888888</v>
      </c>
      <c r="AR4" s="3">
        <v>6</v>
      </c>
      <c r="AS4" s="3">
        <v>3</v>
      </c>
      <c r="AT4" s="3">
        <v>5</v>
      </c>
      <c r="AU4" s="15">
        <v>0.98995442105744402</v>
      </c>
      <c r="AV4" s="26" t="s">
        <v>332</v>
      </c>
      <c r="AW4" s="2">
        <v>11</v>
      </c>
      <c r="AX4" s="14">
        <f>IF(AR4&lt;=AP4,1,0)</f>
        <v>1</v>
      </c>
      <c r="AY4" s="34">
        <f>AR4-AP4</f>
        <v>-2</v>
      </c>
      <c r="AZ4" s="29" t="str">
        <f>IF(AU4&gt;0,
    IF(OR(AP4&lt;=TRUNC(AW4/2,0),AP4=0),
        IF(AT4=TRUNC(AW4/2,0),
            "-1, Déficit y dejo la capacidad media",
            IF(AND(AT4&gt;TRUNC(AW4/2,0), AT4&gt;AP4),
                "1, Déficit y eliminé déficit",
                IF(AND(AT4&lt;TRUNC(AW4/2,0), AT4&lt;AP4),
                    "0, Déficit y no elimine déficit",
                    "-2, Déficit y resultado fue bueno")
            )
        ),
        IF(AND(AT4&gt;TRUNC(AW4/2,0), AT4&gt;AP4),
            "1, no había déficit, pero resultado fue mejor",
            IF(AND(AT4&lt;TRUNC(AW4/2,0),AT4&lt;AP4),
                "0, no había déficit y la dejo con déficit",
                IF(AT4=TRUNC(AW4/2,0),
                    "-1, no había déficit y dejo la capacidad media",
                    "-2,no había déficit y resultado fue bueno")
            )
        )
    ),
    IF(AU4&lt;0,
        IF(AP4&gt;TRUNC(AW4/2,0),
            IF(AT4=TRUNC(AW4/2,0),
                "-1, Superávit y deje la capacidad media",
                IF(AND(AT4&gt;TRUNC(AW4/2,0), AT4&gt;=AP4),
                    "0, Superávit y no eliminé superávit",
                    IF(AND(AT4&lt;TRUNC(AW4/2,0),AT4&lt;AP4),
                        "1, Superávit y eliminé superávit",
                        "-2, Superávit y resultado fue bueno"
                    )
                )
            ),
            IF(AND(AP4&lt;=TRUNC(AW4/2,0),AP4&gt;=0),
                IF(AT4=TRUNC(AW4/2,0),
                    "-1, no había superávit y deje la capacidad media",
                    IF(AND(AT4&gt;TRUNC(AW4/2,0), AT4&gt;=AP4),
                        "0, no había superávit, y la deje con superávit",
                        IF(AND(AT4&lt;TRUNC(AW4/2,0),AT4&lt;AP4),
                            "1, no había superávit, pero el resultado fue mejor",
                            "-2, no había superávit y resultado fue bueno"
                        )
                    )
                )
            )
        )
    )
)</f>
        <v>-1, no había déficit y dejo la capacidad media</v>
      </c>
      <c r="BB4" s="30" t="s">
        <v>199</v>
      </c>
      <c r="BC4" s="29">
        <v>1</v>
      </c>
      <c r="BD4" s="31">
        <v>1.5555555555555556</v>
      </c>
      <c r="BE4" s="29">
        <v>0</v>
      </c>
      <c r="BF4" s="29">
        <v>0</v>
      </c>
      <c r="BG4" s="29">
        <v>7</v>
      </c>
      <c r="BH4" s="30">
        <v>0.98995442105744402</v>
      </c>
      <c r="BI4" s="26" t="s">
        <v>332</v>
      </c>
      <c r="BJ4" s="30">
        <v>11</v>
      </c>
      <c r="BK4" s="29">
        <f>IF(BE4&lt;=BC4,1,0)</f>
        <v>1</v>
      </c>
      <c r="BL4" s="29">
        <f>BE4-BC4</f>
        <v>-1</v>
      </c>
      <c r="BM4" s="29" t="str">
        <f>IF(BH4&gt;0,
    IF(OR(BC4&lt;=TRUNC(BJ4/2,0),BC4=0),
        IF(BG4=TRUNC(BJ4/2,0),
            "-1, Déficit y dejo la capacidad media",
            IF(AND(BG4&gt;TRUNC(BJ4/2,0), BG4&gt;BC4),
                "1, Déficit y eliminé déficit",
                IF(AND(BG4&lt;TRUNC(BJ4/2,0), BG4&lt;BC4),
                    "0, Déficit y no elimine déficit",
                    "-2, Déficit y resultado fue bueno")
            )
        ),
        IF(AND(BG4&gt;TRUNC(BJ4/2,0), BG4&gt;BC4),
            "1, no había déficit, pero resultado fue mejor",
            IF(AND(BG4&lt;TRUNC(BJ4/2,0),BG4&lt;BC4),
                "0, no había déficit y la dejo con déficit",
                IF(BG4=TRUNC(BJ4/2,0),
                    "-1, no había déficit y dejo la capacidad media",
                    "-2,no había déficit y resultado fue bueno")
            )
        )
    ),
    IF(BH4&lt;0,
        IF(BC4&gt;TRUNC(BJ4/2,0),
            IF(BG4=TRUNC(BJ4/2,0),
                "-1, Superávit y deje la capacidad media",
                IF(AND(BG4&gt;TRUNC(BJ4/2,0), BG4&gt;=BC4),
                    "0, Superávit y no eliminé superávit",
                    IF(AND(BG4&lt;TRUNC(BJ4/2,0),BG4&lt;BC4),
                        "1, Superávit y eliminé superávit",
                        "-2, Superávit y resultado fue bueno"
                    )
                )
            ),
            IF(AND(BC4&lt;=TRUNC(BJ4/2,0),BC4&gt;=0),
                IF(BG4=TRUNC(BJ4/2,0),
                    "-1, no había superávit y deje la capacidad media",
                    IF(AND(BG4&gt;TRUNC(BJ4/2,0), BG4&gt;=BC4),
                        "0, no había superávit, y la deje con superávit",
                        IF(AND(BG4&lt;TRUNC(BJ4/2,0),BG4&lt;BC4),
                            "1, no había superávit, pero el resultado fue mejor",
                            "-2, no había superávit y resultado fue bueno"
                        )
                    )
                )
            )
        )
    )
)</f>
        <v>1, Déficit y eliminé déficit</v>
      </c>
      <c r="BO4" s="2" t="s">
        <v>199</v>
      </c>
      <c r="BP4" s="3">
        <v>0</v>
      </c>
      <c r="BQ4" s="5">
        <v>0.88888888888888884</v>
      </c>
      <c r="BR4" s="3">
        <v>1</v>
      </c>
      <c r="BS4" s="3">
        <v>0</v>
      </c>
      <c r="BT4" s="3">
        <v>5</v>
      </c>
      <c r="BU4" s="2">
        <v>0.98995442105744402</v>
      </c>
      <c r="BV4" s="26" t="s">
        <v>332</v>
      </c>
      <c r="BW4" s="2">
        <v>11</v>
      </c>
      <c r="BX4" s="14">
        <f>IF(BR4&lt;=BP4,1,0)</f>
        <v>0</v>
      </c>
      <c r="BY4" s="34">
        <f>BR4-BP4</f>
        <v>1</v>
      </c>
      <c r="BZ4" s="29" t="str">
        <f>IF(BU4&gt;0,
    IF(OR(BP4&lt;=TRUNC(BW4/2,0),BP4=0),
        IF(BT4=TRUNC(BW4/2,0),
            "-1, Déficit y dejo la capacidad media",
            IF(AND(BT4&gt;TRUNC(BW4/2,0), BT4&gt;BP4),
                "1, Déficit y eliminé déficit",
                IF(AND(BT4&lt;TRUNC(BW4/2,0), BT4&lt;BP4),
                    "0, Déficit y no elimine déficit",
                    "-2, Déficit y resultado fue bueno")
            )
        ),
        IF(AND(BT4&gt;TRUNC(BW4/2,0), BT4&gt;BP4),
            "1, no había déficit, pero resultado fue mejor",
            IF(AND(BT4&lt;TRUNC(BW4/2,0),BT4&lt;BP4),
                "0, no había déficit y la dejo con déficit",
                IF(BT4=TRUNC(BW4/2,0),
                    "-1, no había déficit y dejo la capacidad media",
                    "-2,no había déficit y resultado fue bueno")
            )
        )
    ),
    IF(BU4&lt;0,
        IF(BP4&gt;TRUNC(BW4/2,0),
            IF(BT4=TRUNC(BW4/2,0),
                "-1, Superávit y deje la capacidad media",
                IF(AND(BT4&gt;TRUNC(BW4/2,0), BT4&gt;=BP4),
                    "0, Superávit y no eliminé superávit",
                    IF(AND(BT4&lt;TRUNC(BW4/2,0),BT4&lt;BP4),
                        "1, Superávit y eliminé superávit",
                        "-2, Superávit y resultado fue bueno"
                    )
                )
            ),
            IF(AND(BP4&lt;=TRUNC(BW4/2,0),BP4&gt;=0),
                IF(BT4=TRUNC(BW4/2,0),
                    "-1, no había superávit y deje la capacidad media",
                    IF(AND(BT4&gt;TRUNC(BW4/2,0), BT4&gt;=BP4),
                        "0, no había superávit, y la deje con superávit",
                        IF(AND(BT4&lt;TRUNC(BW4/2,0),BT4&lt;BP4),
                            "1, no había superávit, pero el resultado fue mejor",
                            "-2, no había superávit y resultado fue bueno"
                        )
                    )
                )
            )
        )
    )
)</f>
        <v>-1, Déficit y dejo la capacidad media</v>
      </c>
      <c r="CB4" s="30" t="s">
        <v>199</v>
      </c>
      <c r="CC4" s="30">
        <v>4</v>
      </c>
      <c r="CD4" s="31">
        <v>3.1111111111111112</v>
      </c>
      <c r="CE4" s="30">
        <v>1</v>
      </c>
      <c r="CF4" s="29">
        <v>1</v>
      </c>
      <c r="CG4" s="30">
        <v>5</v>
      </c>
      <c r="CH4" s="30">
        <v>0.98995442105744402</v>
      </c>
      <c r="CI4" s="26" t="s">
        <v>332</v>
      </c>
      <c r="CJ4" s="30">
        <v>11</v>
      </c>
      <c r="CK4" s="29">
        <f>IF(CE4&lt;=CC4,1,0)</f>
        <v>1</v>
      </c>
      <c r="CL4" s="29">
        <f>CE4-CC4</f>
        <v>-3</v>
      </c>
      <c r="CM4" s="29" t="str">
        <f>IF(CH4&gt;0,
    IF(OR(CC4&lt;=TRUNC(CJ4/2,0),CC4=0),
        IF(CG4=TRUNC(CJ4/2,0),
            "-1, Déficit y dejo la capacidad media",
            IF(AND(CG4&gt;TRUNC(CJ4/2,0), CG4&gt;CC4),
                "1, Déficit y eliminé déficit",
                IF(AND(CG4&lt;TRUNC(CJ4/2,0), CG4&lt;CC4),
                    "0, Déficit y no elimine déficit",
                    "-2, Déficit y resultado fue bueno")
            )
        ),
        IF(AND(CG4&gt;TRUNC(CJ4/2,0), CG4&gt;CC4),
            "1, no había déficit, pero resultado fue mejor",
            IF(AND(CG4&lt;TRUNC(CJ4/2,0),CG4&lt;CC4),
                "0, no había déficit y la dejo con déficit",
                IF(CG4=TRUNC(CJ4/2,0),
                    "-1, no había déficit y dejo la capacidad media",
                    "-2,no había déficit y resultado fue bueno")
            )
        )
    ),
    IF(CH4&lt;0,
        IF(CC4&gt;TRUNC(CJ4/2,0),
            IF(CG4=TRUNC(CJ4/2,0),
                "-1, Superávit y deje la capacidad media",
                IF(AND(CG4&gt;TRUNC(CJ4/2,0), CG4&gt;=CC4),
                    "0, Superávit y no eliminé superávit",
                    IF(AND(CG4&lt;TRUNC(CJ4/2,0),CG4&lt;CC4),
                        "1, Superávit y eliminé superávit",
                        "-2, Superávit y resultado fue bueno"
                    )
                )
            ),
            IF(AND(CC4&lt;=TRUNC(CJ4/2,0),CC4&gt;=0),
                IF(CG4=TRUNC(CJ4/2,0),
                    "-1, no había superávit y deje la capacidad media",
                    IF(AND(CG4&gt;TRUNC(CJ4/2,0), CG4&gt;=CC4),
                        "0, no había superávit, y la deje con superávit",
                        IF(AND(CG4&lt;TRUNC(CJ4/2,0),CG4&lt;CC4),
                            "1, no había superávit, pero el resultado fue mejor",
                            "-2, no había superávit y resultado fue bueno"
                        )
                    )
                )
            )
        )
    )
)</f>
        <v>-1, Déficit y dejo la capacidad media</v>
      </c>
      <c r="CO4" s="2" t="s">
        <v>199</v>
      </c>
      <c r="CP4" s="2">
        <v>4</v>
      </c>
      <c r="CQ4" s="7">
        <v>3.2222222222222223</v>
      </c>
      <c r="CR4" s="3">
        <v>2</v>
      </c>
      <c r="CS4" s="3">
        <v>1</v>
      </c>
      <c r="CT4" s="2">
        <v>5</v>
      </c>
      <c r="CU4" s="36">
        <v>0.98995442105744402</v>
      </c>
      <c r="CV4" s="26" t="s">
        <v>332</v>
      </c>
      <c r="CW4" s="30">
        <v>11</v>
      </c>
      <c r="CX4" s="29">
        <f>IF(CR4&lt;=CP4,1,0)</f>
        <v>1</v>
      </c>
      <c r="CY4" s="29">
        <f>CR4-CP4</f>
        <v>-2</v>
      </c>
      <c r="CZ4" s="29" t="str">
        <f>IF(CU4&gt;0,
    IF(OR(CP4&lt;=TRUNC(CW4/2,0),CP4=0),
        IF(CT4=TRUNC(CW4/2,0),
            "-1, Déficit y dejo la capacidad media",
            IF(AND(CT4&gt;TRUNC(CW4/2,0), CT4&gt;CP4),
                "1, Déficit y eliminé déficit",
                IF(AND(CT4&lt;TRUNC(CW4/2,0), CT4&lt;CP4),
                    "0, Déficit y no elimine déficit",
                    "-2, Déficit y resultado fue bueno")
            )
        ),
        IF(AND(CT4&gt;TRUNC(CW4/2,0), CT4&gt;CP4),
            "1, no había déficit, pero resultado fue mejor",
            IF(AND(CT4&lt;TRUNC(CW4/2,0),CT4&lt;CP4),
                "0, no había déficit y la dejo con déficit",
                IF(CT4=TRUNC(CW4/2,0),
                    "-1, no había déficit y dejo la capacidad media",
                    "-2,no había déficit y resultado fue bueno")
            )
        )
    ),
    IF(CU4&lt;0,
        IF(CP4&gt;TRUNC(CW4/2,0),
            IF(CT4=TRUNC(CW4/2,0),
                "-1, Superávit y deje la capacidad media",
                IF(AND(CT4&gt;TRUNC(CW4/2,0), CT4&gt;=CP4),
                    "0, Superávit y no eliminé superávit",
                    IF(AND(CT4&lt;TRUNC(CW4/2,0),CT4&lt;CP4),
                        "1, Superávit y eliminé superávit",
                        "-2, Superávit y resultado fue bueno"
                    )
                )
            ),
            IF(AND(CP4&lt;=TRUNC(CW4/2,0),CP4&gt;=0),
                IF(CT4=TRUNC(CW4/2,0),
                    "-1, no había superávit y deje la capacidad media",
                    IF(AND(CT4&gt;TRUNC(CW4/2,0), CT4&gt;=CP4),
                        "0, no había superávit, y la deje con superávit",
                        IF(AND(CT4&lt;TRUNC(CW4/2,0),CT4&lt;CP4),
                            "1, no había superávit, pero el resultado fue mejor",
                            "-2, no había superávit y resultado fue bueno"
                        )
                    )
                )
            )
        )
    )
)</f>
        <v>-1, Déficit y dejo la capacidad media</v>
      </c>
      <c r="DB4" s="2" t="s">
        <v>205</v>
      </c>
    </row>
    <row r="5" spans="1:108" ht="14.25" customHeight="1" x14ac:dyDescent="0.3">
      <c r="A5" s="29" t="str">
        <f t="shared" si="0"/>
        <v>Vaciado</v>
      </c>
      <c r="B5" s="30" t="s">
        <v>203</v>
      </c>
      <c r="C5" s="30">
        <v>6</v>
      </c>
      <c r="D5" s="31">
        <v>3.8888888888888888</v>
      </c>
      <c r="E5" s="31">
        <v>7</v>
      </c>
      <c r="F5" s="29">
        <v>3</v>
      </c>
      <c r="G5" s="30">
        <v>6</v>
      </c>
      <c r="H5" s="30">
        <v>0.8031838310216366</v>
      </c>
      <c r="I5" s="26" t="s">
        <v>332</v>
      </c>
      <c r="J5" s="30">
        <v>11</v>
      </c>
      <c r="K5" s="29">
        <f>IF(E5&lt;=C5,1,0)</f>
        <v>0</v>
      </c>
      <c r="L5" s="32">
        <f>E5-C5</f>
        <v>1</v>
      </c>
      <c r="M5" s="32" t="str">
        <f>IF(H5&gt;0,
    IF(OR(C5&lt;=TRUNC(J5/2,0),C5=0),
        IF(G5=TRUNC(J5/2,0),
            "-1, Déficit y dejo la capacidad media",
            IF(AND(G5&gt;TRUNC(J5/2,0), G5&gt;C5),
                "1, Déficit y eliminé déficit",
                IF(AND(G5&lt;TRUNC(J5/2,0), G5&lt;C5),
                    "0, Déficit y no elimine déficit",
                    "-2, Déficit y resultado fue bueno")
            )
        ),
        IF(AND(G5&gt;TRUNC(J5/2,0), G5&gt;C5),
            "1, no había déficit, pero resultado fue mejor",
            IF(AND(G5&lt;TRUNC(J5/2,0),G5&lt;C5),
                "0, no había déficit y la dejo con déficit",
                IF(G5=TRUNC(J5/2,0),
                    "-1, no había déficit y dejo la capacidad media",
                    "-2,no había déficit y resultado fue bueno")
            )
        )
    ),
    IF(H5&lt;0,
        IF(C5&gt;TRUNC(J5/2,0),
            IF(G5=TRUNC(J5/2,0),
                "-1, Superávit y deje la capacidad media",
                IF(AND(G5&gt;TRUNC(J5/2,0), G5&gt;=C5),
                    "0, Superávit y no eliminé superávit",
                    IF(AND(G5&lt;TRUNC(J5/2,0),G5&lt;C5),
                        "1, Superávit y eliminé superávit",
                        "-2, Superávit y resultado fue bueno"
                    )
                )
            ),
            IF(AND(C5&lt;=TRUNC(J5/2,0),C5&gt;=0),
                IF(G5=TRUNC(J5/2,0),
                    "-1, no había superávit y deje la capacidad media",
                    IF(AND(G5&gt;TRUNC(J5/2,0), G5&gt;=C5),
                        "0, no había superávit, y la deje con superávit",
                        IF(AND(G5&lt;TRUNC(J5/2,0),G5&lt;C5),
                            "1, no había superávit, pero el resultado fue mejor",
                            "-2, no había superávit y resultado fue bueno"
                        )
                    )
                )
            )
        )
    )
)</f>
        <v>-2,no había déficit y resultado fue bueno</v>
      </c>
      <c r="O5" s="30" t="s">
        <v>203</v>
      </c>
      <c r="P5" s="30">
        <v>3</v>
      </c>
      <c r="Q5" s="31">
        <v>3.3333333333333335</v>
      </c>
      <c r="R5" s="30">
        <v>3</v>
      </c>
      <c r="S5" s="29">
        <v>3</v>
      </c>
      <c r="T5" s="30">
        <v>5</v>
      </c>
      <c r="U5" s="30">
        <v>0.8031838310216366</v>
      </c>
      <c r="V5" s="26" t="s">
        <v>332</v>
      </c>
      <c r="W5" s="30">
        <v>11</v>
      </c>
      <c r="X5" s="29">
        <f>IF(R5&lt;=P5,1,0)</f>
        <v>1</v>
      </c>
      <c r="Y5" s="29">
        <f>R5-P5</f>
        <v>0</v>
      </c>
      <c r="Z5" s="29" t="str">
        <f>IF(U5&gt;0,
    IF(OR(P5&lt;=TRUNC(W5/2,0),P5=0),
        IF(T5=TRUNC(W5/2,0),
            "-1, Déficit y dejo la capacidad media",
            IF(AND(T5&gt;TRUNC(W5/2,0), T5&gt;P5),
                "1, Déficit y eliminé déficit",
                IF(AND(T5&lt;TRUNC(W5/2,0), T5&lt;P5),
                    "0, Déficit y no elimine déficit",
                    "-2, Déficit y resultado fue bueno")
            )
        ),
        IF(AND(T5&gt;TRUNC(W5/2,0), T5&gt;P5),
            "1, no había déficit, pero resultado fue mejor",
            IF(AND(T5&lt;TRUNC(W5/2,0),T5&lt;P5),
                "0, no había déficit y la dejo con déficit",
                IF(T5=TRUNC(W5/2,0),
                    "-1, no había déficit y dejo la capacidad media",
                    "-2,no había déficit y resultado fue bueno")
            )
        )
    ),
    IF(U5&lt;0,
        IF(P5&gt;TRUNC(W5/2,0),
            IF(T5=TRUNC(W5/2,0),
                "-1, Superávit y deje la capacidad media",
                IF(AND(T5&gt;TRUNC(W5/2,0), T5&gt;=P5),
                    "0, Superávit y no eliminé superávit",
                    IF(AND(T5&lt;TRUNC(W5/2,0),T5&lt;P5),
                        "1, Superávit y eliminé superávit",
                        "-2, Superávit y resultado fue bueno"
                    )
                )
            ),
            IF(AND(P5&lt;=TRUNC(W5/2,0),P5&gt;=0),
                IF(T5=TRUNC(W5/2,0),
                    "-1, no había superávit y deje la capacidad media",
                    IF(AND(T5&gt;TRUNC(W5/2,0), T5&gt;=P5),
                        "0, no había superávit, y la deje con superávit",
                        IF(AND(T5&lt;TRUNC(W5/2,0),T5&lt;P5),
                            "1, no había superávit, pero el resultado fue mejor",
                            "-2, no había superávit y resultado fue bueno"
                        )
                    )
                )
            )
        )
    )
)</f>
        <v>-1, Déficit y dejo la capacidad media</v>
      </c>
      <c r="AB5" s="2" t="s">
        <v>203</v>
      </c>
      <c r="AC5" s="3">
        <v>3</v>
      </c>
      <c r="AD5" s="5">
        <v>2</v>
      </c>
      <c r="AE5" s="3">
        <v>3</v>
      </c>
      <c r="AF5" s="3">
        <v>3</v>
      </c>
      <c r="AG5" s="3">
        <v>5</v>
      </c>
      <c r="AH5" s="2">
        <v>0.8031838310216366</v>
      </c>
      <c r="AI5" s="26" t="s">
        <v>332</v>
      </c>
      <c r="AJ5" s="2">
        <v>11</v>
      </c>
      <c r="AK5" s="14">
        <f>IF(AE5&lt;=AC5,1,0)</f>
        <v>1</v>
      </c>
      <c r="AL5" s="34">
        <f>AE5-AC5</f>
        <v>0</v>
      </c>
      <c r="AM5" s="29" t="str">
        <f>IF(AH5&gt;0,
    IF(OR(AC5&lt;=TRUNC(AJ5/2,0),AC5=0),
        IF(AG5=TRUNC(AJ5/2,0),
            "-1, Déficit y dejo la capacidad media",
            IF(AND(AG5&gt;TRUNC(AJ5/2,0), AG5&gt;AC5),
                "1, Déficit y eliminé déficit",
                IF(AND(AG5&lt;TRUNC(AJ5/2,0), AG5&lt;AC5),
                    "0, Déficit y no elimine déficit",
                    "-2, Déficit y resultado fue bueno")
            )
        ),
        IF(AND(AG5&gt;TRUNC(AJ5/2,0), AG5&gt;AC5),
            "1, no había déficit, pero resultado fue mejor",
            IF(AND(AG5&lt;TRUNC(AJ5/2,0),AG5&lt;AC5),
                "0, no había déficit y la dejo con déficit",
                IF(AG5=TRUNC(AJ5/2,0),
                    "-1, no había déficit y dejo la capacidad media",
                    "-2,no había déficit y resultado fue bueno")
            )
        )
    ),
    IF(AH5&lt;0,
        IF(AC5&gt;TRUNC(AJ5/2,0),
            IF(AG5=TRUNC(AJ5/2,0),
                "-1, Superávit y deje la capacidad media",
                IF(AND(AG5&gt;TRUNC(AJ5/2,0), AG5&gt;=AC5),
                    "0, Superávit y no eliminé superávit",
                    IF(AND(AG5&lt;TRUNC(AJ5/2,0),AG5&lt;AC5),
                        "1, Superávit y eliminé superávit",
                        "-2, Superávit y resultado fue bueno"
                    )
                )
            ),
            IF(AND(AC5&lt;=TRUNC(AJ5/2,0),AC5&gt;=0),
                IF(AG5=TRUNC(AJ5/2,0),
                    "-1, no había superávit y deje la capacidad media",
                    IF(AND(AG5&gt;TRUNC(AJ5/2,0), AG5&gt;=AC5),
                        "0, no había superávit, y la deje con superávit",
                        IF(AND(AG5&lt;TRUNC(AJ5/2,0),AG5&lt;AC5),
                            "1, no había superávit, pero el resultado fue mejor",
                            "-2, no había superávit y resultado fue bueno"
                        )
                    )
                )
            )
        )
    )
)</f>
        <v>-1, Déficit y dejo la capacidad media</v>
      </c>
      <c r="AO5" s="2" t="s">
        <v>203</v>
      </c>
      <c r="AP5" s="3">
        <v>7</v>
      </c>
      <c r="AQ5" s="5">
        <v>4.7777777777777777</v>
      </c>
      <c r="AR5" s="3">
        <v>4</v>
      </c>
      <c r="AS5" s="3">
        <v>4</v>
      </c>
      <c r="AT5" s="3">
        <v>5</v>
      </c>
      <c r="AU5" s="15">
        <v>0.8031838310216366</v>
      </c>
      <c r="AV5" s="26" t="s">
        <v>332</v>
      </c>
      <c r="AW5" s="2">
        <v>11</v>
      </c>
      <c r="AX5" s="14">
        <f>IF(AR5&lt;=AP5,1,0)</f>
        <v>1</v>
      </c>
      <c r="AY5" s="34">
        <f>AR5-AP5</f>
        <v>-3</v>
      </c>
      <c r="AZ5" s="29" t="str">
        <f>IF(AU5&gt;0,
    IF(OR(AP5&lt;=TRUNC(AW5/2,0),AP5=0),
        IF(AT5=TRUNC(AW5/2,0),
            "-1, Déficit y dejo la capacidad media",
            IF(AND(AT5&gt;TRUNC(AW5/2,0), AT5&gt;AP5),
                "1, Déficit y eliminé déficit",
                IF(AND(AT5&lt;TRUNC(AW5/2,0), AT5&lt;AP5),
                    "0, Déficit y no elimine déficit",
                    "-2, Déficit y resultado fue bueno")
            )
        ),
        IF(AND(AT5&gt;TRUNC(AW5/2,0), AT5&gt;AP5),
            "1, no había déficit, pero resultado fue mejor",
            IF(AND(AT5&lt;TRUNC(AW5/2,0),AT5&lt;AP5),
                "0, no había déficit y la dejo con déficit",
                IF(AT5=TRUNC(AW5/2,0),
                    "-1, no había déficit y dejo la capacidad media",
                    "-2,no había déficit y resultado fue bueno")
            )
        )
    ),
    IF(AU5&lt;0,
        IF(AP5&gt;TRUNC(AW5/2,0),
            IF(AT5=TRUNC(AW5/2,0),
                "-1, Superávit y deje la capacidad media",
                IF(AND(AT5&gt;TRUNC(AW5/2,0), AT5&gt;=AP5),
                    "0, Superávit y no eliminé superávit",
                    IF(AND(AT5&lt;TRUNC(AW5/2,0),AT5&lt;AP5),
                        "1, Superávit y eliminé superávit",
                        "-2, Superávit y resultado fue bueno"
                    )
                )
            ),
            IF(AND(AP5&lt;=TRUNC(AW5/2,0),AP5&gt;=0),
                IF(AT5=TRUNC(AW5/2,0),
                    "-1, no había superávit y deje la capacidad media",
                    IF(AND(AT5&gt;TRUNC(AW5/2,0), AT5&gt;=AP5),
                        "0, no había superávit, y la deje con superávit",
                        IF(AND(AT5&lt;TRUNC(AW5/2,0),AT5&lt;AP5),
                            "1, no había superávit, pero el resultado fue mejor",
                            "-2, no había superávit y resultado fue bueno"
                        )
                    )
                )
            )
        )
    )
)</f>
        <v>-1, no había déficit y dejo la capacidad media</v>
      </c>
      <c r="BB5" s="30" t="s">
        <v>203</v>
      </c>
      <c r="BC5" s="29">
        <v>8</v>
      </c>
      <c r="BD5" s="31">
        <v>4.333333333333333</v>
      </c>
      <c r="BE5" s="29">
        <v>6</v>
      </c>
      <c r="BF5" s="29">
        <v>7</v>
      </c>
      <c r="BG5" s="29">
        <v>5</v>
      </c>
      <c r="BH5" s="30">
        <v>0.8031838310216366</v>
      </c>
      <c r="BI5" s="26" t="s">
        <v>332</v>
      </c>
      <c r="BJ5" s="30">
        <v>11</v>
      </c>
      <c r="BK5" s="29">
        <f>IF(BE5&lt;=BC5,1,0)</f>
        <v>1</v>
      </c>
      <c r="BL5" s="29">
        <f>BE5-BC5</f>
        <v>-2</v>
      </c>
      <c r="BM5" s="29" t="str">
        <f>IF(BH5&gt;0,
    IF(OR(BC5&lt;=TRUNC(BJ5/2,0),BC5=0),
        IF(BG5=TRUNC(BJ5/2,0),
            "-1, Déficit y dejo la capacidad media",
            IF(AND(BG5&gt;TRUNC(BJ5/2,0), BG5&gt;BC5),
                "1, Déficit y eliminé déficit",
                IF(AND(BG5&lt;TRUNC(BJ5/2,0), BG5&lt;BC5),
                    "0, Déficit y no elimine déficit",
                    "-2, Déficit y resultado fue bueno")
            )
        ),
        IF(AND(BG5&gt;TRUNC(BJ5/2,0), BG5&gt;BC5),
            "1, no había déficit, pero resultado fue mejor",
            IF(AND(BG5&lt;TRUNC(BJ5/2,0),BG5&lt;BC5),
                "0, no había déficit y la dejo con déficit",
                IF(BG5=TRUNC(BJ5/2,0),
                    "-1, no había déficit y dejo la capacidad media",
                    "-2,no había déficit y resultado fue bueno")
            )
        )
    ),
    IF(BH5&lt;0,
        IF(BC5&gt;TRUNC(BJ5/2,0),
            IF(BG5=TRUNC(BJ5/2,0),
                "-1, Superávit y deje la capacidad media",
                IF(AND(BG5&gt;TRUNC(BJ5/2,0), BG5&gt;=BC5),
                    "0, Superávit y no eliminé superávit",
                    IF(AND(BG5&lt;TRUNC(BJ5/2,0),BG5&lt;BC5),
                        "1, Superávit y eliminé superávit",
                        "-2, Superávit y resultado fue bueno"
                    )
                )
            ),
            IF(AND(BC5&lt;=TRUNC(BJ5/2,0),BC5&gt;=0),
                IF(BG5=TRUNC(BJ5/2,0),
                    "-1, no había superávit y deje la capacidad media",
                    IF(AND(BG5&gt;TRUNC(BJ5/2,0), BG5&gt;=BC5),
                        "0, no había superávit, y la deje con superávit",
                        IF(AND(BG5&lt;TRUNC(BJ5/2,0),BG5&lt;BC5),
                            "1, no había superávit, pero el resultado fue mejor",
                            "-2, no había superávit y resultado fue bueno"
                        )
                    )
                )
            )
        )
    )
)</f>
        <v>-1, no había déficit y dejo la capacidad media</v>
      </c>
      <c r="BO5" s="2" t="s">
        <v>203</v>
      </c>
      <c r="BP5" s="3">
        <v>0</v>
      </c>
      <c r="BQ5" s="5">
        <v>3.5555555555555554</v>
      </c>
      <c r="BR5" s="3">
        <v>0</v>
      </c>
      <c r="BS5" s="3">
        <v>0</v>
      </c>
      <c r="BT5" s="3">
        <v>6</v>
      </c>
      <c r="BU5" s="2">
        <v>0.8031838310216366</v>
      </c>
      <c r="BV5" s="26" t="s">
        <v>332</v>
      </c>
      <c r="BW5" s="2">
        <v>11</v>
      </c>
      <c r="BX5" s="14">
        <f>IF(BR5&lt;=BP5,1,0)</f>
        <v>1</v>
      </c>
      <c r="BY5" s="34">
        <f>BR5-BP5</f>
        <v>0</v>
      </c>
      <c r="BZ5" s="29" t="str">
        <f>IF(BU5&gt;0,
    IF(OR(BP5&lt;=TRUNC(BW5/2,0),BP5=0),
        IF(BT5=TRUNC(BW5/2,0),
            "-1, Déficit y dejo la capacidad media",
            IF(AND(BT5&gt;TRUNC(BW5/2,0), BT5&gt;BP5),
                "1, Déficit y eliminé déficit",
                IF(AND(BT5&lt;TRUNC(BW5/2,0), BT5&lt;BP5),
                    "0, Déficit y no elimine déficit",
                    "-2, Déficit y resultado fue bueno")
            )
        ),
        IF(AND(BT5&gt;TRUNC(BW5/2,0), BT5&gt;BP5),
            "1, no había déficit, pero resultado fue mejor",
            IF(AND(BT5&lt;TRUNC(BW5/2,0),BT5&lt;BP5),
                "0, no había déficit y la dejo con déficit",
                IF(BT5=TRUNC(BW5/2,0),
                    "-1, no había déficit y dejo la capacidad media",
                    "-2,no había déficit y resultado fue bueno")
            )
        )
    ),
    IF(BU5&lt;0,
        IF(BP5&gt;TRUNC(BW5/2,0),
            IF(BT5=TRUNC(BW5/2,0),
                "-1, Superávit y deje la capacidad media",
                IF(AND(BT5&gt;TRUNC(BW5/2,0), BT5&gt;=BP5),
                    "0, Superávit y no eliminé superávit",
                    IF(AND(BT5&lt;TRUNC(BW5/2,0),BT5&lt;BP5),
                        "1, Superávit y eliminé superávit",
                        "-2, Superávit y resultado fue bueno"
                    )
                )
            ),
            IF(AND(BP5&lt;=TRUNC(BW5/2,0),BP5&gt;=0),
                IF(BT5=TRUNC(BW5/2,0),
                    "-1, no había superávit y deje la capacidad media",
                    IF(AND(BT5&gt;TRUNC(BW5/2,0), BT5&gt;=BP5),
                        "0, no había superávit, y la deje con superávit",
                        IF(AND(BT5&lt;TRUNC(BW5/2,0),BT5&lt;BP5),
                            "1, no había superávit, pero el resultado fue mejor",
                            "-2, no había superávit y resultado fue bueno"
                        )
                    )
                )
            )
        )
    )
)</f>
        <v>1, Déficit y eliminé déficit</v>
      </c>
      <c r="CB5" s="30" t="s">
        <v>203</v>
      </c>
      <c r="CC5" s="30">
        <v>1</v>
      </c>
      <c r="CD5" s="31">
        <v>2.5555555555555554</v>
      </c>
      <c r="CE5" s="30">
        <v>1</v>
      </c>
      <c r="CF5" s="29">
        <v>2</v>
      </c>
      <c r="CG5" s="30">
        <v>5</v>
      </c>
      <c r="CH5" s="30">
        <v>0.8031838310216366</v>
      </c>
      <c r="CI5" s="26" t="s">
        <v>332</v>
      </c>
      <c r="CJ5" s="30">
        <v>11</v>
      </c>
      <c r="CK5" s="29">
        <f>IF(CE5&lt;=CC5,1,0)</f>
        <v>1</v>
      </c>
      <c r="CL5" s="29">
        <f>CE5-CC5</f>
        <v>0</v>
      </c>
      <c r="CM5" s="29" t="str">
        <f>IF(CH5&gt;0,
    IF(OR(CC5&lt;=TRUNC(CJ5/2,0),CC5=0),
        IF(CG5=TRUNC(CJ5/2,0),
            "-1, Déficit y dejo la capacidad media",
            IF(AND(CG5&gt;TRUNC(CJ5/2,0), CG5&gt;CC5),
                "1, Déficit y eliminé déficit",
                IF(AND(CG5&lt;TRUNC(CJ5/2,0), CG5&lt;CC5),
                    "0, Déficit y no elimine déficit",
                    "-2, Déficit y resultado fue bueno")
            )
        ),
        IF(AND(CG5&gt;TRUNC(CJ5/2,0), CG5&gt;CC5),
            "1, no había déficit, pero resultado fue mejor",
            IF(AND(CG5&lt;TRUNC(CJ5/2,0),CG5&lt;CC5),
                "0, no había déficit y la dejo con déficit",
                IF(CG5=TRUNC(CJ5/2,0),
                    "-1, no había déficit y dejo la capacidad media",
                    "-2,no había déficit y resultado fue bueno")
            )
        )
    ),
    IF(CH5&lt;0,
        IF(CC5&gt;TRUNC(CJ5/2,0),
            IF(CG5=TRUNC(CJ5/2,0),
                "-1, Superávit y deje la capacidad media",
                IF(AND(CG5&gt;TRUNC(CJ5/2,0), CG5&gt;=CC5),
                    "0, Superávit y no eliminé superávit",
                    IF(AND(CG5&lt;TRUNC(CJ5/2,0),CG5&lt;CC5),
                        "1, Superávit y eliminé superávit",
                        "-2, Superávit y resultado fue bueno"
                    )
                )
            ),
            IF(AND(CC5&lt;=TRUNC(CJ5/2,0),CC5&gt;=0),
                IF(CG5=TRUNC(CJ5/2,0),
                    "-1, no había superávit y deje la capacidad media",
                    IF(AND(CG5&gt;TRUNC(CJ5/2,0), CG5&gt;=CC5),
                        "0, no había superávit, y la deje con superávit",
                        IF(AND(CG5&lt;TRUNC(CJ5/2,0),CG5&lt;CC5),
                            "1, no había superávit, pero el resultado fue mejor",
                            "-2, no había superávit y resultado fue bueno"
                        )
                    )
                )
            )
        )
    )
)</f>
        <v>-1, Déficit y dejo la capacidad media</v>
      </c>
      <c r="CO5" s="2" t="s">
        <v>203</v>
      </c>
      <c r="CP5" s="2">
        <v>5</v>
      </c>
      <c r="CQ5" s="7">
        <v>3.8888888888888888</v>
      </c>
      <c r="CR5" s="3">
        <v>8</v>
      </c>
      <c r="CS5" s="3">
        <v>8</v>
      </c>
      <c r="CT5" s="2">
        <v>5</v>
      </c>
      <c r="CU5" s="36">
        <v>0.8031838310216366</v>
      </c>
      <c r="CV5" s="26" t="s">
        <v>332</v>
      </c>
      <c r="CW5" s="30">
        <v>11</v>
      </c>
      <c r="CX5" s="29">
        <f>IF(CR5&lt;=CP5,1,0)</f>
        <v>0</v>
      </c>
      <c r="CY5" s="29">
        <f>CR5-CP5</f>
        <v>3</v>
      </c>
      <c r="CZ5" s="29" t="str">
        <f>IF(CU5&gt;0,
    IF(OR(CP5&lt;=TRUNC(CW5/2,0),CP5=0),
        IF(CT5=TRUNC(CW5/2,0),
            "-1, Déficit y dejo la capacidad media",
            IF(AND(CT5&gt;TRUNC(CW5/2,0), CT5&gt;CP5),
                "1, Déficit y eliminé déficit",
                IF(AND(CT5&lt;TRUNC(CW5/2,0), CT5&lt;CP5),
                    "0, Déficit y no elimine déficit",
                    "-2, Déficit y resultado fue bueno")
            )
        ),
        IF(AND(CT5&gt;TRUNC(CW5/2,0), CT5&gt;CP5),
            "1, no había déficit, pero resultado fue mejor",
            IF(AND(CT5&lt;TRUNC(CW5/2,0),CT5&lt;CP5),
                "0, no había déficit y la dejo con déficit",
                IF(CT5=TRUNC(CW5/2,0),
                    "-1, no había déficit y dejo la capacidad media",
                    "-2,no había déficit y resultado fue bueno")
            )
        )
    ),
    IF(CU5&lt;0,
        IF(CP5&gt;TRUNC(CW5/2,0),
            IF(CT5=TRUNC(CW5/2,0),
                "-1, Superávit y deje la capacidad media",
                IF(AND(CT5&gt;TRUNC(CW5/2,0), CT5&gt;=CP5),
                    "0, Superávit y no eliminé superávit",
                    IF(AND(CT5&lt;TRUNC(CW5/2,0),CT5&lt;CP5),
                        "1, Superávit y eliminé superávit",
                        "-2, Superávit y resultado fue bueno"
                    )
                )
            ),
            IF(AND(CP5&lt;=TRUNC(CW5/2,0),CP5&gt;=0),
                IF(CT5=TRUNC(CW5/2,0),
                    "-1, no había superávit y deje la capacidad media",
                    IF(AND(CT5&gt;TRUNC(CW5/2,0), CT5&gt;=CP5),
                        "0, no había superávit, y la deje con superávit",
                        IF(AND(CT5&lt;TRUNC(CW5/2,0),CT5&lt;CP5),
                            "1, no había superávit, pero el resultado fue mejor",
                            "-2, no había superávit y resultado fue bueno"
                        )
                    )
                )
            )
        )
    )
)</f>
        <v>-1, Déficit y dejo la capacidad media</v>
      </c>
      <c r="DB5" s="2" t="s">
        <v>209</v>
      </c>
    </row>
    <row r="6" spans="1:108" ht="14.25" customHeight="1" x14ac:dyDescent="0.3">
      <c r="A6" s="29" t="str">
        <f t="shared" si="0"/>
        <v>Vaciado</v>
      </c>
      <c r="B6" s="30" t="s">
        <v>206</v>
      </c>
      <c r="C6" s="30">
        <v>13</v>
      </c>
      <c r="D6" s="31">
        <v>16.777777777777779</v>
      </c>
      <c r="E6" s="31">
        <v>9</v>
      </c>
      <c r="F6" s="29">
        <v>14</v>
      </c>
      <c r="G6" s="30">
        <v>18</v>
      </c>
      <c r="H6" s="30">
        <v>0.7952330657044463</v>
      </c>
      <c r="I6" s="26" t="s">
        <v>324</v>
      </c>
      <c r="J6" s="30">
        <v>41</v>
      </c>
      <c r="K6" s="29">
        <f>IF(E6&lt;=C6,1,0)</f>
        <v>1</v>
      </c>
      <c r="L6" s="32">
        <f>E6-C6</f>
        <v>-4</v>
      </c>
      <c r="M6" s="32" t="str">
        <f>IF(H6&gt;0,
    IF(OR(C6&lt;=TRUNC(J6/2,0),C6=0),
        IF(G6=TRUNC(J6/2,0),
            "-1, Déficit y dejo la capacidad media",
            IF(AND(G6&gt;TRUNC(J6/2,0), G6&gt;C6),
                "1, Déficit y eliminé déficit",
                IF(AND(G6&lt;TRUNC(J6/2,0), G6&lt;C6),
                    "0, Déficit y no elimine déficit",
                    "-2, Déficit y resultado fue bueno")
            )
        ),
        IF(AND(G6&gt;TRUNC(J6/2,0), G6&gt;C6),
            "1, no había déficit, pero resultado fue mejor",
            IF(AND(G6&lt;TRUNC(J6/2,0),G6&lt;C6),
                "0, no había déficit y la dejo con déficit",
                IF(G6=TRUNC(J6/2,0),
                    "-1, no había déficit y dejo la capacidad media",
                    "-2,no había déficit y resultado fue bueno")
            )
        )
    ),
    IF(H6&lt;0,
        IF(C6&gt;TRUNC(J6/2,0),
            IF(G6=TRUNC(J6/2,0),
                "-1, Superávit y deje la capacidad media",
                IF(AND(G6&gt;TRUNC(J6/2,0), G6&gt;=C6),
                    "0, Superávit y no eliminé superávit",
                    IF(AND(G6&lt;TRUNC(J6/2,0),G6&lt;C6),
                        "1, Superávit y eliminé superávit",
                        "-2, Superávit y resultado fue bueno"
                    )
                )
            ),
            IF(AND(C6&lt;=TRUNC(J6/2,0),C6&gt;=0),
                IF(G6=TRUNC(J6/2,0),
                    "-1, no había superávit y deje la capacidad media",
                    IF(AND(G6&gt;TRUNC(J6/2,0), G6&gt;=C6),
                        "0, no había superávit, y la deje con superávit",
                        IF(AND(G6&lt;TRUNC(J6/2,0),G6&lt;C6),
                            "1, no había superávit, pero el resultado fue mejor",
                            "-2, no había superávit y resultado fue bueno"
                        )
                    )
                )
            )
        )
    )
)</f>
        <v>-2, Déficit y resultado fue bueno</v>
      </c>
      <c r="O6" s="30" t="s">
        <v>206</v>
      </c>
      <c r="P6" s="30">
        <v>17</v>
      </c>
      <c r="Q6" s="31">
        <v>14.555555555555555</v>
      </c>
      <c r="R6" s="30">
        <v>8</v>
      </c>
      <c r="S6" s="29">
        <v>10</v>
      </c>
      <c r="T6" s="30">
        <v>15</v>
      </c>
      <c r="U6" s="30">
        <v>0.7952330657044463</v>
      </c>
      <c r="V6" s="26" t="s">
        <v>324</v>
      </c>
      <c r="W6" s="30">
        <v>41</v>
      </c>
      <c r="X6" s="29">
        <f>IF(R6&lt;=P6,1,0)</f>
        <v>1</v>
      </c>
      <c r="Y6" s="29">
        <f>R6-P6</f>
        <v>-9</v>
      </c>
      <c r="Z6" s="29" t="str">
        <f>IF(U6&gt;0,
    IF(OR(P6&lt;=TRUNC(W6/2,0),P6=0),
        IF(T6=TRUNC(W6/2,0),
            "-1, Déficit y dejo la capacidad media",
            IF(AND(T6&gt;TRUNC(W6/2,0), T6&gt;P6),
                "1, Déficit y eliminé déficit",
                IF(AND(T6&lt;TRUNC(W6/2,0), T6&lt;P6),
                    "0, Déficit y no elimine déficit",
                    "-2, Déficit y resultado fue bueno")
            )
        ),
        IF(AND(T6&gt;TRUNC(W6/2,0), T6&gt;P6),
            "1, no había déficit, pero resultado fue mejor",
            IF(AND(T6&lt;TRUNC(W6/2,0),T6&lt;P6),
                "0, no había déficit y la dejo con déficit",
                IF(T6=TRUNC(W6/2,0),
                    "-1, no había déficit y dejo la capacidad media",
                    "-2,no había déficit y resultado fue bueno")
            )
        )
    ),
    IF(U6&lt;0,
        IF(P6&gt;TRUNC(W6/2,0),
            IF(T6=TRUNC(W6/2,0),
                "-1, Superávit y deje la capacidad media",
                IF(AND(T6&gt;TRUNC(W6/2,0), T6&gt;=P6),
                    "0, Superávit y no eliminé superávit",
                    IF(AND(T6&lt;TRUNC(W6/2,0),T6&lt;P6),
                        "1, Superávit y eliminé superávit",
                        "-2, Superávit y resultado fue bueno"
                    )
                )
            ),
            IF(AND(P6&lt;=TRUNC(W6/2,0),P6&gt;=0),
                IF(T6=TRUNC(W6/2,0),
                    "-1, no había superávit y deje la capacidad media",
                    IF(AND(T6&gt;TRUNC(W6/2,0), T6&gt;=P6),
                        "0, no había superávit, y la deje con superávit",
                        IF(AND(T6&lt;TRUNC(W6/2,0),T6&lt;P6),
                            "1, no había superávit, pero el resultado fue mejor",
                            "-2, no había superávit y resultado fue bueno"
                        )
                    )
                )
            )
        )
    )
)</f>
        <v>0, Déficit y no elimine déficit</v>
      </c>
      <c r="AB6" s="2" t="s">
        <v>206</v>
      </c>
      <c r="AC6" s="3">
        <v>14</v>
      </c>
      <c r="AD6" s="5">
        <v>12.222222222222221</v>
      </c>
      <c r="AE6" s="3">
        <v>14</v>
      </c>
      <c r="AF6" s="3">
        <v>14</v>
      </c>
      <c r="AG6" s="3">
        <v>15</v>
      </c>
      <c r="AH6" s="2">
        <v>0.7952330657044463</v>
      </c>
      <c r="AI6" s="26" t="s">
        <v>324</v>
      </c>
      <c r="AJ6" s="2">
        <v>41</v>
      </c>
      <c r="AK6" s="14">
        <f>IF(AE6&lt;=AC6,1,0)</f>
        <v>1</v>
      </c>
      <c r="AL6" s="34">
        <f>AE6-AC6</f>
        <v>0</v>
      </c>
      <c r="AM6" s="29" t="str">
        <f>IF(AH6&gt;0,
    IF(OR(AC6&lt;=TRUNC(AJ6/2,0),AC6=0),
        IF(AG6=TRUNC(AJ6/2,0),
            "-1, Déficit y dejo la capacidad media",
            IF(AND(AG6&gt;TRUNC(AJ6/2,0), AG6&gt;AC6),
                "1, Déficit y eliminé déficit",
                IF(AND(AG6&lt;TRUNC(AJ6/2,0), AG6&lt;AC6),
                    "0, Déficit y no elimine déficit",
                    "-2, Déficit y resultado fue bueno")
            )
        ),
        IF(AND(AG6&gt;TRUNC(AJ6/2,0), AG6&gt;AC6),
            "1, no había déficit, pero resultado fue mejor",
            IF(AND(AG6&lt;TRUNC(AJ6/2,0),AG6&lt;AC6),
                "0, no había déficit y la dejo con déficit",
                IF(AG6=TRUNC(AJ6/2,0),
                    "-1, no había déficit y dejo la capacidad media",
                    "-2,no había déficit y resultado fue bueno")
            )
        )
    ),
    IF(AH6&lt;0,
        IF(AC6&gt;TRUNC(AJ6/2,0),
            IF(AG6=TRUNC(AJ6/2,0),
                "-1, Superávit y deje la capacidad media",
                IF(AND(AG6&gt;TRUNC(AJ6/2,0), AG6&gt;=AC6),
                    "0, Superávit y no eliminé superávit",
                    IF(AND(AG6&lt;TRUNC(AJ6/2,0),AG6&lt;AC6),
                        "1, Superávit y eliminé superávit",
                        "-2, Superávit y resultado fue bueno"
                    )
                )
            ),
            IF(AND(AC6&lt;=TRUNC(AJ6/2,0),AC6&gt;=0),
                IF(AG6=TRUNC(AJ6/2,0),
                    "-1, no había superávit y deje la capacidad media",
                    IF(AND(AG6&gt;TRUNC(AJ6/2,0), AG6&gt;=AC6),
                        "0, no había superávit, y la deje con superávit",
                        IF(AND(AG6&lt;TRUNC(AJ6/2,0),AG6&lt;AC6),
                            "1, no había superávit, pero el resultado fue mejor",
                            "-2, no había superávit y resultado fue bueno"
                        )
                    )
                )
            )
        )
    )
)</f>
        <v>-2, Déficit y resultado fue bueno</v>
      </c>
      <c r="AO6" s="2" t="s">
        <v>206</v>
      </c>
      <c r="AP6" s="3">
        <v>12</v>
      </c>
      <c r="AQ6" s="5">
        <v>17.333333333333332</v>
      </c>
      <c r="AR6" s="3">
        <v>1</v>
      </c>
      <c r="AS6" s="3">
        <v>0</v>
      </c>
      <c r="AT6" s="3">
        <v>15</v>
      </c>
      <c r="AU6" s="15">
        <v>0.7952330657044463</v>
      </c>
      <c r="AV6" s="26" t="s">
        <v>324</v>
      </c>
      <c r="AW6" s="2">
        <v>41</v>
      </c>
      <c r="AX6" s="14">
        <f>IF(AR6&lt;=AP6,1,0)</f>
        <v>1</v>
      </c>
      <c r="AY6" s="34">
        <f>AR6-AP6</f>
        <v>-11</v>
      </c>
      <c r="AZ6" s="29" t="str">
        <f>IF(AU6&gt;0,
    IF(OR(AP6&lt;=TRUNC(AW6/2,0),AP6=0),
        IF(AT6=TRUNC(AW6/2,0),
            "-1, Déficit y dejo la capacidad media",
            IF(AND(AT6&gt;TRUNC(AW6/2,0), AT6&gt;AP6),
                "1, Déficit y eliminé déficit",
                IF(AND(AT6&lt;TRUNC(AW6/2,0), AT6&lt;AP6),
                    "0, Déficit y no elimine déficit",
                    "-2, Déficit y resultado fue bueno")
            )
        ),
        IF(AND(AT6&gt;TRUNC(AW6/2,0), AT6&gt;AP6),
            "1, no había déficit, pero resultado fue mejor",
            IF(AND(AT6&lt;TRUNC(AW6/2,0),AT6&lt;AP6),
                "0, no había déficit y la dejo con déficit",
                IF(AT6=TRUNC(AW6/2,0),
                    "-1, no había déficit y dejo la capacidad media",
                    "-2,no había déficit y resultado fue bueno")
            )
        )
    ),
    IF(AU6&lt;0,
        IF(AP6&gt;TRUNC(AW6/2,0),
            IF(AT6=TRUNC(AW6/2,0),
                "-1, Superávit y deje la capacidad media",
                IF(AND(AT6&gt;TRUNC(AW6/2,0), AT6&gt;=AP6),
                    "0, Superávit y no eliminé superávit",
                    IF(AND(AT6&lt;TRUNC(AW6/2,0),AT6&lt;AP6),
                        "1, Superávit y eliminé superávit",
                        "-2, Superávit y resultado fue bueno"
                    )
                )
            ),
            IF(AND(AP6&lt;=TRUNC(AW6/2,0),AP6&gt;=0),
                IF(AT6=TRUNC(AW6/2,0),
                    "-1, no había superávit y deje la capacidad media",
                    IF(AND(AT6&gt;TRUNC(AW6/2,0), AT6&gt;=AP6),
                        "0, no había superávit, y la deje con superávit",
                        IF(AND(AT6&lt;TRUNC(AW6/2,0),AT6&lt;AP6),
                            "1, no había superávit, pero el resultado fue mejor",
                            "-2, no había superávit y resultado fue bueno"
                        )
                    )
                )
            )
        )
    )
)</f>
        <v>-2, Déficit y resultado fue bueno</v>
      </c>
      <c r="BB6" s="30" t="s">
        <v>206</v>
      </c>
      <c r="BC6" s="29">
        <v>17</v>
      </c>
      <c r="BD6" s="31">
        <v>18.222222222222221</v>
      </c>
      <c r="BE6" s="29">
        <v>4</v>
      </c>
      <c r="BF6" s="29">
        <v>2</v>
      </c>
      <c r="BG6" s="29">
        <v>15</v>
      </c>
      <c r="BH6" s="30">
        <v>0.7952330657044463</v>
      </c>
      <c r="BI6" s="26" t="s">
        <v>324</v>
      </c>
      <c r="BJ6" s="30">
        <v>41</v>
      </c>
      <c r="BK6" s="29">
        <f>IF(BE6&lt;=BC6,1,0)</f>
        <v>1</v>
      </c>
      <c r="BL6" s="29">
        <f>BE6-BC6</f>
        <v>-13</v>
      </c>
      <c r="BM6" s="29" t="str">
        <f>IF(BH6&gt;0,
    IF(OR(BC6&lt;=TRUNC(BJ6/2,0),BC6=0),
        IF(BG6=TRUNC(BJ6/2,0),
            "-1, Déficit y dejo la capacidad media",
            IF(AND(BG6&gt;TRUNC(BJ6/2,0), BG6&gt;BC6),
                "1, Déficit y eliminé déficit",
                IF(AND(BG6&lt;TRUNC(BJ6/2,0), BG6&lt;BC6),
                    "0, Déficit y no elimine déficit",
                    "-2, Déficit y resultado fue bueno")
            )
        ),
        IF(AND(BG6&gt;TRUNC(BJ6/2,0), BG6&gt;BC6),
            "1, no había déficit, pero resultado fue mejor",
            IF(AND(BG6&lt;TRUNC(BJ6/2,0),BG6&lt;BC6),
                "0, no había déficit y la dejo con déficit",
                IF(BG6=TRUNC(BJ6/2,0),
                    "-1, no había déficit y dejo la capacidad media",
                    "-2,no había déficit y resultado fue bueno")
            )
        )
    ),
    IF(BH6&lt;0,
        IF(BC6&gt;TRUNC(BJ6/2,0),
            IF(BG6=TRUNC(BJ6/2,0),
                "-1, Superávit y deje la capacidad media",
                IF(AND(BG6&gt;TRUNC(BJ6/2,0), BG6&gt;=BC6),
                    "0, Superávit y no eliminé superávit",
                    IF(AND(BG6&lt;TRUNC(BJ6/2,0),BG6&lt;BC6),
                        "1, Superávit y eliminé superávit",
                        "-2, Superávit y resultado fue bueno"
                    )
                )
            ),
            IF(AND(BC6&lt;=TRUNC(BJ6/2,0),BC6&gt;=0),
                IF(BG6=TRUNC(BJ6/2,0),
                    "-1, no había superávit y deje la capacidad media",
                    IF(AND(BG6&gt;TRUNC(BJ6/2,0), BG6&gt;=BC6),
                        "0, no había superávit, y la deje con superávit",
                        IF(AND(BG6&lt;TRUNC(BJ6/2,0),BG6&lt;BC6),
                            "1, no había superávit, pero el resultado fue mejor",
                            "-2, no había superávit y resultado fue bueno"
                        )
                    )
                )
            )
        )
    )
)</f>
        <v>0, Déficit y no elimine déficit</v>
      </c>
      <c r="BO6" s="2" t="s">
        <v>206</v>
      </c>
      <c r="BP6" s="3">
        <v>15</v>
      </c>
      <c r="BQ6" s="5">
        <v>19.444444444444443</v>
      </c>
      <c r="BR6" s="3">
        <v>5</v>
      </c>
      <c r="BS6" s="3">
        <v>2</v>
      </c>
      <c r="BT6" s="3">
        <v>15</v>
      </c>
      <c r="BU6" s="2">
        <v>0.7952330657044463</v>
      </c>
      <c r="BV6" s="26" t="s">
        <v>324</v>
      </c>
      <c r="BW6" s="2">
        <v>41</v>
      </c>
      <c r="BX6" s="14">
        <f>IF(BR6&lt;=BP6,1,0)</f>
        <v>1</v>
      </c>
      <c r="BY6" s="34">
        <f>BR6-BP6</f>
        <v>-10</v>
      </c>
      <c r="BZ6" s="29" t="str">
        <f>IF(BU6&gt;0,
    IF(OR(BP6&lt;=TRUNC(BW6/2,0),BP6=0),
        IF(BT6=TRUNC(BW6/2,0),
            "-1, Déficit y dejo la capacidad media",
            IF(AND(BT6&gt;TRUNC(BW6/2,0), BT6&gt;BP6),
                "1, Déficit y eliminé déficit",
                IF(AND(BT6&lt;TRUNC(BW6/2,0), BT6&lt;BP6),
                    "0, Déficit y no elimine déficit",
                    "-2, Déficit y resultado fue bueno")
            )
        ),
        IF(AND(BT6&gt;TRUNC(BW6/2,0), BT6&gt;BP6),
            "1, no había déficit, pero resultado fue mejor",
            IF(AND(BT6&lt;TRUNC(BW6/2,0),BT6&lt;BP6),
                "0, no había déficit y la dejo con déficit",
                IF(BT6=TRUNC(BW6/2,0),
                    "-1, no había déficit y dejo la capacidad media",
                    "-2,no había déficit y resultado fue bueno")
            )
        )
    ),
    IF(BU6&lt;0,
        IF(BP6&gt;TRUNC(BW6/2,0),
            IF(BT6=TRUNC(BW6/2,0),
                "-1, Superávit y deje la capacidad media",
                IF(AND(BT6&gt;TRUNC(BW6/2,0), BT6&gt;=BP6),
                    "0, Superávit y no eliminé superávit",
                    IF(AND(BT6&lt;TRUNC(BW6/2,0),BT6&lt;BP6),
                        "1, Superávit y eliminé superávit",
                        "-2, Superávit y resultado fue bueno"
                    )
                )
            ),
            IF(AND(BP6&lt;=TRUNC(BW6/2,0),BP6&gt;=0),
                IF(BT6=TRUNC(BW6/2,0),
                    "-1, no había superávit y deje la capacidad media",
                    IF(AND(BT6&gt;TRUNC(BW6/2,0), BT6&gt;=BP6),
                        "0, no había superávit, y la deje con superávit",
                        IF(AND(BT6&lt;TRUNC(BW6/2,0),BT6&lt;BP6),
                            "1, no había superávit, pero el resultado fue mejor",
                            "-2, no había superávit y resultado fue bueno"
                        )
                    )
                )
            )
        )
    )
)</f>
        <v>-2, Déficit y resultado fue bueno</v>
      </c>
      <c r="CB6" s="30" t="s">
        <v>206</v>
      </c>
      <c r="CC6" s="30">
        <v>10</v>
      </c>
      <c r="CD6" s="31">
        <v>19.333333333333332</v>
      </c>
      <c r="CE6" s="30">
        <v>4</v>
      </c>
      <c r="CF6" s="29">
        <v>1</v>
      </c>
      <c r="CG6" s="30">
        <v>15</v>
      </c>
      <c r="CH6" s="30">
        <v>0.7952330657044463</v>
      </c>
      <c r="CI6" s="26" t="s">
        <v>324</v>
      </c>
      <c r="CJ6" s="30">
        <v>41</v>
      </c>
      <c r="CK6" s="29">
        <f>IF(CE6&lt;=CC6,1,0)</f>
        <v>1</v>
      </c>
      <c r="CL6" s="29">
        <f>CE6-CC6</f>
        <v>-6</v>
      </c>
      <c r="CM6" s="29" t="str">
        <f>IF(CH6&gt;0,
    IF(OR(CC6&lt;=TRUNC(CJ6/2,0),CC6=0),
        IF(CG6=TRUNC(CJ6/2,0),
            "-1, Déficit y dejo la capacidad media",
            IF(AND(CG6&gt;TRUNC(CJ6/2,0), CG6&gt;CC6),
                "1, Déficit y eliminé déficit",
                IF(AND(CG6&lt;TRUNC(CJ6/2,0), CG6&lt;CC6),
                    "0, Déficit y no elimine déficit",
                    "-2, Déficit y resultado fue bueno")
            )
        ),
        IF(AND(CG6&gt;TRUNC(CJ6/2,0), CG6&gt;CC6),
            "1, no había déficit, pero resultado fue mejor",
            IF(AND(CG6&lt;TRUNC(CJ6/2,0),CG6&lt;CC6),
                "0, no había déficit y la dejo con déficit",
                IF(CG6=TRUNC(CJ6/2,0),
                    "-1, no había déficit y dejo la capacidad media",
                    "-2,no había déficit y resultado fue bueno")
            )
        )
    ),
    IF(CH6&lt;0,
        IF(CC6&gt;TRUNC(CJ6/2,0),
            IF(CG6=TRUNC(CJ6/2,0),
                "-1, Superávit y deje la capacidad media",
                IF(AND(CG6&gt;TRUNC(CJ6/2,0), CG6&gt;=CC6),
                    "0, Superávit y no eliminé superávit",
                    IF(AND(CG6&lt;TRUNC(CJ6/2,0),CG6&lt;CC6),
                        "1, Superávit y eliminé superávit",
                        "-2, Superávit y resultado fue bueno"
                    )
                )
            ),
            IF(AND(CC6&lt;=TRUNC(CJ6/2,0),CC6&gt;=0),
                IF(CG6=TRUNC(CJ6/2,0),
                    "-1, no había superávit y deje la capacidad media",
                    IF(AND(CG6&gt;TRUNC(CJ6/2,0), CG6&gt;=CC6),
                        "0, no había superávit, y la deje con superávit",
                        IF(AND(CG6&lt;TRUNC(CJ6/2,0),CG6&lt;CC6),
                            "1, no había superávit, pero el resultado fue mejor",
                            "-2, no había superávit y resultado fue bueno"
                        )
                    )
                )
            )
        )
    )
)</f>
        <v>-2, Déficit y resultado fue bueno</v>
      </c>
      <c r="CO6" s="2" t="s">
        <v>206</v>
      </c>
      <c r="CP6" s="2">
        <v>15</v>
      </c>
      <c r="CQ6" s="7">
        <v>16.777777777777779</v>
      </c>
      <c r="CR6" s="3">
        <v>16</v>
      </c>
      <c r="CS6" s="3">
        <v>12</v>
      </c>
      <c r="CT6" s="2">
        <v>15</v>
      </c>
      <c r="CU6" s="36">
        <v>0.7952330657044463</v>
      </c>
      <c r="CV6" s="26" t="s">
        <v>324</v>
      </c>
      <c r="CW6" s="30">
        <v>41</v>
      </c>
      <c r="CX6" s="29">
        <f>IF(CR6&lt;=CP6,1,0)</f>
        <v>0</v>
      </c>
      <c r="CY6" s="29">
        <f>CR6-CP6</f>
        <v>1</v>
      </c>
      <c r="CZ6" s="29" t="str">
        <f>IF(CU6&gt;0,
    IF(OR(CP6&lt;=TRUNC(CW6/2,0),CP6=0),
        IF(CT6=TRUNC(CW6/2,0),
            "-1, Déficit y dejo la capacidad media",
            IF(AND(CT6&gt;TRUNC(CW6/2,0), CT6&gt;CP6),
                "1, Déficit y eliminé déficit",
                IF(AND(CT6&lt;TRUNC(CW6/2,0), CT6&lt;CP6),
                    "0, Déficit y no elimine déficit",
                    "-2, Déficit y resultado fue bueno")
            )
        ),
        IF(AND(CT6&gt;TRUNC(CW6/2,0), CT6&gt;CP6),
            "1, no había déficit, pero resultado fue mejor",
            IF(AND(CT6&lt;TRUNC(CW6/2,0),CT6&lt;CP6),
                "0, no había déficit y la dejo con déficit",
                IF(CT6=TRUNC(CW6/2,0),
                    "-1, no había déficit y dejo la capacidad media",
                    "-2,no había déficit y resultado fue bueno")
            )
        )
    ),
    IF(CU6&lt;0,
        IF(CP6&gt;TRUNC(CW6/2,0),
            IF(CT6=TRUNC(CW6/2,0),
                "-1, Superávit y deje la capacidad media",
                IF(AND(CT6&gt;TRUNC(CW6/2,0), CT6&gt;=CP6),
                    "0, Superávit y no eliminé superávit",
                    IF(AND(CT6&lt;TRUNC(CW6/2,0),CT6&lt;CP6),
                        "1, Superávit y eliminé superávit",
                        "-2, Superávit y resultado fue bueno"
                    )
                )
            ),
            IF(AND(CP6&lt;=TRUNC(CW6/2,0),CP6&gt;=0),
                IF(CT6=TRUNC(CW6/2,0),
                    "-1, no había superávit y deje la capacidad media",
                    IF(AND(CT6&gt;TRUNC(CW6/2,0), CT6&gt;=CP6),
                        "0, no había superávit, y la deje con superávit",
                        IF(AND(CT6&lt;TRUNC(CW6/2,0),CT6&lt;CP6),
                            "1, no había superávit, pero el resultado fue mejor",
                            "-2, no había superávit y resultado fue bueno"
                        )
                    )
                )
            )
        )
    )
)</f>
        <v>-2, Déficit y resultado fue bueno</v>
      </c>
      <c r="DB6" s="2" t="s">
        <v>211</v>
      </c>
    </row>
    <row r="7" spans="1:108" ht="14.25" customHeight="1" x14ac:dyDescent="0.3">
      <c r="A7" s="29" t="str">
        <f t="shared" si="0"/>
        <v>Vaciado</v>
      </c>
      <c r="B7" s="30" t="s">
        <v>202</v>
      </c>
      <c r="C7" s="30">
        <v>1</v>
      </c>
      <c r="D7" s="31">
        <v>2.5555555555555554</v>
      </c>
      <c r="E7" s="31">
        <v>0</v>
      </c>
      <c r="F7" s="29">
        <v>4</v>
      </c>
      <c r="G7" s="30">
        <v>4</v>
      </c>
      <c r="H7" s="30">
        <v>0.65812761495518723</v>
      </c>
      <c r="I7" s="26" t="s">
        <v>318</v>
      </c>
      <c r="J7" s="30">
        <v>11</v>
      </c>
      <c r="K7" s="29">
        <f>IF(E7&lt;=C7,1,0)</f>
        <v>1</v>
      </c>
      <c r="L7" s="32">
        <f>E7-C7</f>
        <v>-1</v>
      </c>
      <c r="M7" s="32" t="str">
        <f>IF(H7&gt;0,
    IF(OR(C7&lt;=TRUNC(J7/2,0),C7=0),
        IF(G7=TRUNC(J7/2,0),
            "-1, Déficit y dejo la capacidad media",
            IF(AND(G7&gt;TRUNC(J7/2,0), G7&gt;C7),
                "1, Déficit y eliminé déficit",
                IF(AND(G7&lt;TRUNC(J7/2,0), G7&lt;C7),
                    "0, Déficit y no elimine déficit",
                    "-2, Déficit y resultado fue bueno")
            )
        ),
        IF(AND(G7&gt;TRUNC(J7/2,0), G7&gt;C7),
            "1, no había déficit, pero resultado fue mejor",
            IF(AND(G7&lt;TRUNC(J7/2,0),G7&lt;C7),
                "0, no había déficit y la dejo con déficit",
                IF(G7=TRUNC(J7/2,0),
                    "-1, no había déficit y dejo la capacidad media",
                    "-2,no había déficit y resultado fue bueno")
            )
        )
    ),
    IF(H7&lt;0,
        IF(C7&gt;TRUNC(J7/2,0),
            IF(G7=TRUNC(J7/2,0),
                "-1, Superávit y deje la capacidad media",
                IF(AND(G7&gt;TRUNC(J7/2,0), G7&gt;=C7),
                    "0, Superávit y no eliminé superávit",
                    IF(AND(G7&lt;TRUNC(J7/2,0),G7&lt;C7),
                        "1, Superávit y eliminé superávit",
                        "-2, Superávit y resultado fue bueno"
                    )
                )
            ),
            IF(AND(C7&lt;=TRUNC(J7/2,0),C7&gt;=0),
                IF(G7=TRUNC(J7/2,0),
                    "-1, no había superávit y deje la capacidad media",
                    IF(AND(G7&gt;TRUNC(J7/2,0), G7&gt;=C7),
                        "0, no había superávit, y la deje con superávit",
                        IF(AND(G7&lt;TRUNC(J7/2,0),G7&lt;C7),
                            "1, no había superávit, pero el resultado fue mejor",
                            "-2, no había superávit y resultado fue bueno"
                        )
                    )
                )
            )
        )
    )
)</f>
        <v>-2, Déficit y resultado fue bueno</v>
      </c>
      <c r="O7" s="30" t="s">
        <v>202</v>
      </c>
      <c r="P7" s="30">
        <v>7</v>
      </c>
      <c r="Q7" s="31">
        <v>4.5555555555555554</v>
      </c>
      <c r="R7" s="30">
        <v>8</v>
      </c>
      <c r="S7" s="29">
        <v>8</v>
      </c>
      <c r="T7" s="30">
        <v>4</v>
      </c>
      <c r="U7" s="30">
        <v>0.65812761495518723</v>
      </c>
      <c r="V7" s="26" t="s">
        <v>318</v>
      </c>
      <c r="W7" s="30">
        <v>11</v>
      </c>
      <c r="X7" s="29">
        <f>IF(R7&lt;=P7,1,0)</f>
        <v>0</v>
      </c>
      <c r="Y7" s="29">
        <f>R7-P7</f>
        <v>1</v>
      </c>
      <c r="Z7" s="29" t="str">
        <f>IF(U7&gt;0,
    IF(OR(P7&lt;=TRUNC(W7/2,0),P7=0),
        IF(T7=TRUNC(W7/2,0),
            "-1, Déficit y dejo la capacidad media",
            IF(AND(T7&gt;TRUNC(W7/2,0), T7&gt;P7),
                "1, Déficit y eliminé déficit",
                IF(AND(T7&lt;TRUNC(W7/2,0), T7&lt;P7),
                    "0, Déficit y no elimine déficit",
                    "-2, Déficit y resultado fue bueno")
            )
        ),
        IF(AND(T7&gt;TRUNC(W7/2,0), T7&gt;P7),
            "1, no había déficit, pero resultado fue mejor",
            IF(AND(T7&lt;TRUNC(W7/2,0),T7&lt;P7),
                "0, no había déficit y la dejo con déficit",
                IF(T7=TRUNC(W7/2,0),
                    "-1, no había déficit y dejo la capacidad media",
                    "-2,no había déficit y resultado fue bueno")
            )
        )
    ),
    IF(U7&lt;0,
        IF(P7&gt;TRUNC(W7/2,0),
            IF(T7=TRUNC(W7/2,0),
                "-1, Superávit y deje la capacidad media",
                IF(AND(T7&gt;TRUNC(W7/2,0), T7&gt;=P7),
                    "0, Superávit y no eliminé superávit",
                    IF(AND(T7&lt;TRUNC(W7/2,0),T7&lt;P7),
                        "1, Superávit y eliminé superávit",
                        "-2, Superávit y resultado fue bueno"
                    )
                )
            ),
            IF(AND(P7&lt;=TRUNC(W7/2,0),P7&gt;=0),
                IF(T7=TRUNC(W7/2,0),
                    "-1, no había superávit y deje la capacidad media",
                    IF(AND(T7&gt;TRUNC(W7/2,0), T7&gt;=P7),
                        "0, no había superávit, y la deje con superávit",
                        IF(AND(T7&lt;TRUNC(W7/2,0),T7&lt;P7),
                            "1, no había superávit, pero el resultado fue mejor",
                            "-2, no había superávit y resultado fue bueno"
                        )
                    )
                )
            )
        )
    )
)</f>
        <v>0, no había déficit y la dejo con déficit</v>
      </c>
      <c r="AB7" s="2" t="s">
        <v>202</v>
      </c>
      <c r="AC7" s="3">
        <v>4</v>
      </c>
      <c r="AD7" s="5">
        <v>4.2222222222222223</v>
      </c>
      <c r="AE7" s="3">
        <v>4</v>
      </c>
      <c r="AF7" s="3">
        <v>4</v>
      </c>
      <c r="AG7" s="3">
        <v>4</v>
      </c>
      <c r="AH7" s="2">
        <v>0.65812761495518723</v>
      </c>
      <c r="AI7" s="26" t="s">
        <v>318</v>
      </c>
      <c r="AJ7" s="2">
        <v>11</v>
      </c>
      <c r="AK7" s="14">
        <f>IF(AE7&lt;=AC7,1,0)</f>
        <v>1</v>
      </c>
      <c r="AL7" s="34">
        <f>AE7-AC7</f>
        <v>0</v>
      </c>
      <c r="AM7" s="29" t="str">
        <f>IF(AH7&gt;0,
    IF(OR(AC7&lt;=TRUNC(AJ7/2,0),AC7=0),
        IF(AG7=TRUNC(AJ7/2,0),
            "-1, Déficit y dejo la capacidad media",
            IF(AND(AG7&gt;TRUNC(AJ7/2,0), AG7&gt;AC7),
                "1, Déficit y eliminé déficit",
                IF(AND(AG7&lt;TRUNC(AJ7/2,0), AG7&lt;AC7),
                    "0, Déficit y no elimine déficit",
                    "-2, Déficit y resultado fue bueno")
            )
        ),
        IF(AND(AG7&gt;TRUNC(AJ7/2,0), AG7&gt;AC7),
            "1, no había déficit, pero resultado fue mejor",
            IF(AND(AG7&lt;TRUNC(AJ7/2,0),AG7&lt;AC7),
                "0, no había déficit y la dejo con déficit",
                IF(AG7=TRUNC(AJ7/2,0),
                    "-1, no había déficit y dejo la capacidad media",
                    "-2,no había déficit y resultado fue bueno")
            )
        )
    ),
    IF(AH7&lt;0,
        IF(AC7&gt;TRUNC(AJ7/2,0),
            IF(AG7=TRUNC(AJ7/2,0),
                "-1, Superávit y deje la capacidad media",
                IF(AND(AG7&gt;TRUNC(AJ7/2,0), AG7&gt;=AC7),
                    "0, Superávit y no eliminé superávit",
                    IF(AND(AG7&lt;TRUNC(AJ7/2,0),AG7&lt;AC7),
                        "1, Superávit y eliminé superávit",
                        "-2, Superávit y resultado fue bueno"
                    )
                )
            ),
            IF(AND(AC7&lt;=TRUNC(AJ7/2,0),AC7&gt;=0),
                IF(AG7=TRUNC(AJ7/2,0),
                    "-1, no había superávit y deje la capacidad media",
                    IF(AND(AG7&gt;TRUNC(AJ7/2,0), AG7&gt;=AC7),
                        "0, no había superávit, y la deje con superávit",
                        IF(AND(AG7&lt;TRUNC(AJ7/2,0),AG7&lt;AC7),
                            "1, no había superávit, pero el resultado fue mejor",
                            "-2, no había superávit y resultado fue bueno"
                        )
                    )
                )
            )
        )
    )
)</f>
        <v>-2, Déficit y resultado fue bueno</v>
      </c>
      <c r="AO7" s="2" t="s">
        <v>202</v>
      </c>
      <c r="AP7" s="3">
        <v>3</v>
      </c>
      <c r="AQ7" s="5">
        <v>3.5555555555555554</v>
      </c>
      <c r="AR7" s="3">
        <v>1</v>
      </c>
      <c r="AS7" s="3">
        <v>1</v>
      </c>
      <c r="AT7" s="3">
        <v>4</v>
      </c>
      <c r="AU7" s="15">
        <v>0.65812761495518723</v>
      </c>
      <c r="AV7" s="26" t="s">
        <v>318</v>
      </c>
      <c r="AW7" s="2">
        <v>11</v>
      </c>
      <c r="AX7" s="14">
        <f>IF(AR7&lt;=AP7,1,0)</f>
        <v>1</v>
      </c>
      <c r="AY7" s="34">
        <f>AR7-AP7</f>
        <v>-2</v>
      </c>
      <c r="AZ7" s="29" t="str">
        <f>IF(AU7&gt;0,
    IF(OR(AP7&lt;=TRUNC(AW7/2,0),AP7=0),
        IF(AT7=TRUNC(AW7/2,0),
            "-1, Déficit y dejo la capacidad media",
            IF(AND(AT7&gt;TRUNC(AW7/2,0), AT7&gt;AP7),
                "1, Déficit y eliminé déficit",
                IF(AND(AT7&lt;TRUNC(AW7/2,0), AT7&lt;AP7),
                    "0, Déficit y no elimine déficit",
                    "-2, Déficit y resultado fue bueno")
            )
        ),
        IF(AND(AT7&gt;TRUNC(AW7/2,0), AT7&gt;AP7),
            "1, no había déficit, pero resultado fue mejor",
            IF(AND(AT7&lt;TRUNC(AW7/2,0),AT7&lt;AP7),
                "0, no había déficit y la dejo con déficit",
                IF(AT7=TRUNC(AW7/2,0),
                    "-1, no había déficit y dejo la capacidad media",
                    "-2,no había déficit y resultado fue bueno")
            )
        )
    ),
    IF(AU7&lt;0,
        IF(AP7&gt;TRUNC(AW7/2,0),
            IF(AT7=TRUNC(AW7/2,0),
                "-1, Superávit y deje la capacidad media",
                IF(AND(AT7&gt;TRUNC(AW7/2,0), AT7&gt;=AP7),
                    "0, Superávit y no eliminé superávit",
                    IF(AND(AT7&lt;TRUNC(AW7/2,0),AT7&lt;AP7),
                        "1, Superávit y eliminé superávit",
                        "-2, Superávit y resultado fue bueno"
                    )
                )
            ),
            IF(AND(AP7&lt;=TRUNC(AW7/2,0),AP7&gt;=0),
                IF(AT7=TRUNC(AW7/2,0),
                    "-1, no había superávit y deje la capacidad media",
                    IF(AND(AT7&gt;TRUNC(AW7/2,0), AT7&gt;=AP7),
                        "0, no había superávit, y la deje con superávit",
                        IF(AND(AT7&lt;TRUNC(AW7/2,0),AT7&lt;AP7),
                            "1, no había superávit, pero el resultado fue mejor",
                            "-2, no había superávit y resultado fue bueno"
                        )
                    )
                )
            )
        )
    )
)</f>
        <v>-2, Déficit y resultado fue bueno</v>
      </c>
      <c r="BB7" s="30" t="s">
        <v>202</v>
      </c>
      <c r="BC7" s="29">
        <v>1</v>
      </c>
      <c r="BD7" s="31">
        <v>4.1111111111111107</v>
      </c>
      <c r="BE7" s="29">
        <v>0</v>
      </c>
      <c r="BF7" s="29">
        <v>0</v>
      </c>
      <c r="BG7" s="29">
        <v>4</v>
      </c>
      <c r="BH7" s="30">
        <v>0.65812761495518723</v>
      </c>
      <c r="BI7" s="26" t="s">
        <v>318</v>
      </c>
      <c r="BJ7" s="30">
        <v>11</v>
      </c>
      <c r="BK7" s="29">
        <f>IF(BE7&lt;=BC7,1,0)</f>
        <v>1</v>
      </c>
      <c r="BL7" s="29">
        <f>BE7-BC7</f>
        <v>-1</v>
      </c>
      <c r="BM7" s="29" t="str">
        <f>IF(BH7&gt;0,
    IF(OR(BC7&lt;=TRUNC(BJ7/2,0),BC7=0),
        IF(BG7=TRUNC(BJ7/2,0),
            "-1, Déficit y dejo la capacidad media",
            IF(AND(BG7&gt;TRUNC(BJ7/2,0), BG7&gt;BC7),
                "1, Déficit y eliminé déficit",
                IF(AND(BG7&lt;TRUNC(BJ7/2,0), BG7&lt;BC7),
                    "0, Déficit y no elimine déficit",
                    "-2, Déficit y resultado fue bueno")
            )
        ),
        IF(AND(BG7&gt;TRUNC(BJ7/2,0), BG7&gt;BC7),
            "1, no había déficit, pero resultado fue mejor",
            IF(AND(BG7&lt;TRUNC(BJ7/2,0),BG7&lt;BC7),
                "0, no había déficit y la dejo con déficit",
                IF(BG7=TRUNC(BJ7/2,0),
                    "-1, no había déficit y dejo la capacidad media",
                    "-2,no había déficit y resultado fue bueno")
            )
        )
    ),
    IF(BH7&lt;0,
        IF(BC7&gt;TRUNC(BJ7/2,0),
            IF(BG7=TRUNC(BJ7/2,0),
                "-1, Superávit y deje la capacidad media",
                IF(AND(BG7&gt;TRUNC(BJ7/2,0), BG7&gt;=BC7),
                    "0, Superávit y no eliminé superávit",
                    IF(AND(BG7&lt;TRUNC(BJ7/2,0),BG7&lt;BC7),
                        "1, Superávit y eliminé superávit",
                        "-2, Superávit y resultado fue bueno"
                    )
                )
            ),
            IF(AND(BC7&lt;=TRUNC(BJ7/2,0),BC7&gt;=0),
                IF(BG7=TRUNC(BJ7/2,0),
                    "-1, no había superávit y deje la capacidad media",
                    IF(AND(BG7&gt;TRUNC(BJ7/2,0), BG7&gt;=BC7),
                        "0, no había superávit, y la deje con superávit",
                        IF(AND(BG7&lt;TRUNC(BJ7/2,0),BG7&lt;BC7),
                            "1, no había superávit, pero el resultado fue mejor",
                            "-2, no había superávit y resultado fue bueno"
                        )
                    )
                )
            )
        )
    )
)</f>
        <v>-2, Déficit y resultado fue bueno</v>
      </c>
      <c r="BO7" s="2" t="s">
        <v>202</v>
      </c>
      <c r="BP7" s="3">
        <v>4</v>
      </c>
      <c r="BQ7" s="5">
        <v>3.4444444444444446</v>
      </c>
      <c r="BR7" s="3">
        <v>0</v>
      </c>
      <c r="BS7" s="3">
        <v>0</v>
      </c>
      <c r="BT7" s="3">
        <v>4</v>
      </c>
      <c r="BU7" s="2">
        <v>0.65812761495518723</v>
      </c>
      <c r="BV7" s="26" t="s">
        <v>318</v>
      </c>
      <c r="BW7" s="2">
        <v>11</v>
      </c>
      <c r="BX7" s="14">
        <f>IF(BR7&lt;=BP7,1,0)</f>
        <v>1</v>
      </c>
      <c r="BY7" s="34">
        <f>BR7-BP7</f>
        <v>-4</v>
      </c>
      <c r="BZ7" s="29" t="str">
        <f>IF(BU7&gt;0,
    IF(OR(BP7&lt;=TRUNC(BW7/2,0),BP7=0),
        IF(BT7=TRUNC(BW7/2,0),
            "-1, Déficit y dejo la capacidad media",
            IF(AND(BT7&gt;TRUNC(BW7/2,0), BT7&gt;BP7),
                "1, Déficit y eliminé déficit",
                IF(AND(BT7&lt;TRUNC(BW7/2,0), BT7&lt;BP7),
                    "0, Déficit y no elimine déficit",
                    "-2, Déficit y resultado fue bueno")
            )
        ),
        IF(AND(BT7&gt;TRUNC(BW7/2,0), BT7&gt;BP7),
            "1, no había déficit, pero resultado fue mejor",
            IF(AND(BT7&lt;TRUNC(BW7/2,0),BT7&lt;BP7),
                "0, no había déficit y la dejo con déficit",
                IF(BT7=TRUNC(BW7/2,0),
                    "-1, no había déficit y dejo la capacidad media",
                    "-2,no había déficit y resultado fue bueno")
            )
        )
    ),
    IF(BU7&lt;0,
        IF(BP7&gt;TRUNC(BW7/2,0),
            IF(BT7=TRUNC(BW7/2,0),
                "-1, Superávit y deje la capacidad media",
                IF(AND(BT7&gt;TRUNC(BW7/2,0), BT7&gt;=BP7),
                    "0, Superávit y no eliminé superávit",
                    IF(AND(BT7&lt;TRUNC(BW7/2,0),BT7&lt;BP7),
                        "1, Superávit y eliminé superávit",
                        "-2, Superávit y resultado fue bueno"
                    )
                )
            ),
            IF(AND(BP7&lt;=TRUNC(BW7/2,0),BP7&gt;=0),
                IF(BT7=TRUNC(BW7/2,0),
                    "-1, no había superávit y deje la capacidad media",
                    IF(AND(BT7&gt;TRUNC(BW7/2,0), BT7&gt;=BP7),
                        "0, no había superávit, y la deje con superávit",
                        IF(AND(BT7&lt;TRUNC(BW7/2,0),BT7&lt;BP7),
                            "1, no había superávit, pero el resultado fue mejor",
                            "-2, no había superávit y resultado fue bueno"
                        )
                    )
                )
            )
        )
    )
)</f>
        <v>-2, Déficit y resultado fue bueno</v>
      </c>
      <c r="CB7" s="30" t="s">
        <v>202</v>
      </c>
      <c r="CC7" s="30">
        <v>4</v>
      </c>
      <c r="CD7" s="31">
        <v>4.333333333333333</v>
      </c>
      <c r="CE7" s="30">
        <v>1</v>
      </c>
      <c r="CF7" s="29">
        <v>1</v>
      </c>
      <c r="CG7" s="30">
        <v>4</v>
      </c>
      <c r="CH7" s="30">
        <v>0.65812761495518723</v>
      </c>
      <c r="CI7" s="26" t="s">
        <v>318</v>
      </c>
      <c r="CJ7" s="30">
        <v>11</v>
      </c>
      <c r="CK7" s="29">
        <f>IF(CE7&lt;=CC7,1,0)</f>
        <v>1</v>
      </c>
      <c r="CL7" s="29">
        <f>CE7-CC7</f>
        <v>-3</v>
      </c>
      <c r="CM7" s="29" t="str">
        <f>IF(CH7&gt;0,
    IF(OR(CC7&lt;=TRUNC(CJ7/2,0),CC7=0),
        IF(CG7=TRUNC(CJ7/2,0),
            "-1, Déficit y dejo la capacidad media",
            IF(AND(CG7&gt;TRUNC(CJ7/2,0), CG7&gt;CC7),
                "1, Déficit y eliminé déficit",
                IF(AND(CG7&lt;TRUNC(CJ7/2,0), CG7&lt;CC7),
                    "0, Déficit y no elimine déficit",
                    "-2, Déficit y resultado fue bueno")
            )
        ),
        IF(AND(CG7&gt;TRUNC(CJ7/2,0), CG7&gt;CC7),
            "1, no había déficit, pero resultado fue mejor",
            IF(AND(CG7&lt;TRUNC(CJ7/2,0),CG7&lt;CC7),
                "0, no había déficit y la dejo con déficit",
                IF(CG7=TRUNC(CJ7/2,0),
                    "-1, no había déficit y dejo la capacidad media",
                    "-2,no había déficit y resultado fue bueno")
            )
        )
    ),
    IF(CH7&lt;0,
        IF(CC7&gt;TRUNC(CJ7/2,0),
            IF(CG7=TRUNC(CJ7/2,0),
                "-1, Superávit y deje la capacidad media",
                IF(AND(CG7&gt;TRUNC(CJ7/2,0), CG7&gt;=CC7),
                    "0, Superávit y no eliminé superávit",
                    IF(AND(CG7&lt;TRUNC(CJ7/2,0),CG7&lt;CC7),
                        "1, Superávit y eliminé superávit",
                        "-2, Superávit y resultado fue bueno"
                    )
                )
            ),
            IF(AND(CC7&lt;=TRUNC(CJ7/2,0),CC7&gt;=0),
                IF(CG7=TRUNC(CJ7/2,0),
                    "-1, no había superávit y deje la capacidad media",
                    IF(AND(CG7&gt;TRUNC(CJ7/2,0), CG7&gt;=CC7),
                        "0, no había superávit, y la deje con superávit",
                        IF(AND(CG7&lt;TRUNC(CJ7/2,0),CG7&lt;CC7),
                            "1, no había superávit, pero el resultado fue mejor",
                            "-2, no había superávit y resultado fue bueno"
                        )
                    )
                )
            )
        )
    )
)</f>
        <v>-2, Déficit y resultado fue bueno</v>
      </c>
      <c r="CO7" s="2" t="s">
        <v>202</v>
      </c>
      <c r="CP7" s="2">
        <v>3</v>
      </c>
      <c r="CQ7" s="7">
        <v>2.5555555555555554</v>
      </c>
      <c r="CR7" s="3">
        <v>1</v>
      </c>
      <c r="CS7" s="3">
        <v>2</v>
      </c>
      <c r="CT7" s="2">
        <v>4</v>
      </c>
      <c r="CU7" s="36">
        <v>0.65812761495518723</v>
      </c>
      <c r="CV7" s="26" t="s">
        <v>318</v>
      </c>
      <c r="CW7" s="30">
        <v>11</v>
      </c>
      <c r="CX7" s="29">
        <f>IF(CR7&lt;=CP7,1,0)</f>
        <v>1</v>
      </c>
      <c r="CY7" s="29">
        <f>CR7-CP7</f>
        <v>-2</v>
      </c>
      <c r="CZ7" s="29" t="str">
        <f>IF(CU7&gt;0,
    IF(OR(CP7&lt;=TRUNC(CW7/2,0),CP7=0),
        IF(CT7=TRUNC(CW7/2,0),
            "-1, Déficit y dejo la capacidad media",
            IF(AND(CT7&gt;TRUNC(CW7/2,0), CT7&gt;CP7),
                "1, Déficit y eliminé déficit",
                IF(AND(CT7&lt;TRUNC(CW7/2,0), CT7&lt;CP7),
                    "0, Déficit y no elimine déficit",
                    "-2, Déficit y resultado fue bueno")
            )
        ),
        IF(AND(CT7&gt;TRUNC(CW7/2,0), CT7&gt;CP7),
            "1, no había déficit, pero resultado fue mejor",
            IF(AND(CT7&lt;TRUNC(CW7/2,0),CT7&lt;CP7),
                "0, no había déficit y la dejo con déficit",
                IF(CT7=TRUNC(CW7/2,0),
                    "-1, no había déficit y dejo la capacidad media",
                    "-2,no había déficit y resultado fue bueno")
            )
        )
    ),
    IF(CU7&lt;0,
        IF(CP7&gt;TRUNC(CW7/2,0),
            IF(CT7=TRUNC(CW7/2,0),
                "-1, Superávit y deje la capacidad media",
                IF(AND(CT7&gt;TRUNC(CW7/2,0), CT7&gt;=CP7),
                    "0, Superávit y no eliminé superávit",
                    IF(AND(CT7&lt;TRUNC(CW7/2,0),CT7&lt;CP7),
                        "1, Superávit y eliminé superávit",
                        "-2, Superávit y resultado fue bueno"
                    )
                )
            ),
            IF(AND(CP7&lt;=TRUNC(CW7/2,0),CP7&gt;=0),
                IF(CT7=TRUNC(CW7/2,0),
                    "-1, no había superávit y deje la capacidad media",
                    IF(AND(CT7&gt;TRUNC(CW7/2,0), CT7&gt;=CP7),
                        "0, no había superávit, y la deje con superávit",
                        IF(AND(CT7&lt;TRUNC(CW7/2,0),CT7&lt;CP7),
                            "1, no había superávit, pero el resultado fue mejor",
                            "-2, no había superávit y resultado fue bueno"
                        )
                    )
                )
            )
        )
    )
)</f>
        <v>-2, Déficit y resultado fue bueno</v>
      </c>
      <c r="DB7" s="2" t="s">
        <v>214</v>
      </c>
    </row>
    <row r="8" spans="1:108" ht="14.25" customHeight="1" x14ac:dyDescent="0.3">
      <c r="A8" s="29" t="str">
        <f t="shared" si="0"/>
        <v>Vaciado</v>
      </c>
      <c r="B8" s="30" t="s">
        <v>205</v>
      </c>
      <c r="C8" s="30">
        <v>0</v>
      </c>
      <c r="D8" s="31">
        <v>1.2222222222222223</v>
      </c>
      <c r="E8" s="31">
        <v>0</v>
      </c>
      <c r="F8" s="29">
        <v>2</v>
      </c>
      <c r="G8" s="30">
        <v>4</v>
      </c>
      <c r="H8" s="30">
        <v>0.65757862978307635</v>
      </c>
      <c r="I8" s="26" t="s">
        <v>319</v>
      </c>
      <c r="J8" s="30">
        <v>7</v>
      </c>
      <c r="K8" s="29">
        <f>IF(E8&lt;=C8,1,0)</f>
        <v>1</v>
      </c>
      <c r="L8" s="32">
        <f>E8-C8</f>
        <v>0</v>
      </c>
      <c r="M8" s="32" t="str">
        <f>IF(H8&gt;0,
    IF(OR(C8&lt;=TRUNC(J8/2,0),C8=0),
        IF(G8=TRUNC(J8/2,0),
            "-1, Déficit y dejo la capacidad media",
            IF(AND(G8&gt;TRUNC(J8/2,0), G8&gt;C8),
                "1, Déficit y eliminé déficit",
                IF(AND(G8&lt;TRUNC(J8/2,0), G8&lt;C8),
                    "0, Déficit y no elimine déficit",
                    "-2, Déficit y resultado fue bueno")
            )
        ),
        IF(AND(G8&gt;TRUNC(J8/2,0), G8&gt;C8),
            "1, no había déficit, pero resultado fue mejor",
            IF(AND(G8&lt;TRUNC(J8/2,0),G8&lt;C8),
                "0, no había déficit y la dejo con déficit",
                IF(G8=TRUNC(J8/2,0),
                    "-1, no había déficit y dejo la capacidad media",
                    "-2,no había déficit y resultado fue bueno")
            )
        )
    ),
    IF(H8&lt;0,
        IF(C8&gt;TRUNC(J8/2,0),
            IF(G8=TRUNC(J8/2,0),
                "-1, Superávit y deje la capacidad media",
                IF(AND(G8&gt;TRUNC(J8/2,0), G8&gt;=C8),
                    "0, Superávit y no eliminé superávit",
                    IF(AND(G8&lt;TRUNC(J8/2,0),G8&lt;C8),
                        "1, Superávit y eliminé superávit",
                        "-2, Superávit y resultado fue bueno"
                    )
                )
            ),
            IF(AND(C8&lt;=TRUNC(J8/2,0),C8&gt;=0),
                IF(G8=TRUNC(J8/2,0),
                    "-1, no había superávit y deje la capacidad media",
                    IF(AND(G8&gt;TRUNC(J8/2,0), G8&gt;=C8),
                        "0, no había superávit, y la deje con superávit",
                        IF(AND(G8&lt;TRUNC(J8/2,0),G8&lt;C8),
                            "1, no había superávit, pero el resultado fue mejor",
                            "-2, no había superávit y resultado fue bueno"
                        )
                    )
                )
            )
        )
    )
)</f>
        <v>1, Déficit y eliminé déficit</v>
      </c>
      <c r="O8" s="30" t="s">
        <v>205</v>
      </c>
      <c r="P8" s="30">
        <v>0</v>
      </c>
      <c r="Q8" s="31">
        <v>1.5555555555555556</v>
      </c>
      <c r="R8" s="30">
        <v>0</v>
      </c>
      <c r="S8" s="29">
        <v>0</v>
      </c>
      <c r="T8" s="30">
        <v>4</v>
      </c>
      <c r="U8" s="30">
        <v>0.65757862978307635</v>
      </c>
      <c r="V8" s="26" t="s">
        <v>319</v>
      </c>
      <c r="W8" s="30">
        <v>7</v>
      </c>
      <c r="X8" s="29">
        <f>IF(R8&lt;=P8,1,0)</f>
        <v>1</v>
      </c>
      <c r="Y8" s="29">
        <f>R8-P8</f>
        <v>0</v>
      </c>
      <c r="Z8" s="29" t="str">
        <f>IF(U8&gt;0,
    IF(OR(P8&lt;=TRUNC(W8/2,0),P8=0),
        IF(T8=TRUNC(W8/2,0),
            "-1, Déficit y dejo la capacidad media",
            IF(AND(T8&gt;TRUNC(W8/2,0), T8&gt;P8),
                "1, Déficit y eliminé déficit",
                IF(AND(T8&lt;TRUNC(W8/2,0), T8&lt;P8),
                    "0, Déficit y no elimine déficit",
                    "-2, Déficit y resultado fue bueno")
            )
        ),
        IF(AND(T8&gt;TRUNC(W8/2,0), T8&gt;P8),
            "1, no había déficit, pero resultado fue mejor",
            IF(AND(T8&lt;TRUNC(W8/2,0),T8&lt;P8),
                "0, no había déficit y la dejo con déficit",
                IF(T8=TRUNC(W8/2,0),
                    "-1, no había déficit y dejo la capacidad media",
                    "-2,no había déficit y resultado fue bueno")
            )
        )
    ),
    IF(U8&lt;0,
        IF(P8&gt;TRUNC(W8/2,0),
            IF(T8=TRUNC(W8/2,0),
                "-1, Superávit y deje la capacidad media",
                IF(AND(T8&gt;TRUNC(W8/2,0), T8&gt;=P8),
                    "0, Superávit y no eliminé superávit",
                    IF(AND(T8&lt;TRUNC(W8/2,0),T8&lt;P8),
                        "1, Superávit y eliminé superávit",
                        "-2, Superávit y resultado fue bueno"
                    )
                )
            ),
            IF(AND(P8&lt;=TRUNC(W8/2,0),P8&gt;=0),
                IF(T8=TRUNC(W8/2,0),
                    "-1, no había superávit y deje la capacidad media",
                    IF(AND(T8&gt;TRUNC(W8/2,0), T8&gt;=P8),
                        "0, no había superávit, y la deje con superávit",
                        IF(AND(T8&lt;TRUNC(W8/2,0),T8&lt;P8),
                            "1, no había superávit, pero el resultado fue mejor",
                            "-2, no había superávit y resultado fue bueno"
                        )
                    )
                )
            )
        )
    )
)</f>
        <v>1, Déficit y eliminé déficit</v>
      </c>
      <c r="AB8" s="2" t="s">
        <v>205</v>
      </c>
      <c r="AC8" s="3">
        <v>2</v>
      </c>
      <c r="AD8" s="5">
        <v>1.6666666666666667</v>
      </c>
      <c r="AE8" s="3">
        <v>2</v>
      </c>
      <c r="AF8" s="3">
        <v>2</v>
      </c>
      <c r="AG8" s="3">
        <v>4</v>
      </c>
      <c r="AH8" s="2">
        <v>0.65757862978307635</v>
      </c>
      <c r="AI8" s="26" t="s">
        <v>319</v>
      </c>
      <c r="AJ8" s="2">
        <v>7</v>
      </c>
      <c r="AK8" s="14">
        <f>IF(AE8&lt;=AC8,1,0)</f>
        <v>1</v>
      </c>
      <c r="AL8" s="34">
        <f>AE8-AC8</f>
        <v>0</v>
      </c>
      <c r="AM8" s="29" t="str">
        <f>IF(AH8&gt;0,
    IF(OR(AC8&lt;=TRUNC(AJ8/2,0),AC8=0),
        IF(AG8=TRUNC(AJ8/2,0),
            "-1, Déficit y dejo la capacidad media",
            IF(AND(AG8&gt;TRUNC(AJ8/2,0), AG8&gt;AC8),
                "1, Déficit y eliminé déficit",
                IF(AND(AG8&lt;TRUNC(AJ8/2,0), AG8&lt;AC8),
                    "0, Déficit y no elimine déficit",
                    "-2, Déficit y resultado fue bueno")
            )
        ),
        IF(AND(AG8&gt;TRUNC(AJ8/2,0), AG8&gt;AC8),
            "1, no había déficit, pero resultado fue mejor",
            IF(AND(AG8&lt;TRUNC(AJ8/2,0),AG8&lt;AC8),
                "0, no había déficit y la dejo con déficit",
                IF(AG8=TRUNC(AJ8/2,0),
                    "-1, no había déficit y dejo la capacidad media",
                    "-2,no había déficit y resultado fue bueno")
            )
        )
    ),
    IF(AH8&lt;0,
        IF(AC8&gt;TRUNC(AJ8/2,0),
            IF(AG8=TRUNC(AJ8/2,0),
                "-1, Superávit y deje la capacidad media",
                IF(AND(AG8&gt;TRUNC(AJ8/2,0), AG8&gt;=AC8),
                    "0, Superávit y no eliminé superávit",
                    IF(AND(AG8&lt;TRUNC(AJ8/2,0),AG8&lt;AC8),
                        "1, Superávit y eliminé superávit",
                        "-2, Superávit y resultado fue bueno"
                    )
                )
            ),
            IF(AND(AC8&lt;=TRUNC(AJ8/2,0),AC8&gt;=0),
                IF(AG8=TRUNC(AJ8/2,0),
                    "-1, no había superávit y deje la capacidad media",
                    IF(AND(AG8&gt;TRUNC(AJ8/2,0), AG8&gt;=AC8),
                        "0, no había superávit, y la deje con superávit",
                        IF(AND(AG8&lt;TRUNC(AJ8/2,0),AG8&lt;AC8),
                            "1, no había superávit, pero el resultado fue mejor",
                            "-2, no había superávit y resultado fue bueno"
                        )
                    )
                )
            )
        )
    )
)</f>
        <v>1, Déficit y eliminé déficit</v>
      </c>
      <c r="AO8" s="2" t="s">
        <v>205</v>
      </c>
      <c r="AP8" s="3">
        <v>0</v>
      </c>
      <c r="AQ8" s="5">
        <v>1.8888888888888888</v>
      </c>
      <c r="AR8" s="3">
        <v>0</v>
      </c>
      <c r="AS8" s="3">
        <v>0</v>
      </c>
      <c r="AT8" s="3">
        <v>4</v>
      </c>
      <c r="AU8" s="15">
        <v>0.65757862978307635</v>
      </c>
      <c r="AV8" s="26" t="s">
        <v>319</v>
      </c>
      <c r="AW8" s="2">
        <v>7</v>
      </c>
      <c r="AX8" s="14">
        <f>IF(AR8&lt;=AP8,1,0)</f>
        <v>1</v>
      </c>
      <c r="AY8" s="34">
        <f>AR8-AP8</f>
        <v>0</v>
      </c>
      <c r="AZ8" s="29" t="str">
        <f>IF(AU8&gt;0,
    IF(OR(AP8&lt;=TRUNC(AW8/2,0),AP8=0),
        IF(AT8=TRUNC(AW8/2,0),
            "-1, Déficit y dejo la capacidad media",
            IF(AND(AT8&gt;TRUNC(AW8/2,0), AT8&gt;AP8),
                "1, Déficit y eliminé déficit",
                IF(AND(AT8&lt;TRUNC(AW8/2,0), AT8&lt;AP8),
                    "0, Déficit y no elimine déficit",
                    "-2, Déficit y resultado fue bueno")
            )
        ),
        IF(AND(AT8&gt;TRUNC(AW8/2,0), AT8&gt;AP8),
            "1, no había déficit, pero resultado fue mejor",
            IF(AND(AT8&lt;TRUNC(AW8/2,0),AT8&lt;AP8),
                "0, no había déficit y la dejo con déficit",
                IF(AT8=TRUNC(AW8/2,0),
                    "-1, no había déficit y dejo la capacidad media",
                    "-2,no había déficit y resultado fue bueno")
            )
        )
    ),
    IF(AU8&lt;0,
        IF(AP8&gt;TRUNC(AW8/2,0),
            IF(AT8=TRUNC(AW8/2,0),
                "-1, Superávit y deje la capacidad media",
                IF(AND(AT8&gt;TRUNC(AW8/2,0), AT8&gt;=AP8),
                    "0, Superávit y no eliminé superávit",
                    IF(AND(AT8&lt;TRUNC(AW8/2,0),AT8&lt;AP8),
                        "1, Superávit y eliminé superávit",
                        "-2, Superávit y resultado fue bueno"
                    )
                )
            ),
            IF(AND(AP8&lt;=TRUNC(AW8/2,0),AP8&gt;=0),
                IF(AT8=TRUNC(AW8/2,0),
                    "-1, no había superávit y deje la capacidad media",
                    IF(AND(AT8&gt;TRUNC(AW8/2,0), AT8&gt;=AP8),
                        "0, no había superávit, y la deje con superávit",
                        IF(AND(AT8&lt;TRUNC(AW8/2,0),AT8&lt;AP8),
                            "1, no había superávit, pero el resultado fue mejor",
                            "-2, no había superávit y resultado fue bueno"
                        )
                    )
                )
            )
        )
    )
)</f>
        <v>1, Déficit y eliminé déficit</v>
      </c>
      <c r="BB8" s="30" t="s">
        <v>205</v>
      </c>
      <c r="BC8" s="29">
        <v>2</v>
      </c>
      <c r="BD8" s="31">
        <v>1.8888888888888888</v>
      </c>
      <c r="BE8" s="29">
        <v>1</v>
      </c>
      <c r="BF8" s="29">
        <v>0</v>
      </c>
      <c r="BG8" s="29">
        <v>4</v>
      </c>
      <c r="BH8" s="30">
        <v>0.65757862978307635</v>
      </c>
      <c r="BI8" s="26" t="s">
        <v>319</v>
      </c>
      <c r="BJ8" s="30">
        <v>7</v>
      </c>
      <c r="BK8" s="29">
        <f>IF(BE8&lt;=BC8,1,0)</f>
        <v>1</v>
      </c>
      <c r="BL8" s="29">
        <f>BE8-BC8</f>
        <v>-1</v>
      </c>
      <c r="BM8" s="29" t="str">
        <f>IF(BH8&gt;0,
    IF(OR(BC8&lt;=TRUNC(BJ8/2,0),BC8=0),
        IF(BG8=TRUNC(BJ8/2,0),
            "-1, Déficit y dejo la capacidad media",
            IF(AND(BG8&gt;TRUNC(BJ8/2,0), BG8&gt;BC8),
                "1, Déficit y eliminé déficit",
                IF(AND(BG8&lt;TRUNC(BJ8/2,0), BG8&lt;BC8),
                    "0, Déficit y no elimine déficit",
                    "-2, Déficit y resultado fue bueno")
            )
        ),
        IF(AND(BG8&gt;TRUNC(BJ8/2,0), BG8&gt;BC8),
            "1, no había déficit, pero resultado fue mejor",
            IF(AND(BG8&lt;TRUNC(BJ8/2,0),BG8&lt;BC8),
                "0, no había déficit y la dejo con déficit",
                IF(BG8=TRUNC(BJ8/2,0),
                    "-1, no había déficit y dejo la capacidad media",
                    "-2,no había déficit y resultado fue bueno")
            )
        )
    ),
    IF(BH8&lt;0,
        IF(BC8&gt;TRUNC(BJ8/2,0),
            IF(BG8=TRUNC(BJ8/2,0),
                "-1, Superávit y deje la capacidad media",
                IF(AND(BG8&gt;TRUNC(BJ8/2,0), BG8&gt;=BC8),
                    "0, Superávit y no eliminé superávit",
                    IF(AND(BG8&lt;TRUNC(BJ8/2,0),BG8&lt;BC8),
                        "1, Superávit y eliminé superávit",
                        "-2, Superávit y resultado fue bueno"
                    )
                )
            ),
            IF(AND(BC8&lt;=TRUNC(BJ8/2,0),BC8&gt;=0),
                IF(BG8=TRUNC(BJ8/2,0),
                    "-1, no había superávit y deje la capacidad media",
                    IF(AND(BG8&gt;TRUNC(BJ8/2,0), BG8&gt;=BC8),
                        "0, no había superávit, y la deje con superávit",
                        IF(AND(BG8&lt;TRUNC(BJ8/2,0),BG8&lt;BC8),
                            "1, no había superávit, pero el resultado fue mejor",
                            "-2, no había superávit y resultado fue bueno"
                        )
                    )
                )
            )
        )
    )
)</f>
        <v>1, Déficit y eliminé déficit</v>
      </c>
      <c r="BO8" s="2" t="s">
        <v>205</v>
      </c>
      <c r="BP8" s="3">
        <v>4</v>
      </c>
      <c r="BQ8" s="5">
        <v>1.5555555555555556</v>
      </c>
      <c r="BR8" s="3">
        <v>2</v>
      </c>
      <c r="BS8" s="3">
        <v>1</v>
      </c>
      <c r="BT8" s="3">
        <v>4</v>
      </c>
      <c r="BU8" s="2">
        <v>0.65757862978307635</v>
      </c>
      <c r="BV8" s="26" t="s">
        <v>319</v>
      </c>
      <c r="BW8" s="2">
        <v>7</v>
      </c>
      <c r="BX8" s="14">
        <f>IF(BR8&lt;=BP8,1,0)</f>
        <v>1</v>
      </c>
      <c r="BY8" s="34">
        <f>BR8-BP8</f>
        <v>-2</v>
      </c>
      <c r="BZ8" s="29" t="str">
        <f>IF(BU8&gt;0,
    IF(OR(BP8&lt;=TRUNC(BW8/2,0),BP8=0),
        IF(BT8=TRUNC(BW8/2,0),
            "-1, Déficit y dejo la capacidad media",
            IF(AND(BT8&gt;TRUNC(BW8/2,0), BT8&gt;BP8),
                "1, Déficit y eliminé déficit",
                IF(AND(BT8&lt;TRUNC(BW8/2,0), BT8&lt;BP8),
                    "0, Déficit y no elimine déficit",
                    "-2, Déficit y resultado fue bueno")
            )
        ),
        IF(AND(BT8&gt;TRUNC(BW8/2,0), BT8&gt;BP8),
            "1, no había déficit, pero resultado fue mejor",
            IF(AND(BT8&lt;TRUNC(BW8/2,0),BT8&lt;BP8),
                "0, no había déficit y la dejo con déficit",
                IF(BT8=TRUNC(BW8/2,0),
                    "-1, no había déficit y dejo la capacidad media",
                    "-2,no había déficit y resultado fue bueno")
            )
        )
    ),
    IF(BU8&lt;0,
        IF(BP8&gt;TRUNC(BW8/2,0),
            IF(BT8=TRUNC(BW8/2,0),
                "-1, Superávit y deje la capacidad media",
                IF(AND(BT8&gt;TRUNC(BW8/2,0), BT8&gt;=BP8),
                    "0, Superávit y no eliminé superávit",
                    IF(AND(BT8&lt;TRUNC(BW8/2,0),BT8&lt;BP8),
                        "1, Superávit y eliminé superávit",
                        "-2, Superávit y resultado fue bueno"
                    )
                )
            ),
            IF(AND(BP8&lt;=TRUNC(BW8/2,0),BP8&gt;=0),
                IF(BT8=TRUNC(BW8/2,0),
                    "-1, no había superávit y deje la capacidad media",
                    IF(AND(BT8&gt;TRUNC(BW8/2,0), BT8&gt;=BP8),
                        "0, no había superávit, y la deje con superávit",
                        IF(AND(BT8&lt;TRUNC(BW8/2,0),BT8&lt;BP8),
                            "1, no había superávit, pero el resultado fue mejor",
                            "-2, no había superávit y resultado fue bueno"
                        )
                    )
                )
            )
        )
    )
)</f>
        <v>-2,no había déficit y resultado fue bueno</v>
      </c>
      <c r="CB8" s="30" t="s">
        <v>205</v>
      </c>
      <c r="CC8" s="30">
        <v>3</v>
      </c>
      <c r="CD8" s="31">
        <v>1.6666666666666667</v>
      </c>
      <c r="CE8" s="30">
        <v>1</v>
      </c>
      <c r="CF8" s="29">
        <v>0</v>
      </c>
      <c r="CG8" s="30">
        <v>4</v>
      </c>
      <c r="CH8" s="30">
        <v>0.65757862978307635</v>
      </c>
      <c r="CI8" s="26" t="s">
        <v>319</v>
      </c>
      <c r="CJ8" s="30">
        <v>7</v>
      </c>
      <c r="CK8" s="29">
        <f>IF(CE8&lt;=CC8,1,0)</f>
        <v>1</v>
      </c>
      <c r="CL8" s="29">
        <f>CE8-CC8</f>
        <v>-2</v>
      </c>
      <c r="CM8" s="29" t="str">
        <f>IF(CH8&gt;0,
    IF(OR(CC8&lt;=TRUNC(CJ8/2,0),CC8=0),
        IF(CG8=TRUNC(CJ8/2,0),
            "-1, Déficit y dejo la capacidad media",
            IF(AND(CG8&gt;TRUNC(CJ8/2,0), CG8&gt;CC8),
                "1, Déficit y eliminé déficit",
                IF(AND(CG8&lt;TRUNC(CJ8/2,0), CG8&lt;CC8),
                    "0, Déficit y no elimine déficit",
                    "-2, Déficit y resultado fue bueno")
            )
        ),
        IF(AND(CG8&gt;TRUNC(CJ8/2,0), CG8&gt;CC8),
            "1, no había déficit, pero resultado fue mejor",
            IF(AND(CG8&lt;TRUNC(CJ8/2,0),CG8&lt;CC8),
                "0, no había déficit y la dejo con déficit",
                IF(CG8=TRUNC(CJ8/2,0),
                    "-1, no había déficit y dejo la capacidad media",
                    "-2,no había déficit y resultado fue bueno")
            )
        )
    ),
    IF(CH8&lt;0,
        IF(CC8&gt;TRUNC(CJ8/2,0),
            IF(CG8=TRUNC(CJ8/2,0),
                "-1, Superávit y deje la capacidad media",
                IF(AND(CG8&gt;TRUNC(CJ8/2,0), CG8&gt;=CC8),
                    "0, Superávit y no eliminé superávit",
                    IF(AND(CG8&lt;TRUNC(CJ8/2,0),CG8&lt;CC8),
                        "1, Superávit y eliminé superávit",
                        "-2, Superávit y resultado fue bueno"
                    )
                )
            ),
            IF(AND(CC8&lt;=TRUNC(CJ8/2,0),CC8&gt;=0),
                IF(CG8=TRUNC(CJ8/2,0),
                    "-1, no había superávit y deje la capacidad media",
                    IF(AND(CG8&gt;TRUNC(CJ8/2,0), CG8&gt;=CC8),
                        "0, no había superávit, y la deje con superávit",
                        IF(AND(CG8&lt;TRUNC(CJ8/2,0),CG8&lt;CC8),
                            "1, no había superávit, pero el resultado fue mejor",
                            "-2, no había superávit y resultado fue bueno"
                        )
                    )
                )
            )
        )
    )
)</f>
        <v>1, Déficit y eliminé déficit</v>
      </c>
      <c r="CO8" s="2" t="s">
        <v>205</v>
      </c>
      <c r="CP8" s="2">
        <v>4</v>
      </c>
      <c r="CQ8" s="7">
        <v>1.2222222222222223</v>
      </c>
      <c r="CR8" s="3">
        <v>3</v>
      </c>
      <c r="CS8" s="3">
        <v>3</v>
      </c>
      <c r="CT8" s="2">
        <v>4</v>
      </c>
      <c r="CU8" s="36">
        <v>0.65757862978307635</v>
      </c>
      <c r="CV8" s="26" t="s">
        <v>319</v>
      </c>
      <c r="CW8" s="30">
        <v>7</v>
      </c>
      <c r="CX8" s="29">
        <f>IF(CR8&lt;=CP8,1,0)</f>
        <v>1</v>
      </c>
      <c r="CY8" s="29">
        <f>CR8-CP8</f>
        <v>-1</v>
      </c>
      <c r="CZ8" s="29" t="str">
        <f>IF(CU8&gt;0,
    IF(OR(CP8&lt;=TRUNC(CW8/2,0),CP8=0),
        IF(CT8=TRUNC(CW8/2,0),
            "-1, Déficit y dejo la capacidad media",
            IF(AND(CT8&gt;TRUNC(CW8/2,0), CT8&gt;CP8),
                "1, Déficit y eliminé déficit",
                IF(AND(CT8&lt;TRUNC(CW8/2,0), CT8&lt;CP8),
                    "0, Déficit y no elimine déficit",
                    "-2, Déficit y resultado fue bueno")
            )
        ),
        IF(AND(CT8&gt;TRUNC(CW8/2,0), CT8&gt;CP8),
            "1, no había déficit, pero resultado fue mejor",
            IF(AND(CT8&lt;TRUNC(CW8/2,0),CT8&lt;CP8),
                "0, no había déficit y la dejo con déficit",
                IF(CT8=TRUNC(CW8/2,0),
                    "-1, no había déficit y dejo la capacidad media",
                    "-2,no había déficit y resultado fue bueno")
            )
        )
    ),
    IF(CU8&lt;0,
        IF(CP8&gt;TRUNC(CW8/2,0),
            IF(CT8=TRUNC(CW8/2,0),
                "-1, Superávit y deje la capacidad media",
                IF(AND(CT8&gt;TRUNC(CW8/2,0), CT8&gt;=CP8),
                    "0, Superávit y no eliminé superávit",
                    IF(AND(CT8&lt;TRUNC(CW8/2,0),CT8&lt;CP8),
                        "1, Superávit y eliminé superávit",
                        "-2, Superávit y resultado fue bueno"
                    )
                )
            ),
            IF(AND(CP8&lt;=TRUNC(CW8/2,0),CP8&gt;=0),
                IF(CT8=TRUNC(CW8/2,0),
                    "-1, no había superávit y deje la capacidad media",
                    IF(AND(CT8&gt;TRUNC(CW8/2,0), CT8&gt;=CP8),
                        "0, no había superávit, y la deje con superávit",
                        IF(AND(CT8&lt;TRUNC(CW8/2,0),CT8&lt;CP8),
                            "1, no había superávit, pero el resultado fue mejor",
                            "-2, no había superávit y resultado fue bueno"
                        )
                    )
                )
            )
        )
    )
)</f>
        <v>-2,no había déficit y resultado fue bueno</v>
      </c>
      <c r="DB8" s="2" t="s">
        <v>217</v>
      </c>
    </row>
    <row r="9" spans="1:108" ht="14.25" customHeight="1" x14ac:dyDescent="0.3">
      <c r="A9" s="29" t="str">
        <f t="shared" si="0"/>
        <v>Vaciado</v>
      </c>
      <c r="B9" s="30" t="s">
        <v>215</v>
      </c>
      <c r="C9" s="30">
        <v>3</v>
      </c>
      <c r="D9" s="31">
        <v>7.5555555555555554</v>
      </c>
      <c r="E9" s="31">
        <v>1</v>
      </c>
      <c r="F9" s="29">
        <v>9</v>
      </c>
      <c r="G9" s="30">
        <v>12</v>
      </c>
      <c r="H9" s="30">
        <v>0.44467337167202509</v>
      </c>
      <c r="I9" s="26" t="s">
        <v>327</v>
      </c>
      <c r="J9" s="30">
        <v>23</v>
      </c>
      <c r="K9" s="29">
        <f>IF(E9&lt;=C9,1,0)</f>
        <v>1</v>
      </c>
      <c r="L9" s="32">
        <f>E9-C9</f>
        <v>-2</v>
      </c>
      <c r="M9" s="32" t="str">
        <f>IF(H9&gt;0,
    IF(OR(C9&lt;=TRUNC(J9/2,0),C9=0),
        IF(G9=TRUNC(J9/2,0),
            "-1, Déficit y dejo la capacidad media",
            IF(AND(G9&gt;TRUNC(J9/2,0), G9&gt;C9),
                "1, Déficit y eliminé déficit",
                IF(AND(G9&lt;TRUNC(J9/2,0), G9&lt;C9),
                    "0, Déficit y no elimine déficit",
                    "-2, Déficit y resultado fue bueno")
            )
        ),
        IF(AND(G9&gt;TRUNC(J9/2,0), G9&gt;C9),
            "1, no había déficit, pero resultado fue mejor",
            IF(AND(G9&lt;TRUNC(J9/2,0),G9&lt;C9),
                "0, no había déficit y la dejo con déficit",
                IF(G9=TRUNC(J9/2,0),
                    "-1, no había déficit y dejo la capacidad media",
                    "-2,no había déficit y resultado fue bueno")
            )
        )
    ),
    IF(H9&lt;0,
        IF(C9&gt;TRUNC(J9/2,0),
            IF(G9=TRUNC(J9/2,0),
                "-1, Superávit y deje la capacidad media",
                IF(AND(G9&gt;TRUNC(J9/2,0), G9&gt;=C9),
                    "0, Superávit y no eliminé superávit",
                    IF(AND(G9&lt;TRUNC(J9/2,0),G9&lt;C9),
                        "1, Superávit y eliminé superávit",
                        "-2, Superávit y resultado fue bueno"
                    )
                )
            ),
            IF(AND(C9&lt;=TRUNC(J9/2,0),C9&gt;=0),
                IF(G9=TRUNC(J9/2,0),
                    "-1, no había superávit y deje la capacidad media",
                    IF(AND(G9&gt;TRUNC(J9/2,0), G9&gt;=C9),
                        "0, no había superávit, y la deje con superávit",
                        IF(AND(G9&lt;TRUNC(J9/2,0),G9&lt;C9),
                            "1, no había superávit, pero el resultado fue mejor",
                            "-2, no había superávit y resultado fue bueno"
                        )
                    )
                )
            )
        )
    )
)</f>
        <v>1, Déficit y eliminé déficit</v>
      </c>
      <c r="O9" s="30" t="s">
        <v>215</v>
      </c>
      <c r="P9" s="30">
        <v>8</v>
      </c>
      <c r="Q9" s="31">
        <v>6.8888888888888893</v>
      </c>
      <c r="R9" s="30">
        <v>8</v>
      </c>
      <c r="S9" s="29">
        <v>8</v>
      </c>
      <c r="T9" s="30">
        <v>8</v>
      </c>
      <c r="U9" s="30">
        <v>0.44467337167202509</v>
      </c>
      <c r="V9" s="26" t="s">
        <v>327</v>
      </c>
      <c r="W9" s="30">
        <v>23</v>
      </c>
      <c r="X9" s="29">
        <f>IF(R9&lt;=P9,1,0)</f>
        <v>1</v>
      </c>
      <c r="Y9" s="29">
        <f>R9-P9</f>
        <v>0</v>
      </c>
      <c r="Z9" s="29" t="str">
        <f>IF(U9&gt;0,
    IF(OR(P9&lt;=TRUNC(W9/2,0),P9=0),
        IF(T9=TRUNC(W9/2,0),
            "-1, Déficit y dejo la capacidad media",
            IF(AND(T9&gt;TRUNC(W9/2,0), T9&gt;P9),
                "1, Déficit y eliminé déficit",
                IF(AND(T9&lt;TRUNC(W9/2,0), T9&lt;P9),
                    "0, Déficit y no elimine déficit",
                    "-2, Déficit y resultado fue bueno")
            )
        ),
        IF(AND(T9&gt;TRUNC(W9/2,0), T9&gt;P9),
            "1, no había déficit, pero resultado fue mejor",
            IF(AND(T9&lt;TRUNC(W9/2,0),T9&lt;P9),
                "0, no había déficit y la dejo con déficit",
                IF(T9=TRUNC(W9/2,0),
                    "-1, no había déficit y dejo la capacidad media",
                    "-2,no había déficit y resultado fue bueno")
            )
        )
    ),
    IF(U9&lt;0,
        IF(P9&gt;TRUNC(W9/2,0),
            IF(T9=TRUNC(W9/2,0),
                "-1, Superávit y deje la capacidad media",
                IF(AND(T9&gt;TRUNC(W9/2,0), T9&gt;=P9),
                    "0, Superávit y no eliminé superávit",
                    IF(AND(T9&lt;TRUNC(W9/2,0),T9&lt;P9),
                        "1, Superávit y eliminé superávit",
                        "-2, Superávit y resultado fue bueno"
                    )
                )
            ),
            IF(AND(P9&lt;=TRUNC(W9/2,0),P9&gt;=0),
                IF(T9=TRUNC(W9/2,0),
                    "-1, no había superávit y deje la capacidad media",
                    IF(AND(T9&gt;TRUNC(W9/2,0), T9&gt;=P9),
                        "0, no había superávit, y la deje con superávit",
                        IF(AND(T9&lt;TRUNC(W9/2,0),T9&lt;P9),
                            "1, no había superávit, pero el resultado fue mejor",
                            "-2, no había superávit y resultado fue bueno"
                        )
                    )
                )
            )
        )
    )
)</f>
        <v>-2, Déficit y resultado fue bueno</v>
      </c>
      <c r="AB9" s="2" t="s">
        <v>215</v>
      </c>
      <c r="AC9" s="3">
        <v>9</v>
      </c>
      <c r="AD9" s="5">
        <v>5</v>
      </c>
      <c r="AE9" s="3">
        <v>9</v>
      </c>
      <c r="AF9" s="3">
        <v>9</v>
      </c>
      <c r="AG9" s="3">
        <v>9</v>
      </c>
      <c r="AH9" s="2">
        <v>0.44467337167202509</v>
      </c>
      <c r="AI9" s="26" t="s">
        <v>327</v>
      </c>
      <c r="AJ9" s="2">
        <v>23</v>
      </c>
      <c r="AK9" s="14">
        <f>IF(AE9&lt;=AC9,1,0)</f>
        <v>1</v>
      </c>
      <c r="AL9" s="34">
        <f>AE9-AC9</f>
        <v>0</v>
      </c>
      <c r="AM9" s="29" t="str">
        <f>IF(AH9&gt;0,
    IF(OR(AC9&lt;=TRUNC(AJ9/2,0),AC9=0),
        IF(AG9=TRUNC(AJ9/2,0),
            "-1, Déficit y dejo la capacidad media",
            IF(AND(AG9&gt;TRUNC(AJ9/2,0), AG9&gt;AC9),
                "1, Déficit y eliminé déficit",
                IF(AND(AG9&lt;TRUNC(AJ9/2,0), AG9&lt;AC9),
                    "0, Déficit y no elimine déficit",
                    "-2, Déficit y resultado fue bueno")
            )
        ),
        IF(AND(AG9&gt;TRUNC(AJ9/2,0), AG9&gt;AC9),
            "1, no había déficit, pero resultado fue mejor",
            IF(AND(AG9&lt;TRUNC(AJ9/2,0),AG9&lt;AC9),
                "0, no había déficit y la dejo con déficit",
                IF(AG9=TRUNC(AJ9/2,0),
                    "-1, no había déficit y dejo la capacidad media",
                    "-2,no había déficit y resultado fue bueno")
            )
        )
    ),
    IF(AH9&lt;0,
        IF(AC9&gt;TRUNC(AJ9/2,0),
            IF(AG9=TRUNC(AJ9/2,0),
                "-1, Superávit y deje la capacidad media",
                IF(AND(AG9&gt;TRUNC(AJ9/2,0), AG9&gt;=AC9),
                    "0, Superávit y no eliminé superávit",
                    IF(AND(AG9&lt;TRUNC(AJ9/2,0),AG9&lt;AC9),
                        "1, Superávit y eliminé superávit",
                        "-2, Superávit y resultado fue bueno"
                    )
                )
            ),
            IF(AND(AC9&lt;=TRUNC(AJ9/2,0),AC9&gt;=0),
                IF(AG9=TRUNC(AJ9/2,0),
                    "-1, no había superávit y deje la capacidad media",
                    IF(AND(AG9&gt;TRUNC(AJ9/2,0), AG9&gt;=AC9),
                        "0, no había superávit, y la deje con superávit",
                        IF(AND(AG9&lt;TRUNC(AJ9/2,0),AG9&lt;AC9),
                            "1, no había superávit, pero el resultado fue mejor",
                            "-2, no había superávit y resultado fue bueno"
                        )
                    )
                )
            )
        )
    )
)</f>
        <v>-2, Déficit y resultado fue bueno</v>
      </c>
      <c r="AO9" s="2" t="s">
        <v>215</v>
      </c>
      <c r="AP9" s="3">
        <v>7</v>
      </c>
      <c r="AQ9" s="5">
        <v>9.3333333333333339</v>
      </c>
      <c r="AR9" s="3">
        <v>1</v>
      </c>
      <c r="AS9" s="3">
        <v>1</v>
      </c>
      <c r="AT9" s="3">
        <v>8</v>
      </c>
      <c r="AU9" s="15">
        <v>0.44467337167202509</v>
      </c>
      <c r="AV9" s="26" t="s">
        <v>327</v>
      </c>
      <c r="AW9" s="2">
        <v>23</v>
      </c>
      <c r="AX9" s="14">
        <f>IF(AR9&lt;=AP9,1,0)</f>
        <v>1</v>
      </c>
      <c r="AY9" s="34">
        <f>AR9-AP9</f>
        <v>-6</v>
      </c>
      <c r="AZ9" s="29" t="str">
        <f>IF(AU9&gt;0,
    IF(OR(AP9&lt;=TRUNC(AW9/2,0),AP9=0),
        IF(AT9=TRUNC(AW9/2,0),
            "-1, Déficit y dejo la capacidad media",
            IF(AND(AT9&gt;TRUNC(AW9/2,0), AT9&gt;AP9),
                "1, Déficit y eliminé déficit",
                IF(AND(AT9&lt;TRUNC(AW9/2,0), AT9&lt;AP9),
                    "0, Déficit y no elimine déficit",
                    "-2, Déficit y resultado fue bueno")
            )
        ),
        IF(AND(AT9&gt;TRUNC(AW9/2,0), AT9&gt;AP9),
            "1, no había déficit, pero resultado fue mejor",
            IF(AND(AT9&lt;TRUNC(AW9/2,0),AT9&lt;AP9),
                "0, no había déficit y la dejo con déficit",
                IF(AT9=TRUNC(AW9/2,0),
                    "-1, no había déficit y dejo la capacidad media",
                    "-2,no había déficit y resultado fue bueno")
            )
        )
    ),
    IF(AU9&lt;0,
        IF(AP9&gt;TRUNC(AW9/2,0),
            IF(AT9=TRUNC(AW9/2,0),
                "-1, Superávit y deje la capacidad media",
                IF(AND(AT9&gt;TRUNC(AW9/2,0), AT9&gt;=AP9),
                    "0, Superávit y no eliminé superávit",
                    IF(AND(AT9&lt;TRUNC(AW9/2,0),AT9&lt;AP9),
                        "1, Superávit y eliminé superávit",
                        "-2, Superávit y resultado fue bueno"
                    )
                )
            ),
            IF(AND(AP9&lt;=TRUNC(AW9/2,0),AP9&gt;=0),
                IF(AT9=TRUNC(AW9/2,0),
                    "-1, no había superávit y deje la capacidad media",
                    IF(AND(AT9&gt;TRUNC(AW9/2,0), AT9&gt;=AP9),
                        "0, no había superávit, y la deje con superávit",
                        IF(AND(AT9&lt;TRUNC(AW9/2,0),AT9&lt;AP9),
                            "1, no había superávit, pero el resultado fue mejor",
                            "-2, no había superávit y resultado fue bueno"
                        )
                    )
                )
            )
        )
    )
)</f>
        <v>-2, Déficit y resultado fue bueno</v>
      </c>
      <c r="BB9" s="30" t="s">
        <v>215</v>
      </c>
      <c r="BC9" s="29">
        <v>11</v>
      </c>
      <c r="BD9" s="31">
        <v>8.8888888888888893</v>
      </c>
      <c r="BE9" s="29">
        <v>2</v>
      </c>
      <c r="BF9" s="29">
        <v>2</v>
      </c>
      <c r="BG9" s="29">
        <v>11</v>
      </c>
      <c r="BH9" s="30">
        <v>0.44467337167202509</v>
      </c>
      <c r="BI9" s="26" t="s">
        <v>327</v>
      </c>
      <c r="BJ9" s="30">
        <v>23</v>
      </c>
      <c r="BK9" s="29">
        <f>IF(BE9&lt;=BC9,1,0)</f>
        <v>1</v>
      </c>
      <c r="BL9" s="29">
        <f>BE9-BC9</f>
        <v>-9</v>
      </c>
      <c r="BM9" s="29" t="str">
        <f>IF(BH9&gt;0,
    IF(OR(BC9&lt;=TRUNC(BJ9/2,0),BC9=0),
        IF(BG9=TRUNC(BJ9/2,0),
            "-1, Déficit y dejo la capacidad media",
            IF(AND(BG9&gt;TRUNC(BJ9/2,0), BG9&gt;BC9),
                "1, Déficit y eliminé déficit",
                IF(AND(BG9&lt;TRUNC(BJ9/2,0), BG9&lt;BC9),
                    "0, Déficit y no elimine déficit",
                    "-2, Déficit y resultado fue bueno")
            )
        ),
        IF(AND(BG9&gt;TRUNC(BJ9/2,0), BG9&gt;BC9),
            "1, no había déficit, pero resultado fue mejor",
            IF(AND(BG9&lt;TRUNC(BJ9/2,0),BG9&lt;BC9),
                "0, no había déficit y la dejo con déficit",
                IF(BG9=TRUNC(BJ9/2,0),
                    "-1, no había déficit y dejo la capacidad media",
                    "-2,no había déficit y resultado fue bueno")
            )
        )
    ),
    IF(BH9&lt;0,
        IF(BC9&gt;TRUNC(BJ9/2,0),
            IF(BG9=TRUNC(BJ9/2,0),
                "-1, Superávit y deje la capacidad media",
                IF(AND(BG9&gt;TRUNC(BJ9/2,0), BG9&gt;=BC9),
                    "0, Superávit y no eliminé superávit",
                    IF(AND(BG9&lt;TRUNC(BJ9/2,0),BG9&lt;BC9),
                        "1, Superávit y eliminé superávit",
                        "-2, Superávit y resultado fue bueno"
                    )
                )
            ),
            IF(AND(BC9&lt;=TRUNC(BJ9/2,0),BC9&gt;=0),
                IF(BG9=TRUNC(BJ9/2,0),
                    "-1, no había superávit y deje la capacidad media",
                    IF(AND(BG9&gt;TRUNC(BJ9/2,0), BG9&gt;=BC9),
                        "0, no había superávit, y la deje con superávit",
                        IF(AND(BG9&lt;TRUNC(BJ9/2,0),BG9&lt;BC9),
                            "1, no había superávit, pero el resultado fue mejor",
                            "-2, no había superávit y resultado fue bueno"
                        )
                    )
                )
            )
        )
    )
)</f>
        <v>-1, Déficit y dejo la capacidad media</v>
      </c>
      <c r="BO9" s="2" t="s">
        <v>215</v>
      </c>
      <c r="BP9" s="3">
        <v>11</v>
      </c>
      <c r="BQ9" s="5">
        <v>9.3333333333333339</v>
      </c>
      <c r="BR9" s="3">
        <v>4</v>
      </c>
      <c r="BS9" s="3">
        <v>4</v>
      </c>
      <c r="BT9" s="3">
        <v>11</v>
      </c>
      <c r="BU9" s="2">
        <v>0.44467337167202509</v>
      </c>
      <c r="BV9" s="26" t="s">
        <v>327</v>
      </c>
      <c r="BW9" s="2">
        <v>23</v>
      </c>
      <c r="BX9" s="14">
        <f>IF(BR9&lt;=BP9,1,0)</f>
        <v>1</v>
      </c>
      <c r="BY9" s="34">
        <f>BR9-BP9</f>
        <v>-7</v>
      </c>
      <c r="BZ9" s="29" t="str">
        <f>IF(BU9&gt;0,
    IF(OR(BP9&lt;=TRUNC(BW9/2,0),BP9=0),
        IF(BT9=TRUNC(BW9/2,0),
            "-1, Déficit y dejo la capacidad media",
            IF(AND(BT9&gt;TRUNC(BW9/2,0), BT9&gt;BP9),
                "1, Déficit y eliminé déficit",
                IF(AND(BT9&lt;TRUNC(BW9/2,0), BT9&lt;BP9),
                    "0, Déficit y no elimine déficit",
                    "-2, Déficit y resultado fue bueno")
            )
        ),
        IF(AND(BT9&gt;TRUNC(BW9/2,0), BT9&gt;BP9),
            "1, no había déficit, pero resultado fue mejor",
            IF(AND(BT9&lt;TRUNC(BW9/2,0),BT9&lt;BP9),
                "0, no había déficit y la dejo con déficit",
                IF(BT9=TRUNC(BW9/2,0),
                    "-1, no había déficit y dejo la capacidad media",
                    "-2,no había déficit y resultado fue bueno")
            )
        )
    ),
    IF(BU9&lt;0,
        IF(BP9&gt;TRUNC(BW9/2,0),
            IF(BT9=TRUNC(BW9/2,0),
                "-1, Superávit y deje la capacidad media",
                IF(AND(BT9&gt;TRUNC(BW9/2,0), BT9&gt;=BP9),
                    "0, Superávit y no eliminé superávit",
                    IF(AND(BT9&lt;TRUNC(BW9/2,0),BT9&lt;BP9),
                        "1, Superávit y eliminé superávit",
                        "-2, Superávit y resultado fue bueno"
                    )
                )
            ),
            IF(AND(BP9&lt;=TRUNC(BW9/2,0),BP9&gt;=0),
                IF(BT9=TRUNC(BW9/2,0),
                    "-1, no había superávit y deje la capacidad media",
                    IF(AND(BT9&gt;TRUNC(BW9/2,0), BT9&gt;=BP9),
                        "0, no había superávit, y la deje con superávit",
                        IF(AND(BT9&lt;TRUNC(BW9/2,0),BT9&lt;BP9),
                            "1, no había superávit, pero el resultado fue mejor",
                            "-2, no había superávit y resultado fue bueno"
                        )
                    )
                )
            )
        )
    )
)</f>
        <v>-1, Déficit y dejo la capacidad media</v>
      </c>
      <c r="CB9" s="30" t="s">
        <v>215</v>
      </c>
      <c r="CC9" s="30">
        <v>10</v>
      </c>
      <c r="CD9" s="31">
        <v>7.1111111111111107</v>
      </c>
      <c r="CE9" s="30">
        <v>1</v>
      </c>
      <c r="CF9" s="29">
        <v>1</v>
      </c>
      <c r="CG9" s="30">
        <v>8</v>
      </c>
      <c r="CH9" s="30">
        <v>0.44467337167202509</v>
      </c>
      <c r="CI9" s="26" t="s">
        <v>327</v>
      </c>
      <c r="CJ9" s="30">
        <v>23</v>
      </c>
      <c r="CK9" s="29">
        <f>IF(CE9&lt;=CC9,1,0)</f>
        <v>1</v>
      </c>
      <c r="CL9" s="29">
        <f>CE9-CC9</f>
        <v>-9</v>
      </c>
      <c r="CM9" s="29" t="str">
        <f>IF(CH9&gt;0,
    IF(OR(CC9&lt;=TRUNC(CJ9/2,0),CC9=0),
        IF(CG9=TRUNC(CJ9/2,0),
            "-1, Déficit y dejo la capacidad media",
            IF(AND(CG9&gt;TRUNC(CJ9/2,0), CG9&gt;CC9),
                "1, Déficit y eliminé déficit",
                IF(AND(CG9&lt;TRUNC(CJ9/2,0), CG9&lt;CC9),
                    "0, Déficit y no elimine déficit",
                    "-2, Déficit y resultado fue bueno")
            )
        ),
        IF(AND(CG9&gt;TRUNC(CJ9/2,0), CG9&gt;CC9),
            "1, no había déficit, pero resultado fue mejor",
            IF(AND(CG9&lt;TRUNC(CJ9/2,0),CG9&lt;CC9),
                "0, no había déficit y la dejo con déficit",
                IF(CG9=TRUNC(CJ9/2,0),
                    "-1, no había déficit y dejo la capacidad media",
                    "-2,no había déficit y resultado fue bueno")
            )
        )
    ),
    IF(CH9&lt;0,
        IF(CC9&gt;TRUNC(CJ9/2,0),
            IF(CG9=TRUNC(CJ9/2,0),
                "-1, Superávit y deje la capacidad media",
                IF(AND(CG9&gt;TRUNC(CJ9/2,0), CG9&gt;=CC9),
                    "0, Superávit y no eliminé superávit",
                    IF(AND(CG9&lt;TRUNC(CJ9/2,0),CG9&lt;CC9),
                        "1, Superávit y eliminé superávit",
                        "-2, Superávit y resultado fue bueno"
                    )
                )
            ),
            IF(AND(CC9&lt;=TRUNC(CJ9/2,0),CC9&gt;=0),
                IF(CG9=TRUNC(CJ9/2,0),
                    "-1, no había superávit y deje la capacidad media",
                    IF(AND(CG9&gt;TRUNC(CJ9/2,0), CG9&gt;=CC9),
                        "0, no había superávit, y la deje con superávit",
                        IF(AND(CG9&lt;TRUNC(CJ9/2,0),CG9&lt;CC9),
                            "1, no había superávit, pero el resultado fue mejor",
                            "-2, no había superávit y resultado fue bueno"
                        )
                    )
                )
            )
        )
    )
)</f>
        <v>0, Déficit y no elimine déficit</v>
      </c>
      <c r="CO9" s="2" t="s">
        <v>215</v>
      </c>
      <c r="CP9" s="2">
        <v>13</v>
      </c>
      <c r="CQ9" s="7">
        <v>7.5555555555555554</v>
      </c>
      <c r="CR9" s="3">
        <v>11</v>
      </c>
      <c r="CS9" s="3">
        <v>11</v>
      </c>
      <c r="CT9" s="2">
        <v>8</v>
      </c>
      <c r="CU9" s="36">
        <v>0.44467337167202509</v>
      </c>
      <c r="CV9" s="26" t="s">
        <v>327</v>
      </c>
      <c r="CW9" s="30">
        <v>23</v>
      </c>
      <c r="CX9" s="29">
        <f>IF(CR9&lt;=CP9,1,0)</f>
        <v>1</v>
      </c>
      <c r="CY9" s="29">
        <f>CR9-CP9</f>
        <v>-2</v>
      </c>
      <c r="CZ9" s="29" t="str">
        <f>IF(CU9&gt;0,
    IF(OR(CP9&lt;=TRUNC(CW9/2,0),CP9=0),
        IF(CT9=TRUNC(CW9/2,0),
            "-1, Déficit y dejo la capacidad media",
            IF(AND(CT9&gt;TRUNC(CW9/2,0), CT9&gt;CP9),
                "1, Déficit y eliminé déficit",
                IF(AND(CT9&lt;TRUNC(CW9/2,0), CT9&lt;CP9),
                    "0, Déficit y no elimine déficit",
                    "-2, Déficit y resultado fue bueno")
            )
        ),
        IF(AND(CT9&gt;TRUNC(CW9/2,0), CT9&gt;CP9),
            "1, no había déficit, pero resultado fue mejor",
            IF(AND(CT9&lt;TRUNC(CW9/2,0),CT9&lt;CP9),
                "0, no había déficit y la dejo con déficit",
                IF(CT9=TRUNC(CW9/2,0),
                    "-1, no había déficit y dejo la capacidad media",
                    "-2,no había déficit y resultado fue bueno")
            )
        )
    ),
    IF(CU9&lt;0,
        IF(CP9&gt;TRUNC(CW9/2,0),
            IF(CT9=TRUNC(CW9/2,0),
                "-1, Superávit y deje la capacidad media",
                IF(AND(CT9&gt;TRUNC(CW9/2,0), CT9&gt;=CP9),
                    "0, Superávit y no eliminé superávit",
                    IF(AND(CT9&lt;TRUNC(CW9/2,0),CT9&lt;CP9),
                        "1, Superávit y eliminé superávit",
                        "-2, Superávit y resultado fue bueno"
                    )
                )
            ),
            IF(AND(CP9&lt;=TRUNC(CW9/2,0),CP9&gt;=0),
                IF(CT9=TRUNC(CW9/2,0),
                    "-1, no había superávit y deje la capacidad media",
                    IF(AND(CT9&gt;TRUNC(CW9/2,0), CT9&gt;=CP9),
                        "0, no había superávit, y la deje con superávit",
                        IF(AND(CT9&lt;TRUNC(CW9/2,0),CT9&lt;CP9),
                            "1, no había superávit, pero el resultado fue mejor",
                            "-2, no había superávit y resultado fue bueno"
                        )
                    )
                )
            )
        )
    )
)</f>
        <v>0, no había déficit y la dejo con déficit</v>
      </c>
      <c r="DB9" s="2" t="s">
        <v>206</v>
      </c>
    </row>
    <row r="10" spans="1:108" ht="14.25" customHeight="1" x14ac:dyDescent="0.3">
      <c r="A10" s="29" t="str">
        <f t="shared" si="0"/>
        <v>Vaciado</v>
      </c>
      <c r="B10" s="30" t="s">
        <v>218</v>
      </c>
      <c r="C10" s="30">
        <v>7</v>
      </c>
      <c r="D10" s="31">
        <v>8.2222222222222214</v>
      </c>
      <c r="E10" s="31">
        <v>3</v>
      </c>
      <c r="F10" s="29">
        <v>7</v>
      </c>
      <c r="G10" s="30">
        <v>9</v>
      </c>
      <c r="H10" s="30">
        <v>0.28220965544261112</v>
      </c>
      <c r="I10" s="26" t="s">
        <v>326</v>
      </c>
      <c r="J10" s="30">
        <v>23</v>
      </c>
      <c r="K10" s="29">
        <f>IF(E10&lt;=C10,1,0)</f>
        <v>1</v>
      </c>
      <c r="L10" s="32">
        <f>E10-C10</f>
        <v>-4</v>
      </c>
      <c r="M10" s="32" t="str">
        <f>IF(H10&gt;0,
    IF(OR(C10&lt;=TRUNC(J10/2,0),C10=0),
        IF(G10=TRUNC(J10/2,0),
            "-1, Déficit y dejo la capacidad media",
            IF(AND(G10&gt;TRUNC(J10/2,0), G10&gt;C10),
                "1, Déficit y eliminé déficit",
                IF(AND(G10&lt;TRUNC(J10/2,0), G10&lt;C10),
                    "0, Déficit y no elimine déficit",
                    "-2, Déficit y resultado fue bueno")
            )
        ),
        IF(AND(G10&gt;TRUNC(J10/2,0), G10&gt;C10),
            "1, no había déficit, pero resultado fue mejor",
            IF(AND(G10&lt;TRUNC(J10/2,0),G10&lt;C10),
                "0, no había déficit y la dejo con déficit",
                IF(G10=TRUNC(J10/2,0),
                    "-1, no había déficit y dejo la capacidad media",
                    "-2,no había déficit y resultado fue bueno")
            )
        )
    ),
    IF(H10&lt;0,
        IF(C10&gt;TRUNC(J10/2,0),
            IF(G10=TRUNC(J10/2,0),
                "-1, Superávit y deje la capacidad media",
                IF(AND(G10&gt;TRUNC(J10/2,0), G10&gt;=C10),
                    "0, Superávit y no eliminé superávit",
                    IF(AND(G10&lt;TRUNC(J10/2,0),G10&lt;C10),
                        "1, Superávit y eliminé superávit",
                        "-2, Superávit y resultado fue bueno"
                    )
                )
            ),
            IF(AND(C10&lt;=TRUNC(J10/2,0),C10&gt;=0),
                IF(G10=TRUNC(J10/2,0),
                    "-1, no había superávit y deje la capacidad media",
                    IF(AND(G10&gt;TRUNC(J10/2,0), G10&gt;=C10),
                        "0, no había superávit, y la deje con superávit",
                        IF(AND(G10&lt;TRUNC(J10/2,0),G10&lt;C10),
                            "1, no había superávit, pero el resultado fue mejor",
                            "-2, no había superávit y resultado fue bueno"
                        )
                    )
                )
            )
        )
    )
)</f>
        <v>-2, Déficit y resultado fue bueno</v>
      </c>
      <c r="O10" s="30" t="s">
        <v>218</v>
      </c>
      <c r="P10" s="30">
        <v>2</v>
      </c>
      <c r="Q10" s="31">
        <v>7</v>
      </c>
      <c r="R10" s="30">
        <v>2</v>
      </c>
      <c r="S10" s="29">
        <v>2</v>
      </c>
      <c r="T10" s="30">
        <v>9</v>
      </c>
      <c r="U10" s="30">
        <v>0.28220965544261112</v>
      </c>
      <c r="V10" s="26" t="s">
        <v>326</v>
      </c>
      <c r="W10" s="30">
        <v>23</v>
      </c>
      <c r="X10" s="29">
        <f>IF(R10&lt;=P10,1,0)</f>
        <v>1</v>
      </c>
      <c r="Y10" s="29">
        <f>R10-P10</f>
        <v>0</v>
      </c>
      <c r="Z10" s="29" t="str">
        <f>IF(U10&gt;0,
    IF(OR(P10&lt;=TRUNC(W10/2,0),P10=0),
        IF(T10=TRUNC(W10/2,0),
            "-1, Déficit y dejo la capacidad media",
            IF(AND(T10&gt;TRUNC(W10/2,0), T10&gt;P10),
                "1, Déficit y eliminé déficit",
                IF(AND(T10&lt;TRUNC(W10/2,0), T10&lt;P10),
                    "0, Déficit y no elimine déficit",
                    "-2, Déficit y resultado fue bueno")
            )
        ),
        IF(AND(T10&gt;TRUNC(W10/2,0), T10&gt;P10),
            "1, no había déficit, pero resultado fue mejor",
            IF(AND(T10&lt;TRUNC(W10/2,0),T10&lt;P10),
                "0, no había déficit y la dejo con déficit",
                IF(T10=TRUNC(W10/2,0),
                    "-1, no había déficit y dejo la capacidad media",
                    "-2,no había déficit y resultado fue bueno")
            )
        )
    ),
    IF(U10&lt;0,
        IF(P10&gt;TRUNC(W10/2,0),
            IF(T10=TRUNC(W10/2,0),
                "-1, Superávit y deje la capacidad media",
                IF(AND(T10&gt;TRUNC(W10/2,0), T10&gt;=P10),
                    "0, Superávit y no eliminé superávit",
                    IF(AND(T10&lt;TRUNC(W10/2,0),T10&lt;P10),
                        "1, Superávit y eliminé superávit",
                        "-2, Superávit y resultado fue bueno"
                    )
                )
            ),
            IF(AND(P10&lt;=TRUNC(W10/2,0),P10&gt;=0),
                IF(T10=TRUNC(W10/2,0),
                    "-1, no había superávit y deje la capacidad media",
                    IF(AND(T10&gt;TRUNC(W10/2,0), T10&gt;=P10),
                        "0, no había superávit, y la deje con superávit",
                        IF(AND(T10&lt;TRUNC(W10/2,0),T10&lt;P10),
                            "1, no había superávit, pero el resultado fue mejor",
                            "-2, no había superávit y resultado fue bueno"
                        )
                    )
                )
            )
        )
    )
)</f>
        <v>-2, Déficit y resultado fue bueno</v>
      </c>
      <c r="AB10" s="2" t="s">
        <v>218</v>
      </c>
      <c r="AC10" s="3">
        <v>7</v>
      </c>
      <c r="AD10" s="5">
        <v>6.2222222222222223</v>
      </c>
      <c r="AE10" s="3">
        <v>7</v>
      </c>
      <c r="AF10" s="3">
        <v>7</v>
      </c>
      <c r="AG10" s="3">
        <v>9</v>
      </c>
      <c r="AH10" s="2">
        <v>0.28220965544261112</v>
      </c>
      <c r="AI10" s="26" t="s">
        <v>326</v>
      </c>
      <c r="AJ10" s="2">
        <v>23</v>
      </c>
      <c r="AK10" s="14">
        <f>IF(AE10&lt;=AC10,1,0)</f>
        <v>1</v>
      </c>
      <c r="AL10" s="34">
        <f>AE10-AC10</f>
        <v>0</v>
      </c>
      <c r="AM10" s="29" t="str">
        <f>IF(AH10&gt;0,
    IF(OR(AC10&lt;=TRUNC(AJ10/2,0),AC10=0),
        IF(AG10=TRUNC(AJ10/2,0),
            "-1, Déficit y dejo la capacidad media",
            IF(AND(AG10&gt;TRUNC(AJ10/2,0), AG10&gt;AC10),
                "1, Déficit y eliminé déficit",
                IF(AND(AG10&lt;TRUNC(AJ10/2,0), AG10&lt;AC10),
                    "0, Déficit y no elimine déficit",
                    "-2, Déficit y resultado fue bueno")
            )
        ),
        IF(AND(AG10&gt;TRUNC(AJ10/2,0), AG10&gt;AC10),
            "1, no había déficit, pero resultado fue mejor",
            IF(AND(AG10&lt;TRUNC(AJ10/2,0),AG10&lt;AC10),
                "0, no había déficit y la dejo con déficit",
                IF(AG10=TRUNC(AJ10/2,0),
                    "-1, no había déficit y dejo la capacidad media",
                    "-2,no había déficit y resultado fue bueno")
            )
        )
    ),
    IF(AH10&lt;0,
        IF(AC10&gt;TRUNC(AJ10/2,0),
            IF(AG10=TRUNC(AJ10/2,0),
                "-1, Superávit y deje la capacidad media",
                IF(AND(AG10&gt;TRUNC(AJ10/2,0), AG10&gt;=AC10),
                    "0, Superávit y no eliminé superávit",
                    IF(AND(AG10&lt;TRUNC(AJ10/2,0),AG10&lt;AC10),
                        "1, Superávit y eliminé superávit",
                        "-2, Superávit y resultado fue bueno"
                    )
                )
            ),
            IF(AND(AC10&lt;=TRUNC(AJ10/2,0),AC10&gt;=0),
                IF(AG10=TRUNC(AJ10/2,0),
                    "-1, no había superávit y deje la capacidad media",
                    IF(AND(AG10&gt;TRUNC(AJ10/2,0), AG10&gt;=AC10),
                        "0, no había superávit, y la deje con superávit",
                        IF(AND(AG10&lt;TRUNC(AJ10/2,0),AG10&lt;AC10),
                            "1, no había superávit, pero el resultado fue mejor",
                            "-2, no había superávit y resultado fue bueno"
                        )
                    )
                )
            )
        )
    )
)</f>
        <v>-2, Déficit y resultado fue bueno</v>
      </c>
      <c r="AO10" s="2" t="s">
        <v>218</v>
      </c>
      <c r="AP10" s="3">
        <v>13</v>
      </c>
      <c r="AQ10" s="5">
        <v>11.555555555555555</v>
      </c>
      <c r="AR10" s="3">
        <v>10</v>
      </c>
      <c r="AS10" s="3">
        <v>10</v>
      </c>
      <c r="AT10" s="3">
        <v>9</v>
      </c>
      <c r="AU10" s="15">
        <v>0.28220965544261112</v>
      </c>
      <c r="AV10" s="26" t="s">
        <v>326</v>
      </c>
      <c r="AW10" s="2">
        <v>23</v>
      </c>
      <c r="AX10" s="14">
        <f>IF(AR10&lt;=AP10,1,0)</f>
        <v>1</v>
      </c>
      <c r="AY10" s="34">
        <f>AR10-AP10</f>
        <v>-3</v>
      </c>
      <c r="AZ10" s="29" t="str">
        <f>IF(AU10&gt;0,
    IF(OR(AP10&lt;=TRUNC(AW10/2,0),AP10=0),
        IF(AT10=TRUNC(AW10/2,0),
            "-1, Déficit y dejo la capacidad media",
            IF(AND(AT10&gt;TRUNC(AW10/2,0), AT10&gt;AP10),
                "1, Déficit y eliminé déficit",
                IF(AND(AT10&lt;TRUNC(AW10/2,0), AT10&lt;AP10),
                    "0, Déficit y no elimine déficit",
                    "-2, Déficit y resultado fue bueno")
            )
        ),
        IF(AND(AT10&gt;TRUNC(AW10/2,0), AT10&gt;AP10),
            "1, no había déficit, pero resultado fue mejor",
            IF(AND(AT10&lt;TRUNC(AW10/2,0),AT10&lt;AP10),
                "0, no había déficit y la dejo con déficit",
                IF(AT10=TRUNC(AW10/2,0),
                    "-1, no había déficit y dejo la capacidad media",
                    "-2,no había déficit y resultado fue bueno")
            )
        )
    ),
    IF(AU10&lt;0,
        IF(AP10&gt;TRUNC(AW10/2,0),
            IF(AT10=TRUNC(AW10/2,0),
                "-1, Superávit y deje la capacidad media",
                IF(AND(AT10&gt;TRUNC(AW10/2,0), AT10&gt;=AP10),
                    "0, Superávit y no eliminé superávit",
                    IF(AND(AT10&lt;TRUNC(AW10/2,0),AT10&lt;AP10),
                        "1, Superávit y eliminé superávit",
                        "-2, Superávit y resultado fue bueno"
                    )
                )
            ),
            IF(AND(AP10&lt;=TRUNC(AW10/2,0),AP10&gt;=0),
                IF(AT10=TRUNC(AW10/2,0),
                    "-1, no había superávit y deje la capacidad media",
                    IF(AND(AT10&gt;TRUNC(AW10/2,0), AT10&gt;=AP10),
                        "0, no había superávit, y la deje con superávit",
                        IF(AND(AT10&lt;TRUNC(AW10/2,0),AT10&lt;AP10),
                            "1, no había superávit, pero el resultado fue mejor",
                            "-2, no había superávit y resultado fue bueno"
                        )
                    )
                )
            )
        )
    )
)</f>
        <v>0, no había déficit y la dejo con déficit</v>
      </c>
      <c r="BB10" s="30" t="s">
        <v>218</v>
      </c>
      <c r="BC10" s="29">
        <v>12</v>
      </c>
      <c r="BD10" s="31">
        <v>9.2222222222222214</v>
      </c>
      <c r="BE10" s="29">
        <v>10</v>
      </c>
      <c r="BF10" s="29">
        <v>11</v>
      </c>
      <c r="BG10" s="29">
        <v>12</v>
      </c>
      <c r="BH10" s="30">
        <v>0.28220965544261112</v>
      </c>
      <c r="BI10" s="26" t="s">
        <v>326</v>
      </c>
      <c r="BJ10" s="30">
        <v>23</v>
      </c>
      <c r="BK10" s="29">
        <f>IF(BE10&lt;=BC10,1,0)</f>
        <v>1</v>
      </c>
      <c r="BL10" s="29">
        <f>BE10-BC10</f>
        <v>-2</v>
      </c>
      <c r="BM10" s="29" t="str">
        <f>IF(BH10&gt;0,
    IF(OR(BC10&lt;=TRUNC(BJ10/2,0),BC10=0),
        IF(BG10=TRUNC(BJ10/2,0),
            "-1, Déficit y dejo la capacidad media",
            IF(AND(BG10&gt;TRUNC(BJ10/2,0), BG10&gt;BC10),
                "1, Déficit y eliminé déficit",
                IF(AND(BG10&lt;TRUNC(BJ10/2,0), BG10&lt;BC10),
                    "0, Déficit y no elimine déficit",
                    "-2, Déficit y resultado fue bueno")
            )
        ),
        IF(AND(BG10&gt;TRUNC(BJ10/2,0), BG10&gt;BC10),
            "1, no había déficit, pero resultado fue mejor",
            IF(AND(BG10&lt;TRUNC(BJ10/2,0),BG10&lt;BC10),
                "0, no había déficit y la dejo con déficit",
                IF(BG10=TRUNC(BJ10/2,0),
                    "-1, no había déficit y dejo la capacidad media",
                    "-2,no había déficit y resultado fue bueno")
            )
        )
    ),
    IF(BH10&lt;0,
        IF(BC10&gt;TRUNC(BJ10/2,0),
            IF(BG10=TRUNC(BJ10/2,0),
                "-1, Superávit y deje la capacidad media",
                IF(AND(BG10&gt;TRUNC(BJ10/2,0), BG10&gt;=BC10),
                    "0, Superávit y no eliminé superávit",
                    IF(AND(BG10&lt;TRUNC(BJ10/2,0),BG10&lt;BC10),
                        "1, Superávit y eliminé superávit",
                        "-2, Superávit y resultado fue bueno"
                    )
                )
            ),
            IF(AND(BC10&lt;=TRUNC(BJ10/2,0),BC10&gt;=0),
                IF(BG10=TRUNC(BJ10/2,0),
                    "-1, no había superávit y deje la capacidad media",
                    IF(AND(BG10&gt;TRUNC(BJ10/2,0), BG10&gt;=BC10),
                        "0, no había superávit, y la deje con superávit",
                        IF(AND(BG10&lt;TRUNC(BJ10/2,0),BG10&lt;BC10),
                            "1, no había superávit, pero el resultado fue mejor",
                            "-2, no había superávit y resultado fue bueno"
                        )
                    )
                )
            )
        )
    )
)</f>
        <v>-2,no había déficit y resultado fue bueno</v>
      </c>
      <c r="BO10" s="2" t="s">
        <v>218</v>
      </c>
      <c r="BP10" s="3">
        <v>15</v>
      </c>
      <c r="BQ10" s="5">
        <v>9.8888888888888893</v>
      </c>
      <c r="BR10" s="3">
        <v>14</v>
      </c>
      <c r="BS10" s="3">
        <v>14</v>
      </c>
      <c r="BT10" s="3">
        <v>13</v>
      </c>
      <c r="BU10" s="2">
        <v>0.28220965544261112</v>
      </c>
      <c r="BV10" s="26" t="s">
        <v>326</v>
      </c>
      <c r="BW10" s="2">
        <v>23</v>
      </c>
      <c r="BX10" s="14">
        <f>IF(BR10&lt;=BP10,1,0)</f>
        <v>1</v>
      </c>
      <c r="BY10" s="34">
        <f>BR10-BP10</f>
        <v>-1</v>
      </c>
      <c r="BZ10" s="29" t="str">
        <f>IF(BU10&gt;0,
    IF(OR(BP10&lt;=TRUNC(BW10/2,0),BP10=0),
        IF(BT10=TRUNC(BW10/2,0),
            "-1, Déficit y dejo la capacidad media",
            IF(AND(BT10&gt;TRUNC(BW10/2,0), BT10&gt;BP10),
                "1, Déficit y eliminé déficit",
                IF(AND(BT10&lt;TRUNC(BW10/2,0), BT10&lt;BP10),
                    "0, Déficit y no elimine déficit",
                    "-2, Déficit y resultado fue bueno")
            )
        ),
        IF(AND(BT10&gt;TRUNC(BW10/2,0), BT10&gt;BP10),
            "1, no había déficit, pero resultado fue mejor",
            IF(AND(BT10&lt;TRUNC(BW10/2,0),BT10&lt;BP10),
                "0, no había déficit y la dejo con déficit",
                IF(BT10=TRUNC(BW10/2,0),
                    "-1, no había déficit y dejo la capacidad media",
                    "-2,no había déficit y resultado fue bueno")
            )
        )
    ),
    IF(BU10&lt;0,
        IF(BP10&gt;TRUNC(BW10/2,0),
            IF(BT10=TRUNC(BW10/2,0),
                "-1, Superávit y deje la capacidad media",
                IF(AND(BT10&gt;TRUNC(BW10/2,0), BT10&gt;=BP10),
                    "0, Superávit y no eliminé superávit",
                    IF(AND(BT10&lt;TRUNC(BW10/2,0),BT10&lt;BP10),
                        "1, Superávit y eliminé superávit",
                        "-2, Superávit y resultado fue bueno"
                    )
                )
            ),
            IF(AND(BP10&lt;=TRUNC(BW10/2,0),BP10&gt;=0),
                IF(BT10=TRUNC(BW10/2,0),
                    "-1, no había superávit y deje la capacidad media",
                    IF(AND(BT10&gt;TRUNC(BW10/2,0), BT10&gt;=BP10),
                        "0, no había superávit, y la deje con superávit",
                        IF(AND(BT10&lt;TRUNC(BW10/2,0),BT10&lt;BP10),
                            "1, no había superávit, pero el resultado fue mejor",
                            "-2, no había superávit y resultado fue bueno"
                        )
                    )
                )
            )
        )
    )
)</f>
        <v>-2,no había déficit y resultado fue bueno</v>
      </c>
      <c r="CB10" s="30" t="s">
        <v>218</v>
      </c>
      <c r="CC10" s="30">
        <v>15</v>
      </c>
      <c r="CD10" s="31">
        <v>8.2222222222222214</v>
      </c>
      <c r="CE10" s="30">
        <v>13</v>
      </c>
      <c r="CF10" s="29">
        <v>12</v>
      </c>
      <c r="CG10" s="30">
        <v>10</v>
      </c>
      <c r="CH10" s="30">
        <v>0.28220965544261112</v>
      </c>
      <c r="CI10" s="26" t="s">
        <v>326</v>
      </c>
      <c r="CJ10" s="30">
        <v>23</v>
      </c>
      <c r="CK10" s="29">
        <f>IF(CE10&lt;=CC10,1,0)</f>
        <v>1</v>
      </c>
      <c r="CL10" s="29">
        <f>CE10-CC10</f>
        <v>-2</v>
      </c>
      <c r="CM10" s="29" t="str">
        <f>IF(CH10&gt;0,
    IF(OR(CC10&lt;=TRUNC(CJ10/2,0),CC10=0),
        IF(CG10=TRUNC(CJ10/2,0),
            "-1, Déficit y dejo la capacidad media",
            IF(AND(CG10&gt;TRUNC(CJ10/2,0), CG10&gt;CC10),
                "1, Déficit y eliminé déficit",
                IF(AND(CG10&lt;TRUNC(CJ10/2,0), CG10&lt;CC10),
                    "0, Déficit y no elimine déficit",
                    "-2, Déficit y resultado fue bueno")
            )
        ),
        IF(AND(CG10&gt;TRUNC(CJ10/2,0), CG10&gt;CC10),
            "1, no había déficit, pero resultado fue mejor",
            IF(AND(CG10&lt;TRUNC(CJ10/2,0),CG10&lt;CC10),
                "0, no había déficit y la dejo con déficit",
                IF(CG10=TRUNC(CJ10/2,0),
                    "-1, no había déficit y dejo la capacidad media",
                    "-2,no había déficit y resultado fue bueno")
            )
        )
    ),
    IF(CH10&lt;0,
        IF(CC10&gt;TRUNC(CJ10/2,0),
            IF(CG10=TRUNC(CJ10/2,0),
                "-1, Superávit y deje la capacidad media",
                IF(AND(CG10&gt;TRUNC(CJ10/2,0), CG10&gt;=CC10),
                    "0, Superávit y no eliminé superávit",
                    IF(AND(CG10&lt;TRUNC(CJ10/2,0),CG10&lt;CC10),
                        "1, Superávit y eliminé superávit",
                        "-2, Superávit y resultado fue bueno"
                    )
                )
            ),
            IF(AND(CC10&lt;=TRUNC(CJ10/2,0),CC10&gt;=0),
                IF(CG10=TRUNC(CJ10/2,0),
                    "-1, no había superávit y deje la capacidad media",
                    IF(AND(CG10&gt;TRUNC(CJ10/2,0), CG10&gt;=CC10),
                        "0, no había superávit, y la deje con superávit",
                        IF(AND(CG10&lt;TRUNC(CJ10/2,0),CG10&lt;CC10),
                            "1, no había superávit, pero el resultado fue mejor",
                            "-2, no había superávit y resultado fue bueno"
                        )
                    )
                )
            )
        )
    )
)</f>
        <v>0, no había déficit y la dejo con déficit</v>
      </c>
      <c r="CO10" s="2" t="s">
        <v>218</v>
      </c>
      <c r="CP10" s="2">
        <v>6</v>
      </c>
      <c r="CQ10" s="7">
        <v>8.2222222222222214</v>
      </c>
      <c r="CR10" s="3">
        <v>4</v>
      </c>
      <c r="CS10" s="3">
        <v>4</v>
      </c>
      <c r="CT10" s="2">
        <v>9</v>
      </c>
      <c r="CU10" s="36">
        <v>0.28220965544261112</v>
      </c>
      <c r="CV10" s="26" t="s">
        <v>326</v>
      </c>
      <c r="CW10" s="30">
        <v>23</v>
      </c>
      <c r="CX10" s="29">
        <f>IF(CR10&lt;=CP10,1,0)</f>
        <v>1</v>
      </c>
      <c r="CY10" s="29">
        <f>CR10-CP10</f>
        <v>-2</v>
      </c>
      <c r="CZ10" s="29" t="str">
        <f>IF(CU10&gt;0,
    IF(OR(CP10&lt;=TRUNC(CW10/2,0),CP10=0),
        IF(CT10=TRUNC(CW10/2,0),
            "-1, Déficit y dejo la capacidad media",
            IF(AND(CT10&gt;TRUNC(CW10/2,0), CT10&gt;CP10),
                "1, Déficit y eliminé déficit",
                IF(AND(CT10&lt;TRUNC(CW10/2,0), CT10&lt;CP10),
                    "0, Déficit y no elimine déficit",
                    "-2, Déficit y resultado fue bueno")
            )
        ),
        IF(AND(CT10&gt;TRUNC(CW10/2,0), CT10&gt;CP10),
            "1, no había déficit, pero resultado fue mejor",
            IF(AND(CT10&lt;TRUNC(CW10/2,0),CT10&lt;CP10),
                "0, no había déficit y la dejo con déficit",
                IF(CT10=TRUNC(CW10/2,0),
                    "-1, no había déficit y dejo la capacidad media",
                    "-2,no había déficit y resultado fue bueno")
            )
        )
    ),
    IF(CU10&lt;0,
        IF(CP10&gt;TRUNC(CW10/2,0),
            IF(CT10=TRUNC(CW10/2,0),
                "-1, Superávit y deje la capacidad media",
                IF(AND(CT10&gt;TRUNC(CW10/2,0), CT10&gt;=CP10),
                    "0, Superávit y no eliminé superávit",
                    IF(AND(CT10&lt;TRUNC(CW10/2,0),CT10&lt;CP10),
                        "1, Superávit y eliminé superávit",
                        "-2, Superávit y resultado fue bueno"
                    )
                )
            ),
            IF(AND(CP10&lt;=TRUNC(CW10/2,0),CP10&gt;=0),
                IF(CT10=TRUNC(CW10/2,0),
                    "-1, no había superávit y deje la capacidad media",
                    IF(AND(CT10&gt;TRUNC(CW10/2,0), CT10&gt;=CP10),
                        "0, no había superávit, y la deje con superávit",
                        IF(AND(CT10&lt;TRUNC(CW10/2,0),CT10&lt;CP10),
                            "1, no había superávit, pero el resultado fue mejor",
                            "-2, no había superávit y resultado fue bueno"
                        )
                    )
                )
            )
        )
    )
)</f>
        <v>-2, Déficit y resultado fue bueno</v>
      </c>
      <c r="DB10" s="2" t="s">
        <v>195</v>
      </c>
    </row>
    <row r="11" spans="1:108" ht="14.25" customHeight="1" x14ac:dyDescent="0.3">
      <c r="A11" s="29" t="str">
        <f t="shared" si="0"/>
        <v>Vaciado</v>
      </c>
      <c r="B11" s="30" t="s">
        <v>198</v>
      </c>
      <c r="C11" s="30">
        <v>6</v>
      </c>
      <c r="D11" s="31">
        <v>2.1111111111111112</v>
      </c>
      <c r="E11" s="31">
        <v>1</v>
      </c>
      <c r="F11" s="29">
        <v>5</v>
      </c>
      <c r="G11" s="30">
        <v>6</v>
      </c>
      <c r="H11" s="30">
        <v>0.26647717855960468</v>
      </c>
      <c r="I11" s="26" t="s">
        <v>318</v>
      </c>
      <c r="J11" s="30">
        <v>11</v>
      </c>
      <c r="K11" s="29">
        <f>IF(E11&lt;=C11,1,0)</f>
        <v>1</v>
      </c>
      <c r="L11" s="32">
        <f>E11-C11</f>
        <v>-5</v>
      </c>
      <c r="M11" s="32" t="str">
        <f>IF(H11&gt;0,
    IF(OR(C11&lt;=TRUNC(J11/2,0),C11=0),
        IF(G11=TRUNC(J11/2,0),
            "-1, Déficit y dejo la capacidad media",
            IF(AND(G11&gt;TRUNC(J11/2,0), G11&gt;C11),
                "1, Déficit y eliminé déficit",
                IF(AND(G11&lt;TRUNC(J11/2,0), G11&lt;C11),
                    "0, Déficit y no elimine déficit",
                    "-2, Déficit y resultado fue bueno")
            )
        ),
        IF(AND(G11&gt;TRUNC(J11/2,0), G11&gt;C11),
            "1, no había déficit, pero resultado fue mejor",
            IF(AND(G11&lt;TRUNC(J11/2,0),G11&lt;C11),
                "0, no había déficit y la dejo con déficit",
                IF(G11=TRUNC(J11/2,0),
                    "-1, no había déficit y dejo la capacidad media",
                    "-2,no había déficit y resultado fue bueno")
            )
        )
    ),
    IF(H11&lt;0,
        IF(C11&gt;TRUNC(J11/2,0),
            IF(G11=TRUNC(J11/2,0),
                "-1, Superávit y deje la capacidad media",
                IF(AND(G11&gt;TRUNC(J11/2,0), G11&gt;=C11),
                    "0, Superávit y no eliminé superávit",
                    IF(AND(G11&lt;TRUNC(J11/2,0),G11&lt;C11),
                        "1, Superávit y eliminé superávit",
                        "-2, Superávit y resultado fue bueno"
                    )
                )
            ),
            IF(AND(C11&lt;=TRUNC(J11/2,0),C11&gt;=0),
                IF(G11=TRUNC(J11/2,0),
                    "-1, no había superávit y deje la capacidad media",
                    IF(AND(G11&gt;TRUNC(J11/2,0), G11&gt;=C11),
                        "0, no había superávit, y la deje con superávit",
                        IF(AND(G11&lt;TRUNC(J11/2,0),G11&lt;C11),
                            "1, no había superávit, pero el resultado fue mejor",
                            "-2, no había superávit y resultado fue bueno"
                        )
                    )
                )
            )
        )
    )
)</f>
        <v>-2,no había déficit y resultado fue bueno</v>
      </c>
      <c r="O11" s="30" t="s">
        <v>198</v>
      </c>
      <c r="P11" s="30">
        <v>5</v>
      </c>
      <c r="Q11" s="31">
        <v>5.7777777777777777</v>
      </c>
      <c r="R11" s="30">
        <v>5</v>
      </c>
      <c r="S11" s="29">
        <v>5</v>
      </c>
      <c r="T11" s="30">
        <v>4</v>
      </c>
      <c r="U11" s="30">
        <v>0.26647717855960468</v>
      </c>
      <c r="V11" s="26" t="s">
        <v>318</v>
      </c>
      <c r="W11" s="30">
        <v>11</v>
      </c>
      <c r="X11" s="29">
        <f>IF(R11&lt;=P11,1,0)</f>
        <v>1</v>
      </c>
      <c r="Y11" s="29">
        <f>R11-P11</f>
        <v>0</v>
      </c>
      <c r="Z11" s="29" t="str">
        <f>IF(U11&gt;0,
    IF(OR(P11&lt;=TRUNC(W11/2,0),P11=0),
        IF(T11=TRUNC(W11/2,0),
            "-1, Déficit y dejo la capacidad media",
            IF(AND(T11&gt;TRUNC(W11/2,0), T11&gt;P11),
                "1, Déficit y eliminé déficit",
                IF(AND(T11&lt;TRUNC(W11/2,0), T11&lt;P11),
                    "0, Déficit y no elimine déficit",
                    "-2, Déficit y resultado fue bueno")
            )
        ),
        IF(AND(T11&gt;TRUNC(W11/2,0), T11&gt;P11),
            "1, no había déficit, pero resultado fue mejor",
            IF(AND(T11&lt;TRUNC(W11/2,0),T11&lt;P11),
                "0, no había déficit y la dejo con déficit",
                IF(T11=TRUNC(W11/2,0),
                    "-1, no había déficit y dejo la capacidad media",
                    "-2,no había déficit y resultado fue bueno")
            )
        )
    ),
    IF(U11&lt;0,
        IF(P11&gt;TRUNC(W11/2,0),
            IF(T11=TRUNC(W11/2,0),
                "-1, Superávit y deje la capacidad media",
                IF(AND(T11&gt;TRUNC(W11/2,0), T11&gt;=P11),
                    "0, Superávit y no eliminé superávit",
                    IF(AND(T11&lt;TRUNC(W11/2,0),T11&lt;P11),
                        "1, Superávit y eliminé superávit",
                        "-2, Superávit y resultado fue bueno"
                    )
                )
            ),
            IF(AND(P11&lt;=TRUNC(W11/2,0),P11&gt;=0),
                IF(T11=TRUNC(W11/2,0),
                    "-1, no había superávit y deje la capacidad media",
                    IF(AND(T11&gt;TRUNC(W11/2,0), T11&gt;=P11),
                        "0, no había superávit, y la deje con superávit",
                        IF(AND(T11&lt;TRUNC(W11/2,0),T11&lt;P11),
                            "1, no había superávit, pero el resultado fue mejor",
                            "-2, no había superávit y resultado fue bueno"
                        )
                    )
                )
            )
        )
    )
)</f>
        <v>0, Déficit y no elimine déficit</v>
      </c>
      <c r="AB11" s="2" t="s">
        <v>198</v>
      </c>
      <c r="AC11" s="3">
        <v>5</v>
      </c>
      <c r="AD11" s="5">
        <v>3.4444444444444446</v>
      </c>
      <c r="AE11" s="3">
        <v>5</v>
      </c>
      <c r="AF11" s="3">
        <v>5</v>
      </c>
      <c r="AG11" s="3">
        <v>4</v>
      </c>
      <c r="AH11" s="2">
        <v>0.26647717855960468</v>
      </c>
      <c r="AI11" s="26" t="s">
        <v>318</v>
      </c>
      <c r="AJ11" s="2">
        <v>11</v>
      </c>
      <c r="AK11" s="14">
        <f>IF(AE11&lt;=AC11,1,0)</f>
        <v>1</v>
      </c>
      <c r="AL11" s="34">
        <f>AE11-AC11</f>
        <v>0</v>
      </c>
      <c r="AM11" s="29" t="str">
        <f>IF(AH11&gt;0,
    IF(OR(AC11&lt;=TRUNC(AJ11/2,0),AC11=0),
        IF(AG11=TRUNC(AJ11/2,0),
            "-1, Déficit y dejo la capacidad media",
            IF(AND(AG11&gt;TRUNC(AJ11/2,0), AG11&gt;AC11),
                "1, Déficit y eliminé déficit",
                IF(AND(AG11&lt;TRUNC(AJ11/2,0), AG11&lt;AC11),
                    "0, Déficit y no elimine déficit",
                    "-2, Déficit y resultado fue bueno")
            )
        ),
        IF(AND(AG11&gt;TRUNC(AJ11/2,0), AG11&gt;AC11),
            "1, no había déficit, pero resultado fue mejor",
            IF(AND(AG11&lt;TRUNC(AJ11/2,0),AG11&lt;AC11),
                "0, no había déficit y la dejo con déficit",
                IF(AG11=TRUNC(AJ11/2,0),
                    "-1, no había déficit y dejo la capacidad media",
                    "-2,no había déficit y resultado fue bueno")
            )
        )
    ),
    IF(AH11&lt;0,
        IF(AC11&gt;TRUNC(AJ11/2,0),
            IF(AG11=TRUNC(AJ11/2,0),
                "-1, Superávit y deje la capacidad media",
                IF(AND(AG11&gt;TRUNC(AJ11/2,0), AG11&gt;=AC11),
                    "0, Superávit y no eliminé superávit",
                    IF(AND(AG11&lt;TRUNC(AJ11/2,0),AG11&lt;AC11),
                        "1, Superávit y eliminé superávit",
                        "-2, Superávit y resultado fue bueno"
                    )
                )
            ),
            IF(AND(AC11&lt;=TRUNC(AJ11/2,0),AC11&gt;=0),
                IF(AG11=TRUNC(AJ11/2,0),
                    "-1, no había superávit y deje la capacidad media",
                    IF(AND(AG11&gt;TRUNC(AJ11/2,0), AG11&gt;=AC11),
                        "0, no había superávit, y la deje con superávit",
                        IF(AND(AG11&lt;TRUNC(AJ11/2,0),AG11&lt;AC11),
                            "1, no había superávit, pero el resultado fue mejor",
                            "-2, no había superávit y resultado fue bueno"
                        )
                    )
                )
            )
        )
    )
)</f>
        <v>0, Déficit y no elimine déficit</v>
      </c>
      <c r="AO11" s="2" t="s">
        <v>198</v>
      </c>
      <c r="AP11" s="3">
        <v>2</v>
      </c>
      <c r="AQ11" s="5">
        <v>2.8888888888888888</v>
      </c>
      <c r="AR11" s="3">
        <v>0</v>
      </c>
      <c r="AS11" s="3">
        <v>0</v>
      </c>
      <c r="AT11" s="3">
        <v>4</v>
      </c>
      <c r="AU11" s="15">
        <v>0.26647717855960468</v>
      </c>
      <c r="AV11" s="26" t="s">
        <v>318</v>
      </c>
      <c r="AW11" s="2">
        <v>11</v>
      </c>
      <c r="AX11" s="14">
        <f>IF(AR11&lt;=AP11,1,0)</f>
        <v>1</v>
      </c>
      <c r="AY11" s="34">
        <f>AR11-AP11</f>
        <v>-2</v>
      </c>
      <c r="AZ11" s="29" t="str">
        <f>IF(AU11&gt;0,
    IF(OR(AP11&lt;=TRUNC(AW11/2,0),AP11=0),
        IF(AT11=TRUNC(AW11/2,0),
            "-1, Déficit y dejo la capacidad media",
            IF(AND(AT11&gt;TRUNC(AW11/2,0), AT11&gt;AP11),
                "1, Déficit y eliminé déficit",
                IF(AND(AT11&lt;TRUNC(AW11/2,0), AT11&lt;AP11),
                    "0, Déficit y no elimine déficit",
                    "-2, Déficit y resultado fue bueno")
            )
        ),
        IF(AND(AT11&gt;TRUNC(AW11/2,0), AT11&gt;AP11),
            "1, no había déficit, pero resultado fue mejor",
            IF(AND(AT11&lt;TRUNC(AW11/2,0),AT11&lt;AP11),
                "0, no había déficit y la dejo con déficit",
                IF(AT11=TRUNC(AW11/2,0),
                    "-1, no había déficit y dejo la capacidad media",
                    "-2,no había déficit y resultado fue bueno")
            )
        )
    ),
    IF(AU11&lt;0,
        IF(AP11&gt;TRUNC(AW11/2,0),
            IF(AT11=TRUNC(AW11/2,0),
                "-1, Superávit y deje la capacidad media",
                IF(AND(AT11&gt;TRUNC(AW11/2,0), AT11&gt;=AP11),
                    "0, Superávit y no eliminé superávit",
                    IF(AND(AT11&lt;TRUNC(AW11/2,0),AT11&lt;AP11),
                        "1, Superávit y eliminé superávit",
                        "-2, Superávit y resultado fue bueno"
                    )
                )
            ),
            IF(AND(AP11&lt;=TRUNC(AW11/2,0),AP11&gt;=0),
                IF(AT11=TRUNC(AW11/2,0),
                    "-1, no había superávit y deje la capacidad media",
                    IF(AND(AT11&gt;TRUNC(AW11/2,0), AT11&gt;=AP11),
                        "0, no había superávit, y la deje con superávit",
                        IF(AND(AT11&lt;TRUNC(AW11/2,0),AT11&lt;AP11),
                            "1, no había superávit, pero el resultado fue mejor",
                            "-2, no había superávit y resultado fue bueno"
                        )
                    )
                )
            )
        )
    )
)</f>
        <v>-2, Déficit y resultado fue bueno</v>
      </c>
      <c r="BB11" s="30" t="s">
        <v>198</v>
      </c>
      <c r="BC11" s="29">
        <v>0</v>
      </c>
      <c r="BD11" s="31">
        <v>3.8888888888888888</v>
      </c>
      <c r="BE11" s="29">
        <v>1</v>
      </c>
      <c r="BF11" s="29">
        <v>0</v>
      </c>
      <c r="BG11" s="29">
        <v>4</v>
      </c>
      <c r="BH11" s="30">
        <v>0.26647717855960468</v>
      </c>
      <c r="BI11" s="26" t="s">
        <v>318</v>
      </c>
      <c r="BJ11" s="30">
        <v>11</v>
      </c>
      <c r="BK11" s="29">
        <f>IF(BE11&lt;=BC11,1,0)</f>
        <v>0</v>
      </c>
      <c r="BL11" s="29">
        <f>BE11-BC11</f>
        <v>1</v>
      </c>
      <c r="BM11" s="29" t="str">
        <f>IF(BH11&gt;0,
    IF(OR(BC11&lt;=TRUNC(BJ11/2,0),BC11=0),
        IF(BG11=TRUNC(BJ11/2,0),
            "-1, Déficit y dejo la capacidad media",
            IF(AND(BG11&gt;TRUNC(BJ11/2,0), BG11&gt;BC11),
                "1, Déficit y eliminé déficit",
                IF(AND(BG11&lt;TRUNC(BJ11/2,0), BG11&lt;BC11),
                    "0, Déficit y no elimine déficit",
                    "-2, Déficit y resultado fue bueno")
            )
        ),
        IF(AND(BG11&gt;TRUNC(BJ11/2,0), BG11&gt;BC11),
            "1, no había déficit, pero resultado fue mejor",
            IF(AND(BG11&lt;TRUNC(BJ11/2,0),BG11&lt;BC11),
                "0, no había déficit y la dejo con déficit",
                IF(BG11=TRUNC(BJ11/2,0),
                    "-1, no había déficit y dejo la capacidad media",
                    "-2,no había déficit y resultado fue bueno")
            )
        )
    ),
    IF(BH11&lt;0,
        IF(BC11&gt;TRUNC(BJ11/2,0),
            IF(BG11=TRUNC(BJ11/2,0),
                "-1, Superávit y deje la capacidad media",
                IF(AND(BG11&gt;TRUNC(BJ11/2,0), BG11&gt;=BC11),
                    "0, Superávit y no eliminé superávit",
                    IF(AND(BG11&lt;TRUNC(BJ11/2,0),BG11&lt;BC11),
                        "1, Superávit y eliminé superávit",
                        "-2, Superávit y resultado fue bueno"
                    )
                )
            ),
            IF(AND(BC11&lt;=TRUNC(BJ11/2,0),BC11&gt;=0),
                IF(BG11=TRUNC(BJ11/2,0),
                    "-1, no había superávit y deje la capacidad media",
                    IF(AND(BG11&gt;TRUNC(BJ11/2,0), BG11&gt;=BC11),
                        "0, no había superávit, y la deje con superávit",
                        IF(AND(BG11&lt;TRUNC(BJ11/2,0),BG11&lt;BC11),
                            "1, no había superávit, pero el resultado fue mejor",
                            "-2, no había superávit y resultado fue bueno"
                        )
                    )
                )
            )
        )
    )
)</f>
        <v>-2, Déficit y resultado fue bueno</v>
      </c>
      <c r="BO11" s="2" t="s">
        <v>198</v>
      </c>
      <c r="BP11" s="3">
        <v>2</v>
      </c>
      <c r="BQ11" s="5">
        <v>2.2222222222222223</v>
      </c>
      <c r="BR11" s="3">
        <v>0</v>
      </c>
      <c r="BS11" s="3">
        <v>1</v>
      </c>
      <c r="BT11" s="3">
        <v>4</v>
      </c>
      <c r="BU11" s="2">
        <v>0.26647717855960468</v>
      </c>
      <c r="BV11" s="26" t="s">
        <v>318</v>
      </c>
      <c r="BW11" s="2">
        <v>11</v>
      </c>
      <c r="BX11" s="14">
        <f>IF(BR11&lt;=BP11,1,0)</f>
        <v>1</v>
      </c>
      <c r="BY11" s="34">
        <f>BR11-BP11</f>
        <v>-2</v>
      </c>
      <c r="BZ11" s="29" t="str">
        <f>IF(BU11&gt;0,
    IF(OR(BP11&lt;=TRUNC(BW11/2,0),BP11=0),
        IF(BT11=TRUNC(BW11/2,0),
            "-1, Déficit y dejo la capacidad media",
            IF(AND(BT11&gt;TRUNC(BW11/2,0), BT11&gt;BP11),
                "1, Déficit y eliminé déficit",
                IF(AND(BT11&lt;TRUNC(BW11/2,0), BT11&lt;BP11),
                    "0, Déficit y no elimine déficit",
                    "-2, Déficit y resultado fue bueno")
            )
        ),
        IF(AND(BT11&gt;TRUNC(BW11/2,0), BT11&gt;BP11),
            "1, no había déficit, pero resultado fue mejor",
            IF(AND(BT11&lt;TRUNC(BW11/2,0),BT11&lt;BP11),
                "0, no había déficit y la dejo con déficit",
                IF(BT11=TRUNC(BW11/2,0),
                    "-1, no había déficit y dejo la capacidad media",
                    "-2,no había déficit y resultado fue bueno")
            )
        )
    ),
    IF(BU11&lt;0,
        IF(BP11&gt;TRUNC(BW11/2,0),
            IF(BT11=TRUNC(BW11/2,0),
                "-1, Superávit y deje la capacidad media",
                IF(AND(BT11&gt;TRUNC(BW11/2,0), BT11&gt;=BP11),
                    "0, Superávit y no eliminé superávit",
                    IF(AND(BT11&lt;TRUNC(BW11/2,0),BT11&lt;BP11),
                        "1, Superávit y eliminé superávit",
                        "-2, Superávit y resultado fue bueno"
                    )
                )
            ),
            IF(AND(BP11&lt;=TRUNC(BW11/2,0),BP11&gt;=0),
                IF(BT11=TRUNC(BW11/2,0),
                    "-1, no había superávit y deje la capacidad media",
                    IF(AND(BT11&gt;TRUNC(BW11/2,0), BT11&gt;=BP11),
                        "0, no había superávit, y la deje con superávit",
                        IF(AND(BT11&lt;TRUNC(BW11/2,0),BT11&lt;BP11),
                            "1, no había superávit, pero el resultado fue mejor",
                            "-2, no había superávit y resultado fue bueno"
                        )
                    )
                )
            )
        )
    )
)</f>
        <v>-2, Déficit y resultado fue bueno</v>
      </c>
      <c r="CB11" s="30" t="s">
        <v>198</v>
      </c>
      <c r="CC11" s="30">
        <v>0</v>
      </c>
      <c r="CD11" s="31">
        <v>1.3333333333333333</v>
      </c>
      <c r="CE11" s="30">
        <v>0</v>
      </c>
      <c r="CF11" s="29">
        <v>0</v>
      </c>
      <c r="CG11" s="30">
        <v>4</v>
      </c>
      <c r="CH11" s="30">
        <v>0.26647717855960468</v>
      </c>
      <c r="CI11" s="26" t="s">
        <v>318</v>
      </c>
      <c r="CJ11" s="30">
        <v>11</v>
      </c>
      <c r="CK11" s="29">
        <f>IF(CE11&lt;=CC11,1,0)</f>
        <v>1</v>
      </c>
      <c r="CL11" s="29">
        <f>CE11-CC11</f>
        <v>0</v>
      </c>
      <c r="CM11" s="29" t="str">
        <f>IF(CH11&gt;0,
    IF(OR(CC11&lt;=TRUNC(CJ11/2,0),CC11=0),
        IF(CG11=TRUNC(CJ11/2,0),
            "-1, Déficit y dejo la capacidad media",
            IF(AND(CG11&gt;TRUNC(CJ11/2,0), CG11&gt;CC11),
                "1, Déficit y eliminé déficit",
                IF(AND(CG11&lt;TRUNC(CJ11/2,0), CG11&lt;CC11),
                    "0, Déficit y no elimine déficit",
                    "-2, Déficit y resultado fue bueno")
            )
        ),
        IF(AND(CG11&gt;TRUNC(CJ11/2,0), CG11&gt;CC11),
            "1, no había déficit, pero resultado fue mejor",
            IF(AND(CG11&lt;TRUNC(CJ11/2,0),CG11&lt;CC11),
                "0, no había déficit y la dejo con déficit",
                IF(CG11=TRUNC(CJ11/2,0),
                    "-1, no había déficit y dejo la capacidad media",
                    "-2,no había déficit y resultado fue bueno")
            )
        )
    ),
    IF(CH11&lt;0,
        IF(CC11&gt;TRUNC(CJ11/2,0),
            IF(CG11=TRUNC(CJ11/2,0),
                "-1, Superávit y deje la capacidad media",
                IF(AND(CG11&gt;TRUNC(CJ11/2,0), CG11&gt;=CC11),
                    "0, Superávit y no eliminé superávit",
                    IF(AND(CG11&lt;TRUNC(CJ11/2,0),CG11&lt;CC11),
                        "1, Superávit y eliminé superávit",
                        "-2, Superávit y resultado fue bueno"
                    )
                )
            ),
            IF(AND(CC11&lt;=TRUNC(CJ11/2,0),CC11&gt;=0),
                IF(CG11=TRUNC(CJ11/2,0),
                    "-1, no había superávit y deje la capacidad media",
                    IF(AND(CG11&gt;TRUNC(CJ11/2,0), CG11&gt;=CC11),
                        "0, no había superávit, y la deje con superávit",
                        IF(AND(CG11&lt;TRUNC(CJ11/2,0),CG11&lt;CC11),
                            "1, no había superávit, pero el resultado fue mejor",
                            "-2, no había superávit y resultado fue bueno"
                        )
                    )
                )
            )
        )
    )
)</f>
        <v>-2, Déficit y resultado fue bueno</v>
      </c>
      <c r="CO11" s="2" t="s">
        <v>198</v>
      </c>
      <c r="CP11" s="2">
        <v>3</v>
      </c>
      <c r="CQ11" s="7">
        <v>2.1111111111111112</v>
      </c>
      <c r="CR11" s="3">
        <v>2</v>
      </c>
      <c r="CS11" s="3">
        <v>2</v>
      </c>
      <c r="CT11" s="2">
        <v>5</v>
      </c>
      <c r="CU11" s="36">
        <v>0.26647717855960468</v>
      </c>
      <c r="CV11" s="26" t="s">
        <v>318</v>
      </c>
      <c r="CW11" s="30">
        <v>11</v>
      </c>
      <c r="CX11" s="29">
        <f>IF(CR11&lt;=CP11,1,0)</f>
        <v>1</v>
      </c>
      <c r="CY11" s="29">
        <f>CR11-CP11</f>
        <v>-1</v>
      </c>
      <c r="CZ11" s="29" t="str">
        <f>IF(CU11&gt;0,
    IF(OR(CP11&lt;=TRUNC(CW11/2,0),CP11=0),
        IF(CT11=TRUNC(CW11/2,0),
            "-1, Déficit y dejo la capacidad media",
            IF(AND(CT11&gt;TRUNC(CW11/2,0), CT11&gt;CP11),
                "1, Déficit y eliminé déficit",
                IF(AND(CT11&lt;TRUNC(CW11/2,0), CT11&lt;CP11),
                    "0, Déficit y no elimine déficit",
                    "-2, Déficit y resultado fue bueno")
            )
        ),
        IF(AND(CT11&gt;TRUNC(CW11/2,0), CT11&gt;CP11),
            "1, no había déficit, pero resultado fue mejor",
            IF(AND(CT11&lt;TRUNC(CW11/2,0),CT11&lt;CP11),
                "0, no había déficit y la dejo con déficit",
                IF(CT11=TRUNC(CW11/2,0),
                    "-1, no había déficit y dejo la capacidad media",
                    "-2,no había déficit y resultado fue bueno")
            )
        )
    ),
    IF(CU11&lt;0,
        IF(CP11&gt;TRUNC(CW11/2,0),
            IF(CT11=TRUNC(CW11/2,0),
                "-1, Superávit y deje la capacidad media",
                IF(AND(CT11&gt;TRUNC(CW11/2,0), CT11&gt;=CP11),
                    "0, Superávit y no eliminé superávit",
                    IF(AND(CT11&lt;TRUNC(CW11/2,0),CT11&lt;CP11),
                        "1, Superávit y eliminé superávit",
                        "-2, Superávit y resultado fue bueno"
                    )
                )
            ),
            IF(AND(CP11&lt;=TRUNC(CW11/2,0),CP11&gt;=0),
                IF(CT11=TRUNC(CW11/2,0),
                    "-1, no había superávit y deje la capacidad media",
                    IF(AND(CT11&gt;TRUNC(CW11/2,0), CT11&gt;=CP11),
                        "0, no había superávit, y la deje con superávit",
                        IF(AND(CT11&lt;TRUNC(CW11/2,0),CT11&lt;CP11),
                            "1, no había superávit, pero el resultado fue mejor",
                            "-2, no había superávit y resultado fue bueno"
                        )
                    )
                )
            )
        )
    )
)</f>
        <v>-1, Déficit y dejo la capacidad media</v>
      </c>
      <c r="DB11" s="2" t="s">
        <v>218</v>
      </c>
    </row>
    <row r="12" spans="1:108" ht="14.25" customHeight="1" x14ac:dyDescent="0.3">
      <c r="A12" s="29" t="str">
        <f t="shared" si="0"/>
        <v>Vaciado</v>
      </c>
      <c r="B12" s="30" t="s">
        <v>209</v>
      </c>
      <c r="C12" s="30">
        <v>3</v>
      </c>
      <c r="D12" s="31">
        <v>3.2222222222222223</v>
      </c>
      <c r="E12" s="31">
        <v>2</v>
      </c>
      <c r="F12" s="29">
        <v>3</v>
      </c>
      <c r="G12" s="30">
        <v>3</v>
      </c>
      <c r="H12" s="30">
        <v>2.6646209564781631E-3</v>
      </c>
      <c r="I12" s="26" t="s">
        <v>320</v>
      </c>
      <c r="J12" s="30">
        <v>7</v>
      </c>
      <c r="K12" s="29">
        <f>IF(E12&lt;=C12,1,0)</f>
        <v>1</v>
      </c>
      <c r="L12" s="32">
        <f>E12-C12</f>
        <v>-1</v>
      </c>
      <c r="M12" s="32" t="str">
        <f>IF(H12&gt;0,
    IF(OR(C12&lt;=TRUNC(J12/2,0),C12=0),
        IF(G12=TRUNC(J12/2,0),
            "-1, Déficit y dejo la capacidad media",
            IF(AND(G12&gt;TRUNC(J12/2,0), G12&gt;C12),
                "1, Déficit y eliminé déficit",
                IF(AND(G12&lt;TRUNC(J12/2,0), G12&lt;C12),
                    "0, Déficit y no elimine déficit",
                    "-2, Déficit y resultado fue bueno")
            )
        ),
        IF(AND(G12&gt;TRUNC(J12/2,0), G12&gt;C12),
            "1, no había déficit, pero resultado fue mejor",
            IF(AND(G12&lt;TRUNC(J12/2,0),G12&lt;C12),
                "0, no había déficit y la dejo con déficit",
                IF(G12=TRUNC(J12/2,0),
                    "-1, no había déficit y dejo la capacidad media",
                    "-2,no había déficit y resultado fue bueno")
            )
        )
    ),
    IF(H12&lt;0,
        IF(C12&gt;TRUNC(J12/2,0),
            IF(G12=TRUNC(J12/2,0),
                "-1, Superávit y deje la capacidad media",
                IF(AND(G12&gt;TRUNC(J12/2,0), G12&gt;=C12),
                    "0, Superávit y no eliminé superávit",
                    IF(AND(G12&lt;TRUNC(J12/2,0),G12&lt;C12),
                        "1, Superávit y eliminé superávit",
                        "-2, Superávit y resultado fue bueno"
                    )
                )
            ),
            IF(AND(C12&lt;=TRUNC(J12/2,0),C12&gt;=0),
                IF(G12=TRUNC(J12/2,0),
                    "-1, no había superávit y deje la capacidad media",
                    IF(AND(G12&gt;TRUNC(J12/2,0), G12&gt;=C12),
                        "0, no había superávit, y la deje con superávit",
                        IF(AND(G12&lt;TRUNC(J12/2,0),G12&lt;C12),
                            "1, no había superávit, pero el resultado fue mejor",
                            "-2, no había superávit y resultado fue bueno"
                        )
                    )
                )
            )
        )
    )
)</f>
        <v>-1, Déficit y dejo la capacidad media</v>
      </c>
      <c r="O12" s="30" t="s">
        <v>209</v>
      </c>
      <c r="P12" s="30">
        <v>1</v>
      </c>
      <c r="Q12" s="31">
        <v>2.7777777777777777</v>
      </c>
      <c r="R12" s="30">
        <v>1</v>
      </c>
      <c r="S12" s="29">
        <v>1</v>
      </c>
      <c r="T12" s="30">
        <v>3</v>
      </c>
      <c r="U12" s="30">
        <v>2.6646209564781631E-3</v>
      </c>
      <c r="V12" s="26" t="s">
        <v>320</v>
      </c>
      <c r="W12" s="30">
        <v>7</v>
      </c>
      <c r="X12" s="29">
        <f>IF(R12&lt;=P12,1,0)</f>
        <v>1</v>
      </c>
      <c r="Y12" s="29">
        <f>R12-P12</f>
        <v>0</v>
      </c>
      <c r="Z12" s="29" t="str">
        <f>IF(U12&gt;0,
    IF(OR(P12&lt;=TRUNC(W12/2,0),P12=0),
        IF(T12=TRUNC(W12/2,0),
            "-1, Déficit y dejo la capacidad media",
            IF(AND(T12&gt;TRUNC(W12/2,0), T12&gt;P12),
                "1, Déficit y eliminé déficit",
                IF(AND(T12&lt;TRUNC(W12/2,0), T12&lt;P12),
                    "0, Déficit y no elimine déficit",
                    "-2, Déficit y resultado fue bueno")
            )
        ),
        IF(AND(T12&gt;TRUNC(W12/2,0), T12&gt;P12),
            "1, no había déficit, pero resultado fue mejor",
            IF(AND(T12&lt;TRUNC(W12/2,0),T12&lt;P12),
                "0, no había déficit y la dejo con déficit",
                IF(T12=TRUNC(W12/2,0),
                    "-1, no había déficit y dejo la capacidad media",
                    "-2,no había déficit y resultado fue bueno")
            )
        )
    ),
    IF(U12&lt;0,
        IF(P12&gt;TRUNC(W12/2,0),
            IF(T12=TRUNC(W12/2,0),
                "-1, Superávit y deje la capacidad media",
                IF(AND(T12&gt;TRUNC(W12/2,0), T12&gt;=P12),
                    "0, Superávit y no eliminé superávit",
                    IF(AND(T12&lt;TRUNC(W12/2,0),T12&lt;P12),
                        "1, Superávit y eliminé superávit",
                        "-2, Superávit y resultado fue bueno"
                    )
                )
            ),
            IF(AND(P12&lt;=TRUNC(W12/2,0),P12&gt;=0),
                IF(T12=TRUNC(W12/2,0),
                    "-1, no había superávit y deje la capacidad media",
                    IF(AND(T12&gt;TRUNC(W12/2,0), T12&gt;=P12),
                        "0, no había superávit, y la deje con superávit",
                        IF(AND(T12&lt;TRUNC(W12/2,0),T12&lt;P12),
                            "1, no había superávit, pero el resultado fue mejor",
                            "-2, no había superávit y resultado fue bueno"
                        )
                    )
                )
            )
        )
    )
)</f>
        <v>-1, Déficit y dejo la capacidad media</v>
      </c>
      <c r="AB12" s="2" t="s">
        <v>209</v>
      </c>
      <c r="AC12" s="3">
        <v>3</v>
      </c>
      <c r="AD12" s="5">
        <v>2.6666666666666665</v>
      </c>
      <c r="AE12" s="3">
        <v>3</v>
      </c>
      <c r="AF12" s="3">
        <v>3</v>
      </c>
      <c r="AG12" s="3">
        <v>3</v>
      </c>
      <c r="AH12" s="2">
        <v>2.6646209564781631E-3</v>
      </c>
      <c r="AI12" s="26" t="s">
        <v>320</v>
      </c>
      <c r="AJ12" s="2">
        <v>7</v>
      </c>
      <c r="AK12" s="14">
        <f>IF(AE12&lt;=AC12,1,0)</f>
        <v>1</v>
      </c>
      <c r="AL12" s="34">
        <f>AE12-AC12</f>
        <v>0</v>
      </c>
      <c r="AM12" s="29" t="str">
        <f>IF(AH12&gt;0,
    IF(OR(AC12&lt;=TRUNC(AJ12/2,0),AC12=0),
        IF(AG12=TRUNC(AJ12/2,0),
            "-1, Déficit y dejo la capacidad media",
            IF(AND(AG12&gt;TRUNC(AJ12/2,0), AG12&gt;AC12),
                "1, Déficit y eliminé déficit",
                IF(AND(AG12&lt;TRUNC(AJ12/2,0), AG12&lt;AC12),
                    "0, Déficit y no elimine déficit",
                    "-2, Déficit y resultado fue bueno")
            )
        ),
        IF(AND(AG12&gt;TRUNC(AJ12/2,0), AG12&gt;AC12),
            "1, no había déficit, pero resultado fue mejor",
            IF(AND(AG12&lt;TRUNC(AJ12/2,0),AG12&lt;AC12),
                "0, no había déficit y la dejo con déficit",
                IF(AG12=TRUNC(AJ12/2,0),
                    "-1, no había déficit y dejo la capacidad media",
                    "-2,no había déficit y resultado fue bueno")
            )
        )
    ),
    IF(AH12&lt;0,
        IF(AC12&gt;TRUNC(AJ12/2,0),
            IF(AG12=TRUNC(AJ12/2,0),
                "-1, Superávit y deje la capacidad media",
                IF(AND(AG12&gt;TRUNC(AJ12/2,0), AG12&gt;=AC12),
                    "0, Superávit y no eliminé superávit",
                    IF(AND(AG12&lt;TRUNC(AJ12/2,0),AG12&lt;AC12),
                        "1, Superávit y eliminé superávit",
                        "-2, Superávit y resultado fue bueno"
                    )
                )
            ),
            IF(AND(AC12&lt;=TRUNC(AJ12/2,0),AC12&gt;=0),
                IF(AG12=TRUNC(AJ12/2,0),
                    "-1, no había superávit y deje la capacidad media",
                    IF(AND(AG12&gt;TRUNC(AJ12/2,0), AG12&gt;=AC12),
                        "0, no había superávit, y la deje con superávit",
                        IF(AND(AG12&lt;TRUNC(AJ12/2,0),AG12&lt;AC12),
                            "1, no había superávit, pero el resultado fue mejor",
                            "-2, no había superávit y resultado fue bueno"
                        )
                    )
                )
            )
        )
    )
)</f>
        <v>-1, Déficit y dejo la capacidad media</v>
      </c>
      <c r="AO12" s="2" t="s">
        <v>209</v>
      </c>
      <c r="AP12" s="3">
        <v>1</v>
      </c>
      <c r="AQ12" s="5">
        <v>3.1111111111111112</v>
      </c>
      <c r="AR12" s="3">
        <v>1</v>
      </c>
      <c r="AS12" s="3">
        <v>1</v>
      </c>
      <c r="AT12" s="3">
        <v>3</v>
      </c>
      <c r="AU12" s="15">
        <v>2.6646209564781631E-3</v>
      </c>
      <c r="AV12" s="26" t="s">
        <v>320</v>
      </c>
      <c r="AW12" s="2">
        <v>7</v>
      </c>
      <c r="AX12" s="14">
        <f>IF(AR12&lt;=AP12,1,0)</f>
        <v>1</v>
      </c>
      <c r="AY12" s="34">
        <f>AR12-AP12</f>
        <v>0</v>
      </c>
      <c r="AZ12" s="29" t="str">
        <f>IF(AU12&gt;0,
    IF(OR(AP12&lt;=TRUNC(AW12/2,0),AP12=0),
        IF(AT12=TRUNC(AW12/2,0),
            "-1, Déficit y dejo la capacidad media",
            IF(AND(AT12&gt;TRUNC(AW12/2,0), AT12&gt;AP12),
                "1, Déficit y eliminé déficit",
                IF(AND(AT12&lt;TRUNC(AW12/2,0), AT12&lt;AP12),
                    "0, Déficit y no elimine déficit",
                    "-2, Déficit y resultado fue bueno")
            )
        ),
        IF(AND(AT12&gt;TRUNC(AW12/2,0), AT12&gt;AP12),
            "1, no había déficit, pero resultado fue mejor",
            IF(AND(AT12&lt;TRUNC(AW12/2,0),AT12&lt;AP12),
                "0, no había déficit y la dejo con déficit",
                IF(AT12=TRUNC(AW12/2,0),
                    "-1, no había déficit y dejo la capacidad media",
                    "-2,no había déficit y resultado fue bueno")
            )
        )
    ),
    IF(AU12&lt;0,
        IF(AP12&gt;TRUNC(AW12/2,0),
            IF(AT12=TRUNC(AW12/2,0),
                "-1, Superávit y deje la capacidad media",
                IF(AND(AT12&gt;TRUNC(AW12/2,0), AT12&gt;=AP12),
                    "0, Superávit y no eliminé superávit",
                    IF(AND(AT12&lt;TRUNC(AW12/2,0),AT12&lt;AP12),
                        "1, Superávit y eliminé superávit",
                        "-2, Superávit y resultado fue bueno"
                    )
                )
            ),
            IF(AND(AP12&lt;=TRUNC(AW12/2,0),AP12&gt;=0),
                IF(AT12=TRUNC(AW12/2,0),
                    "-1, no había superávit y deje la capacidad media",
                    IF(AND(AT12&gt;TRUNC(AW12/2,0), AT12&gt;=AP12),
                        "0, no había superávit, y la deje con superávit",
                        IF(AND(AT12&lt;TRUNC(AW12/2,0),AT12&lt;AP12),
                            "1, no había superávit, pero el resultado fue mejor",
                            "-2, no había superávit y resultado fue bueno"
                        )
                    )
                )
            )
        )
    )
)</f>
        <v>-1, Déficit y dejo la capacidad media</v>
      </c>
      <c r="BB12" s="30" t="s">
        <v>209</v>
      </c>
      <c r="BC12" s="29">
        <v>5</v>
      </c>
      <c r="BD12" s="31">
        <v>3.6666666666666665</v>
      </c>
      <c r="BE12" s="29">
        <v>3</v>
      </c>
      <c r="BF12" s="29">
        <v>3</v>
      </c>
      <c r="BG12" s="29">
        <v>3</v>
      </c>
      <c r="BH12" s="30">
        <v>2.6646209564781631E-3</v>
      </c>
      <c r="BI12" s="26" t="s">
        <v>320</v>
      </c>
      <c r="BJ12" s="30">
        <v>7</v>
      </c>
      <c r="BK12" s="29">
        <f>IF(BE12&lt;=BC12,1,0)</f>
        <v>1</v>
      </c>
      <c r="BL12" s="29">
        <f>BE12-BC12</f>
        <v>-2</v>
      </c>
      <c r="BM12" s="29" t="str">
        <f>IF(BH12&gt;0,
    IF(OR(BC12&lt;=TRUNC(BJ12/2,0),BC12=0),
        IF(BG12=TRUNC(BJ12/2,0),
            "-1, Déficit y dejo la capacidad media",
            IF(AND(BG12&gt;TRUNC(BJ12/2,0), BG12&gt;BC12),
                "1, Déficit y eliminé déficit",
                IF(AND(BG12&lt;TRUNC(BJ12/2,0), BG12&lt;BC12),
                    "0, Déficit y no elimine déficit",
                    "-2, Déficit y resultado fue bueno")
            )
        ),
        IF(AND(BG12&gt;TRUNC(BJ12/2,0), BG12&gt;BC12),
            "1, no había déficit, pero resultado fue mejor",
            IF(AND(BG12&lt;TRUNC(BJ12/2,0),BG12&lt;BC12),
                "0, no había déficit y la dejo con déficit",
                IF(BG12=TRUNC(BJ12/2,0),
                    "-1, no había déficit y dejo la capacidad media",
                    "-2,no había déficit y resultado fue bueno")
            )
        )
    ),
    IF(BH12&lt;0,
        IF(BC12&gt;TRUNC(BJ12/2,0),
            IF(BG12=TRUNC(BJ12/2,0),
                "-1, Superávit y deje la capacidad media",
                IF(AND(BG12&gt;TRUNC(BJ12/2,0), BG12&gt;=BC12),
                    "0, Superávit y no eliminé superávit",
                    IF(AND(BG12&lt;TRUNC(BJ12/2,0),BG12&lt;BC12),
                        "1, Superávit y eliminé superávit",
                        "-2, Superávit y resultado fue bueno"
                    )
                )
            ),
            IF(AND(BC12&lt;=TRUNC(BJ12/2,0),BC12&gt;=0),
                IF(BG12=TRUNC(BJ12/2,0),
                    "-1, no había superávit y deje la capacidad media",
                    IF(AND(BG12&gt;TRUNC(BJ12/2,0), BG12&gt;=BC12),
                        "0, no había superávit, y la deje con superávit",
                        IF(AND(BG12&lt;TRUNC(BJ12/2,0),BG12&lt;BC12),
                            "1, no había superávit, pero el resultado fue mejor",
                            "-2, no había superávit y resultado fue bueno"
                        )
                    )
                )
            )
        )
    )
)</f>
        <v>-1, no había déficit y dejo la capacidad media</v>
      </c>
      <c r="BO12" s="2" t="s">
        <v>209</v>
      </c>
      <c r="BP12" s="3">
        <v>4</v>
      </c>
      <c r="BQ12" s="5">
        <v>3.1111111111111112</v>
      </c>
      <c r="BR12" s="3">
        <v>4</v>
      </c>
      <c r="BS12" s="3">
        <v>3</v>
      </c>
      <c r="BT12" s="3">
        <v>4</v>
      </c>
      <c r="BU12" s="2">
        <v>2.6646209564781631E-3</v>
      </c>
      <c r="BV12" s="26" t="s">
        <v>320</v>
      </c>
      <c r="BW12" s="2">
        <v>7</v>
      </c>
      <c r="BX12" s="14">
        <f>IF(BR12&lt;=BP12,1,0)</f>
        <v>1</v>
      </c>
      <c r="BY12" s="34">
        <f>BR12-BP12</f>
        <v>0</v>
      </c>
      <c r="BZ12" s="29" t="str">
        <f>IF(BU12&gt;0,
    IF(OR(BP12&lt;=TRUNC(BW12/2,0),BP12=0),
        IF(BT12=TRUNC(BW12/2,0),
            "-1, Déficit y dejo la capacidad media",
            IF(AND(BT12&gt;TRUNC(BW12/2,0), BT12&gt;BP12),
                "1, Déficit y eliminé déficit",
                IF(AND(BT12&lt;TRUNC(BW12/2,0), BT12&lt;BP12),
                    "0, Déficit y no elimine déficit",
                    "-2, Déficit y resultado fue bueno")
            )
        ),
        IF(AND(BT12&gt;TRUNC(BW12/2,0), BT12&gt;BP12),
            "1, no había déficit, pero resultado fue mejor",
            IF(AND(BT12&lt;TRUNC(BW12/2,0),BT12&lt;BP12),
                "0, no había déficit y la dejo con déficit",
                IF(BT12=TRUNC(BW12/2,0),
                    "-1, no había déficit y dejo la capacidad media",
                    "-2,no había déficit y resultado fue bueno")
            )
        )
    ),
    IF(BU12&lt;0,
        IF(BP12&gt;TRUNC(BW12/2,0),
            IF(BT12=TRUNC(BW12/2,0),
                "-1, Superávit y deje la capacidad media",
                IF(AND(BT12&gt;TRUNC(BW12/2,0), BT12&gt;=BP12),
                    "0, Superávit y no eliminé superávit",
                    IF(AND(BT12&lt;TRUNC(BW12/2,0),BT12&lt;BP12),
                        "1, Superávit y eliminé superávit",
                        "-2, Superávit y resultado fue bueno"
                    )
                )
            ),
            IF(AND(BP12&lt;=TRUNC(BW12/2,0),BP12&gt;=0),
                IF(BT12=TRUNC(BW12/2,0),
                    "-1, no había superávit y deje la capacidad media",
                    IF(AND(BT12&gt;TRUNC(BW12/2,0), BT12&gt;=BP12),
                        "0, no había superávit, y la deje con superávit",
                        IF(AND(BT12&lt;TRUNC(BW12/2,0),BT12&lt;BP12),
                            "1, no había superávit, pero el resultado fue mejor",
                            "-2, no había superávit y resultado fue bueno"
                        )
                    )
                )
            )
        )
    )
)</f>
        <v>-2,no había déficit y resultado fue bueno</v>
      </c>
      <c r="CB12" s="30" t="s">
        <v>209</v>
      </c>
      <c r="CC12" s="30">
        <v>4</v>
      </c>
      <c r="CD12" s="31">
        <v>4.4444444444444446</v>
      </c>
      <c r="CE12" s="30">
        <v>3</v>
      </c>
      <c r="CF12" s="29">
        <v>0</v>
      </c>
      <c r="CG12" s="30">
        <v>3</v>
      </c>
      <c r="CH12" s="30">
        <v>2.6646209564781631E-3</v>
      </c>
      <c r="CI12" s="26" t="s">
        <v>320</v>
      </c>
      <c r="CJ12" s="30">
        <v>7</v>
      </c>
      <c r="CK12" s="29">
        <f>IF(CE12&lt;=CC12,1,0)</f>
        <v>1</v>
      </c>
      <c r="CL12" s="29">
        <f>CE12-CC12</f>
        <v>-1</v>
      </c>
      <c r="CM12" s="29" t="str">
        <f>IF(CH12&gt;0,
    IF(OR(CC12&lt;=TRUNC(CJ12/2,0),CC12=0),
        IF(CG12=TRUNC(CJ12/2,0),
            "-1, Déficit y dejo la capacidad media",
            IF(AND(CG12&gt;TRUNC(CJ12/2,0), CG12&gt;CC12),
                "1, Déficit y eliminé déficit",
                IF(AND(CG12&lt;TRUNC(CJ12/2,0), CG12&lt;CC12),
                    "0, Déficit y no elimine déficit",
                    "-2, Déficit y resultado fue bueno")
            )
        ),
        IF(AND(CG12&gt;TRUNC(CJ12/2,0), CG12&gt;CC12),
            "1, no había déficit, pero resultado fue mejor",
            IF(AND(CG12&lt;TRUNC(CJ12/2,0),CG12&lt;CC12),
                "0, no había déficit y la dejo con déficit",
                IF(CG12=TRUNC(CJ12/2,0),
                    "-1, no había déficit y dejo la capacidad media",
                    "-2,no había déficit y resultado fue bueno")
            )
        )
    ),
    IF(CH12&lt;0,
        IF(CC12&gt;TRUNC(CJ12/2,0),
            IF(CG12=TRUNC(CJ12/2,0),
                "-1, Superávit y deje la capacidad media",
                IF(AND(CG12&gt;TRUNC(CJ12/2,0), CG12&gt;=CC12),
                    "0, Superávit y no eliminé superávit",
                    IF(AND(CG12&lt;TRUNC(CJ12/2,0),CG12&lt;CC12),
                        "1, Superávit y eliminé superávit",
                        "-2, Superávit y resultado fue bueno"
                    )
                )
            ),
            IF(AND(CC12&lt;=TRUNC(CJ12/2,0),CC12&gt;=0),
                IF(CG12=TRUNC(CJ12/2,0),
                    "-1, no había superávit y deje la capacidad media",
                    IF(AND(CG12&gt;TRUNC(CJ12/2,0), CG12&gt;=CC12),
                        "0, no había superávit, y la deje con superávit",
                        IF(AND(CG12&lt;TRUNC(CJ12/2,0),CG12&lt;CC12),
                            "1, no había superávit, pero el resultado fue mejor",
                            "-2, no había superávit y resultado fue bueno"
                        )
                    )
                )
            )
        )
    )
)</f>
        <v>-1, no había déficit y dejo la capacidad media</v>
      </c>
      <c r="CO12" s="2" t="s">
        <v>209</v>
      </c>
      <c r="CP12" s="2">
        <v>6</v>
      </c>
      <c r="CQ12" s="7">
        <v>3.2222222222222223</v>
      </c>
      <c r="CR12" s="3">
        <v>6</v>
      </c>
      <c r="CS12" s="3">
        <v>6</v>
      </c>
      <c r="CT12" s="2">
        <v>3</v>
      </c>
      <c r="CU12" s="36">
        <v>2.6646209564781631E-3</v>
      </c>
      <c r="CV12" s="26" t="s">
        <v>320</v>
      </c>
      <c r="CW12" s="30">
        <v>7</v>
      </c>
      <c r="CX12" s="29">
        <f>IF(CR12&lt;=CP12,1,0)</f>
        <v>1</v>
      </c>
      <c r="CY12" s="29">
        <f>CR12-CP12</f>
        <v>0</v>
      </c>
      <c r="CZ12" s="29" t="str">
        <f>IF(CU12&gt;0,
    IF(OR(CP12&lt;=TRUNC(CW12/2,0),CP12=0),
        IF(CT12=TRUNC(CW12/2,0),
            "-1, Déficit y dejo la capacidad media",
            IF(AND(CT12&gt;TRUNC(CW12/2,0), CT12&gt;CP12),
                "1, Déficit y eliminé déficit",
                IF(AND(CT12&lt;TRUNC(CW12/2,0), CT12&lt;CP12),
                    "0, Déficit y no elimine déficit",
                    "-2, Déficit y resultado fue bueno")
            )
        ),
        IF(AND(CT12&gt;TRUNC(CW12/2,0), CT12&gt;CP12),
            "1, no había déficit, pero resultado fue mejor",
            IF(AND(CT12&lt;TRUNC(CW12/2,0),CT12&lt;CP12),
                "0, no había déficit y la dejo con déficit",
                IF(CT12=TRUNC(CW12/2,0),
                    "-1, no había déficit y dejo la capacidad media",
                    "-2,no había déficit y resultado fue bueno")
            )
        )
    ),
    IF(CU12&lt;0,
        IF(CP12&gt;TRUNC(CW12/2,0),
            IF(CT12=TRUNC(CW12/2,0),
                "-1, Superávit y deje la capacidad media",
                IF(AND(CT12&gt;TRUNC(CW12/2,0), CT12&gt;=CP12),
                    "0, Superávit y no eliminé superávit",
                    IF(AND(CT12&lt;TRUNC(CW12/2,0),CT12&lt;CP12),
                        "1, Superávit y eliminé superávit",
                        "-2, Superávit y resultado fue bueno"
                    )
                )
            ),
            IF(AND(CP12&lt;=TRUNC(CW12/2,0),CP12&gt;=0),
                IF(CT12=TRUNC(CW12/2,0),
                    "-1, no había superávit y deje la capacidad media",
                    IF(AND(CT12&gt;TRUNC(CW12/2,0), CT12&gt;=CP12),
                        "0, no había superávit, y la deje con superávit",
                        IF(AND(CT12&lt;TRUNC(CW12/2,0),CT12&lt;CP12),
                            "1, no había superávit, pero el resultado fue mejor",
                            "-2, no había superávit y resultado fue bueno"
                        )
                    )
                )
            )
        )
    )
)</f>
        <v>-1, no había déficit y dejo la capacidad media</v>
      </c>
      <c r="DB12" s="2" t="s">
        <v>215</v>
      </c>
    </row>
    <row r="13" spans="1:108" ht="14.25" customHeight="1" x14ac:dyDescent="0.3">
      <c r="A13" s="29" t="str">
        <f t="shared" si="0"/>
        <v>Llenado</v>
      </c>
      <c r="B13" s="30" t="s">
        <v>214</v>
      </c>
      <c r="C13" s="30">
        <v>10</v>
      </c>
      <c r="D13" s="31">
        <v>8.1111111111111107</v>
      </c>
      <c r="E13" s="31">
        <v>12</v>
      </c>
      <c r="F13" s="29">
        <v>11</v>
      </c>
      <c r="G13" s="30">
        <v>10</v>
      </c>
      <c r="H13" s="30">
        <v>-0.3761105231824623</v>
      </c>
      <c r="I13" s="26" t="s">
        <v>322</v>
      </c>
      <c r="J13" s="30">
        <v>15</v>
      </c>
      <c r="K13" s="29">
        <f>IF(E13&gt;=C13,1,0)</f>
        <v>1</v>
      </c>
      <c r="L13" s="32">
        <f>E13-C13</f>
        <v>2</v>
      </c>
      <c r="M13" s="32" t="str">
        <f>IF(H13&gt;0,
    IF(OR(C13&lt;=TRUNC(J13/2,0),C13=0),
        IF(G13=TRUNC(J13/2,0),
            "-1, Déficit y dejo la capacidad media",
            IF(AND(G13&gt;TRUNC(J13/2,0), G13&gt;C13),
                "1, Déficit y eliminé déficit",
                IF(AND(G13&lt;TRUNC(J13/2,0), G13&lt;C13),
                    "0, Déficit y no elimine déficit",
                    "-2, Déficit y resultado fue bueno")
            )
        ),
        IF(AND(G13&gt;TRUNC(J13/2,0), G13&gt;C13),
            "1, no había déficit, pero resultado fue mejor",
            IF(AND(G13&lt;TRUNC(J13/2,0),G13&lt;C13),
                "0, no había déficit y la dejo con déficit",
                IF(G13=TRUNC(J13/2,0),
                    "-1, no había déficit y dejo la capacidad media",
                    "-2,no había déficit y resultado fue bueno")
            )
        )
    ),
    IF(H13&lt;0,
        IF(C13&gt;TRUNC(J13/2,0),
            IF(G13=TRUNC(J13/2,0),
                "-1, Superávit y deje la capacidad media",
                IF(AND(G13&gt;TRUNC(J13/2,0), G13&gt;=C13),
                    "0, Superávit y no eliminé superávit",
                    IF(AND(G13&lt;TRUNC(J13/2,0),G13&lt;C13),
                        "1, Superávit y eliminé superávit",
                        "-2, Superávit y resultado fue bueno"
                    )
                )
            ),
            IF(AND(C13&lt;=TRUNC(J13/2,0),C13&gt;=0),
                IF(G13=TRUNC(J13/2,0),
                    "-1, no había superávit y deje la capacidad media",
                    IF(AND(G13&gt;TRUNC(J13/2,0), G13&gt;=C13),
                        "0, no había superávit, y la deje con superávit",
                        IF(AND(G13&lt;TRUNC(J13/2,0),G13&lt;C13),
                            "1, no había superávit, pero el resultado fue mejor",
                            "-2, no había superávit y resultado fue bueno"
                        )
                    )
                )
            )
        )
    )
)</f>
        <v>0, Superávit y no eliminé superávit</v>
      </c>
      <c r="O13" s="30" t="s">
        <v>214</v>
      </c>
      <c r="P13" s="30">
        <v>14</v>
      </c>
      <c r="Q13" s="31">
        <v>9.5555555555555554</v>
      </c>
      <c r="R13" s="30">
        <v>14</v>
      </c>
      <c r="S13" s="29">
        <v>14</v>
      </c>
      <c r="T13" s="30">
        <v>7</v>
      </c>
      <c r="U13" s="30">
        <v>-0.3761105231824623</v>
      </c>
      <c r="V13" s="26" t="s">
        <v>322</v>
      </c>
      <c r="W13" s="30">
        <v>15</v>
      </c>
      <c r="X13" s="29">
        <f>IF(R13&gt;=P13,1,0)</f>
        <v>1</v>
      </c>
      <c r="Y13" s="29">
        <f>R13-P13</f>
        <v>0</v>
      </c>
      <c r="Z13" s="29" t="str">
        <f>IF(U13&gt;0,
    IF(OR(P13&lt;=TRUNC(W13/2,0),P13=0),
        IF(T13=TRUNC(W13/2,0),
            "-1, Déficit y dejo la capacidad media",
            IF(AND(T13&gt;TRUNC(W13/2,0), T13&gt;P13),
                "1, Déficit y eliminé déficit",
                IF(AND(T13&lt;TRUNC(W13/2,0), T13&lt;P13),
                    "0, Déficit y no elimine déficit",
                    "-2, Déficit y resultado fue bueno")
            )
        ),
        IF(AND(T13&gt;TRUNC(W13/2,0), T13&gt;P13),
            "1, no había déficit, pero resultado fue mejor",
            IF(AND(T13&lt;TRUNC(W13/2,0),T13&lt;P13),
                "0, no había déficit y la dejo con déficit",
                IF(T13=TRUNC(W13/2,0),
                    "-1, no había déficit y dejo la capacidad media",
                    "-2,no había déficit y resultado fue bueno")
            )
        )
    ),
    IF(U13&lt;0,
        IF(P13&gt;TRUNC(W13/2,0),
            IF(T13=TRUNC(W13/2,0),
                "-1, Superávit y deje la capacidad media",
                IF(AND(T13&gt;TRUNC(W13/2,0), T13&gt;=P13),
                    "0, Superávit y no eliminé superávit",
                    IF(AND(T13&lt;TRUNC(W13/2,0),T13&lt;P13),
                        "1, Superávit y eliminé superávit",
                        "-2, Superávit y resultado fue bueno"
                    )
                )
            ),
            IF(AND(P13&lt;=TRUNC(W13/2,0),P13&gt;=0),
                IF(T13=TRUNC(W13/2,0),
                    "-1, no había superávit y deje la capacidad media",
                    IF(AND(T13&gt;TRUNC(W13/2,0), T13&gt;=P13),
                        "0, no había superávit, y la deje con superávit",
                        IF(AND(T13&lt;TRUNC(W13/2,0),T13&lt;P13),
                            "1, no había superávit, pero el resultado fue mejor",
                            "-2, no había superávit y resultado fue bueno"
                        )
                    )
                )
            )
        )
    )
)</f>
        <v>-1, Superávit y deje la capacidad media</v>
      </c>
      <c r="AB13" s="2" t="s">
        <v>214</v>
      </c>
      <c r="AC13" s="3">
        <v>11</v>
      </c>
      <c r="AD13" s="5">
        <v>10.555555555555555</v>
      </c>
      <c r="AE13" s="3">
        <v>11</v>
      </c>
      <c r="AF13" s="3">
        <v>11</v>
      </c>
      <c r="AG13" s="3">
        <v>11</v>
      </c>
      <c r="AH13" s="2">
        <v>-0.3761105231824623</v>
      </c>
      <c r="AI13" s="26" t="s">
        <v>322</v>
      </c>
      <c r="AJ13" s="2">
        <v>15</v>
      </c>
      <c r="AK13" s="14">
        <f>IF(AE13&gt;=AC13,1,0)</f>
        <v>1</v>
      </c>
      <c r="AL13" s="34">
        <f>AE13-AC13</f>
        <v>0</v>
      </c>
      <c r="AM13" s="29" t="str">
        <f>IF(AH13&gt;0,
    IF(OR(AC13&lt;=TRUNC(AJ13/2,0),AC13=0),
        IF(AG13=TRUNC(AJ13/2,0),
            "-1, Déficit y dejo la capacidad media",
            IF(AND(AG13&gt;TRUNC(AJ13/2,0), AG13&gt;AC13),
                "1, Déficit y eliminé déficit",
                IF(AND(AG13&lt;TRUNC(AJ13/2,0), AG13&lt;AC13),
                    "0, Déficit y no elimine déficit",
                    "-2, Déficit y resultado fue bueno")
            )
        ),
        IF(AND(AG13&gt;TRUNC(AJ13/2,0), AG13&gt;AC13),
            "1, no había déficit, pero resultado fue mejor",
            IF(AND(AG13&lt;TRUNC(AJ13/2,0),AG13&lt;AC13),
                "0, no había déficit y la dejo con déficit",
                IF(AG13=TRUNC(AJ13/2,0),
                    "-1, no había déficit y dejo la capacidad media",
                    "-2,no había déficit y resultado fue bueno")
            )
        )
    ),
    IF(AH13&lt;0,
        IF(AC13&gt;TRUNC(AJ13/2,0),
            IF(AG13=TRUNC(AJ13/2,0),
                "-1, Superávit y deje la capacidad media",
                IF(AND(AG13&gt;TRUNC(AJ13/2,0), AG13&gt;=AC13),
                    "0, Superávit y no eliminé superávit",
                    IF(AND(AG13&lt;TRUNC(AJ13/2,0),AG13&lt;AC13),
                        "1, Superávit y eliminé superávit",
                        "-2, Superávit y resultado fue bueno"
                    )
                )
            ),
            IF(AND(AC13&lt;=TRUNC(AJ13/2,0),AC13&gt;=0),
                IF(AG13=TRUNC(AJ13/2,0),
                    "-1, no había superávit y deje la capacidad media",
                    IF(AND(AG13&gt;TRUNC(AJ13/2,0), AG13&gt;=AC13),
                        "0, no había superávit, y la deje con superávit",
                        IF(AND(AG13&lt;TRUNC(AJ13/2,0),AG13&lt;AC13),
                            "1, no había superávit, pero el resultado fue mejor",
                            "-2, no había superávit y resultado fue bueno"
                        )
                    )
                )
            )
        )
    )
)</f>
        <v>0, Superávit y no eliminé superávit</v>
      </c>
      <c r="AO13" s="2" t="s">
        <v>214</v>
      </c>
      <c r="AP13" s="3">
        <v>10</v>
      </c>
      <c r="AQ13" s="5">
        <v>9.2222222222222214</v>
      </c>
      <c r="AR13" s="3">
        <v>11</v>
      </c>
      <c r="AS13" s="3">
        <v>11</v>
      </c>
      <c r="AT13" s="3">
        <v>10</v>
      </c>
      <c r="AU13" s="15">
        <v>-0.3761105231824623</v>
      </c>
      <c r="AV13" s="26" t="s">
        <v>322</v>
      </c>
      <c r="AW13" s="2">
        <v>15</v>
      </c>
      <c r="AX13" s="14">
        <f>IF(AR13&gt;=AP13,1,0)</f>
        <v>1</v>
      </c>
      <c r="AY13" s="34">
        <f>AR13-AP13</f>
        <v>1</v>
      </c>
      <c r="AZ13" s="29" t="str">
        <f>IF(AU13&gt;0,
    IF(OR(AP13&lt;=TRUNC(AW13/2,0),AP13=0),
        IF(AT13=TRUNC(AW13/2,0),
            "-1, Déficit y dejo la capacidad media",
            IF(AND(AT13&gt;TRUNC(AW13/2,0), AT13&gt;AP13),
                "1, Déficit y eliminé déficit",
                IF(AND(AT13&lt;TRUNC(AW13/2,0), AT13&lt;AP13),
                    "0, Déficit y no elimine déficit",
                    "-2, Déficit y resultado fue bueno")
            )
        ),
        IF(AND(AT13&gt;TRUNC(AW13/2,0), AT13&gt;AP13),
            "1, no había déficit, pero resultado fue mejor",
            IF(AND(AT13&lt;TRUNC(AW13/2,0),AT13&lt;AP13),
                "0, no había déficit y la dejo con déficit",
                IF(AT13=TRUNC(AW13/2,0),
                    "-1, no había déficit y dejo la capacidad media",
                    "-2,no había déficit y resultado fue bueno")
            )
        )
    ),
    IF(AU13&lt;0,
        IF(AP13&gt;TRUNC(AW13/2,0),
            IF(AT13=TRUNC(AW13/2,0),
                "-1, Superávit y deje la capacidad media",
                IF(AND(AT13&gt;TRUNC(AW13/2,0), AT13&gt;=AP13),
                    "0, Superávit y no eliminé superávit",
                    IF(AND(AT13&lt;TRUNC(AW13/2,0),AT13&lt;AP13),
                        "1, Superávit y eliminé superávit",
                        "-2, Superávit y resultado fue bueno"
                    )
                )
            ),
            IF(AND(AP13&lt;=TRUNC(AW13/2,0),AP13&gt;=0),
                IF(AT13=TRUNC(AW13/2,0),
                    "-1, no había superávit y deje la capacidad media",
                    IF(AND(AT13&gt;TRUNC(AW13/2,0), AT13&gt;=AP13),
                        "0, no había superávit, y la deje con superávit",
                        IF(AND(AT13&lt;TRUNC(AW13/2,0),AT13&lt;AP13),
                            "1, no había superávit, pero el resultado fue mejor",
                            "-2, no había superávit y resultado fue bueno"
                        )
                    )
                )
            )
        )
    )
)</f>
        <v>0, Superávit y no eliminé superávit</v>
      </c>
      <c r="BB13" s="30" t="s">
        <v>214</v>
      </c>
      <c r="BC13" s="29">
        <v>5</v>
      </c>
      <c r="BD13" s="31">
        <v>8.7777777777777786</v>
      </c>
      <c r="BE13" s="29">
        <v>5</v>
      </c>
      <c r="BF13" s="29">
        <v>6</v>
      </c>
      <c r="BG13" s="29">
        <v>5</v>
      </c>
      <c r="BH13" s="30">
        <v>-0.3761105231824623</v>
      </c>
      <c r="BI13" s="26" t="s">
        <v>322</v>
      </c>
      <c r="BJ13" s="30">
        <v>15</v>
      </c>
      <c r="BK13" s="29">
        <f>IF(BE13&gt;=BC13,1,0)</f>
        <v>1</v>
      </c>
      <c r="BL13" s="29">
        <f>BE13-BC13</f>
        <v>0</v>
      </c>
      <c r="BM13" s="29" t="str">
        <f>IF(BH13&gt;0,
    IF(OR(BC13&lt;=TRUNC(BJ13/2,0),BC13=0),
        IF(BG13=TRUNC(BJ13/2,0),
            "-1, Déficit y dejo la capacidad media",
            IF(AND(BG13&gt;TRUNC(BJ13/2,0), BG13&gt;BC13),
                "1, Déficit y eliminé déficit",
                IF(AND(BG13&lt;TRUNC(BJ13/2,0), BG13&lt;BC13),
                    "0, Déficit y no elimine déficit",
                    "-2, Déficit y resultado fue bueno")
            )
        ),
        IF(AND(BG13&gt;TRUNC(BJ13/2,0), BG13&gt;BC13),
            "1, no había déficit, pero resultado fue mejor",
            IF(AND(BG13&lt;TRUNC(BJ13/2,0),BG13&lt;BC13),
                "0, no había déficit y la dejo con déficit",
                IF(BG13=TRUNC(BJ13/2,0),
                    "-1, no había déficit y dejo la capacidad media",
                    "-2,no había déficit y resultado fue bueno")
            )
        )
    ),
    IF(BH13&lt;0,
        IF(BC13&gt;TRUNC(BJ13/2,0),
            IF(BG13=TRUNC(BJ13/2,0),
                "-1, Superávit y deje la capacidad media",
                IF(AND(BG13&gt;TRUNC(BJ13/2,0), BG13&gt;=BC13),
                    "0, Superávit y no eliminé superávit",
                    IF(AND(BG13&lt;TRUNC(BJ13/2,0),BG13&lt;BC13),
                        "1, Superávit y eliminé superávit",
                        "-2, Superávit y resultado fue bueno"
                    )
                )
            ),
            IF(AND(BC13&lt;=TRUNC(BJ13/2,0),BC13&gt;=0),
                IF(BG13=TRUNC(BJ13/2,0),
                    "-1, no había superávit y deje la capacidad media",
                    IF(AND(BG13&gt;TRUNC(BJ13/2,0), BG13&gt;=BC13),
                        "0, no había superávit, y la deje con superávit",
                        IF(AND(BG13&lt;TRUNC(BJ13/2,0),BG13&lt;BC13),
                            "1, no había superávit, pero el resultado fue mejor",
                            "-2, no había superávit y resultado fue bueno"
                        )
                    )
                )
            )
        )
    )
)</f>
        <v>-2, no había superávit y resultado fue bueno</v>
      </c>
      <c r="BO13" s="2" t="s">
        <v>214</v>
      </c>
      <c r="BP13" s="3">
        <v>5</v>
      </c>
      <c r="BQ13" s="5">
        <v>9.6666666666666661</v>
      </c>
      <c r="BR13" s="3">
        <v>5</v>
      </c>
      <c r="BS13" s="3">
        <v>5</v>
      </c>
      <c r="BT13" s="3">
        <v>5</v>
      </c>
      <c r="BU13" s="2">
        <v>-0.3761105231824623</v>
      </c>
      <c r="BV13" s="26" t="s">
        <v>322</v>
      </c>
      <c r="BW13" s="2">
        <v>15</v>
      </c>
      <c r="BX13" s="14">
        <f>IF(BR13&gt;=BP13,1,0)</f>
        <v>1</v>
      </c>
      <c r="BY13" s="34">
        <f>BR13-BP13</f>
        <v>0</v>
      </c>
      <c r="BZ13" s="29" t="str">
        <f>IF(BU13&gt;0,
    IF(OR(BP13&lt;=TRUNC(BW13/2,0),BP13=0),
        IF(BT13=TRUNC(BW13/2,0),
            "-1, Déficit y dejo la capacidad media",
            IF(AND(BT13&gt;TRUNC(BW13/2,0), BT13&gt;BP13),
                "1, Déficit y eliminé déficit",
                IF(AND(BT13&lt;TRUNC(BW13/2,0), BT13&lt;BP13),
                    "0, Déficit y no elimine déficit",
                    "-2, Déficit y resultado fue bueno")
            )
        ),
        IF(AND(BT13&gt;TRUNC(BW13/2,0), BT13&gt;BP13),
            "1, no había déficit, pero resultado fue mejor",
            IF(AND(BT13&lt;TRUNC(BW13/2,0),BT13&lt;BP13),
                "0, no había déficit y la dejo con déficit",
                IF(BT13=TRUNC(BW13/2,0),
                    "-1, no había déficit y dejo la capacidad media",
                    "-2,no había déficit y resultado fue bueno")
            )
        )
    ),
    IF(BU13&lt;0,
        IF(BP13&gt;TRUNC(BW13/2,0),
            IF(BT13=TRUNC(BW13/2,0),
                "-1, Superávit y deje la capacidad media",
                IF(AND(BT13&gt;TRUNC(BW13/2,0), BT13&gt;=BP13),
                    "0, Superávit y no eliminé superávit",
                    IF(AND(BT13&lt;TRUNC(BW13/2,0),BT13&lt;BP13),
                        "1, Superávit y eliminé superávit",
                        "-2, Superávit y resultado fue bueno"
                    )
                )
            ),
            IF(AND(BP13&lt;=TRUNC(BW13/2,0),BP13&gt;=0),
                IF(BT13=TRUNC(BW13/2,0),
                    "-1, no había superávit y deje la capacidad media",
                    IF(AND(BT13&gt;TRUNC(BW13/2,0), BT13&gt;=BP13),
                        "0, no había superávit, y la deje con superávit",
                        IF(AND(BT13&lt;TRUNC(BW13/2,0),BT13&lt;BP13),
                            "1, no había superávit, pero el resultado fue mejor",
                            "-2, no había superávit y resultado fue bueno"
                        )
                    )
                )
            )
        )
    )
)</f>
        <v>-2, no había superávit y resultado fue bueno</v>
      </c>
      <c r="CB13" s="30" t="s">
        <v>214</v>
      </c>
      <c r="CC13" s="30">
        <v>10</v>
      </c>
      <c r="CD13" s="31">
        <v>9.8888888888888893</v>
      </c>
      <c r="CE13" s="30">
        <v>10</v>
      </c>
      <c r="CF13" s="29">
        <v>10</v>
      </c>
      <c r="CG13" s="30">
        <v>10</v>
      </c>
      <c r="CH13" s="30">
        <v>-0.3761105231824623</v>
      </c>
      <c r="CI13" s="26" t="s">
        <v>322</v>
      </c>
      <c r="CJ13" s="30">
        <v>15</v>
      </c>
      <c r="CK13" s="29">
        <f>IF(CE13&gt;=CC13,1,0)</f>
        <v>1</v>
      </c>
      <c r="CL13" s="29">
        <f>CE13-CC13</f>
        <v>0</v>
      </c>
      <c r="CM13" s="29" t="str">
        <f>IF(CH13&gt;0,
    IF(OR(CC13&lt;=TRUNC(CJ13/2,0),CC13=0),
        IF(CG13=TRUNC(CJ13/2,0),
            "-1, Déficit y dejo la capacidad media",
            IF(AND(CG13&gt;TRUNC(CJ13/2,0), CG13&gt;CC13),
                "1, Déficit y eliminé déficit",
                IF(AND(CG13&lt;TRUNC(CJ13/2,0), CG13&lt;CC13),
                    "0, Déficit y no elimine déficit",
                    "-2, Déficit y resultado fue bueno")
            )
        ),
        IF(AND(CG13&gt;TRUNC(CJ13/2,0), CG13&gt;CC13),
            "1, no había déficit, pero resultado fue mejor",
            IF(AND(CG13&lt;TRUNC(CJ13/2,0),CG13&lt;CC13),
                "0, no había déficit y la dejo con déficit",
                IF(CG13=TRUNC(CJ13/2,0),
                    "-1, no había déficit y dejo la capacidad media",
                    "-2,no había déficit y resultado fue bueno")
            )
        )
    ),
    IF(CH13&lt;0,
        IF(CC13&gt;TRUNC(CJ13/2,0),
            IF(CG13=TRUNC(CJ13/2,0),
                "-1, Superávit y deje la capacidad media",
                IF(AND(CG13&gt;TRUNC(CJ13/2,0), CG13&gt;=CC13),
                    "0, Superávit y no eliminé superávit",
                    IF(AND(CG13&lt;TRUNC(CJ13/2,0),CG13&lt;CC13),
                        "1, Superávit y eliminé superávit",
                        "-2, Superávit y resultado fue bueno"
                    )
                )
            ),
            IF(AND(CC13&lt;=TRUNC(CJ13/2,0),CC13&gt;=0),
                IF(CG13=TRUNC(CJ13/2,0),
                    "-1, no había superávit y deje la capacidad media",
                    IF(AND(CG13&gt;TRUNC(CJ13/2,0), CG13&gt;=CC13),
                        "0, no había superávit, y la deje con superávit",
                        IF(AND(CG13&lt;TRUNC(CJ13/2,0),CG13&lt;CC13),
                            "1, no había superávit, pero el resultado fue mejor",
                            "-2, no había superávit y resultado fue bueno"
                        )
                    )
                )
            )
        )
    )
)</f>
        <v>0, Superávit y no eliminé superávit</v>
      </c>
      <c r="CO13" s="2" t="s">
        <v>214</v>
      </c>
      <c r="CP13" s="2">
        <v>12</v>
      </c>
      <c r="CQ13" s="7">
        <v>8.1111111111111107</v>
      </c>
      <c r="CR13" s="3">
        <v>14</v>
      </c>
      <c r="CS13" s="3">
        <v>14</v>
      </c>
      <c r="CT13" s="2">
        <v>12</v>
      </c>
      <c r="CU13" s="36">
        <v>-0.3761105231824623</v>
      </c>
      <c r="CV13" s="26" t="s">
        <v>322</v>
      </c>
      <c r="CW13" s="30">
        <v>15</v>
      </c>
      <c r="CX13" s="29">
        <f>IF(CR13&gt;=CP13,1,0)</f>
        <v>1</v>
      </c>
      <c r="CY13" s="29">
        <f>CR13-CP13</f>
        <v>2</v>
      </c>
      <c r="CZ13" s="29" t="str">
        <f>IF(CU13&gt;0,
    IF(OR(CP13&lt;=TRUNC(CW13/2,0),CP13=0),
        IF(CT13=TRUNC(CW13/2,0),
            "-1, Déficit y dejo la capacidad media",
            IF(AND(CT13&gt;TRUNC(CW13/2,0), CT13&gt;CP13),
                "1, Déficit y eliminé déficit",
                IF(AND(CT13&lt;TRUNC(CW13/2,0), CT13&lt;CP13),
                    "0, Déficit y no elimine déficit",
                    "-2, Déficit y resultado fue bueno")
            )
        ),
        IF(AND(CT13&gt;TRUNC(CW13/2,0), CT13&gt;CP13),
            "1, no había déficit, pero resultado fue mejor",
            IF(AND(CT13&lt;TRUNC(CW13/2,0),CT13&lt;CP13),
                "0, no había déficit y la dejo con déficit",
                IF(CT13=TRUNC(CW13/2,0),
                    "-1, no había déficit y dejo la capacidad media",
                    "-2,no había déficit y resultado fue bueno")
            )
        )
    ),
    IF(CU13&lt;0,
        IF(CP13&gt;TRUNC(CW13/2,0),
            IF(CT13=TRUNC(CW13/2,0),
                "-1, Superávit y deje la capacidad media",
                IF(AND(CT13&gt;TRUNC(CW13/2,0), CT13&gt;=CP13),
                    "0, Superávit y no eliminé superávit",
                    IF(AND(CT13&lt;TRUNC(CW13/2,0),CT13&lt;CP13),
                        "1, Superávit y eliminé superávit",
                        "-2, Superávit y resultado fue bueno"
                    )
                )
            ),
            IF(AND(CP13&lt;=TRUNC(CW13/2,0),CP13&gt;=0),
                IF(CT13=TRUNC(CW13/2,0),
                    "-1, no había superávit y deje la capacidad media",
                    IF(AND(CT13&gt;TRUNC(CW13/2,0), CT13&gt;=CP13),
                        "0, no había superávit, y la deje con superávit",
                        IF(AND(CT13&lt;TRUNC(CW13/2,0),CT13&lt;CP13),
                            "1, no había superávit, pero el resultado fue mejor",
                            "-2, no había superávit y resultado fue bueno"
                        )
                    )
                )
            )
        )
    )
)</f>
        <v>0, Superávit y no eliminé superávit</v>
      </c>
      <c r="DB13" s="2" t="s">
        <v>224</v>
      </c>
    </row>
    <row r="14" spans="1:108" ht="14.25" customHeight="1" x14ac:dyDescent="0.3">
      <c r="A14" s="29" t="str">
        <f t="shared" si="0"/>
        <v>Llenado</v>
      </c>
      <c r="B14" s="30" t="s">
        <v>211</v>
      </c>
      <c r="C14" s="30">
        <v>13</v>
      </c>
      <c r="D14" s="31">
        <v>11</v>
      </c>
      <c r="E14" s="31">
        <v>13</v>
      </c>
      <c r="F14" s="29">
        <v>12</v>
      </c>
      <c r="G14" s="30">
        <v>4</v>
      </c>
      <c r="H14" s="30">
        <v>-0.61856740376708086</v>
      </c>
      <c r="I14" s="26" t="s">
        <v>321</v>
      </c>
      <c r="J14" s="30">
        <v>15</v>
      </c>
      <c r="K14" s="29">
        <f>IF(E14&gt;=C14,1,0)</f>
        <v>1</v>
      </c>
      <c r="L14" s="32">
        <f>E14-C14</f>
        <v>0</v>
      </c>
      <c r="M14" s="32" t="str">
        <f>IF(H14&gt;0,
    IF(OR(C14&lt;=TRUNC(J14/2,0),C14=0),
        IF(G14=TRUNC(J14/2,0),
            "-1, Déficit y dejo la capacidad media",
            IF(AND(G14&gt;TRUNC(J14/2,0), G14&gt;C14),
                "1, Déficit y eliminé déficit",
                IF(AND(G14&lt;TRUNC(J14/2,0), G14&lt;C14),
                    "0, Déficit y no elimine déficit",
                    "-2, Déficit y resultado fue bueno")
            )
        ),
        IF(AND(G14&gt;TRUNC(J14/2,0), G14&gt;C14),
            "1, no había déficit, pero resultado fue mejor",
            IF(AND(G14&lt;TRUNC(J14/2,0),G14&lt;C14),
                "0, no había déficit y la dejo con déficit",
                IF(G14=TRUNC(J14/2,0),
                    "-1, no había déficit y dejo la capacidad media",
                    "-2,no había déficit y resultado fue bueno")
            )
        )
    ),
    IF(H14&lt;0,
        IF(C14&gt;TRUNC(J14/2,0),
            IF(G14=TRUNC(J14/2,0),
                "-1, Superávit y deje la capacidad media",
                IF(AND(G14&gt;TRUNC(J14/2,0), G14&gt;=C14),
                    "0, Superávit y no eliminé superávit",
                    IF(AND(G14&lt;TRUNC(J14/2,0),G14&lt;C14),
                        "1, Superávit y eliminé superávit",
                        "-2, Superávit y resultado fue bueno"
                    )
                )
            ),
            IF(AND(C14&lt;=TRUNC(J14/2,0),C14&gt;=0),
                IF(G14=TRUNC(J14/2,0),
                    "-1, no había superávit y deje la capacidad media",
                    IF(AND(G14&gt;TRUNC(J14/2,0), G14&gt;=C14),
                        "0, no había superávit, y la deje con superávit",
                        IF(AND(G14&lt;TRUNC(J14/2,0),G14&lt;C14),
                            "1, no había superávit, pero el resultado fue mejor",
                            "-2, no había superávit y resultado fue bueno"
                        )
                    )
                )
            )
        )
    )
)</f>
        <v>1, Superávit y eliminé superávit</v>
      </c>
      <c r="O14" s="30" t="s">
        <v>211</v>
      </c>
      <c r="P14" s="30">
        <v>15</v>
      </c>
      <c r="Q14" s="31">
        <v>12.555555555555555</v>
      </c>
      <c r="R14" s="30">
        <v>15</v>
      </c>
      <c r="S14" s="29">
        <v>15</v>
      </c>
      <c r="T14" s="30">
        <v>10</v>
      </c>
      <c r="U14" s="30">
        <v>-0.61856740376708086</v>
      </c>
      <c r="V14" s="26" t="s">
        <v>321</v>
      </c>
      <c r="W14" s="30">
        <v>15</v>
      </c>
      <c r="X14" s="29">
        <f>IF(R14&gt;=P14,1,0)</f>
        <v>1</v>
      </c>
      <c r="Y14" s="29">
        <f>R14-P14</f>
        <v>0</v>
      </c>
      <c r="Z14" s="29" t="str">
        <f>IF(U14&gt;0,
    IF(OR(P14&lt;=TRUNC(W14/2,0),P14=0),
        IF(T14=TRUNC(W14/2,0),
            "-1, Déficit y dejo la capacidad media",
            IF(AND(T14&gt;TRUNC(W14/2,0), T14&gt;P14),
                "1, Déficit y eliminé déficit",
                IF(AND(T14&lt;TRUNC(W14/2,0), T14&lt;P14),
                    "0, Déficit y no elimine déficit",
                    "-2, Déficit y resultado fue bueno")
            )
        ),
        IF(AND(T14&gt;TRUNC(W14/2,0), T14&gt;P14),
            "1, no había déficit, pero resultado fue mejor",
            IF(AND(T14&lt;TRUNC(W14/2,0),T14&lt;P14),
                "0, no había déficit y la dejo con déficit",
                IF(T14=TRUNC(W14/2,0),
                    "-1, no había déficit y dejo la capacidad media",
                    "-2,no había déficit y resultado fue bueno")
            )
        )
    ),
    IF(U14&lt;0,
        IF(P14&gt;TRUNC(W14/2,0),
            IF(T14=TRUNC(W14/2,0),
                "-1, Superávit y deje la capacidad media",
                IF(AND(T14&gt;TRUNC(W14/2,0), T14&gt;=P14),
                    "0, Superávit y no eliminé superávit",
                    IF(AND(T14&lt;TRUNC(W14/2,0),T14&lt;P14),
                        "1, Superávit y eliminé superávit",
                        "-2, Superávit y resultado fue bueno"
                    )
                )
            ),
            IF(AND(P14&lt;=TRUNC(W14/2,0),P14&gt;=0),
                IF(T14=TRUNC(W14/2,0),
                    "-1, no había superávit y deje la capacidad media",
                    IF(AND(T14&gt;TRUNC(W14/2,0), T14&gt;=P14),
                        "0, no había superávit, y la deje con superávit",
                        IF(AND(T14&lt;TRUNC(W14/2,0),T14&lt;P14),
                            "1, no había superávit, pero el resultado fue mejor",
                            "-2, no había superávit y resultado fue bueno"
                        )
                    )
                )
            )
        )
    )
)</f>
        <v>-2, Superávit y resultado fue bueno</v>
      </c>
      <c r="AB14" s="2" t="s">
        <v>211</v>
      </c>
      <c r="AC14" s="3">
        <v>12</v>
      </c>
      <c r="AD14" s="5">
        <v>11.888888888888889</v>
      </c>
      <c r="AE14" s="3">
        <v>12</v>
      </c>
      <c r="AF14" s="3">
        <v>12</v>
      </c>
      <c r="AG14" s="3">
        <v>12</v>
      </c>
      <c r="AH14" s="2">
        <v>-0.61856740376708086</v>
      </c>
      <c r="AI14" s="26" t="s">
        <v>321</v>
      </c>
      <c r="AJ14" s="2">
        <v>15</v>
      </c>
      <c r="AK14" s="14">
        <f>IF(AE14&gt;=AC14,1,0)</f>
        <v>1</v>
      </c>
      <c r="AL14" s="34">
        <f>AE14-AC14</f>
        <v>0</v>
      </c>
      <c r="AM14" s="29" t="str">
        <f>IF(AH14&gt;0,
    IF(OR(AC14&lt;=TRUNC(AJ14/2,0),AC14=0),
        IF(AG14=TRUNC(AJ14/2,0),
            "-1, Déficit y dejo la capacidad media",
            IF(AND(AG14&gt;TRUNC(AJ14/2,0), AG14&gt;AC14),
                "1, Déficit y eliminé déficit",
                IF(AND(AG14&lt;TRUNC(AJ14/2,0), AG14&lt;AC14),
                    "0, Déficit y no elimine déficit",
                    "-2, Déficit y resultado fue bueno")
            )
        ),
        IF(AND(AG14&gt;TRUNC(AJ14/2,0), AG14&gt;AC14),
            "1, no había déficit, pero resultado fue mejor",
            IF(AND(AG14&lt;TRUNC(AJ14/2,0),AG14&lt;AC14),
                "0, no había déficit y la dejo con déficit",
                IF(AG14=TRUNC(AJ14/2,0),
                    "-1, no había déficit y dejo la capacidad media",
                    "-2,no había déficit y resultado fue bueno")
            )
        )
    ),
    IF(AH14&lt;0,
        IF(AC14&gt;TRUNC(AJ14/2,0),
            IF(AG14=TRUNC(AJ14/2,0),
                "-1, Superávit y deje la capacidad media",
                IF(AND(AG14&gt;TRUNC(AJ14/2,0), AG14&gt;=AC14),
                    "0, Superávit y no eliminé superávit",
                    IF(AND(AG14&lt;TRUNC(AJ14/2,0),AG14&lt;AC14),
                        "1, Superávit y eliminé superávit",
                        "-2, Superávit y resultado fue bueno"
                    )
                )
            ),
            IF(AND(AC14&lt;=TRUNC(AJ14/2,0),AC14&gt;=0),
                IF(AG14=TRUNC(AJ14/2,0),
                    "-1, no había superávit y deje la capacidad media",
                    IF(AND(AG14&gt;TRUNC(AJ14/2,0), AG14&gt;=AC14),
                        "0, no había superávit, y la deje con superávit",
                        IF(AND(AG14&lt;TRUNC(AJ14/2,0),AG14&lt;AC14),
                            "1, no había superávit, pero el resultado fue mejor",
                            "-2, no había superávit y resultado fue bueno"
                        )
                    )
                )
            )
        )
    )
)</f>
        <v>0, Superávit y no eliminé superávit</v>
      </c>
      <c r="AO14" s="2" t="s">
        <v>211</v>
      </c>
      <c r="AP14" s="3">
        <v>13</v>
      </c>
      <c r="AQ14" s="5">
        <v>9</v>
      </c>
      <c r="AR14" s="3">
        <v>13</v>
      </c>
      <c r="AS14" s="3">
        <v>13</v>
      </c>
      <c r="AT14" s="3">
        <v>13</v>
      </c>
      <c r="AU14" s="15">
        <v>-0.61856740376708086</v>
      </c>
      <c r="AV14" s="26" t="s">
        <v>321</v>
      </c>
      <c r="AW14" s="2">
        <v>15</v>
      </c>
      <c r="AX14" s="14">
        <f>IF(AR14&gt;=AP14,1,0)</f>
        <v>1</v>
      </c>
      <c r="AY14" s="34">
        <f>AR14-AP14</f>
        <v>0</v>
      </c>
      <c r="AZ14" s="29" t="str">
        <f>IF(AU14&gt;0,
    IF(OR(AP14&lt;=TRUNC(AW14/2,0),AP14=0),
        IF(AT14=TRUNC(AW14/2,0),
            "-1, Déficit y dejo la capacidad media",
            IF(AND(AT14&gt;TRUNC(AW14/2,0), AT14&gt;AP14),
                "1, Déficit y eliminé déficit",
                IF(AND(AT14&lt;TRUNC(AW14/2,0), AT14&lt;AP14),
                    "0, Déficit y no elimine déficit",
                    "-2, Déficit y resultado fue bueno")
            )
        ),
        IF(AND(AT14&gt;TRUNC(AW14/2,0), AT14&gt;AP14),
            "1, no había déficit, pero resultado fue mejor",
            IF(AND(AT14&lt;TRUNC(AW14/2,0),AT14&lt;AP14),
                "0, no había déficit y la dejo con déficit",
                IF(AT14=TRUNC(AW14/2,0),
                    "-1, no había déficit y dejo la capacidad media",
                    "-2,no había déficit y resultado fue bueno")
            )
        )
    ),
    IF(AU14&lt;0,
        IF(AP14&gt;TRUNC(AW14/2,0),
            IF(AT14=TRUNC(AW14/2,0),
                "-1, Superávit y deje la capacidad media",
                IF(AND(AT14&gt;TRUNC(AW14/2,0), AT14&gt;=AP14),
                    "0, Superávit y no eliminé superávit",
                    IF(AND(AT14&lt;TRUNC(AW14/2,0),AT14&lt;AP14),
                        "1, Superávit y eliminé superávit",
                        "-2, Superávit y resultado fue bueno"
                    )
                )
            ),
            IF(AND(AP14&lt;=TRUNC(AW14/2,0),AP14&gt;=0),
                IF(AT14=TRUNC(AW14/2,0),
                    "-1, no había superávit y deje la capacidad media",
                    IF(AND(AT14&gt;TRUNC(AW14/2,0), AT14&gt;=AP14),
                        "0, no había superávit, y la deje con superávit",
                        IF(AND(AT14&lt;TRUNC(AW14/2,0),AT14&lt;AP14),
                            "1, no había superávit, pero el resultado fue mejor",
                            "-2, no había superávit y resultado fue bueno"
                        )
                    )
                )
            )
        )
    )
)</f>
        <v>0, Superávit y no eliminé superávit</v>
      </c>
      <c r="BB14" s="30" t="s">
        <v>211</v>
      </c>
      <c r="BC14" s="29">
        <v>8</v>
      </c>
      <c r="BD14" s="31">
        <v>10</v>
      </c>
      <c r="BE14" s="29">
        <v>9</v>
      </c>
      <c r="BF14" s="29">
        <v>10</v>
      </c>
      <c r="BG14" s="29">
        <v>8</v>
      </c>
      <c r="BH14" s="30">
        <v>-0.61856740376708086</v>
      </c>
      <c r="BI14" s="26" t="s">
        <v>321</v>
      </c>
      <c r="BJ14" s="30">
        <v>15</v>
      </c>
      <c r="BK14" s="29">
        <f>IF(BE14&gt;=BC14,1,0)</f>
        <v>1</v>
      </c>
      <c r="BL14" s="29">
        <f>BE14-BC14</f>
        <v>1</v>
      </c>
      <c r="BM14" s="29" t="str">
        <f>IF(BH14&gt;0,
    IF(OR(BC14&lt;=TRUNC(BJ14/2,0),BC14=0),
        IF(BG14=TRUNC(BJ14/2,0),
            "-1, Déficit y dejo la capacidad media",
            IF(AND(BG14&gt;TRUNC(BJ14/2,0), BG14&gt;BC14),
                "1, Déficit y eliminé déficit",
                IF(AND(BG14&lt;TRUNC(BJ14/2,0), BG14&lt;BC14),
                    "0, Déficit y no elimine déficit",
                    "-2, Déficit y resultado fue bueno")
            )
        ),
        IF(AND(BG14&gt;TRUNC(BJ14/2,0), BG14&gt;BC14),
            "1, no había déficit, pero resultado fue mejor",
            IF(AND(BG14&lt;TRUNC(BJ14/2,0),BG14&lt;BC14),
                "0, no había déficit y la dejo con déficit",
                IF(BG14=TRUNC(BJ14/2,0),
                    "-1, no había déficit y dejo la capacidad media",
                    "-2,no había déficit y resultado fue bueno")
            )
        )
    ),
    IF(BH14&lt;0,
        IF(BC14&gt;TRUNC(BJ14/2,0),
            IF(BG14=TRUNC(BJ14/2,0),
                "-1, Superávit y deje la capacidad media",
                IF(AND(BG14&gt;TRUNC(BJ14/2,0), BG14&gt;=BC14),
                    "0, Superávit y no eliminé superávit",
                    IF(AND(BG14&lt;TRUNC(BJ14/2,0),BG14&lt;BC14),
                        "1, Superávit y eliminé superávit",
                        "-2, Superávit y resultado fue bueno"
                    )
                )
            ),
            IF(AND(BC14&lt;=TRUNC(BJ14/2,0),BC14&gt;=0),
                IF(BG14=TRUNC(BJ14/2,0),
                    "-1, no había superávit y deje la capacidad media",
                    IF(AND(BG14&gt;TRUNC(BJ14/2,0), BG14&gt;=BC14),
                        "0, no había superávit, y la deje con superávit",
                        IF(AND(BG14&lt;TRUNC(BJ14/2,0),BG14&lt;BC14),
                            "1, no había superávit, pero el resultado fue mejor",
                            "-2, no había superávit y resultado fue bueno"
                        )
                    )
                )
            )
        )
    )
)</f>
        <v>0, Superávit y no eliminé superávit</v>
      </c>
      <c r="BO14" s="2" t="s">
        <v>211</v>
      </c>
      <c r="BP14" s="3">
        <v>3</v>
      </c>
      <c r="BQ14" s="5">
        <v>9</v>
      </c>
      <c r="BR14" s="3">
        <v>4</v>
      </c>
      <c r="BS14" s="3">
        <v>5</v>
      </c>
      <c r="BT14" s="3">
        <v>3</v>
      </c>
      <c r="BU14" s="2">
        <v>-0.61856740376708086</v>
      </c>
      <c r="BV14" s="26" t="s">
        <v>321</v>
      </c>
      <c r="BW14" s="2">
        <v>15</v>
      </c>
      <c r="BX14" s="14">
        <f>IF(BR14&gt;=BP14,1,0)</f>
        <v>1</v>
      </c>
      <c r="BY14" s="34">
        <f>BR14-BP14</f>
        <v>1</v>
      </c>
      <c r="BZ14" s="29" t="str">
        <f>IF(BU14&gt;0,
    IF(OR(BP14&lt;=TRUNC(BW14/2,0),BP14=0),
        IF(BT14=TRUNC(BW14/2,0),
            "-1, Déficit y dejo la capacidad media",
            IF(AND(BT14&gt;TRUNC(BW14/2,0), BT14&gt;BP14),
                "1, Déficit y eliminé déficit",
                IF(AND(BT14&lt;TRUNC(BW14/2,0), BT14&lt;BP14),
                    "0, Déficit y no elimine déficit",
                    "-2, Déficit y resultado fue bueno")
            )
        ),
        IF(AND(BT14&gt;TRUNC(BW14/2,0), BT14&gt;BP14),
            "1, no había déficit, pero resultado fue mejor",
            IF(AND(BT14&lt;TRUNC(BW14/2,0),BT14&lt;BP14),
                "0, no había déficit y la dejo con déficit",
                IF(BT14=TRUNC(BW14/2,0),
                    "-1, no había déficit y dejo la capacidad media",
                    "-2,no había déficit y resultado fue bueno")
            )
        )
    ),
    IF(BU14&lt;0,
        IF(BP14&gt;TRUNC(BW14/2,0),
            IF(BT14=TRUNC(BW14/2,0),
                "-1, Superávit y deje la capacidad media",
                IF(AND(BT14&gt;TRUNC(BW14/2,0), BT14&gt;=BP14),
                    "0, Superávit y no eliminé superávit",
                    IF(AND(BT14&lt;TRUNC(BW14/2,0),BT14&lt;BP14),
                        "1, Superávit y eliminé superávit",
                        "-2, Superávit y resultado fue bueno"
                    )
                )
            ),
            IF(AND(BP14&lt;=TRUNC(BW14/2,0),BP14&gt;=0),
                IF(BT14=TRUNC(BW14/2,0),
                    "-1, no había superávit y deje la capacidad media",
                    IF(AND(BT14&gt;TRUNC(BW14/2,0), BT14&gt;=BP14),
                        "0, no había superávit, y la deje con superávit",
                        IF(AND(BT14&lt;TRUNC(BW14/2,0),BT14&lt;BP14),
                            "1, no había superávit, pero el resultado fue mejor",
                            "-2, no había superávit y resultado fue bueno"
                        )
                    )
                )
            )
        )
    )
)</f>
        <v>-2, no había superávit y resultado fue bueno</v>
      </c>
      <c r="CB14" s="30" t="s">
        <v>211</v>
      </c>
      <c r="CC14" s="30">
        <v>13</v>
      </c>
      <c r="CD14" s="31">
        <v>12.222222222222221</v>
      </c>
      <c r="CE14" s="30">
        <v>9</v>
      </c>
      <c r="CF14" s="29">
        <v>10</v>
      </c>
      <c r="CG14" s="30">
        <v>13</v>
      </c>
      <c r="CH14" s="30">
        <v>-0.61856740376708086</v>
      </c>
      <c r="CI14" s="26" t="s">
        <v>321</v>
      </c>
      <c r="CJ14" s="30">
        <v>15</v>
      </c>
      <c r="CK14" s="29">
        <f>IF(CE14&gt;=CC14,1,0)</f>
        <v>0</v>
      </c>
      <c r="CL14" s="29">
        <f>CE14-CC14</f>
        <v>-4</v>
      </c>
      <c r="CM14" s="29" t="str">
        <f>IF(CH14&gt;0,
    IF(OR(CC14&lt;=TRUNC(CJ14/2,0),CC14=0),
        IF(CG14=TRUNC(CJ14/2,0),
            "-1, Déficit y dejo la capacidad media",
            IF(AND(CG14&gt;TRUNC(CJ14/2,0), CG14&gt;CC14),
                "1, Déficit y eliminé déficit",
                IF(AND(CG14&lt;TRUNC(CJ14/2,0), CG14&lt;CC14),
                    "0, Déficit y no elimine déficit",
                    "-2, Déficit y resultado fue bueno")
            )
        ),
        IF(AND(CG14&gt;TRUNC(CJ14/2,0), CG14&gt;CC14),
            "1, no había déficit, pero resultado fue mejor",
            IF(AND(CG14&lt;TRUNC(CJ14/2,0),CG14&lt;CC14),
                "0, no había déficit y la dejo con déficit",
                IF(CG14=TRUNC(CJ14/2,0),
                    "-1, no había déficit y dejo la capacidad media",
                    "-2,no había déficit y resultado fue bueno")
            )
        )
    ),
    IF(CH14&lt;0,
        IF(CC14&gt;TRUNC(CJ14/2,0),
            IF(CG14=TRUNC(CJ14/2,0),
                "-1, Superávit y deje la capacidad media",
                IF(AND(CG14&gt;TRUNC(CJ14/2,0), CG14&gt;=CC14),
                    "0, Superávit y no eliminé superávit",
                    IF(AND(CG14&lt;TRUNC(CJ14/2,0),CG14&lt;CC14),
                        "1, Superávit y eliminé superávit",
                        "-2, Superávit y resultado fue bueno"
                    )
                )
            ),
            IF(AND(CC14&lt;=TRUNC(CJ14/2,0),CC14&gt;=0),
                IF(CG14=TRUNC(CJ14/2,0),
                    "-1, no había superávit y deje la capacidad media",
                    IF(AND(CG14&gt;TRUNC(CJ14/2,0), CG14&gt;=CC14),
                        "0, no había superávit, y la deje con superávit",
                        IF(AND(CG14&lt;TRUNC(CJ14/2,0),CG14&lt;CC14),
                            "1, no había superávit, pero el resultado fue mejor",
                            "-2, no había superávit y resultado fue bueno"
                        )
                    )
                )
            )
        )
    )
)</f>
        <v>0, Superávit y no eliminé superávit</v>
      </c>
      <c r="CO14" s="2" t="s">
        <v>211</v>
      </c>
      <c r="CP14" s="2">
        <v>8</v>
      </c>
      <c r="CQ14" s="7">
        <v>11</v>
      </c>
      <c r="CR14" s="3">
        <v>8</v>
      </c>
      <c r="CS14" s="3">
        <v>10</v>
      </c>
      <c r="CT14" s="2">
        <v>8</v>
      </c>
      <c r="CU14" s="36">
        <v>-0.61856740376708086</v>
      </c>
      <c r="CV14" s="26" t="s">
        <v>321</v>
      </c>
      <c r="CW14" s="30">
        <v>15</v>
      </c>
      <c r="CX14" s="29">
        <f>IF(CR14&gt;=CP14,1,0)</f>
        <v>1</v>
      </c>
      <c r="CY14" s="29">
        <f>CR14-CP14</f>
        <v>0</v>
      </c>
      <c r="CZ14" s="29" t="str">
        <f>IF(CU14&gt;0,
    IF(OR(CP14&lt;=TRUNC(CW14/2,0),CP14=0),
        IF(CT14=TRUNC(CW14/2,0),
            "-1, Déficit y dejo la capacidad media",
            IF(AND(CT14&gt;TRUNC(CW14/2,0), CT14&gt;CP14),
                "1, Déficit y eliminé déficit",
                IF(AND(CT14&lt;TRUNC(CW14/2,0), CT14&lt;CP14),
                    "0, Déficit y no elimine déficit",
                    "-2, Déficit y resultado fue bueno")
            )
        ),
        IF(AND(CT14&gt;TRUNC(CW14/2,0), CT14&gt;CP14),
            "1, no había déficit, pero resultado fue mejor",
            IF(AND(CT14&lt;TRUNC(CW14/2,0),CT14&lt;CP14),
                "0, no había déficit y la dejo con déficit",
                IF(CT14=TRUNC(CW14/2,0),
                    "-1, no había déficit y dejo la capacidad media",
                    "-2,no había déficit y resultado fue bueno")
            )
        )
    ),
    IF(CU14&lt;0,
        IF(CP14&gt;TRUNC(CW14/2,0),
            IF(CT14=TRUNC(CW14/2,0),
                "-1, Superávit y deje la capacidad media",
                IF(AND(CT14&gt;TRUNC(CW14/2,0), CT14&gt;=CP14),
                    "0, Superávit y no eliminé superávit",
                    IF(AND(CT14&lt;TRUNC(CW14/2,0),CT14&lt;CP14),
                        "1, Superávit y eliminé superávit",
                        "-2, Superávit y resultado fue bueno"
                    )
                )
            ),
            IF(AND(CP14&lt;=TRUNC(CW14/2,0),CP14&gt;=0),
                IF(CT14=TRUNC(CW14/2,0),
                    "-1, no había superávit y deje la capacidad media",
                    IF(AND(CT14&gt;TRUNC(CW14/2,0), CT14&gt;=CP14),
                        "0, no había superávit, y la deje con superávit",
                        IF(AND(CT14&lt;TRUNC(CW14/2,0),CT14&lt;CP14),
                            "1, no había superávit, pero el resultado fue mejor",
                            "-2, no había superávit y resultado fue bueno"
                        )
                    )
                )
            )
        )
    )
)</f>
        <v>0, Superávit y no eliminé superávit</v>
      </c>
      <c r="DB14" s="2" t="s">
        <v>227</v>
      </c>
    </row>
    <row r="15" spans="1:108" ht="14.25" customHeight="1" x14ac:dyDescent="0.3">
      <c r="A15" s="29" t="str">
        <f t="shared" si="0"/>
        <v>Llenado</v>
      </c>
      <c r="B15" s="30" t="s">
        <v>225</v>
      </c>
      <c r="C15" s="30">
        <v>11</v>
      </c>
      <c r="D15" s="31">
        <v>6.7777777777777777</v>
      </c>
      <c r="E15" s="31">
        <v>11</v>
      </c>
      <c r="F15" s="29">
        <v>8</v>
      </c>
      <c r="G15" s="30">
        <v>2</v>
      </c>
      <c r="H15" s="30">
        <v>-0.76845746918237878</v>
      </c>
      <c r="I15" s="26" t="s">
        <v>323</v>
      </c>
      <c r="J15" s="30">
        <v>11</v>
      </c>
      <c r="K15" s="29">
        <f>IF(E15&gt;=C15,1,0)</f>
        <v>1</v>
      </c>
      <c r="L15" s="32">
        <f>E15-C15</f>
        <v>0</v>
      </c>
      <c r="M15" s="32" t="str">
        <f>IF(H15&gt;0,
    IF(OR(C15&lt;=TRUNC(J15/2,0),C15=0),
        IF(G15=TRUNC(J15/2,0),
            "-1, Déficit y dejo la capacidad media",
            IF(AND(G15&gt;TRUNC(J15/2,0), G15&gt;C15),
                "1, Déficit y eliminé déficit",
                IF(AND(G15&lt;TRUNC(J15/2,0), G15&lt;C15),
                    "0, Déficit y no elimine déficit",
                    "-2, Déficit y resultado fue bueno")
            )
        ),
        IF(AND(G15&gt;TRUNC(J15/2,0), G15&gt;C15),
            "1, no había déficit, pero resultado fue mejor",
            IF(AND(G15&lt;TRUNC(J15/2,0),G15&lt;C15),
                "0, no había déficit y la dejo con déficit",
                IF(G15=TRUNC(J15/2,0),
                    "-1, no había déficit y dejo la capacidad media",
                    "-2,no había déficit y resultado fue bueno")
            )
        )
    ),
    IF(H15&lt;0,
        IF(C15&gt;TRUNC(J15/2,0),
            IF(G15=TRUNC(J15/2,0),
                "-1, Superávit y deje la capacidad media",
                IF(AND(G15&gt;TRUNC(J15/2,0), G15&gt;=C15),
                    "0, Superávit y no eliminé superávit",
                    IF(AND(G15&lt;TRUNC(J15/2,0),G15&lt;C15),
                        "1, Superávit y eliminé superávit",
                        "-2, Superávit y resultado fue bueno"
                    )
                )
            ),
            IF(AND(C15&lt;=TRUNC(J15/2,0),C15&gt;=0),
                IF(G15=TRUNC(J15/2,0),
                    "-1, no había superávit y deje la capacidad media",
                    IF(AND(G15&gt;TRUNC(J15/2,0), G15&gt;=C15),
                        "0, no había superávit, y la deje con superávit",
                        IF(AND(G15&lt;TRUNC(J15/2,0),G15&lt;C15),
                            "1, no había superávit, pero el resultado fue mejor",
                            "-2, no había superávit y resultado fue bueno"
                        )
                    )
                )
            )
        )
    )
)</f>
        <v>1, Superávit y eliminé superávit</v>
      </c>
      <c r="O15" s="30" t="s">
        <v>225</v>
      </c>
      <c r="P15" s="30">
        <v>11</v>
      </c>
      <c r="Q15" s="31">
        <v>8.3333333333333339</v>
      </c>
      <c r="R15" s="30">
        <v>6</v>
      </c>
      <c r="S15" s="29">
        <v>6</v>
      </c>
      <c r="T15" s="30">
        <v>9</v>
      </c>
      <c r="U15" s="30">
        <v>-0.76845746918237878</v>
      </c>
      <c r="V15" s="26" t="s">
        <v>323</v>
      </c>
      <c r="W15" s="30">
        <v>11</v>
      </c>
      <c r="X15" s="29">
        <f>IF(R15&gt;=P15,1,0)</f>
        <v>0</v>
      </c>
      <c r="Y15" s="29">
        <f>R15-P15</f>
        <v>-5</v>
      </c>
      <c r="Z15" s="29" t="str">
        <f>IF(U15&gt;0,
    IF(OR(P15&lt;=TRUNC(W15/2,0),P15=0),
        IF(T15=TRUNC(W15/2,0),
            "-1, Déficit y dejo la capacidad media",
            IF(AND(T15&gt;TRUNC(W15/2,0), T15&gt;P15),
                "1, Déficit y eliminé déficit",
                IF(AND(T15&lt;TRUNC(W15/2,0), T15&lt;P15),
                    "0, Déficit y no elimine déficit",
                    "-2, Déficit y resultado fue bueno")
            )
        ),
        IF(AND(T15&gt;TRUNC(W15/2,0), T15&gt;P15),
            "1, no había déficit, pero resultado fue mejor",
            IF(AND(T15&lt;TRUNC(W15/2,0),T15&lt;P15),
                "0, no había déficit y la dejo con déficit",
                IF(T15=TRUNC(W15/2,0),
                    "-1, no había déficit y dejo la capacidad media",
                    "-2,no había déficit y resultado fue bueno")
            )
        )
    ),
    IF(U15&lt;0,
        IF(P15&gt;TRUNC(W15/2,0),
            IF(T15=TRUNC(W15/2,0),
                "-1, Superávit y deje la capacidad media",
                IF(AND(T15&gt;TRUNC(W15/2,0), T15&gt;=P15),
                    "0, Superávit y no eliminé superávit",
                    IF(AND(T15&lt;TRUNC(W15/2,0),T15&lt;P15),
                        "1, Superávit y eliminé superávit",
                        "-2, Superávit y resultado fue bueno"
                    )
                )
            ),
            IF(AND(P15&lt;=TRUNC(W15/2,0),P15&gt;=0),
                IF(T15=TRUNC(W15/2,0),
                    "-1, no había superávit y deje la capacidad media",
                    IF(AND(T15&gt;TRUNC(W15/2,0), T15&gt;=P15),
                        "0, no había superávit, y la deje con superávit",
                        IF(AND(T15&lt;TRUNC(W15/2,0),T15&lt;P15),
                            "1, no había superávit, pero el resultado fue mejor",
                            "-2, no había superávit y resultado fue bueno"
                        )
                    )
                )
            )
        )
    )
)</f>
        <v>-2, Superávit y resultado fue bueno</v>
      </c>
      <c r="AB15" s="2" t="s">
        <v>225</v>
      </c>
      <c r="AC15" s="3">
        <v>8</v>
      </c>
      <c r="AD15" s="5">
        <v>8.3333333333333339</v>
      </c>
      <c r="AE15" s="3">
        <v>8</v>
      </c>
      <c r="AF15" s="3">
        <v>8</v>
      </c>
      <c r="AG15" s="3">
        <v>8</v>
      </c>
      <c r="AH15" s="2">
        <v>-0.76845746918237878</v>
      </c>
      <c r="AI15" s="26" t="s">
        <v>323</v>
      </c>
      <c r="AJ15" s="2">
        <v>11</v>
      </c>
      <c r="AK15" s="14">
        <f>IF(AE15&gt;=AC15,1,0)</f>
        <v>1</v>
      </c>
      <c r="AL15" s="34">
        <f>AE15-AC15</f>
        <v>0</v>
      </c>
      <c r="AM15" s="29" t="str">
        <f>IF(AH15&gt;0,
    IF(OR(AC15&lt;=TRUNC(AJ15/2,0),AC15=0),
        IF(AG15=TRUNC(AJ15/2,0),
            "-1, Déficit y dejo la capacidad media",
            IF(AND(AG15&gt;TRUNC(AJ15/2,0), AG15&gt;AC15),
                "1, Déficit y eliminé déficit",
                IF(AND(AG15&lt;TRUNC(AJ15/2,0), AG15&lt;AC15),
                    "0, Déficit y no elimine déficit",
                    "-2, Déficit y resultado fue bueno")
            )
        ),
        IF(AND(AG15&gt;TRUNC(AJ15/2,0), AG15&gt;AC15),
            "1, no había déficit, pero resultado fue mejor",
            IF(AND(AG15&lt;TRUNC(AJ15/2,0),AG15&lt;AC15),
                "0, no había déficit y la dejo con déficit",
                IF(AG15=TRUNC(AJ15/2,0),
                    "-1, no había déficit y dejo la capacidad media",
                    "-2,no había déficit y resultado fue bueno")
            )
        )
    ),
    IF(AH15&lt;0,
        IF(AC15&gt;TRUNC(AJ15/2,0),
            IF(AG15=TRUNC(AJ15/2,0),
                "-1, Superávit y deje la capacidad media",
                IF(AND(AG15&gt;TRUNC(AJ15/2,0), AG15&gt;=AC15),
                    "0, Superávit y no eliminé superávit",
                    IF(AND(AG15&lt;TRUNC(AJ15/2,0),AG15&lt;AC15),
                        "1, Superávit y eliminé superávit",
                        "-2, Superávit y resultado fue bueno"
                    )
                )
            ),
            IF(AND(AC15&lt;=TRUNC(AJ15/2,0),AC15&gt;=0),
                IF(AG15=TRUNC(AJ15/2,0),
                    "-1, no había superávit y deje la capacidad media",
                    IF(AND(AG15&gt;TRUNC(AJ15/2,0), AG15&gt;=AC15),
                        "0, no había superávit, y la deje con superávit",
                        IF(AND(AG15&lt;TRUNC(AJ15/2,0),AG15&lt;AC15),
                            "1, no había superávit, pero el resultado fue mejor",
                            "-2, no había superávit y resultado fue bueno"
                        )
                    )
                )
            )
        )
    )
)</f>
        <v>0, Superávit y no eliminé superávit</v>
      </c>
      <c r="AO15" s="2" t="s">
        <v>225</v>
      </c>
      <c r="AP15" s="3">
        <v>9</v>
      </c>
      <c r="AQ15" s="5">
        <v>7.333333333333333</v>
      </c>
      <c r="AR15" s="3">
        <v>11</v>
      </c>
      <c r="AS15" s="3">
        <v>11</v>
      </c>
      <c r="AT15" s="3">
        <v>2</v>
      </c>
      <c r="AU15" s="15">
        <v>-0.76845746918237878</v>
      </c>
      <c r="AV15" s="26" t="s">
        <v>323</v>
      </c>
      <c r="AW15" s="2">
        <v>11</v>
      </c>
      <c r="AX15" s="14">
        <f>IF(AR15&gt;=AP15,1,0)</f>
        <v>1</v>
      </c>
      <c r="AY15" s="34">
        <f>AR15-AP15</f>
        <v>2</v>
      </c>
      <c r="AZ15" s="29" t="str">
        <f>IF(AU15&gt;0,
    IF(OR(AP15&lt;=TRUNC(AW15/2,0),AP15=0),
        IF(AT15=TRUNC(AW15/2,0),
            "-1, Déficit y dejo la capacidad media",
            IF(AND(AT15&gt;TRUNC(AW15/2,0), AT15&gt;AP15),
                "1, Déficit y eliminé déficit",
                IF(AND(AT15&lt;TRUNC(AW15/2,0), AT15&lt;AP15),
                    "0, Déficit y no elimine déficit",
                    "-2, Déficit y resultado fue bueno")
            )
        ),
        IF(AND(AT15&gt;TRUNC(AW15/2,0), AT15&gt;AP15),
            "1, no había déficit, pero resultado fue mejor",
            IF(AND(AT15&lt;TRUNC(AW15/2,0),AT15&lt;AP15),
                "0, no había déficit y la dejo con déficit",
                IF(AT15=TRUNC(AW15/2,0),
                    "-1, no había déficit y dejo la capacidad media",
                    "-2,no había déficit y resultado fue bueno")
            )
        )
    ),
    IF(AU15&lt;0,
        IF(AP15&gt;TRUNC(AW15/2,0),
            IF(AT15=TRUNC(AW15/2,0),
                "-1, Superávit y deje la capacidad media",
                IF(AND(AT15&gt;TRUNC(AW15/2,0), AT15&gt;=AP15),
                    "0, Superávit y no eliminé superávit",
                    IF(AND(AT15&lt;TRUNC(AW15/2,0),AT15&lt;AP15),
                        "1, Superávit y eliminé superávit",
                        "-2, Superávit y resultado fue bueno"
                    )
                )
            ),
            IF(AND(AP15&lt;=TRUNC(AW15/2,0),AP15&gt;=0),
                IF(AT15=TRUNC(AW15/2,0),
                    "-1, no había superávit y deje la capacidad media",
                    IF(AND(AT15&gt;TRUNC(AW15/2,0), AT15&gt;=AP15),
                        "0, no había superávit, y la deje con superávit",
                        IF(AND(AT15&lt;TRUNC(AW15/2,0),AT15&lt;AP15),
                            "1, no había superávit, pero el resultado fue mejor",
                            "-2, no había superávit y resultado fue bueno"
                        )
                    )
                )
            )
        )
    )
)</f>
        <v>1, Superávit y eliminé superávit</v>
      </c>
      <c r="BB15" s="30" t="s">
        <v>225</v>
      </c>
      <c r="BC15" s="29">
        <v>8</v>
      </c>
      <c r="BD15" s="31">
        <v>7.8888888888888893</v>
      </c>
      <c r="BE15" s="29">
        <v>8</v>
      </c>
      <c r="BF15" s="29">
        <v>9</v>
      </c>
      <c r="BG15" s="29">
        <v>8</v>
      </c>
      <c r="BH15" s="30">
        <v>-0.76845746918237878</v>
      </c>
      <c r="BI15" s="26" t="s">
        <v>323</v>
      </c>
      <c r="BJ15" s="30">
        <v>11</v>
      </c>
      <c r="BK15" s="29">
        <f>IF(BE15&gt;=BC15,1,0)</f>
        <v>1</v>
      </c>
      <c r="BL15" s="29">
        <f>BE15-BC15</f>
        <v>0</v>
      </c>
      <c r="BM15" s="29" t="str">
        <f>IF(BH15&gt;0,
    IF(OR(BC15&lt;=TRUNC(BJ15/2,0),BC15=0),
        IF(BG15=TRUNC(BJ15/2,0),
            "-1, Déficit y dejo la capacidad media",
            IF(AND(BG15&gt;TRUNC(BJ15/2,0), BG15&gt;BC15),
                "1, Déficit y eliminé déficit",
                IF(AND(BG15&lt;TRUNC(BJ15/2,0), BG15&lt;BC15),
                    "0, Déficit y no elimine déficit",
                    "-2, Déficit y resultado fue bueno")
            )
        ),
        IF(AND(BG15&gt;TRUNC(BJ15/2,0), BG15&gt;BC15),
            "1, no había déficit, pero resultado fue mejor",
            IF(AND(BG15&lt;TRUNC(BJ15/2,0),BG15&lt;BC15),
                "0, no había déficit y la dejo con déficit",
                IF(BG15=TRUNC(BJ15/2,0),
                    "-1, no había déficit y dejo la capacidad media",
                    "-2,no había déficit y resultado fue bueno")
            )
        )
    ),
    IF(BH15&lt;0,
        IF(BC15&gt;TRUNC(BJ15/2,0),
            IF(BG15=TRUNC(BJ15/2,0),
                "-1, Superávit y deje la capacidad media",
                IF(AND(BG15&gt;TRUNC(BJ15/2,0), BG15&gt;=BC15),
                    "0, Superávit y no eliminé superávit",
                    IF(AND(BG15&lt;TRUNC(BJ15/2,0),BG15&lt;BC15),
                        "1, Superávit y eliminé superávit",
                        "-2, Superávit y resultado fue bueno"
                    )
                )
            ),
            IF(AND(BC15&lt;=TRUNC(BJ15/2,0),BC15&gt;=0),
                IF(BG15=TRUNC(BJ15/2,0),
                    "-1, no había superávit y deje la capacidad media",
                    IF(AND(BG15&gt;TRUNC(BJ15/2,0), BG15&gt;=BC15),
                        "0, no había superávit, y la deje con superávit",
                        IF(AND(BG15&lt;TRUNC(BJ15/2,0),BG15&lt;BC15),
                            "1, no había superávit, pero el resultado fue mejor",
                            "-2, no había superávit y resultado fue bueno"
                        )
                    )
                )
            )
        )
    )
)</f>
        <v>0, Superávit y no eliminé superávit</v>
      </c>
      <c r="BO15" s="2" t="s">
        <v>225</v>
      </c>
      <c r="BP15" s="3">
        <v>6</v>
      </c>
      <c r="BQ15" s="5">
        <v>6.8888888888888893</v>
      </c>
      <c r="BR15" s="3">
        <v>6</v>
      </c>
      <c r="BS15" s="3">
        <v>6</v>
      </c>
      <c r="BT15" s="3">
        <v>2</v>
      </c>
      <c r="BU15" s="2">
        <v>-0.76845746918237878</v>
      </c>
      <c r="BV15" s="26" t="s">
        <v>323</v>
      </c>
      <c r="BW15" s="2">
        <v>11</v>
      </c>
      <c r="BX15" s="14">
        <f>IF(BR15&gt;=BP15,1,0)</f>
        <v>1</v>
      </c>
      <c r="BY15" s="34">
        <f>BR15-BP15</f>
        <v>0</v>
      </c>
      <c r="BZ15" s="29" t="str">
        <f>IF(BU15&gt;0,
    IF(OR(BP15&lt;=TRUNC(BW15/2,0),BP15=0),
        IF(BT15=TRUNC(BW15/2,0),
            "-1, Déficit y dejo la capacidad media",
            IF(AND(BT15&gt;TRUNC(BW15/2,0), BT15&gt;BP15),
                "1, Déficit y eliminé déficit",
                IF(AND(BT15&lt;TRUNC(BW15/2,0), BT15&lt;BP15),
                    "0, Déficit y no elimine déficit",
                    "-2, Déficit y resultado fue bueno")
            )
        ),
        IF(AND(BT15&gt;TRUNC(BW15/2,0), BT15&gt;BP15),
            "1, no había déficit, pero resultado fue mejor",
            IF(AND(BT15&lt;TRUNC(BW15/2,0),BT15&lt;BP15),
                "0, no había déficit y la dejo con déficit",
                IF(BT15=TRUNC(BW15/2,0),
                    "-1, no había déficit y dejo la capacidad media",
                    "-2,no había déficit y resultado fue bueno")
            )
        )
    ),
    IF(BU15&lt;0,
        IF(BP15&gt;TRUNC(BW15/2,0),
            IF(BT15=TRUNC(BW15/2,0),
                "-1, Superávit y deje la capacidad media",
                IF(AND(BT15&gt;TRUNC(BW15/2,0), BT15&gt;=BP15),
                    "0, Superávit y no eliminé superávit",
                    IF(AND(BT15&lt;TRUNC(BW15/2,0),BT15&lt;BP15),
                        "1, Superávit y eliminé superávit",
                        "-2, Superávit y resultado fue bueno"
                    )
                )
            ),
            IF(AND(BP15&lt;=TRUNC(BW15/2,0),BP15&gt;=0),
                IF(BT15=TRUNC(BW15/2,0),
                    "-1, no había superávit y deje la capacidad media",
                    IF(AND(BT15&gt;TRUNC(BW15/2,0), BT15&gt;=BP15),
                        "0, no había superávit, y la deje con superávit",
                        IF(AND(BT15&lt;TRUNC(BW15/2,0),BT15&lt;BP15),
                            "1, no había superávit, pero el resultado fue mejor",
                            "-2, no había superávit y resultado fue bueno"
                        )
                    )
                )
            )
        )
    )
)</f>
        <v>1, Superávit y eliminé superávit</v>
      </c>
      <c r="CB15" s="30" t="s">
        <v>225</v>
      </c>
      <c r="CC15" s="30">
        <v>8</v>
      </c>
      <c r="CD15" s="31">
        <v>8.2222222222222214</v>
      </c>
      <c r="CE15" s="30">
        <v>7</v>
      </c>
      <c r="CF15" s="29">
        <v>6</v>
      </c>
      <c r="CG15" s="30">
        <v>8</v>
      </c>
      <c r="CH15" s="30">
        <v>-0.76845746918237878</v>
      </c>
      <c r="CI15" s="26" t="s">
        <v>323</v>
      </c>
      <c r="CJ15" s="30">
        <v>11</v>
      </c>
      <c r="CK15" s="29">
        <f>IF(CE15&gt;=CC15,1,0)</f>
        <v>0</v>
      </c>
      <c r="CL15" s="29">
        <f>CE15-CC15</f>
        <v>-1</v>
      </c>
      <c r="CM15" s="29" t="str">
        <f>IF(CH15&gt;0,
    IF(OR(CC15&lt;=TRUNC(CJ15/2,0),CC15=0),
        IF(CG15=TRUNC(CJ15/2,0),
            "-1, Déficit y dejo la capacidad media",
            IF(AND(CG15&gt;TRUNC(CJ15/2,0), CG15&gt;CC15),
                "1, Déficit y eliminé déficit",
                IF(AND(CG15&lt;TRUNC(CJ15/2,0), CG15&lt;CC15),
                    "0, Déficit y no elimine déficit",
                    "-2, Déficit y resultado fue bueno")
            )
        ),
        IF(AND(CG15&gt;TRUNC(CJ15/2,0), CG15&gt;CC15),
            "1, no había déficit, pero resultado fue mejor",
            IF(AND(CG15&lt;TRUNC(CJ15/2,0),CG15&lt;CC15),
                "0, no había déficit y la dejo con déficit",
                IF(CG15=TRUNC(CJ15/2,0),
                    "-1, no había déficit y dejo la capacidad media",
                    "-2,no había déficit y resultado fue bueno")
            )
        )
    ),
    IF(CH15&lt;0,
        IF(CC15&gt;TRUNC(CJ15/2,0),
            IF(CG15=TRUNC(CJ15/2,0),
                "-1, Superávit y deje la capacidad media",
                IF(AND(CG15&gt;TRUNC(CJ15/2,0), CG15&gt;=CC15),
                    "0, Superávit y no eliminé superávit",
                    IF(AND(CG15&lt;TRUNC(CJ15/2,0),CG15&lt;CC15),
                        "1, Superávit y eliminé superávit",
                        "-2, Superávit y resultado fue bueno"
                    )
                )
            ),
            IF(AND(CC15&lt;=TRUNC(CJ15/2,0),CC15&gt;=0),
                IF(CG15=TRUNC(CJ15/2,0),
                    "-1, no había superávit y deje la capacidad media",
                    IF(AND(CG15&gt;TRUNC(CJ15/2,0), CG15&gt;=CC15),
                        "0, no había superávit, y la deje con superávit",
                        IF(AND(CG15&lt;TRUNC(CJ15/2,0),CG15&lt;CC15),
                            "1, no había superávit, pero el resultado fue mejor",
                            "-2, no había superávit y resultado fue bueno"
                        )
                    )
                )
            )
        )
    )
)</f>
        <v>0, Superávit y no eliminé superávit</v>
      </c>
      <c r="CO15" s="2" t="s">
        <v>225</v>
      </c>
      <c r="CP15" s="2">
        <v>6</v>
      </c>
      <c r="CQ15" s="7">
        <v>6.7777777777777777</v>
      </c>
      <c r="CR15" s="3">
        <v>8</v>
      </c>
      <c r="CS15" s="3">
        <v>9</v>
      </c>
      <c r="CT15" s="2">
        <v>6</v>
      </c>
      <c r="CU15" s="36">
        <v>-0.76845746918237878</v>
      </c>
      <c r="CV15" s="26" t="s">
        <v>323</v>
      </c>
      <c r="CW15" s="30">
        <v>11</v>
      </c>
      <c r="CX15" s="29">
        <f>IF(CR15&gt;=CP15,1,0)</f>
        <v>1</v>
      </c>
      <c r="CY15" s="29">
        <f>CR15-CP15</f>
        <v>2</v>
      </c>
      <c r="CZ15" s="29" t="str">
        <f>IF(CU15&gt;0,
    IF(OR(CP15&lt;=TRUNC(CW15/2,0),CP15=0),
        IF(CT15=TRUNC(CW15/2,0),
            "-1, Déficit y dejo la capacidad media",
            IF(AND(CT15&gt;TRUNC(CW15/2,0), CT15&gt;CP15),
                "1, Déficit y eliminé déficit",
                IF(AND(CT15&lt;TRUNC(CW15/2,0), CT15&lt;CP15),
                    "0, Déficit y no elimine déficit",
                    "-2, Déficit y resultado fue bueno")
            )
        ),
        IF(AND(CT15&gt;TRUNC(CW15/2,0), CT15&gt;CP15),
            "1, no había déficit, pero resultado fue mejor",
            IF(AND(CT15&lt;TRUNC(CW15/2,0),CT15&lt;CP15),
                "0, no había déficit y la dejo con déficit",
                IF(CT15=TRUNC(CW15/2,0),
                    "-1, no había déficit y dejo la capacidad media",
                    "-2,no había déficit y resultado fue bueno")
            )
        )
    ),
    IF(CU15&lt;0,
        IF(CP15&gt;TRUNC(CW15/2,0),
            IF(CT15=TRUNC(CW15/2,0),
                "-1, Superávit y deje la capacidad media",
                IF(AND(CT15&gt;TRUNC(CW15/2,0), CT15&gt;=CP15),
                    "0, Superávit y no eliminé superávit",
                    IF(AND(CT15&lt;TRUNC(CW15/2,0),CT15&lt;CP15),
                        "1, Superávit y eliminé superávit",
                        "-2, Superávit y resultado fue bueno"
                    )
                )
            ),
            IF(AND(CP15&lt;=TRUNC(CW15/2,0),CP15&gt;=0),
                IF(CT15=TRUNC(CW15/2,0),
                    "-1, no había superávit y deje la capacidad media",
                    IF(AND(CT15&gt;TRUNC(CW15/2,0), CT15&gt;=CP15),
                        "0, no había superávit, y la deje con superávit",
                        IF(AND(CT15&lt;TRUNC(CW15/2,0),CT15&lt;CP15),
                            "1, no había superávit, pero el resultado fue mejor",
                            "-2, no había superávit y resultado fue bueno"
                        )
                    )
                )
            )
        )
    )
)</f>
        <v>0, Superávit y no eliminé superávit</v>
      </c>
      <c r="DB15" s="2" t="s">
        <v>225</v>
      </c>
      <c r="DD15" s="2" t="s">
        <v>16</v>
      </c>
    </row>
    <row r="16" spans="1:108" ht="14.25" customHeight="1" x14ac:dyDescent="0.3">
      <c r="A16" s="29" t="str">
        <f t="shared" si="0"/>
        <v>Llenado</v>
      </c>
      <c r="B16" s="30" t="s">
        <v>228</v>
      </c>
      <c r="C16" s="30">
        <v>22</v>
      </c>
      <c r="D16" s="31">
        <v>21.222222222222221</v>
      </c>
      <c r="E16" s="31">
        <v>22</v>
      </c>
      <c r="F16" s="29">
        <v>20</v>
      </c>
      <c r="G16" s="30">
        <v>8</v>
      </c>
      <c r="H16" s="30">
        <v>-0.82357176289964173</v>
      </c>
      <c r="I16" s="26" t="s">
        <v>331</v>
      </c>
      <c r="J16" s="30">
        <v>23</v>
      </c>
      <c r="K16" s="29">
        <f>IF(E16&gt;=C16,1,0)</f>
        <v>1</v>
      </c>
      <c r="L16" s="32">
        <f>E16-C16</f>
        <v>0</v>
      </c>
      <c r="M16" s="32" t="str">
        <f>IF(H16&gt;0,
    IF(OR(C16&lt;=TRUNC(J16/2,0),C16=0),
        IF(G16=TRUNC(J16/2,0),
            "-1, Déficit y dejo la capacidad media",
            IF(AND(G16&gt;TRUNC(J16/2,0), G16&gt;C16),
                "1, Déficit y eliminé déficit",
                IF(AND(G16&lt;TRUNC(J16/2,0), G16&lt;C16),
                    "0, Déficit y no elimine déficit",
                    "-2, Déficit y resultado fue bueno")
            )
        ),
        IF(AND(G16&gt;TRUNC(J16/2,0), G16&gt;C16),
            "1, no había déficit, pero resultado fue mejor",
            IF(AND(G16&lt;TRUNC(J16/2,0),G16&lt;C16),
                "0, no había déficit y la dejo con déficit",
                IF(G16=TRUNC(J16/2,0),
                    "-1, no había déficit y dejo la capacidad media",
                    "-2,no había déficit y resultado fue bueno")
            )
        )
    ),
    IF(H16&lt;0,
        IF(C16&gt;TRUNC(J16/2,0),
            IF(G16=TRUNC(J16/2,0),
                "-1, Superávit y deje la capacidad media",
                IF(AND(G16&gt;TRUNC(J16/2,0), G16&gt;=C16),
                    "0, Superávit y no eliminé superávit",
                    IF(AND(G16&lt;TRUNC(J16/2,0),G16&lt;C16),
                        "1, Superávit y eliminé superávit",
                        "-2, Superávit y resultado fue bueno"
                    )
                )
            ),
            IF(AND(C16&lt;=TRUNC(J16/2,0),C16&gt;=0),
                IF(G16=TRUNC(J16/2,0),
                    "-1, no había superávit y deje la capacidad media",
                    IF(AND(G16&gt;TRUNC(J16/2,0), G16&gt;=C16),
                        "0, no había superávit, y la deje con superávit",
                        IF(AND(G16&lt;TRUNC(J16/2,0),G16&lt;C16),
                            "1, no había superávit, pero el resultado fue mejor",
                            "-2, no había superávit y resultado fue bueno"
                        )
                    )
                )
            )
        )
    )
)</f>
        <v>1, Superávit y eliminé superávit</v>
      </c>
      <c r="O16" s="30" t="s">
        <v>228</v>
      </c>
      <c r="P16" s="30">
        <v>17</v>
      </c>
      <c r="Q16" s="31">
        <v>16.111111111111111</v>
      </c>
      <c r="R16" s="30">
        <v>18</v>
      </c>
      <c r="S16" s="29">
        <v>18</v>
      </c>
      <c r="T16" s="30">
        <v>17</v>
      </c>
      <c r="U16" s="30">
        <v>-0.82357176289964173</v>
      </c>
      <c r="V16" s="26" t="s">
        <v>331</v>
      </c>
      <c r="W16" s="30">
        <v>23</v>
      </c>
      <c r="X16" s="29">
        <f>IF(R16&gt;=P16,1,0)</f>
        <v>1</v>
      </c>
      <c r="Y16" s="29">
        <f>R16-P16</f>
        <v>1</v>
      </c>
      <c r="Z16" s="29" t="str">
        <f>IF(U16&gt;0,
    IF(OR(P16&lt;=TRUNC(W16/2,0),P16=0),
        IF(T16=TRUNC(W16/2,0),
            "-1, Déficit y dejo la capacidad media",
            IF(AND(T16&gt;TRUNC(W16/2,0), T16&gt;P16),
                "1, Déficit y eliminé déficit",
                IF(AND(T16&lt;TRUNC(W16/2,0), T16&lt;P16),
                    "0, Déficit y no elimine déficit",
                    "-2, Déficit y resultado fue bueno")
            )
        ),
        IF(AND(T16&gt;TRUNC(W16/2,0), T16&gt;P16),
            "1, no había déficit, pero resultado fue mejor",
            IF(AND(T16&lt;TRUNC(W16/2,0),T16&lt;P16),
                "0, no había déficit y la dejo con déficit",
                IF(T16=TRUNC(W16/2,0),
                    "-1, no había déficit y dejo la capacidad media",
                    "-2,no había déficit y resultado fue bueno")
            )
        )
    ),
    IF(U16&lt;0,
        IF(P16&gt;TRUNC(W16/2,0),
            IF(T16=TRUNC(W16/2,0),
                "-1, Superávit y deje la capacidad media",
                IF(AND(T16&gt;TRUNC(W16/2,0), T16&gt;=P16),
                    "0, Superávit y no eliminé superávit",
                    IF(AND(T16&lt;TRUNC(W16/2,0),T16&lt;P16),
                        "1, Superávit y eliminé superávit",
                        "-2, Superávit y resultado fue bueno"
                    )
                )
            ),
            IF(AND(P16&lt;=TRUNC(W16/2,0),P16&gt;=0),
                IF(T16=TRUNC(W16/2,0),
                    "-1, no había superávit y deje la capacidad media",
                    IF(AND(T16&gt;TRUNC(W16/2,0), T16&gt;=P16),
                        "0, no había superávit, y la deje con superávit",
                        IF(AND(T16&lt;TRUNC(W16/2,0),T16&lt;P16),
                            "1, no había superávit, pero el resultado fue mejor",
                            "-2, no había superávit y resultado fue bueno"
                        )
                    )
                )
            )
        )
    )
)</f>
        <v>0, Superávit y no eliminé superávit</v>
      </c>
      <c r="AB16" s="2" t="s">
        <v>228</v>
      </c>
      <c r="AC16" s="3">
        <v>20</v>
      </c>
      <c r="AD16" s="5">
        <v>20</v>
      </c>
      <c r="AE16" s="3">
        <v>20</v>
      </c>
      <c r="AF16" s="3">
        <v>20</v>
      </c>
      <c r="AG16" s="3">
        <v>20</v>
      </c>
      <c r="AH16" s="2">
        <v>-0.82357176289964173</v>
      </c>
      <c r="AI16" s="26" t="s">
        <v>331</v>
      </c>
      <c r="AJ16" s="2">
        <v>23</v>
      </c>
      <c r="AK16" s="14">
        <f>IF(AE16&gt;=AC16,1,0)</f>
        <v>1</v>
      </c>
      <c r="AL16" s="34">
        <f>AE16-AC16</f>
        <v>0</v>
      </c>
      <c r="AM16" s="29" t="str">
        <f>IF(AH16&gt;0,
    IF(OR(AC16&lt;=TRUNC(AJ16/2,0),AC16=0),
        IF(AG16=TRUNC(AJ16/2,0),
            "-1, Déficit y dejo la capacidad media",
            IF(AND(AG16&gt;TRUNC(AJ16/2,0), AG16&gt;AC16),
                "1, Déficit y eliminé déficit",
                IF(AND(AG16&lt;TRUNC(AJ16/2,0), AG16&lt;AC16),
                    "0, Déficit y no elimine déficit",
                    "-2, Déficit y resultado fue bueno")
            )
        ),
        IF(AND(AG16&gt;TRUNC(AJ16/2,0), AG16&gt;AC16),
            "1, no había déficit, pero resultado fue mejor",
            IF(AND(AG16&lt;TRUNC(AJ16/2,0),AG16&lt;AC16),
                "0, no había déficit y la dejo con déficit",
                IF(AG16=TRUNC(AJ16/2,0),
                    "-1, no había déficit y dejo la capacidad media",
                    "-2,no había déficit y resultado fue bueno")
            )
        )
    ),
    IF(AH16&lt;0,
        IF(AC16&gt;TRUNC(AJ16/2,0),
            IF(AG16=TRUNC(AJ16/2,0),
                "-1, Superávit y deje la capacidad media",
                IF(AND(AG16&gt;TRUNC(AJ16/2,0), AG16&gt;=AC16),
                    "0, Superávit y no eliminé superávit",
                    IF(AND(AG16&lt;TRUNC(AJ16/2,0),AG16&lt;AC16),
                        "1, Superávit y eliminé superávit",
                        "-2, Superávit y resultado fue bueno"
                    )
                )
            ),
            IF(AND(AC16&lt;=TRUNC(AJ16/2,0),AC16&gt;=0),
                IF(AG16=TRUNC(AJ16/2,0),
                    "-1, no había superávit y deje la capacidad media",
                    IF(AND(AG16&gt;TRUNC(AJ16/2,0), AG16&gt;=AC16),
                        "0, no había superávit, y la deje con superávit",
                        IF(AND(AG16&lt;TRUNC(AJ16/2,0),AG16&lt;AC16),
                            "1, no había superávit, pero el resultado fue mejor",
                            "-2, no había superávit y resultado fue bueno"
                        )
                    )
                )
            )
        )
    )
)</f>
        <v>0, Superávit y no eliminé superávit</v>
      </c>
      <c r="AO16" s="2" t="s">
        <v>228</v>
      </c>
      <c r="AP16" s="3">
        <v>23</v>
      </c>
      <c r="AQ16" s="5">
        <v>19.111111111111111</v>
      </c>
      <c r="AR16" s="3">
        <v>22</v>
      </c>
      <c r="AS16" s="3">
        <v>23</v>
      </c>
      <c r="AT16" s="3">
        <v>17</v>
      </c>
      <c r="AU16" s="15">
        <v>-0.82357176289964173</v>
      </c>
      <c r="AV16" s="26" t="s">
        <v>331</v>
      </c>
      <c r="AW16" s="2">
        <v>23</v>
      </c>
      <c r="AX16" s="14">
        <f>IF(AR16&gt;=AP16,1,0)</f>
        <v>0</v>
      </c>
      <c r="AY16" s="34">
        <f>AR16-AP16</f>
        <v>-1</v>
      </c>
      <c r="AZ16" s="29" t="str">
        <f>IF(AU16&gt;0,
    IF(OR(AP16&lt;=TRUNC(AW16/2,0),AP16=0),
        IF(AT16=TRUNC(AW16/2,0),
            "-1, Déficit y dejo la capacidad media",
            IF(AND(AT16&gt;TRUNC(AW16/2,0), AT16&gt;AP16),
                "1, Déficit y eliminé déficit",
                IF(AND(AT16&lt;TRUNC(AW16/2,0), AT16&lt;AP16),
                    "0, Déficit y no elimine déficit",
                    "-2, Déficit y resultado fue bueno")
            )
        ),
        IF(AND(AT16&gt;TRUNC(AW16/2,0), AT16&gt;AP16),
            "1, no había déficit, pero resultado fue mejor",
            IF(AND(AT16&lt;TRUNC(AW16/2,0),AT16&lt;AP16),
                "0, no había déficit y la dejo con déficit",
                IF(AT16=TRUNC(AW16/2,0),
                    "-1, no había déficit y dejo la capacidad media",
                    "-2,no había déficit y resultado fue bueno")
            )
        )
    ),
    IF(AU16&lt;0,
        IF(AP16&gt;TRUNC(AW16/2,0),
            IF(AT16=TRUNC(AW16/2,0),
                "-1, Superávit y deje la capacidad media",
                IF(AND(AT16&gt;TRUNC(AW16/2,0), AT16&gt;=AP16),
                    "0, Superávit y no eliminé superávit",
                    IF(AND(AT16&lt;TRUNC(AW16/2,0),AT16&lt;AP16),
                        "1, Superávit y eliminé superávit",
                        "-2, Superávit y resultado fue bueno"
                    )
                )
            ),
            IF(AND(AP16&lt;=TRUNC(AW16/2,0),AP16&gt;=0),
                IF(AT16=TRUNC(AW16/2,0),
                    "-1, no había superávit y deje la capacidad media",
                    IF(AND(AT16&gt;TRUNC(AW16/2,0), AT16&gt;=AP16),
                        "0, no había superávit, y la deje con superávit",
                        IF(AND(AT16&lt;TRUNC(AW16/2,0),AT16&lt;AP16),
                            "1, no había superávit, pero el resultado fue mejor",
                            "-2, no había superávit y resultado fue bueno"
                        )
                    )
                )
            )
        )
    )
)</f>
        <v>-2, Superávit y resultado fue bueno</v>
      </c>
      <c r="BB16" s="30" t="s">
        <v>228</v>
      </c>
      <c r="BC16" s="29">
        <v>22</v>
      </c>
      <c r="BD16" s="31">
        <v>19</v>
      </c>
      <c r="BE16" s="29">
        <v>23</v>
      </c>
      <c r="BF16" s="29">
        <v>23</v>
      </c>
      <c r="BG16" s="29">
        <v>16</v>
      </c>
      <c r="BH16" s="30">
        <v>-0.82357176289964173</v>
      </c>
      <c r="BI16" s="26" t="s">
        <v>331</v>
      </c>
      <c r="BJ16" s="30">
        <v>23</v>
      </c>
      <c r="BK16" s="29">
        <f>IF(BE16&gt;=BC16,1,0)</f>
        <v>1</v>
      </c>
      <c r="BL16" s="29">
        <f>BE16-BC16</f>
        <v>1</v>
      </c>
      <c r="BM16" s="29" t="str">
        <f>IF(BH16&gt;0,
    IF(OR(BC16&lt;=TRUNC(BJ16/2,0),BC16=0),
        IF(BG16=TRUNC(BJ16/2,0),
            "-1, Déficit y dejo la capacidad media",
            IF(AND(BG16&gt;TRUNC(BJ16/2,0), BG16&gt;BC16),
                "1, Déficit y eliminé déficit",
                IF(AND(BG16&lt;TRUNC(BJ16/2,0), BG16&lt;BC16),
                    "0, Déficit y no elimine déficit",
                    "-2, Déficit y resultado fue bueno")
            )
        ),
        IF(AND(BG16&gt;TRUNC(BJ16/2,0), BG16&gt;BC16),
            "1, no había déficit, pero resultado fue mejor",
            IF(AND(BG16&lt;TRUNC(BJ16/2,0),BG16&lt;BC16),
                "0, no había déficit y la dejo con déficit",
                IF(BG16=TRUNC(BJ16/2,0),
                    "-1, no había déficit y dejo la capacidad media",
                    "-2,no había déficit y resultado fue bueno")
            )
        )
    ),
    IF(BH16&lt;0,
        IF(BC16&gt;TRUNC(BJ16/2,0),
            IF(BG16=TRUNC(BJ16/2,0),
                "-1, Superávit y deje la capacidad media",
                IF(AND(BG16&gt;TRUNC(BJ16/2,0), BG16&gt;=BC16),
                    "0, Superávit y no eliminé superávit",
                    IF(AND(BG16&lt;TRUNC(BJ16/2,0),BG16&lt;BC16),
                        "1, Superávit y eliminé superávit",
                        "-2, Superávit y resultado fue bueno"
                    )
                )
            ),
            IF(AND(BC16&lt;=TRUNC(BJ16/2,0),BC16&gt;=0),
                IF(BG16=TRUNC(BJ16/2,0),
                    "-1, no había superávit y deje la capacidad media",
                    IF(AND(BG16&gt;TRUNC(BJ16/2,0), BG16&gt;=BC16),
                        "0, no había superávit, y la deje con superávit",
                        IF(AND(BG16&lt;TRUNC(BJ16/2,0),BG16&lt;BC16),
                            "1, no había superávit, pero el resultado fue mejor",
                            "-2, no había superávit y resultado fue bueno"
                        )
                    )
                )
            )
        )
    )
)</f>
        <v>-2, Superávit y resultado fue bueno</v>
      </c>
      <c r="BO16" s="2" t="s">
        <v>228</v>
      </c>
      <c r="BP16" s="3">
        <v>22</v>
      </c>
      <c r="BQ16" s="5">
        <v>20</v>
      </c>
      <c r="BR16" s="3">
        <v>22</v>
      </c>
      <c r="BS16" s="3">
        <v>21</v>
      </c>
      <c r="BT16" s="3">
        <v>9</v>
      </c>
      <c r="BU16" s="2">
        <v>-0.82357176289964173</v>
      </c>
      <c r="BV16" s="26" t="s">
        <v>331</v>
      </c>
      <c r="BW16" s="2">
        <v>23</v>
      </c>
      <c r="BX16" s="14">
        <f>IF(BR16&gt;=BP16,1,0)</f>
        <v>1</v>
      </c>
      <c r="BY16" s="34">
        <f>BR16-BP16</f>
        <v>0</v>
      </c>
      <c r="BZ16" s="29" t="str">
        <f>IF(BU16&gt;0,
    IF(OR(BP16&lt;=TRUNC(BW16/2,0),BP16=0),
        IF(BT16=TRUNC(BW16/2,0),
            "-1, Déficit y dejo la capacidad media",
            IF(AND(BT16&gt;TRUNC(BW16/2,0), BT16&gt;BP16),
                "1, Déficit y eliminé déficit",
                IF(AND(BT16&lt;TRUNC(BW16/2,0), BT16&lt;BP16),
                    "0, Déficit y no elimine déficit",
                    "-2, Déficit y resultado fue bueno")
            )
        ),
        IF(AND(BT16&gt;TRUNC(BW16/2,0), BT16&gt;BP16),
            "1, no había déficit, pero resultado fue mejor",
            IF(AND(BT16&lt;TRUNC(BW16/2,0),BT16&lt;BP16),
                "0, no había déficit y la dejo con déficit",
                IF(BT16=TRUNC(BW16/2,0),
                    "-1, no había déficit y dejo la capacidad media",
                    "-2,no había déficit y resultado fue bueno")
            )
        )
    ),
    IF(BU16&lt;0,
        IF(BP16&gt;TRUNC(BW16/2,0),
            IF(BT16=TRUNC(BW16/2,0),
                "-1, Superávit y deje la capacidad media",
                IF(AND(BT16&gt;TRUNC(BW16/2,0), BT16&gt;=BP16),
                    "0, Superávit y no eliminé superávit",
                    IF(AND(BT16&lt;TRUNC(BW16/2,0),BT16&lt;BP16),
                        "1, Superávit y eliminé superávit",
                        "-2, Superávit y resultado fue bueno"
                    )
                )
            ),
            IF(AND(BP16&lt;=TRUNC(BW16/2,0),BP16&gt;=0),
                IF(BT16=TRUNC(BW16/2,0),
                    "-1, no había superávit y deje la capacidad media",
                    IF(AND(BT16&gt;TRUNC(BW16/2,0), BT16&gt;=BP16),
                        "0, no había superávit, y la deje con superávit",
                        IF(AND(BT16&lt;TRUNC(BW16/2,0),BT16&lt;BP16),
                            "1, no había superávit, pero el resultado fue mejor",
                            "-2, no había superávit y resultado fue bueno"
                        )
                    )
                )
            )
        )
    )
)</f>
        <v>1, Superávit y eliminé superávit</v>
      </c>
      <c r="CB16" s="30" t="s">
        <v>228</v>
      </c>
      <c r="CC16" s="30">
        <v>23</v>
      </c>
      <c r="CD16" s="31">
        <v>18.666666666666668</v>
      </c>
      <c r="CE16" s="30">
        <v>23</v>
      </c>
      <c r="CF16" s="29">
        <v>23</v>
      </c>
      <c r="CG16" s="30">
        <v>16</v>
      </c>
      <c r="CH16" s="30">
        <v>-0.82357176289964173</v>
      </c>
      <c r="CI16" s="26" t="s">
        <v>331</v>
      </c>
      <c r="CJ16" s="30">
        <v>23</v>
      </c>
      <c r="CK16" s="29">
        <f>IF(CE16&gt;=CC16,1,0)</f>
        <v>1</v>
      </c>
      <c r="CL16" s="29">
        <f>CE16-CC16</f>
        <v>0</v>
      </c>
      <c r="CM16" s="29" t="str">
        <f>IF(CH16&gt;0,
    IF(OR(CC16&lt;=TRUNC(CJ16/2,0),CC16=0),
        IF(CG16=TRUNC(CJ16/2,0),
            "-1, Déficit y dejo la capacidad media",
            IF(AND(CG16&gt;TRUNC(CJ16/2,0), CG16&gt;CC16),
                "1, Déficit y eliminé déficit",
                IF(AND(CG16&lt;TRUNC(CJ16/2,0), CG16&lt;CC16),
                    "0, Déficit y no elimine déficit",
                    "-2, Déficit y resultado fue bueno")
            )
        ),
        IF(AND(CG16&gt;TRUNC(CJ16/2,0), CG16&gt;CC16),
            "1, no había déficit, pero resultado fue mejor",
            IF(AND(CG16&lt;TRUNC(CJ16/2,0),CG16&lt;CC16),
                "0, no había déficit y la dejo con déficit",
                IF(CG16=TRUNC(CJ16/2,0),
                    "-1, no había déficit y dejo la capacidad media",
                    "-2,no había déficit y resultado fue bueno")
            )
        )
    ),
    IF(CH16&lt;0,
        IF(CC16&gt;TRUNC(CJ16/2,0),
            IF(CG16=TRUNC(CJ16/2,0),
                "-1, Superávit y deje la capacidad media",
                IF(AND(CG16&gt;TRUNC(CJ16/2,0), CG16&gt;=CC16),
                    "0, Superávit y no eliminé superávit",
                    IF(AND(CG16&lt;TRUNC(CJ16/2,0),CG16&lt;CC16),
                        "1, Superávit y eliminé superávit",
                        "-2, Superávit y resultado fue bueno"
                    )
                )
            ),
            IF(AND(CC16&lt;=TRUNC(CJ16/2,0),CC16&gt;=0),
                IF(CG16=TRUNC(CJ16/2,0),
                    "-1, no había superávit y deje la capacidad media",
                    IF(AND(CG16&gt;TRUNC(CJ16/2,0), CG16&gt;=CC16),
                        "0, no había superávit, y la deje con superávit",
                        IF(AND(CG16&lt;TRUNC(CJ16/2,0),CG16&lt;CC16),
                            "1, no había superávit, pero el resultado fue mejor",
                            "-2, no había superávit y resultado fue bueno"
                        )
                    )
                )
            )
        )
    )
)</f>
        <v>-2, Superávit y resultado fue bueno</v>
      </c>
      <c r="CO16" s="2" t="s">
        <v>228</v>
      </c>
      <c r="CP16" s="2">
        <v>23</v>
      </c>
      <c r="CQ16" s="7">
        <v>21.222222222222221</v>
      </c>
      <c r="CR16" s="3">
        <v>23</v>
      </c>
      <c r="CS16" s="3">
        <v>23</v>
      </c>
      <c r="CT16" s="2">
        <v>21</v>
      </c>
      <c r="CU16" s="36">
        <v>-0.82357176289964173</v>
      </c>
      <c r="CV16" s="26" t="s">
        <v>331</v>
      </c>
      <c r="CW16" s="30">
        <v>23</v>
      </c>
      <c r="CX16" s="29">
        <f>IF(CR16&gt;=CP16,1,0)</f>
        <v>1</v>
      </c>
      <c r="CY16" s="29">
        <f>CR16-CP16</f>
        <v>0</v>
      </c>
      <c r="CZ16" s="29" t="str">
        <f>IF(CU16&gt;0,
    IF(OR(CP16&lt;=TRUNC(CW16/2,0),CP16=0),
        IF(CT16=TRUNC(CW16/2,0),
            "-1, Déficit y dejo la capacidad media",
            IF(AND(CT16&gt;TRUNC(CW16/2,0), CT16&gt;CP16),
                "1, Déficit y eliminé déficit",
                IF(AND(CT16&lt;TRUNC(CW16/2,0), CT16&lt;CP16),
                    "0, Déficit y no elimine déficit",
                    "-2, Déficit y resultado fue bueno")
            )
        ),
        IF(AND(CT16&gt;TRUNC(CW16/2,0), CT16&gt;CP16),
            "1, no había déficit, pero resultado fue mejor",
            IF(AND(CT16&lt;TRUNC(CW16/2,0),CT16&lt;CP16),
                "0, no había déficit y la dejo con déficit",
                IF(CT16=TRUNC(CW16/2,0),
                    "-1, no había déficit y dejo la capacidad media",
                    "-2,no había déficit y resultado fue bueno")
            )
        )
    ),
    IF(CU16&lt;0,
        IF(CP16&gt;TRUNC(CW16/2,0),
            IF(CT16=TRUNC(CW16/2,0),
                "-1, Superávit y deje la capacidad media",
                IF(AND(CT16&gt;TRUNC(CW16/2,0), CT16&gt;=CP16),
                    "0, Superávit y no eliminé superávit",
                    IF(AND(CT16&lt;TRUNC(CW16/2,0),CT16&lt;CP16),
                        "1, Superávit y eliminé superávit",
                        "-2, Superávit y resultado fue bueno"
                    )
                )
            ),
            IF(AND(CP16&lt;=TRUNC(CW16/2,0),CP16&gt;=0),
                IF(CT16=TRUNC(CW16/2,0),
                    "-1, no había superávit y deje la capacidad media",
                    IF(AND(CT16&gt;TRUNC(CW16/2,0), CT16&gt;=CP16),
                        "0, no había superávit, y la deje con superávit",
                        IF(AND(CT16&lt;TRUNC(CW16/2,0),CT16&lt;CP16),
                            "1, no había superávit, pero el resultado fue mejor",
                            "-2, no había superávit y resultado fue bueno"
                        )
                    )
                )
            )
        )
    )
)</f>
        <v>-2, Superávit y resultado fue bueno</v>
      </c>
      <c r="DB16" s="2" t="s">
        <v>221</v>
      </c>
    </row>
    <row r="17" spans="1:106" ht="14.25" customHeight="1" x14ac:dyDescent="0.3">
      <c r="A17" s="29" t="str">
        <f t="shared" si="0"/>
        <v>Llenado</v>
      </c>
      <c r="B17" s="30" t="s">
        <v>217</v>
      </c>
      <c r="C17" s="30">
        <v>7</v>
      </c>
      <c r="D17" s="31">
        <v>7.4444444444444446</v>
      </c>
      <c r="E17" s="31">
        <v>9</v>
      </c>
      <c r="F17" s="29">
        <v>8</v>
      </c>
      <c r="G17" s="30">
        <v>7</v>
      </c>
      <c r="H17" s="30">
        <v>-0.83166677317607873</v>
      </c>
      <c r="I17" s="26" t="s">
        <v>323</v>
      </c>
      <c r="J17" s="30">
        <v>11</v>
      </c>
      <c r="K17" s="29">
        <f>IF(E17&gt;=C17,1,0)</f>
        <v>1</v>
      </c>
      <c r="L17" s="32">
        <f>E17-C17</f>
        <v>2</v>
      </c>
      <c r="M17" s="32" t="str">
        <f>IF(H17&gt;0,
    IF(OR(C17&lt;=TRUNC(J17/2,0),C17=0),
        IF(G17=TRUNC(J17/2,0),
            "-1, Déficit y dejo la capacidad media",
            IF(AND(G17&gt;TRUNC(J17/2,0), G17&gt;C17),
                "1, Déficit y eliminé déficit",
                IF(AND(G17&lt;TRUNC(J17/2,0), G17&lt;C17),
                    "0, Déficit y no elimine déficit",
                    "-2, Déficit y resultado fue bueno")
            )
        ),
        IF(AND(G17&gt;TRUNC(J17/2,0), G17&gt;C17),
            "1, no había déficit, pero resultado fue mejor",
            IF(AND(G17&lt;TRUNC(J17/2,0),G17&lt;C17),
                "0, no había déficit y la dejo con déficit",
                IF(G17=TRUNC(J17/2,0),
                    "-1, no había déficit y dejo la capacidad media",
                    "-2,no había déficit y resultado fue bueno")
            )
        )
    ),
    IF(H17&lt;0,
        IF(C17&gt;TRUNC(J17/2,0),
            IF(G17=TRUNC(J17/2,0),
                "-1, Superávit y deje la capacidad media",
                IF(AND(G17&gt;TRUNC(J17/2,0), G17&gt;=C17),
                    "0, Superávit y no eliminé superávit",
                    IF(AND(G17&lt;TRUNC(J17/2,0),G17&lt;C17),
                        "1, Superávit y eliminé superávit",
                        "-2, Superávit y resultado fue bueno"
                    )
                )
            ),
            IF(AND(C17&lt;=TRUNC(J17/2,0),C17&gt;=0),
                IF(G17=TRUNC(J17/2,0),
                    "-1, no había superávit y deje la capacidad media",
                    IF(AND(G17&gt;TRUNC(J17/2,0), G17&gt;=C17),
                        "0, no había superávit, y la deje con superávit",
                        IF(AND(G17&lt;TRUNC(J17/2,0),G17&lt;C17),
                            "1, no había superávit, pero el resultado fue mejor",
                            "-2, no había superávit y resultado fue bueno"
                        )
                    )
                )
            )
        )
    )
)</f>
        <v>0, Superávit y no eliminé superávit</v>
      </c>
      <c r="O17" s="30" t="s">
        <v>217</v>
      </c>
      <c r="P17" s="30">
        <v>11</v>
      </c>
      <c r="Q17" s="31">
        <v>8</v>
      </c>
      <c r="R17" s="30">
        <v>10</v>
      </c>
      <c r="S17" s="29">
        <v>11</v>
      </c>
      <c r="T17" s="30">
        <v>9</v>
      </c>
      <c r="U17" s="30">
        <v>-0.83166677317607873</v>
      </c>
      <c r="V17" s="26" t="s">
        <v>323</v>
      </c>
      <c r="W17" s="30">
        <v>11</v>
      </c>
      <c r="X17" s="29">
        <f>IF(R17&gt;=P17,1,0)</f>
        <v>0</v>
      </c>
      <c r="Y17" s="29">
        <f>R17-P17</f>
        <v>-1</v>
      </c>
      <c r="Z17" s="29" t="str">
        <f>IF(U17&gt;0,
    IF(OR(P17&lt;=TRUNC(W17/2,0),P17=0),
        IF(T17=TRUNC(W17/2,0),
            "-1, Déficit y dejo la capacidad media",
            IF(AND(T17&gt;TRUNC(W17/2,0), T17&gt;P17),
                "1, Déficit y eliminé déficit",
                IF(AND(T17&lt;TRUNC(W17/2,0), T17&lt;P17),
                    "0, Déficit y no elimine déficit",
                    "-2, Déficit y resultado fue bueno")
            )
        ),
        IF(AND(T17&gt;TRUNC(W17/2,0), T17&gt;P17),
            "1, no había déficit, pero resultado fue mejor",
            IF(AND(T17&lt;TRUNC(W17/2,0),T17&lt;P17),
                "0, no había déficit y la dejo con déficit",
                IF(T17=TRUNC(W17/2,0),
                    "-1, no había déficit y dejo la capacidad media",
                    "-2,no había déficit y resultado fue bueno")
            )
        )
    ),
    IF(U17&lt;0,
        IF(P17&gt;TRUNC(W17/2,0),
            IF(T17=TRUNC(W17/2,0),
                "-1, Superávit y deje la capacidad media",
                IF(AND(T17&gt;TRUNC(W17/2,0), T17&gt;=P17),
                    "0, Superávit y no eliminé superávit",
                    IF(AND(T17&lt;TRUNC(W17/2,0),T17&lt;P17),
                        "1, Superávit y eliminé superávit",
                        "-2, Superávit y resultado fue bueno"
                    )
                )
            ),
            IF(AND(P17&lt;=TRUNC(W17/2,0),P17&gt;=0),
                IF(T17=TRUNC(W17/2,0),
                    "-1, no había superávit y deje la capacidad media",
                    IF(AND(T17&gt;TRUNC(W17/2,0), T17&gt;=P17),
                        "0, no había superávit, y la deje con superávit",
                        IF(AND(T17&lt;TRUNC(W17/2,0),T17&lt;P17),
                            "1, no había superávit, pero el resultado fue mejor",
                            "-2, no había superávit y resultado fue bueno"
                        )
                    )
                )
            )
        )
    )
)</f>
        <v>-2, Superávit y resultado fue bueno</v>
      </c>
      <c r="AB17" s="2" t="s">
        <v>217</v>
      </c>
      <c r="AC17" s="3">
        <v>8</v>
      </c>
      <c r="AD17" s="5">
        <v>7.8888888888888893</v>
      </c>
      <c r="AE17" s="3">
        <v>8</v>
      </c>
      <c r="AF17" s="3">
        <v>8</v>
      </c>
      <c r="AG17" s="3">
        <v>8</v>
      </c>
      <c r="AH17" s="2">
        <v>-0.83166677317607873</v>
      </c>
      <c r="AI17" s="26" t="s">
        <v>323</v>
      </c>
      <c r="AJ17" s="2">
        <v>11</v>
      </c>
      <c r="AK17" s="14">
        <f>IF(AE17&gt;=AC17,1,0)</f>
        <v>1</v>
      </c>
      <c r="AL17" s="34">
        <f>AE17-AC17</f>
        <v>0</v>
      </c>
      <c r="AM17" s="29" t="str">
        <f>IF(AH17&gt;0,
    IF(OR(AC17&lt;=TRUNC(AJ17/2,0),AC17=0),
        IF(AG17=TRUNC(AJ17/2,0),
            "-1, Déficit y dejo la capacidad media",
            IF(AND(AG17&gt;TRUNC(AJ17/2,0), AG17&gt;AC17),
                "1, Déficit y eliminé déficit",
                IF(AND(AG17&lt;TRUNC(AJ17/2,0), AG17&lt;AC17),
                    "0, Déficit y no elimine déficit",
                    "-2, Déficit y resultado fue bueno")
            )
        ),
        IF(AND(AG17&gt;TRUNC(AJ17/2,0), AG17&gt;AC17),
            "1, no había déficit, pero resultado fue mejor",
            IF(AND(AG17&lt;TRUNC(AJ17/2,0),AG17&lt;AC17),
                "0, no había déficit y la dejo con déficit",
                IF(AG17=TRUNC(AJ17/2,0),
                    "-1, no había déficit y dejo la capacidad media",
                    "-2,no había déficit y resultado fue bueno")
            )
        )
    ),
    IF(AH17&lt;0,
        IF(AC17&gt;TRUNC(AJ17/2,0),
            IF(AG17=TRUNC(AJ17/2,0),
                "-1, Superávit y deje la capacidad media",
                IF(AND(AG17&gt;TRUNC(AJ17/2,0), AG17&gt;=AC17),
                    "0, Superávit y no eliminé superávit",
                    IF(AND(AG17&lt;TRUNC(AJ17/2,0),AG17&lt;AC17),
                        "1, Superávit y eliminé superávit",
                        "-2, Superávit y resultado fue bueno"
                    )
                )
            ),
            IF(AND(AC17&lt;=TRUNC(AJ17/2,0),AC17&gt;=0),
                IF(AG17=TRUNC(AJ17/2,0),
                    "-1, no había superávit y deje la capacidad media",
                    IF(AND(AG17&gt;TRUNC(AJ17/2,0), AG17&gt;=AC17),
                        "0, no había superávit, y la deje con superávit",
                        IF(AND(AG17&lt;TRUNC(AJ17/2,0),AG17&lt;AC17),
                            "1, no había superávit, pero el resultado fue mejor",
                            "-2, no había superávit y resultado fue bueno"
                        )
                    )
                )
            )
        )
    )
)</f>
        <v>0, Superávit y no eliminé superávit</v>
      </c>
      <c r="AO17" s="2" t="s">
        <v>217</v>
      </c>
      <c r="AP17" s="3">
        <v>7</v>
      </c>
      <c r="AQ17" s="5">
        <v>7.7777777777777777</v>
      </c>
      <c r="AR17" s="3">
        <v>6</v>
      </c>
      <c r="AS17" s="3">
        <v>7</v>
      </c>
      <c r="AT17" s="3">
        <v>7</v>
      </c>
      <c r="AU17" s="15">
        <v>-0.83166677317607873</v>
      </c>
      <c r="AV17" s="26" t="s">
        <v>323</v>
      </c>
      <c r="AW17" s="2">
        <v>11</v>
      </c>
      <c r="AX17" s="14">
        <f>IF(AR17&gt;=AP17,1,0)</f>
        <v>0</v>
      </c>
      <c r="AY17" s="34">
        <f>AR17-AP17</f>
        <v>-1</v>
      </c>
      <c r="AZ17" s="29" t="str">
        <f>IF(AU17&gt;0,
    IF(OR(AP17&lt;=TRUNC(AW17/2,0),AP17=0),
        IF(AT17=TRUNC(AW17/2,0),
            "-1, Déficit y dejo la capacidad media",
            IF(AND(AT17&gt;TRUNC(AW17/2,0), AT17&gt;AP17),
                "1, Déficit y eliminé déficit",
                IF(AND(AT17&lt;TRUNC(AW17/2,0), AT17&lt;AP17),
                    "0, Déficit y no elimine déficit",
                    "-2, Déficit y resultado fue bueno")
            )
        ),
        IF(AND(AT17&gt;TRUNC(AW17/2,0), AT17&gt;AP17),
            "1, no había déficit, pero resultado fue mejor",
            IF(AND(AT17&lt;TRUNC(AW17/2,0),AT17&lt;AP17),
                "0, no había déficit y la dejo con déficit",
                IF(AT17=TRUNC(AW17/2,0),
                    "-1, no había déficit y dejo la capacidad media",
                    "-2,no había déficit y resultado fue bueno")
            )
        )
    ),
    IF(AU17&lt;0,
        IF(AP17&gt;TRUNC(AW17/2,0),
            IF(AT17=TRUNC(AW17/2,0),
                "-1, Superávit y deje la capacidad media",
                IF(AND(AT17&gt;TRUNC(AW17/2,0), AT17&gt;=AP17),
                    "0, Superávit y no eliminé superávit",
                    IF(AND(AT17&lt;TRUNC(AW17/2,0),AT17&lt;AP17),
                        "1, Superávit y eliminé superávit",
                        "-2, Superávit y resultado fue bueno"
                    )
                )
            ),
            IF(AND(AP17&lt;=TRUNC(AW17/2,0),AP17&gt;=0),
                IF(AT17=TRUNC(AW17/2,0),
                    "-1, no había superávit y deje la capacidad media",
                    IF(AND(AT17&gt;TRUNC(AW17/2,0), AT17&gt;=AP17),
                        "0, no había superávit, y la deje con superávit",
                        IF(AND(AT17&lt;TRUNC(AW17/2,0),AT17&lt;AP17),
                            "1, no había superávit, pero el resultado fue mejor",
                            "-2, no había superávit y resultado fue bueno"
                        )
                    )
                )
            )
        )
    )
)</f>
        <v>0, Superávit y no eliminé superávit</v>
      </c>
      <c r="BB17" s="30" t="s">
        <v>217</v>
      </c>
      <c r="BC17" s="29">
        <v>11</v>
      </c>
      <c r="BD17" s="31">
        <v>8.4444444444444446</v>
      </c>
      <c r="BE17" s="29">
        <v>8</v>
      </c>
      <c r="BF17" s="29">
        <v>9</v>
      </c>
      <c r="BG17" s="29">
        <v>9</v>
      </c>
      <c r="BH17" s="30">
        <v>-0.83166677317607873</v>
      </c>
      <c r="BI17" s="26" t="s">
        <v>323</v>
      </c>
      <c r="BJ17" s="30">
        <v>11</v>
      </c>
      <c r="BK17" s="29">
        <f>IF(BE17&gt;=BC17,1,0)</f>
        <v>0</v>
      </c>
      <c r="BL17" s="29">
        <f>BE17-BC17</f>
        <v>-3</v>
      </c>
      <c r="BM17" s="29" t="str">
        <f>IF(BH17&gt;0,
    IF(OR(BC17&lt;=TRUNC(BJ17/2,0),BC17=0),
        IF(BG17=TRUNC(BJ17/2,0),
            "-1, Déficit y dejo la capacidad media",
            IF(AND(BG17&gt;TRUNC(BJ17/2,0), BG17&gt;BC17),
                "1, Déficit y eliminé déficit",
                IF(AND(BG17&lt;TRUNC(BJ17/2,0), BG17&lt;BC17),
                    "0, Déficit y no elimine déficit",
                    "-2, Déficit y resultado fue bueno")
            )
        ),
        IF(AND(BG17&gt;TRUNC(BJ17/2,0), BG17&gt;BC17),
            "1, no había déficit, pero resultado fue mejor",
            IF(AND(BG17&lt;TRUNC(BJ17/2,0),BG17&lt;BC17),
                "0, no había déficit y la dejo con déficit",
                IF(BG17=TRUNC(BJ17/2,0),
                    "-1, no había déficit y dejo la capacidad media",
                    "-2,no había déficit y resultado fue bueno")
            )
        )
    ),
    IF(BH17&lt;0,
        IF(BC17&gt;TRUNC(BJ17/2,0),
            IF(BG17=TRUNC(BJ17/2,0),
                "-1, Superávit y deje la capacidad media",
                IF(AND(BG17&gt;TRUNC(BJ17/2,0), BG17&gt;=BC17),
                    "0, Superávit y no eliminé superávit",
                    IF(AND(BG17&lt;TRUNC(BJ17/2,0),BG17&lt;BC17),
                        "1, Superávit y eliminé superávit",
                        "-2, Superávit y resultado fue bueno"
                    )
                )
            ),
            IF(AND(BC17&lt;=TRUNC(BJ17/2,0),BC17&gt;=0),
                IF(BG17=TRUNC(BJ17/2,0),
                    "-1, no había superávit y deje la capacidad media",
                    IF(AND(BG17&gt;TRUNC(BJ17/2,0), BG17&gt;=BC17),
                        "0, no había superávit, y la deje con superávit",
                        IF(AND(BG17&lt;TRUNC(BJ17/2,0),BG17&lt;BC17),
                            "1, no había superávit, pero el resultado fue mejor",
                            "-2, no había superávit y resultado fue bueno"
                        )
                    )
                )
            )
        )
    )
)</f>
        <v>-2, Superávit y resultado fue bueno</v>
      </c>
      <c r="BO17" s="2" t="s">
        <v>217</v>
      </c>
      <c r="BP17" s="3">
        <v>1</v>
      </c>
      <c r="BQ17" s="5">
        <v>6.333333333333333</v>
      </c>
      <c r="BR17" s="3">
        <v>2</v>
      </c>
      <c r="BS17" s="3">
        <v>1</v>
      </c>
      <c r="BT17" s="3">
        <v>5</v>
      </c>
      <c r="BU17" s="2">
        <v>-0.83166677317607873</v>
      </c>
      <c r="BV17" s="26" t="s">
        <v>323</v>
      </c>
      <c r="BW17" s="2">
        <v>11</v>
      </c>
      <c r="BX17" s="14">
        <f>IF(BR17&gt;=BP17,1,0)</f>
        <v>1</v>
      </c>
      <c r="BY17" s="34">
        <f>BR17-BP17</f>
        <v>1</v>
      </c>
      <c r="BZ17" s="29" t="str">
        <f>IF(BU17&gt;0,
    IF(OR(BP17&lt;=TRUNC(BW17/2,0),BP17=0),
        IF(BT17=TRUNC(BW17/2,0),
            "-1, Déficit y dejo la capacidad media",
            IF(AND(BT17&gt;TRUNC(BW17/2,0), BT17&gt;BP17),
                "1, Déficit y eliminé déficit",
                IF(AND(BT17&lt;TRUNC(BW17/2,0), BT17&lt;BP17),
                    "0, Déficit y no elimine déficit",
                    "-2, Déficit y resultado fue bueno")
            )
        ),
        IF(AND(BT17&gt;TRUNC(BW17/2,0), BT17&gt;BP17),
            "1, no había déficit, pero resultado fue mejor",
            IF(AND(BT17&lt;TRUNC(BW17/2,0),BT17&lt;BP17),
                "0, no había déficit y la dejo con déficit",
                IF(BT17=TRUNC(BW17/2,0),
                    "-1, no había déficit y dejo la capacidad media",
                    "-2,no había déficit y resultado fue bueno")
            )
        )
    ),
    IF(BU17&lt;0,
        IF(BP17&gt;TRUNC(BW17/2,0),
            IF(BT17=TRUNC(BW17/2,0),
                "-1, Superávit y deje la capacidad media",
                IF(AND(BT17&gt;TRUNC(BW17/2,0), BT17&gt;=BP17),
                    "0, Superávit y no eliminé superávit",
                    IF(AND(BT17&lt;TRUNC(BW17/2,0),BT17&lt;BP17),
                        "1, Superávit y eliminé superávit",
                        "-2, Superávit y resultado fue bueno"
                    )
                )
            ),
            IF(AND(BP17&lt;=TRUNC(BW17/2,0),BP17&gt;=0),
                IF(BT17=TRUNC(BW17/2,0),
                    "-1, no había superávit y deje la capacidad media",
                    IF(AND(BT17&gt;TRUNC(BW17/2,0), BT17&gt;=BP17),
                        "0, no había superávit, y la deje con superávit",
                        IF(AND(BT17&lt;TRUNC(BW17/2,0),BT17&lt;BP17),
                            "1, no había superávit, pero el resultado fue mejor",
                            "-2, no había superávit y resultado fue bueno"
                        )
                    )
                )
            )
        )
    )
)</f>
        <v>-1, no había superávit y deje la capacidad media</v>
      </c>
      <c r="CB17" s="30" t="s">
        <v>217</v>
      </c>
      <c r="CC17" s="30">
        <v>9</v>
      </c>
      <c r="CD17" s="31">
        <v>8.3333333333333339</v>
      </c>
      <c r="CE17" s="30">
        <v>10</v>
      </c>
      <c r="CF17" s="29">
        <v>11</v>
      </c>
      <c r="CG17" s="30">
        <v>9</v>
      </c>
      <c r="CH17" s="30">
        <v>-0.83166677317607873</v>
      </c>
      <c r="CI17" s="26" t="s">
        <v>323</v>
      </c>
      <c r="CJ17" s="30">
        <v>11</v>
      </c>
      <c r="CK17" s="29">
        <f>IF(CE17&gt;=CC17,1,0)</f>
        <v>1</v>
      </c>
      <c r="CL17" s="29">
        <f>CE17-CC17</f>
        <v>1</v>
      </c>
      <c r="CM17" s="29" t="str">
        <f>IF(CH17&gt;0,
    IF(OR(CC17&lt;=TRUNC(CJ17/2,0),CC17=0),
        IF(CG17=TRUNC(CJ17/2,0),
            "-1, Déficit y dejo la capacidad media",
            IF(AND(CG17&gt;TRUNC(CJ17/2,0), CG17&gt;CC17),
                "1, Déficit y eliminé déficit",
                IF(AND(CG17&lt;TRUNC(CJ17/2,0), CG17&lt;CC17),
                    "0, Déficit y no elimine déficit",
                    "-2, Déficit y resultado fue bueno")
            )
        ),
        IF(AND(CG17&gt;TRUNC(CJ17/2,0), CG17&gt;CC17),
            "1, no había déficit, pero resultado fue mejor",
            IF(AND(CG17&lt;TRUNC(CJ17/2,0),CG17&lt;CC17),
                "0, no había déficit y la dejo con déficit",
                IF(CG17=TRUNC(CJ17/2,0),
                    "-1, no había déficit y dejo la capacidad media",
                    "-2,no había déficit y resultado fue bueno")
            )
        )
    ),
    IF(CH17&lt;0,
        IF(CC17&gt;TRUNC(CJ17/2,0),
            IF(CG17=TRUNC(CJ17/2,0),
                "-1, Superávit y deje la capacidad media",
                IF(AND(CG17&gt;TRUNC(CJ17/2,0), CG17&gt;=CC17),
                    "0, Superávit y no eliminé superávit",
                    IF(AND(CG17&lt;TRUNC(CJ17/2,0),CG17&lt;CC17),
                        "1, Superávit y eliminé superávit",
                        "-2, Superávit y resultado fue bueno"
                    )
                )
            ),
            IF(AND(CC17&lt;=TRUNC(CJ17/2,0),CC17&gt;=0),
                IF(CG17=TRUNC(CJ17/2,0),
                    "-1, no había superávit y deje la capacidad media",
                    IF(AND(CG17&gt;TRUNC(CJ17/2,0), CG17&gt;=CC17),
                        "0, no había superávit, y la deje con superávit",
                        IF(AND(CG17&lt;TRUNC(CJ17/2,0),CG17&lt;CC17),
                            "1, no había superávit, pero el resultado fue mejor",
                            "-2, no había superávit y resultado fue bueno"
                        )
                    )
                )
            )
        )
    )
)</f>
        <v>0, Superávit y no eliminé superávit</v>
      </c>
      <c r="CO17" s="2" t="s">
        <v>217</v>
      </c>
      <c r="CP17" s="2">
        <v>9</v>
      </c>
      <c r="CQ17" s="7">
        <v>7.4444444444444446</v>
      </c>
      <c r="CR17" s="3">
        <v>9</v>
      </c>
      <c r="CS17" s="3">
        <v>8</v>
      </c>
      <c r="CT17" s="2">
        <v>9</v>
      </c>
      <c r="CU17" s="36">
        <v>-0.83166677317607873</v>
      </c>
      <c r="CV17" s="26" t="s">
        <v>323</v>
      </c>
      <c r="CW17" s="30">
        <v>11</v>
      </c>
      <c r="CX17" s="29">
        <f>IF(CR17&gt;=CP17,1,0)</f>
        <v>1</v>
      </c>
      <c r="CY17" s="29">
        <f>CR17-CP17</f>
        <v>0</v>
      </c>
      <c r="CZ17" s="29" t="str">
        <f>IF(CU17&gt;0,
    IF(OR(CP17&lt;=TRUNC(CW17/2,0),CP17=0),
        IF(CT17=TRUNC(CW17/2,0),
            "-1, Déficit y dejo la capacidad media",
            IF(AND(CT17&gt;TRUNC(CW17/2,0), CT17&gt;CP17),
                "1, Déficit y eliminé déficit",
                IF(AND(CT17&lt;TRUNC(CW17/2,0), CT17&lt;CP17),
                    "0, Déficit y no elimine déficit",
                    "-2, Déficit y resultado fue bueno")
            )
        ),
        IF(AND(CT17&gt;TRUNC(CW17/2,0), CT17&gt;CP17),
            "1, no había déficit, pero resultado fue mejor",
            IF(AND(CT17&lt;TRUNC(CW17/2,0),CT17&lt;CP17),
                "0, no había déficit y la dejo con déficit",
                IF(CT17=TRUNC(CW17/2,0),
                    "-1, no había déficit y dejo la capacidad media",
                    "-2,no había déficit y resultado fue bueno")
            )
        )
    ),
    IF(CU17&lt;0,
        IF(CP17&gt;TRUNC(CW17/2,0),
            IF(CT17=TRUNC(CW17/2,0),
                "-1, Superávit y deje la capacidad media",
                IF(AND(CT17&gt;TRUNC(CW17/2,0), CT17&gt;=CP17),
                    "0, Superávit y no eliminé superávit",
                    IF(AND(CT17&lt;TRUNC(CW17/2,0),CT17&lt;CP17),
                        "1, Superávit y eliminé superávit",
                        "-2, Superávit y resultado fue bueno"
                    )
                )
            ),
            IF(AND(CP17&lt;=TRUNC(CW17/2,0),CP17&gt;=0),
                IF(CT17=TRUNC(CW17/2,0),
                    "-1, no había superávit y deje la capacidad media",
                    IF(AND(CT17&gt;TRUNC(CW17/2,0), CT17&gt;=CP17),
                        "0, no había superávit, y la deje con superávit",
                        IF(AND(CT17&lt;TRUNC(CW17/2,0),CT17&lt;CP17),
                            "1, no había superávit, pero el resultado fue mejor",
                            "-2, no había superávit y resultado fue bueno"
                        )
                    )
                )
            )
        )
    )
)</f>
        <v>0, Superávit y no eliminé superávit</v>
      </c>
      <c r="DB17" s="2" t="s">
        <v>222</v>
      </c>
    </row>
    <row r="18" spans="1:106" ht="14.25" customHeight="1" x14ac:dyDescent="0.3">
      <c r="A18" s="29" t="str">
        <f t="shared" si="0"/>
        <v>Llenado</v>
      </c>
      <c r="B18" s="30" t="s">
        <v>227</v>
      </c>
      <c r="C18" s="30">
        <v>17</v>
      </c>
      <c r="D18" s="31">
        <v>11.222222222222221</v>
      </c>
      <c r="E18" s="31">
        <v>16</v>
      </c>
      <c r="F18" s="29">
        <v>14</v>
      </c>
      <c r="G18" s="30">
        <v>15</v>
      </c>
      <c r="H18" s="30">
        <v>-0.99035075718315457</v>
      </c>
      <c r="I18" s="26" t="s">
        <v>328</v>
      </c>
      <c r="J18" s="30">
        <v>17</v>
      </c>
      <c r="K18" s="29">
        <f>IF(E18&gt;=C18,1,0)</f>
        <v>0</v>
      </c>
      <c r="L18" s="32">
        <f>E18-C18</f>
        <v>-1</v>
      </c>
      <c r="M18" s="32" t="str">
        <f>IF(H18&gt;0,
    IF(OR(C18&lt;=TRUNC(J18/2,0),C18=0),
        IF(G18=TRUNC(J18/2,0),
            "-1, Déficit y dejo la capacidad media",
            IF(AND(G18&gt;TRUNC(J18/2,0), G18&gt;C18),
                "1, Déficit y eliminé déficit",
                IF(AND(G18&lt;TRUNC(J18/2,0), G18&lt;C18),
                    "0, Déficit y no elimine déficit",
                    "-2, Déficit y resultado fue bueno")
            )
        ),
        IF(AND(G18&gt;TRUNC(J18/2,0), G18&gt;C18),
            "1, no había déficit, pero resultado fue mejor",
            IF(AND(G18&lt;TRUNC(J18/2,0),G18&lt;C18),
                "0, no había déficit y la dejo con déficit",
                IF(G18=TRUNC(J18/2,0),
                    "-1, no había déficit y dejo la capacidad media",
                    "-2,no había déficit y resultado fue bueno")
            )
        )
    ),
    IF(H18&lt;0,
        IF(C18&gt;TRUNC(J18/2,0),
            IF(G18=TRUNC(J18/2,0),
                "-1, Superávit y deje la capacidad media",
                IF(AND(G18&gt;TRUNC(J18/2,0), G18&gt;=C18),
                    "0, Superávit y no eliminé superávit",
                    IF(AND(G18&lt;TRUNC(J18/2,0),G18&lt;C18),
                        "1, Superávit y eliminé superávit",
                        "-2, Superávit y resultado fue bueno"
                    )
                )
            ),
            IF(AND(C18&lt;=TRUNC(J18/2,0),C18&gt;=0),
                IF(G18=TRUNC(J18/2,0),
                    "-1, no había superávit y deje la capacidad media",
                    IF(AND(G18&gt;TRUNC(J18/2,0), G18&gt;=C18),
                        "0, no había superávit, y la deje con superávit",
                        IF(AND(G18&lt;TRUNC(J18/2,0),G18&lt;C18),
                            "1, no había superávit, pero el resultado fue mejor",
                            "-2, no había superávit y resultado fue bueno"
                        )
                    )
                )
            )
        )
    )
)</f>
        <v>-2, Superávit y resultado fue bueno</v>
      </c>
      <c r="O18" s="30" t="s">
        <v>227</v>
      </c>
      <c r="P18" s="30">
        <v>15</v>
      </c>
      <c r="Q18" s="31">
        <v>12.888888888888889</v>
      </c>
      <c r="R18" s="30">
        <v>10</v>
      </c>
      <c r="S18" s="29">
        <v>9</v>
      </c>
      <c r="T18" s="30">
        <v>15</v>
      </c>
      <c r="U18" s="30">
        <v>-0.99035075718315457</v>
      </c>
      <c r="V18" s="26" t="s">
        <v>328</v>
      </c>
      <c r="W18" s="30">
        <v>17</v>
      </c>
      <c r="X18" s="29">
        <f>IF(R18&gt;=P18,1,0)</f>
        <v>0</v>
      </c>
      <c r="Y18" s="29">
        <f>R18-P18</f>
        <v>-5</v>
      </c>
      <c r="Z18" s="29" t="str">
        <f>IF(U18&gt;0,
    IF(OR(P18&lt;=TRUNC(W18/2,0),P18=0),
        IF(T18=TRUNC(W18/2,0),
            "-1, Déficit y dejo la capacidad media",
            IF(AND(T18&gt;TRUNC(W18/2,0), T18&gt;P18),
                "1, Déficit y eliminé déficit",
                IF(AND(T18&lt;TRUNC(W18/2,0), T18&lt;P18),
                    "0, Déficit y no elimine déficit",
                    "-2, Déficit y resultado fue bueno")
            )
        ),
        IF(AND(T18&gt;TRUNC(W18/2,0), T18&gt;P18),
            "1, no había déficit, pero resultado fue mejor",
            IF(AND(T18&lt;TRUNC(W18/2,0),T18&lt;P18),
                "0, no había déficit y la dejo con déficit",
                IF(T18=TRUNC(W18/2,0),
                    "-1, no había déficit y dejo la capacidad media",
                    "-2,no había déficit y resultado fue bueno")
            )
        )
    ),
    IF(U18&lt;0,
        IF(P18&gt;TRUNC(W18/2,0),
            IF(T18=TRUNC(W18/2,0),
                "-1, Superávit y deje la capacidad media",
                IF(AND(T18&gt;TRUNC(W18/2,0), T18&gt;=P18),
                    "0, Superávit y no eliminé superávit",
                    IF(AND(T18&lt;TRUNC(W18/2,0),T18&lt;P18),
                        "1, Superávit y eliminé superávit",
                        "-2, Superávit y resultado fue bueno"
                    )
                )
            ),
            IF(AND(P18&lt;=TRUNC(W18/2,0),P18&gt;=0),
                IF(T18=TRUNC(W18/2,0),
                    "-1, no había superávit y deje la capacidad media",
                    IF(AND(T18&gt;TRUNC(W18/2,0), T18&gt;=P18),
                        "0, no había superávit, y la deje con superávit",
                        IF(AND(T18&lt;TRUNC(W18/2,0),T18&lt;P18),
                            "1, no había superávit, pero el resultado fue mejor",
                            "-2, no había superávit y resultado fue bueno"
                        )
                    )
                )
            )
        )
    )
)</f>
        <v>0, Superávit y no eliminé superávit</v>
      </c>
      <c r="AB18" s="2" t="s">
        <v>227</v>
      </c>
      <c r="AC18" s="3">
        <v>14</v>
      </c>
      <c r="AD18" s="5">
        <v>15.222222222222221</v>
      </c>
      <c r="AE18" s="3">
        <v>14</v>
      </c>
      <c r="AF18" s="3">
        <v>14</v>
      </c>
      <c r="AG18" s="3">
        <v>3</v>
      </c>
      <c r="AH18" s="2">
        <v>-0.99035075718315457</v>
      </c>
      <c r="AI18" s="26" t="s">
        <v>328</v>
      </c>
      <c r="AJ18" s="2">
        <v>17</v>
      </c>
      <c r="AK18" s="14">
        <f>IF(AE18&gt;=AC18,1,0)</f>
        <v>1</v>
      </c>
      <c r="AL18" s="34">
        <f>AE18-AC18</f>
        <v>0</v>
      </c>
      <c r="AM18" s="29" t="str">
        <f>IF(AH18&gt;0,
    IF(OR(AC18&lt;=TRUNC(AJ18/2,0),AC18=0),
        IF(AG18=TRUNC(AJ18/2,0),
            "-1, Déficit y dejo la capacidad media",
            IF(AND(AG18&gt;TRUNC(AJ18/2,0), AG18&gt;AC18),
                "1, Déficit y eliminé déficit",
                IF(AND(AG18&lt;TRUNC(AJ18/2,0), AG18&lt;AC18),
                    "0, Déficit y no elimine déficit",
                    "-2, Déficit y resultado fue bueno")
            )
        ),
        IF(AND(AG18&gt;TRUNC(AJ18/2,0), AG18&gt;AC18),
            "1, no había déficit, pero resultado fue mejor",
            IF(AND(AG18&lt;TRUNC(AJ18/2,0),AG18&lt;AC18),
                "0, no había déficit y la dejo con déficit",
                IF(AG18=TRUNC(AJ18/2,0),
                    "-1, no había déficit y dejo la capacidad media",
                    "-2,no había déficit y resultado fue bueno")
            )
        )
    ),
    IF(AH18&lt;0,
        IF(AC18&gt;TRUNC(AJ18/2,0),
            IF(AG18=TRUNC(AJ18/2,0),
                "-1, Superávit y deje la capacidad media",
                IF(AND(AG18&gt;TRUNC(AJ18/2,0), AG18&gt;=AC18),
                    "0, Superávit y no eliminé superávit",
                    IF(AND(AG18&lt;TRUNC(AJ18/2,0),AG18&lt;AC18),
                        "1, Superávit y eliminé superávit",
                        "-2, Superávit y resultado fue bueno"
                    )
                )
            ),
            IF(AND(AC18&lt;=TRUNC(AJ18/2,0),AC18&gt;=0),
                IF(AG18=TRUNC(AJ18/2,0),
                    "-1, no había superávit y deje la capacidad media",
                    IF(AND(AG18&gt;TRUNC(AJ18/2,0), AG18&gt;=AC18),
                        "0, no había superávit, y la deje con superávit",
                        IF(AND(AG18&lt;TRUNC(AJ18/2,0),AG18&lt;AC18),
                            "1, no había superávit, pero el resultado fue mejor",
                            "-2, no había superávit y resultado fue bueno"
                        )
                    )
                )
            )
        )
    )
)</f>
        <v>1, Superávit y eliminé superávit</v>
      </c>
      <c r="AO18" s="2" t="s">
        <v>227</v>
      </c>
      <c r="AP18" s="3">
        <v>11</v>
      </c>
      <c r="AQ18" s="5">
        <v>11</v>
      </c>
      <c r="AR18" s="3">
        <v>13</v>
      </c>
      <c r="AS18" s="3">
        <v>15</v>
      </c>
      <c r="AT18" s="3">
        <v>11</v>
      </c>
      <c r="AU18" s="15">
        <v>-0.99035075718315457</v>
      </c>
      <c r="AV18" s="26" t="s">
        <v>328</v>
      </c>
      <c r="AW18" s="2">
        <v>17</v>
      </c>
      <c r="AX18" s="14">
        <f>IF(AR18&gt;=AP18,1,0)</f>
        <v>1</v>
      </c>
      <c r="AY18" s="34">
        <f>AR18-AP18</f>
        <v>2</v>
      </c>
      <c r="AZ18" s="29" t="str">
        <f>IF(AU18&gt;0,
    IF(OR(AP18&lt;=TRUNC(AW18/2,0),AP18=0),
        IF(AT18=TRUNC(AW18/2,0),
            "-1, Déficit y dejo la capacidad media",
            IF(AND(AT18&gt;TRUNC(AW18/2,0), AT18&gt;AP18),
                "1, Déficit y eliminé déficit",
                IF(AND(AT18&lt;TRUNC(AW18/2,0), AT18&lt;AP18),
                    "0, Déficit y no elimine déficit",
                    "-2, Déficit y resultado fue bueno")
            )
        ),
        IF(AND(AT18&gt;TRUNC(AW18/2,0), AT18&gt;AP18),
            "1, no había déficit, pero resultado fue mejor",
            IF(AND(AT18&lt;TRUNC(AW18/2,0),AT18&lt;AP18),
                "0, no había déficit y la dejo con déficit",
                IF(AT18=TRUNC(AW18/2,0),
                    "-1, no había déficit y dejo la capacidad media",
                    "-2,no había déficit y resultado fue bueno")
            )
        )
    ),
    IF(AU18&lt;0,
        IF(AP18&gt;TRUNC(AW18/2,0),
            IF(AT18=TRUNC(AW18/2,0),
                "-1, Superávit y deje la capacidad media",
                IF(AND(AT18&gt;TRUNC(AW18/2,0), AT18&gt;=AP18),
                    "0, Superávit y no eliminé superávit",
                    IF(AND(AT18&lt;TRUNC(AW18/2,0),AT18&lt;AP18),
                        "1, Superávit y eliminé superávit",
                        "-2, Superávit y resultado fue bueno"
                    )
                )
            ),
            IF(AND(AP18&lt;=TRUNC(AW18/2,0),AP18&gt;=0),
                IF(AT18=TRUNC(AW18/2,0),
                    "-1, no había superávit y deje la capacidad media",
                    IF(AND(AT18&gt;TRUNC(AW18/2,0), AT18&gt;=AP18),
                        "0, no había superávit, y la deje con superávit",
                        IF(AND(AT18&lt;TRUNC(AW18/2,0),AT18&lt;AP18),
                            "1, no había superávit, pero el resultado fue mejor",
                            "-2, no había superávit y resultado fue bueno"
                        )
                    )
                )
            )
        )
    )
)</f>
        <v>0, Superávit y no eliminé superávit</v>
      </c>
      <c r="BB18" s="30" t="s">
        <v>227</v>
      </c>
      <c r="BC18" s="29">
        <v>12</v>
      </c>
      <c r="BD18" s="31">
        <v>10</v>
      </c>
      <c r="BE18" s="29">
        <v>12</v>
      </c>
      <c r="BF18" s="29">
        <v>14</v>
      </c>
      <c r="BG18" s="29">
        <v>12</v>
      </c>
      <c r="BH18" s="30">
        <v>-0.99035075718315457</v>
      </c>
      <c r="BI18" s="26" t="s">
        <v>328</v>
      </c>
      <c r="BJ18" s="30">
        <v>17</v>
      </c>
      <c r="BK18" s="29">
        <f>IF(BE18&gt;=BC18,1,0)</f>
        <v>1</v>
      </c>
      <c r="BL18" s="29">
        <f>BE18-BC18</f>
        <v>0</v>
      </c>
      <c r="BM18" s="29" t="str">
        <f>IF(BH18&gt;0,
    IF(OR(BC18&lt;=TRUNC(BJ18/2,0),BC18=0),
        IF(BG18=TRUNC(BJ18/2,0),
            "-1, Déficit y dejo la capacidad media",
            IF(AND(BG18&gt;TRUNC(BJ18/2,0), BG18&gt;BC18),
                "1, Déficit y eliminé déficit",
                IF(AND(BG18&lt;TRUNC(BJ18/2,0), BG18&lt;BC18),
                    "0, Déficit y no elimine déficit",
                    "-2, Déficit y resultado fue bueno")
            )
        ),
        IF(AND(BG18&gt;TRUNC(BJ18/2,0), BG18&gt;BC18),
            "1, no había déficit, pero resultado fue mejor",
            IF(AND(BG18&lt;TRUNC(BJ18/2,0),BG18&lt;BC18),
                "0, no había déficit y la dejo con déficit",
                IF(BG18=TRUNC(BJ18/2,0),
                    "-1, no había déficit y dejo la capacidad media",
                    "-2,no había déficit y resultado fue bueno")
            )
        )
    ),
    IF(BH18&lt;0,
        IF(BC18&gt;TRUNC(BJ18/2,0),
            IF(BG18=TRUNC(BJ18/2,0),
                "-1, Superávit y deje la capacidad media",
                IF(AND(BG18&gt;TRUNC(BJ18/2,0), BG18&gt;=BC18),
                    "0, Superávit y no eliminé superávit",
                    IF(AND(BG18&lt;TRUNC(BJ18/2,0),BG18&lt;BC18),
                        "1, Superávit y eliminé superávit",
                        "-2, Superávit y resultado fue bueno"
                    )
                )
            ),
            IF(AND(BC18&lt;=TRUNC(BJ18/2,0),BC18&gt;=0),
                IF(BG18=TRUNC(BJ18/2,0),
                    "-1, no había superávit y deje la capacidad media",
                    IF(AND(BG18&gt;TRUNC(BJ18/2,0), BG18&gt;=BC18),
                        "0, no había superávit, y la deje con superávit",
                        IF(AND(BG18&lt;TRUNC(BJ18/2,0),BG18&lt;BC18),
                            "1, no había superávit, pero el resultado fue mejor",
                            "-2, no había superávit y resultado fue bueno"
                        )
                    )
                )
            )
        )
    )
)</f>
        <v>0, Superávit y no eliminé superávit</v>
      </c>
      <c r="BO18" s="2" t="s">
        <v>227</v>
      </c>
      <c r="BP18" s="3">
        <v>1</v>
      </c>
      <c r="BQ18" s="5">
        <v>11.111111111111111</v>
      </c>
      <c r="BR18" s="3">
        <v>2</v>
      </c>
      <c r="BS18" s="3">
        <v>1</v>
      </c>
      <c r="BT18" s="3">
        <v>2</v>
      </c>
      <c r="BU18" s="2">
        <v>-0.99035075718315457</v>
      </c>
      <c r="BV18" s="26" t="s">
        <v>328</v>
      </c>
      <c r="BW18" s="2">
        <v>17</v>
      </c>
      <c r="BX18" s="14">
        <f>IF(BR18&gt;=BP18,1,0)</f>
        <v>1</v>
      </c>
      <c r="BY18" s="34">
        <f>BR18-BP18</f>
        <v>1</v>
      </c>
      <c r="BZ18" s="29" t="str">
        <f>IF(BU18&gt;0,
    IF(OR(BP18&lt;=TRUNC(BW18/2,0),BP18=0),
        IF(BT18=TRUNC(BW18/2,0),
            "-1, Déficit y dejo la capacidad media",
            IF(AND(BT18&gt;TRUNC(BW18/2,0), BT18&gt;BP18),
                "1, Déficit y eliminé déficit",
                IF(AND(BT18&lt;TRUNC(BW18/2,0), BT18&lt;BP18),
                    "0, Déficit y no elimine déficit",
                    "-2, Déficit y resultado fue bueno")
            )
        ),
        IF(AND(BT18&gt;TRUNC(BW18/2,0), BT18&gt;BP18),
            "1, no había déficit, pero resultado fue mejor",
            IF(AND(BT18&lt;TRUNC(BW18/2,0),BT18&lt;BP18),
                "0, no había déficit y la dejo con déficit",
                IF(BT18=TRUNC(BW18/2,0),
                    "-1, no había déficit y dejo la capacidad media",
                    "-2,no había déficit y resultado fue bueno")
            )
        )
    ),
    IF(BU18&lt;0,
        IF(BP18&gt;TRUNC(BW18/2,0),
            IF(BT18=TRUNC(BW18/2,0),
                "-1, Superávit y deje la capacidad media",
                IF(AND(BT18&gt;TRUNC(BW18/2,0), BT18&gt;=BP18),
                    "0, Superávit y no eliminé superávit",
                    IF(AND(BT18&lt;TRUNC(BW18/2,0),BT18&lt;BP18),
                        "1, Superávit y eliminé superávit",
                        "-2, Superávit y resultado fue bueno"
                    )
                )
            ),
            IF(AND(BP18&lt;=TRUNC(BW18/2,0),BP18&gt;=0),
                IF(BT18=TRUNC(BW18/2,0),
                    "-1, no había superávit y deje la capacidad media",
                    IF(AND(BT18&gt;TRUNC(BW18/2,0), BT18&gt;=BP18),
                        "0, no había superávit, y la deje con superávit",
                        IF(AND(BT18&lt;TRUNC(BW18/2,0),BT18&lt;BP18),
                            "1, no había superávit, pero el resultado fue mejor",
                            "-2, no había superávit y resultado fue bueno"
                        )
                    )
                )
            )
        )
    )
)</f>
        <v>-2, no había superávit y resultado fue bueno</v>
      </c>
      <c r="CB18" s="30" t="s">
        <v>227</v>
      </c>
      <c r="CC18" s="30">
        <v>6</v>
      </c>
      <c r="CD18" s="31">
        <v>12.777777777777779</v>
      </c>
      <c r="CE18" s="30">
        <v>9</v>
      </c>
      <c r="CF18" s="29">
        <v>10</v>
      </c>
      <c r="CG18" s="30">
        <v>15</v>
      </c>
      <c r="CH18" s="30">
        <v>-0.99035075718315457</v>
      </c>
      <c r="CI18" s="26" t="s">
        <v>328</v>
      </c>
      <c r="CJ18" s="30">
        <v>17</v>
      </c>
      <c r="CK18" s="29">
        <f>IF(CE18&gt;=CC18,1,0)</f>
        <v>1</v>
      </c>
      <c r="CL18" s="29">
        <f>CE18-CC18</f>
        <v>3</v>
      </c>
      <c r="CM18" s="29" t="str">
        <f>IF(CH18&gt;0,
    IF(OR(CC18&lt;=TRUNC(CJ18/2,0),CC18=0),
        IF(CG18=TRUNC(CJ18/2,0),
            "-1, Déficit y dejo la capacidad media",
            IF(AND(CG18&gt;TRUNC(CJ18/2,0), CG18&gt;CC18),
                "1, Déficit y eliminé déficit",
                IF(AND(CG18&lt;TRUNC(CJ18/2,0), CG18&lt;CC18),
                    "0, Déficit y no elimine déficit",
                    "-2, Déficit y resultado fue bueno")
            )
        ),
        IF(AND(CG18&gt;TRUNC(CJ18/2,0), CG18&gt;CC18),
            "1, no había déficit, pero resultado fue mejor",
            IF(AND(CG18&lt;TRUNC(CJ18/2,0),CG18&lt;CC18),
                "0, no había déficit y la dejo con déficit",
                IF(CG18=TRUNC(CJ18/2,0),
                    "-1, no había déficit y dejo la capacidad media",
                    "-2,no había déficit y resultado fue bueno")
            )
        )
    ),
    IF(CH18&lt;0,
        IF(CC18&gt;TRUNC(CJ18/2,0),
            IF(CG18=TRUNC(CJ18/2,0),
                "-1, Superávit y deje la capacidad media",
                IF(AND(CG18&gt;TRUNC(CJ18/2,0), CG18&gt;=CC18),
                    "0, Superávit y no eliminé superávit",
                    IF(AND(CG18&lt;TRUNC(CJ18/2,0),CG18&lt;CC18),
                        "1, Superávit y eliminé superávit",
                        "-2, Superávit y resultado fue bueno"
                    )
                )
            ),
            IF(AND(CC18&lt;=TRUNC(CJ18/2,0),CC18&gt;=0),
                IF(CG18=TRUNC(CJ18/2,0),
                    "-1, no había superávit y deje la capacidad media",
                    IF(AND(CG18&gt;TRUNC(CJ18/2,0), CG18&gt;=CC18),
                        "0, no había superávit, y la deje con superávit",
                        IF(AND(CG18&lt;TRUNC(CJ18/2,0),CG18&lt;CC18),
                            "1, no había superávit, pero el resultado fue mejor",
                            "-2, no había superávit y resultado fue bueno"
                        )
                    )
                )
            )
        )
    )
)</f>
        <v>0, no había superávit, y la deje con superávit</v>
      </c>
      <c r="CO18" s="2" t="s">
        <v>227</v>
      </c>
      <c r="CP18" s="2">
        <v>13</v>
      </c>
      <c r="CQ18" s="7">
        <v>11.222222222222221</v>
      </c>
      <c r="CR18" s="3">
        <v>15</v>
      </c>
      <c r="CS18" s="3">
        <v>15</v>
      </c>
      <c r="CT18" s="2">
        <v>13</v>
      </c>
      <c r="CU18" s="36">
        <v>-0.99035075718315457</v>
      </c>
      <c r="CV18" s="26" t="s">
        <v>328</v>
      </c>
      <c r="CW18" s="30">
        <v>17</v>
      </c>
      <c r="CX18" s="29">
        <f>IF(CR18&gt;=CP18,1,0)</f>
        <v>1</v>
      </c>
      <c r="CY18" s="29">
        <f>CR18-CP18</f>
        <v>2</v>
      </c>
      <c r="CZ18" s="29" t="str">
        <f>IF(CU18&gt;0,
    IF(OR(CP18&lt;=TRUNC(CW18/2,0),CP18=0),
        IF(CT18=TRUNC(CW18/2,0),
            "-1, Déficit y dejo la capacidad media",
            IF(AND(CT18&gt;TRUNC(CW18/2,0), CT18&gt;CP18),
                "1, Déficit y eliminé déficit",
                IF(AND(CT18&lt;TRUNC(CW18/2,0), CT18&lt;CP18),
                    "0, Déficit y no elimine déficit",
                    "-2, Déficit y resultado fue bueno")
            )
        ),
        IF(AND(CT18&gt;TRUNC(CW18/2,0), CT18&gt;CP18),
            "1, no había déficit, pero resultado fue mejor",
            IF(AND(CT18&lt;TRUNC(CW18/2,0),CT18&lt;CP18),
                "0, no había déficit y la dejo con déficit",
                IF(CT18=TRUNC(CW18/2,0),
                    "-1, no había déficit y dejo la capacidad media",
                    "-2,no había déficit y resultado fue bueno")
            )
        )
    ),
    IF(CU18&lt;0,
        IF(CP18&gt;TRUNC(CW18/2,0),
            IF(CT18=TRUNC(CW18/2,0),
                "-1, Superávit y deje la capacidad media",
                IF(AND(CT18&gt;TRUNC(CW18/2,0), CT18&gt;=CP18),
                    "0, Superávit y no eliminé superávit",
                    IF(AND(CT18&lt;TRUNC(CW18/2,0),CT18&lt;CP18),
                        "1, Superávit y eliminé superávit",
                        "-2, Superávit y resultado fue bueno"
                    )
                )
            ),
            IF(AND(CP18&lt;=TRUNC(CW18/2,0),CP18&gt;=0),
                IF(CT18=TRUNC(CW18/2,0),
                    "-1, no había superávit y deje la capacidad media",
                    IF(AND(CT18&gt;TRUNC(CW18/2,0), CT18&gt;=CP18),
                        "0, no había superávit, y la deje con superávit",
                        IF(AND(CT18&lt;TRUNC(CW18/2,0),CT18&lt;CP18),
                            "1, no había superávit, pero el resultado fue mejor",
                            "-2, no había superávit y resultado fue bueno"
                        )
                    )
                )
            )
        )
    )
)</f>
        <v>0, Superávit y no eliminé superávit</v>
      </c>
      <c r="DB18" s="2" t="s">
        <v>207</v>
      </c>
    </row>
    <row r="19" spans="1:106" ht="14.25" customHeight="1" x14ac:dyDescent="0.3">
      <c r="A19" s="29" t="str">
        <f t="shared" si="0"/>
        <v>Llenado</v>
      </c>
      <c r="B19" s="30" t="s">
        <v>221</v>
      </c>
      <c r="C19" s="30">
        <v>15</v>
      </c>
      <c r="D19" s="31">
        <v>12.555555555555555</v>
      </c>
      <c r="E19" s="31">
        <v>18</v>
      </c>
      <c r="F19" s="29">
        <v>15</v>
      </c>
      <c r="G19" s="30">
        <v>15</v>
      </c>
      <c r="H19" s="30">
        <v>-1.072806810743151</v>
      </c>
      <c r="I19" s="26" t="s">
        <v>329</v>
      </c>
      <c r="J19" s="30">
        <v>19</v>
      </c>
      <c r="K19" s="29">
        <f>IF(E19&gt;=C19,1,0)</f>
        <v>1</v>
      </c>
      <c r="L19" s="32">
        <f>E19-C19</f>
        <v>3</v>
      </c>
      <c r="M19" s="32" t="str">
        <f>IF(H19&gt;0,
    IF(OR(C19&lt;=TRUNC(J19/2,0),C19=0),
        IF(G19=TRUNC(J19/2,0),
            "-1, Déficit y dejo la capacidad media",
            IF(AND(G19&gt;TRUNC(J19/2,0), G19&gt;C19),
                "1, Déficit y eliminé déficit",
                IF(AND(G19&lt;TRUNC(J19/2,0), G19&lt;C19),
                    "0, Déficit y no elimine déficit",
                    "-2, Déficit y resultado fue bueno")
            )
        ),
        IF(AND(G19&gt;TRUNC(J19/2,0), G19&gt;C19),
            "1, no había déficit, pero resultado fue mejor",
            IF(AND(G19&lt;TRUNC(J19/2,0),G19&lt;C19),
                "0, no había déficit y la dejo con déficit",
                IF(G19=TRUNC(J19/2,0),
                    "-1, no había déficit y dejo la capacidad media",
                    "-2,no había déficit y resultado fue bueno")
            )
        )
    ),
    IF(H19&lt;0,
        IF(C19&gt;TRUNC(J19/2,0),
            IF(G19=TRUNC(J19/2,0),
                "-1, Superávit y deje la capacidad media",
                IF(AND(G19&gt;TRUNC(J19/2,0), G19&gt;=C19),
                    "0, Superávit y no eliminé superávit",
                    IF(AND(G19&lt;TRUNC(J19/2,0),G19&lt;C19),
                        "1, Superávit y eliminé superávit",
                        "-2, Superávit y resultado fue bueno"
                    )
                )
            ),
            IF(AND(C19&lt;=TRUNC(J19/2,0),C19&gt;=0),
                IF(G19=TRUNC(J19/2,0),
                    "-1, no había superávit y deje la capacidad media",
                    IF(AND(G19&gt;TRUNC(J19/2,0), G19&gt;=C19),
                        "0, no había superávit, y la deje con superávit",
                        IF(AND(G19&lt;TRUNC(J19/2,0),G19&lt;C19),
                            "1, no había superávit, pero el resultado fue mejor",
                            "-2, no había superávit y resultado fue bueno"
                        )
                    )
                )
            )
        )
    )
)</f>
        <v>0, Superávit y no eliminé superávit</v>
      </c>
      <c r="O19" s="30" t="s">
        <v>221</v>
      </c>
      <c r="P19" s="30">
        <v>17</v>
      </c>
      <c r="Q19" s="31">
        <v>12.111111111111111</v>
      </c>
      <c r="R19" s="30">
        <v>17</v>
      </c>
      <c r="S19" s="29">
        <v>17</v>
      </c>
      <c r="T19" s="30">
        <v>16</v>
      </c>
      <c r="U19" s="30">
        <v>-1.072806810743151</v>
      </c>
      <c r="V19" s="26" t="s">
        <v>329</v>
      </c>
      <c r="W19" s="30">
        <v>19</v>
      </c>
      <c r="X19" s="29">
        <f>IF(R19&gt;=P19,1,0)</f>
        <v>1</v>
      </c>
      <c r="Y19" s="29">
        <f>R19-P19</f>
        <v>0</v>
      </c>
      <c r="Z19" s="29" t="str">
        <f>IF(U19&gt;0,
    IF(OR(P19&lt;=TRUNC(W19/2,0),P19=0),
        IF(T19=TRUNC(W19/2,0),
            "-1, Déficit y dejo la capacidad media",
            IF(AND(T19&gt;TRUNC(W19/2,0), T19&gt;P19),
                "1, Déficit y eliminé déficit",
                IF(AND(T19&lt;TRUNC(W19/2,0), T19&lt;P19),
                    "0, Déficit y no elimine déficit",
                    "-2, Déficit y resultado fue bueno")
            )
        ),
        IF(AND(T19&gt;TRUNC(W19/2,0), T19&gt;P19),
            "1, no había déficit, pero resultado fue mejor",
            IF(AND(T19&lt;TRUNC(W19/2,0),T19&lt;P19),
                "0, no había déficit y la dejo con déficit",
                IF(T19=TRUNC(W19/2,0),
                    "-1, no había déficit y dejo la capacidad media",
                    "-2,no había déficit y resultado fue bueno")
            )
        )
    ),
    IF(U19&lt;0,
        IF(P19&gt;TRUNC(W19/2,0),
            IF(T19=TRUNC(W19/2,0),
                "-1, Superávit y deje la capacidad media",
                IF(AND(T19&gt;TRUNC(W19/2,0), T19&gt;=P19),
                    "0, Superávit y no eliminé superávit",
                    IF(AND(T19&lt;TRUNC(W19/2,0),T19&lt;P19),
                        "1, Superávit y eliminé superávit",
                        "-2, Superávit y resultado fue bueno"
                    )
                )
            ),
            IF(AND(P19&lt;=TRUNC(W19/2,0),P19&gt;=0),
                IF(T19=TRUNC(W19/2,0),
                    "-1, no había superávit y deje la capacidad media",
                    IF(AND(T19&gt;TRUNC(W19/2,0), T19&gt;=P19),
                        "0, no había superávit, y la deje con superávit",
                        IF(AND(T19&lt;TRUNC(W19/2,0),T19&lt;P19),
                            "1, no había superávit, pero el resultado fue mejor",
                            "-2, no había superávit y resultado fue bueno"
                        )
                    )
                )
            )
        )
    )
)</f>
        <v>-2, Superávit y resultado fue bueno</v>
      </c>
      <c r="AB19" s="2" t="s">
        <v>221</v>
      </c>
      <c r="AC19" s="3">
        <v>15</v>
      </c>
      <c r="AD19" s="5">
        <v>13.222222222222221</v>
      </c>
      <c r="AE19" s="3">
        <v>15</v>
      </c>
      <c r="AF19" s="3">
        <v>15</v>
      </c>
      <c r="AG19" s="3">
        <v>15</v>
      </c>
      <c r="AH19" s="2">
        <v>-1.072806810743151</v>
      </c>
      <c r="AI19" s="26" t="s">
        <v>329</v>
      </c>
      <c r="AJ19" s="2">
        <v>19</v>
      </c>
      <c r="AK19" s="14">
        <f>IF(AE19&gt;=AC19,1,0)</f>
        <v>1</v>
      </c>
      <c r="AL19" s="34">
        <f>AE19-AC19</f>
        <v>0</v>
      </c>
      <c r="AM19" s="29" t="str">
        <f>IF(AH19&gt;0,
    IF(OR(AC19&lt;=TRUNC(AJ19/2,0),AC19=0),
        IF(AG19=TRUNC(AJ19/2,0),
            "-1, Déficit y dejo la capacidad media",
            IF(AND(AG19&gt;TRUNC(AJ19/2,0), AG19&gt;AC19),
                "1, Déficit y eliminé déficit",
                IF(AND(AG19&lt;TRUNC(AJ19/2,0), AG19&lt;AC19),
                    "0, Déficit y no elimine déficit",
                    "-2, Déficit y resultado fue bueno")
            )
        ),
        IF(AND(AG19&gt;TRUNC(AJ19/2,0), AG19&gt;AC19),
            "1, no había déficit, pero resultado fue mejor",
            IF(AND(AG19&lt;TRUNC(AJ19/2,0),AG19&lt;AC19),
                "0, no había déficit y la dejo con déficit",
                IF(AG19=TRUNC(AJ19/2,0),
                    "-1, no había déficit y dejo la capacidad media",
                    "-2,no había déficit y resultado fue bueno")
            )
        )
    ),
    IF(AH19&lt;0,
        IF(AC19&gt;TRUNC(AJ19/2,0),
            IF(AG19=TRUNC(AJ19/2,0),
                "-1, Superávit y deje la capacidad media",
                IF(AND(AG19&gt;TRUNC(AJ19/2,0), AG19&gt;=AC19),
                    "0, Superávit y no eliminé superávit",
                    IF(AND(AG19&lt;TRUNC(AJ19/2,0),AG19&lt;AC19),
                        "1, Superávit y eliminé superávit",
                        "-2, Superávit y resultado fue bueno"
                    )
                )
            ),
            IF(AND(AC19&lt;=TRUNC(AJ19/2,0),AC19&gt;=0),
                IF(AG19=TRUNC(AJ19/2,0),
                    "-1, no había superávit y deje la capacidad media",
                    IF(AND(AG19&gt;TRUNC(AJ19/2,0), AG19&gt;=AC19),
                        "0, no había superávit, y la deje con superávit",
                        IF(AND(AG19&lt;TRUNC(AJ19/2,0),AG19&lt;AC19),
                            "1, no había superávit, pero el resultado fue mejor",
                            "-2, no había superávit y resultado fue bueno"
                        )
                    )
                )
            )
        )
    )
)</f>
        <v>0, Superávit y no eliminé superávit</v>
      </c>
      <c r="AO19" s="2" t="s">
        <v>221</v>
      </c>
      <c r="AP19" s="3">
        <v>11</v>
      </c>
      <c r="AQ19" s="5">
        <v>13.555555555555555</v>
      </c>
      <c r="AR19" s="3">
        <v>14</v>
      </c>
      <c r="AS19" s="3">
        <v>15</v>
      </c>
      <c r="AT19" s="3">
        <v>11</v>
      </c>
      <c r="AU19" s="15">
        <v>-1.072806810743151</v>
      </c>
      <c r="AV19" s="26" t="s">
        <v>329</v>
      </c>
      <c r="AW19" s="2">
        <v>19</v>
      </c>
      <c r="AX19" s="14">
        <f>IF(AR19&gt;=AP19,1,0)</f>
        <v>1</v>
      </c>
      <c r="AY19" s="34">
        <f>AR19-AP19</f>
        <v>3</v>
      </c>
      <c r="AZ19" s="29" t="str">
        <f>IF(AU19&gt;0,
    IF(OR(AP19&lt;=TRUNC(AW19/2,0),AP19=0),
        IF(AT19=TRUNC(AW19/2,0),
            "-1, Déficit y dejo la capacidad media",
            IF(AND(AT19&gt;TRUNC(AW19/2,0), AT19&gt;AP19),
                "1, Déficit y eliminé déficit",
                IF(AND(AT19&lt;TRUNC(AW19/2,0), AT19&lt;AP19),
                    "0, Déficit y no elimine déficit",
                    "-2, Déficit y resultado fue bueno")
            )
        ),
        IF(AND(AT19&gt;TRUNC(AW19/2,0), AT19&gt;AP19),
            "1, no había déficit, pero resultado fue mejor",
            IF(AND(AT19&lt;TRUNC(AW19/2,0),AT19&lt;AP19),
                "0, no había déficit y la dejo con déficit",
                IF(AT19=TRUNC(AW19/2,0),
                    "-1, no había déficit y dejo la capacidad media",
                    "-2,no había déficit y resultado fue bueno")
            )
        )
    ),
    IF(AU19&lt;0,
        IF(AP19&gt;TRUNC(AW19/2,0),
            IF(AT19=TRUNC(AW19/2,0),
                "-1, Superávit y deje la capacidad media",
                IF(AND(AT19&gt;TRUNC(AW19/2,0), AT19&gt;=AP19),
                    "0, Superávit y no eliminé superávit",
                    IF(AND(AT19&lt;TRUNC(AW19/2,0),AT19&lt;AP19),
                        "1, Superávit y eliminé superávit",
                        "-2, Superávit y resultado fue bueno"
                    )
                )
            ),
            IF(AND(AP19&lt;=TRUNC(AW19/2,0),AP19&gt;=0),
                IF(AT19=TRUNC(AW19/2,0),
                    "-1, no había superávit y deje la capacidad media",
                    IF(AND(AT19&gt;TRUNC(AW19/2,0), AT19&gt;=AP19),
                        "0, no había superávit, y la deje con superávit",
                        IF(AND(AT19&lt;TRUNC(AW19/2,0),AT19&lt;AP19),
                            "1, no había superávit, pero el resultado fue mejor",
                            "-2, no había superávit y resultado fue bueno"
                        )
                    )
                )
            )
        )
    )
)</f>
        <v>0, Superávit y no eliminé superávit</v>
      </c>
      <c r="BB19" s="30" t="s">
        <v>221</v>
      </c>
      <c r="BC19" s="29">
        <v>9</v>
      </c>
      <c r="BD19" s="31">
        <v>15</v>
      </c>
      <c r="BE19" s="29">
        <v>12</v>
      </c>
      <c r="BF19" s="29">
        <v>13</v>
      </c>
      <c r="BG19" s="29">
        <v>9</v>
      </c>
      <c r="BH19" s="30">
        <v>-1.072806810743151</v>
      </c>
      <c r="BI19" s="26" t="s">
        <v>329</v>
      </c>
      <c r="BJ19" s="30">
        <v>19</v>
      </c>
      <c r="BK19" s="29">
        <f>IF(BE19&gt;=BC19,1,0)</f>
        <v>1</v>
      </c>
      <c r="BL19" s="29">
        <f>BE19-BC19</f>
        <v>3</v>
      </c>
      <c r="BM19" s="29" t="str">
        <f>IF(BH19&gt;0,
    IF(OR(BC19&lt;=TRUNC(BJ19/2,0),BC19=0),
        IF(BG19=TRUNC(BJ19/2,0),
            "-1, Déficit y dejo la capacidad media",
            IF(AND(BG19&gt;TRUNC(BJ19/2,0), BG19&gt;BC19),
                "1, Déficit y eliminé déficit",
                IF(AND(BG19&lt;TRUNC(BJ19/2,0), BG19&lt;BC19),
                    "0, Déficit y no elimine déficit",
                    "-2, Déficit y resultado fue bueno")
            )
        ),
        IF(AND(BG19&gt;TRUNC(BJ19/2,0), BG19&gt;BC19),
            "1, no había déficit, pero resultado fue mejor",
            IF(AND(BG19&lt;TRUNC(BJ19/2,0),BG19&lt;BC19),
                "0, no había déficit y la dejo con déficit",
                IF(BG19=TRUNC(BJ19/2,0),
                    "-1, no había déficit y dejo la capacidad media",
                    "-2,no había déficit y resultado fue bueno")
            )
        )
    ),
    IF(BH19&lt;0,
        IF(BC19&gt;TRUNC(BJ19/2,0),
            IF(BG19=TRUNC(BJ19/2,0),
                "-1, Superávit y deje la capacidad media",
                IF(AND(BG19&gt;TRUNC(BJ19/2,0), BG19&gt;=BC19),
                    "0, Superávit y no eliminé superávit",
                    IF(AND(BG19&lt;TRUNC(BJ19/2,0),BG19&lt;BC19),
                        "1, Superávit y eliminé superávit",
                        "-2, Superávit y resultado fue bueno"
                    )
                )
            ),
            IF(AND(BC19&lt;=TRUNC(BJ19/2,0),BC19&gt;=0),
                IF(BG19=TRUNC(BJ19/2,0),
                    "-1, no había superávit y deje la capacidad media",
                    IF(AND(BG19&gt;TRUNC(BJ19/2,0), BG19&gt;=BC19),
                        "0, no había superávit, y la deje con superávit",
                        IF(AND(BG19&lt;TRUNC(BJ19/2,0),BG19&lt;BC19),
                            "1, no había superávit, pero el resultado fue mejor",
                            "-2, no había superávit y resultado fue bueno"
                        )
                    )
                )
            )
        )
    )
)</f>
        <v>-1, no había superávit y deje la capacidad media</v>
      </c>
      <c r="BO19" s="2" t="s">
        <v>221</v>
      </c>
      <c r="BP19" s="3">
        <v>10</v>
      </c>
      <c r="BQ19" s="5">
        <v>12.555555555555555</v>
      </c>
      <c r="BR19" s="3">
        <v>13</v>
      </c>
      <c r="BS19" s="3">
        <v>12</v>
      </c>
      <c r="BT19" s="3">
        <v>10</v>
      </c>
      <c r="BU19" s="2">
        <v>-1.072806810743151</v>
      </c>
      <c r="BV19" s="26" t="s">
        <v>329</v>
      </c>
      <c r="BW19" s="2">
        <v>19</v>
      </c>
      <c r="BX19" s="14">
        <f>IF(BR19&gt;=BP19,1,0)</f>
        <v>1</v>
      </c>
      <c r="BY19" s="34">
        <f>BR19-BP19</f>
        <v>3</v>
      </c>
      <c r="BZ19" s="29" t="str">
        <f>IF(BU19&gt;0,
    IF(OR(BP19&lt;=TRUNC(BW19/2,0),BP19=0),
        IF(BT19=TRUNC(BW19/2,0),
            "-1, Déficit y dejo la capacidad media",
            IF(AND(BT19&gt;TRUNC(BW19/2,0), BT19&gt;BP19),
                "1, Déficit y eliminé déficit",
                IF(AND(BT19&lt;TRUNC(BW19/2,0), BT19&lt;BP19),
                    "0, Déficit y no elimine déficit",
                    "-2, Déficit y resultado fue bueno")
            )
        ),
        IF(AND(BT19&gt;TRUNC(BW19/2,0), BT19&gt;BP19),
            "1, no había déficit, pero resultado fue mejor",
            IF(AND(BT19&lt;TRUNC(BW19/2,0),BT19&lt;BP19),
                "0, no había déficit y la dejo con déficit",
                IF(BT19=TRUNC(BW19/2,0),
                    "-1, no había déficit y dejo la capacidad media",
                    "-2,no había déficit y resultado fue bueno")
            )
        )
    ),
    IF(BU19&lt;0,
        IF(BP19&gt;TRUNC(BW19/2,0),
            IF(BT19=TRUNC(BW19/2,0),
                "-1, Superávit y deje la capacidad media",
                IF(AND(BT19&gt;TRUNC(BW19/2,0), BT19&gt;=BP19),
                    "0, Superávit y no eliminé superávit",
                    IF(AND(BT19&lt;TRUNC(BW19/2,0),BT19&lt;BP19),
                        "1, Superávit y eliminé superávit",
                        "-2, Superávit y resultado fue bueno"
                    )
                )
            ),
            IF(AND(BP19&lt;=TRUNC(BW19/2,0),BP19&gt;=0),
                IF(BT19=TRUNC(BW19/2,0),
                    "-1, no había superávit y deje la capacidad media",
                    IF(AND(BT19&gt;TRUNC(BW19/2,0), BT19&gt;=BP19),
                        "0, no había superávit, y la deje con superávit",
                        IF(AND(BT19&lt;TRUNC(BW19/2,0),BT19&lt;BP19),
                            "1, no había superávit, pero el resultado fue mejor",
                            "-2, no había superávit y resultado fue bueno"
                        )
                    )
                )
            )
        )
    )
)</f>
        <v>0, Superávit y no eliminé superávit</v>
      </c>
      <c r="CB19" s="30" t="s">
        <v>221</v>
      </c>
      <c r="CC19" s="30">
        <v>10</v>
      </c>
      <c r="CD19" s="31">
        <v>14.222222222222221</v>
      </c>
      <c r="CE19" s="30">
        <v>13</v>
      </c>
      <c r="CF19" s="29">
        <v>11</v>
      </c>
      <c r="CG19" s="30">
        <v>10</v>
      </c>
      <c r="CH19" s="30">
        <v>-1.072806810743151</v>
      </c>
      <c r="CI19" s="26" t="s">
        <v>329</v>
      </c>
      <c r="CJ19" s="30">
        <v>19</v>
      </c>
      <c r="CK19" s="29">
        <f>IF(CE19&gt;=CC19,1,0)</f>
        <v>1</v>
      </c>
      <c r="CL19" s="29">
        <f>CE19-CC19</f>
        <v>3</v>
      </c>
      <c r="CM19" s="29" t="str">
        <f>IF(CH19&gt;0,
    IF(OR(CC19&lt;=TRUNC(CJ19/2,0),CC19=0),
        IF(CG19=TRUNC(CJ19/2,0),
            "-1, Déficit y dejo la capacidad media",
            IF(AND(CG19&gt;TRUNC(CJ19/2,0), CG19&gt;CC19),
                "1, Déficit y eliminé déficit",
                IF(AND(CG19&lt;TRUNC(CJ19/2,0), CG19&lt;CC19),
                    "0, Déficit y no elimine déficit",
                    "-2, Déficit y resultado fue bueno")
            )
        ),
        IF(AND(CG19&gt;TRUNC(CJ19/2,0), CG19&gt;CC19),
            "1, no había déficit, pero resultado fue mejor",
            IF(AND(CG19&lt;TRUNC(CJ19/2,0),CG19&lt;CC19),
                "0, no había déficit y la dejo con déficit",
                IF(CG19=TRUNC(CJ19/2,0),
                    "-1, no había déficit y dejo la capacidad media",
                    "-2,no había déficit y resultado fue bueno")
            )
        )
    ),
    IF(CH19&lt;0,
        IF(CC19&gt;TRUNC(CJ19/2,0),
            IF(CG19=TRUNC(CJ19/2,0),
                "-1, Superávit y deje la capacidad media",
                IF(AND(CG19&gt;TRUNC(CJ19/2,0), CG19&gt;=CC19),
                    "0, Superávit y no eliminé superávit",
                    IF(AND(CG19&lt;TRUNC(CJ19/2,0),CG19&lt;CC19),
                        "1, Superávit y eliminé superávit",
                        "-2, Superávit y resultado fue bueno"
                    )
                )
            ),
            IF(AND(CC19&lt;=TRUNC(CJ19/2,0),CC19&gt;=0),
                IF(CG19=TRUNC(CJ19/2,0),
                    "-1, no había superávit y deje la capacidad media",
                    IF(AND(CG19&gt;TRUNC(CJ19/2,0), CG19&gt;=CC19),
                        "0, no había superávit, y la deje con superávit",
                        IF(AND(CG19&lt;TRUNC(CJ19/2,0),CG19&lt;CC19),
                            "1, no había superávit, pero el resultado fue mejor",
                            "-2, no había superávit y resultado fue bueno"
                        )
                    )
                )
            )
        )
    )
)</f>
        <v>0, Superávit y no eliminé superávit</v>
      </c>
      <c r="CO19" s="2" t="s">
        <v>221</v>
      </c>
      <c r="CP19" s="2">
        <v>16</v>
      </c>
      <c r="CQ19" s="7">
        <v>12.555555555555555</v>
      </c>
      <c r="CR19" s="3">
        <v>16</v>
      </c>
      <c r="CS19" s="3">
        <v>16</v>
      </c>
      <c r="CT19" s="2">
        <v>16</v>
      </c>
      <c r="CU19" s="36">
        <v>-1.072806810743151</v>
      </c>
      <c r="CV19" s="26" t="s">
        <v>329</v>
      </c>
      <c r="CW19" s="30">
        <v>19</v>
      </c>
      <c r="CX19" s="29">
        <f>IF(CR19&gt;=CP19,1,0)</f>
        <v>1</v>
      </c>
      <c r="CY19" s="29">
        <f>CR19-CP19</f>
        <v>0</v>
      </c>
      <c r="CZ19" s="29" t="str">
        <f>IF(CU19&gt;0,
    IF(OR(CP19&lt;=TRUNC(CW19/2,0),CP19=0),
        IF(CT19=TRUNC(CW19/2,0),
            "-1, Déficit y dejo la capacidad media",
            IF(AND(CT19&gt;TRUNC(CW19/2,0), CT19&gt;CP19),
                "1, Déficit y eliminé déficit",
                IF(AND(CT19&lt;TRUNC(CW19/2,0), CT19&lt;CP19),
                    "0, Déficit y no elimine déficit",
                    "-2, Déficit y resultado fue bueno")
            )
        ),
        IF(AND(CT19&gt;TRUNC(CW19/2,0), CT19&gt;CP19),
            "1, no había déficit, pero resultado fue mejor",
            IF(AND(CT19&lt;TRUNC(CW19/2,0),CT19&lt;CP19),
                "0, no había déficit y la dejo con déficit",
                IF(CT19=TRUNC(CW19/2,0),
                    "-1, no había déficit y dejo la capacidad media",
                    "-2,no había déficit y resultado fue bueno")
            )
        )
    ),
    IF(CU19&lt;0,
        IF(CP19&gt;TRUNC(CW19/2,0),
            IF(CT19=TRUNC(CW19/2,0),
                "-1, Superávit y deje la capacidad media",
                IF(AND(CT19&gt;TRUNC(CW19/2,0), CT19&gt;=CP19),
                    "0, Superávit y no eliminé superávit",
                    IF(AND(CT19&lt;TRUNC(CW19/2,0),CT19&lt;CP19),
                        "1, Superávit y eliminé superávit",
                        "-2, Superávit y resultado fue bueno"
                    )
                )
            ),
            IF(AND(CP19&lt;=TRUNC(CW19/2,0),CP19&gt;=0),
                IF(CT19=TRUNC(CW19/2,0),
                    "-1, no había superávit y deje la capacidad media",
                    IF(AND(CT19&gt;TRUNC(CW19/2,0), CT19&gt;=CP19),
                        "0, no había superávit, y la deje con superávit",
                        IF(AND(CT19&lt;TRUNC(CW19/2,0),CT19&lt;CP19),
                            "1, no había superávit, pero el resultado fue mejor",
                            "-2, no había superávit y resultado fue bueno"
                        )
                    )
                )
            )
        )
    )
)</f>
        <v>0, Superávit y no eliminé superávit</v>
      </c>
      <c r="DB19" s="2" t="s">
        <v>228</v>
      </c>
    </row>
    <row r="20" spans="1:106" ht="14.25" customHeight="1" x14ac:dyDescent="0.3">
      <c r="A20" s="29" t="str">
        <f t="shared" si="0"/>
        <v>Llenado</v>
      </c>
      <c r="B20" s="30" t="s">
        <v>224</v>
      </c>
      <c r="C20" s="30">
        <v>13</v>
      </c>
      <c r="D20" s="31">
        <v>8.2222222222222214</v>
      </c>
      <c r="E20" s="31">
        <v>15</v>
      </c>
      <c r="F20" s="29">
        <v>12</v>
      </c>
      <c r="G20" s="30">
        <v>13</v>
      </c>
      <c r="H20" s="30">
        <v>-1.1339562965442611</v>
      </c>
      <c r="I20" s="26" t="s">
        <v>321</v>
      </c>
      <c r="J20" s="30">
        <v>15</v>
      </c>
      <c r="K20" s="29">
        <f>IF(E20&gt;=C20,1,0)</f>
        <v>1</v>
      </c>
      <c r="L20" s="32">
        <f>E20-C20</f>
        <v>2</v>
      </c>
      <c r="M20" s="32" t="str">
        <f>IF(H20&gt;0,
    IF(OR(C20&lt;=TRUNC(J20/2,0),C20=0),
        IF(G20=TRUNC(J20/2,0),
            "-1, Déficit y dejo la capacidad media",
            IF(AND(G20&gt;TRUNC(J20/2,0), G20&gt;C20),
                "1, Déficit y eliminé déficit",
                IF(AND(G20&lt;TRUNC(J20/2,0), G20&lt;C20),
                    "0, Déficit y no elimine déficit",
                    "-2, Déficit y resultado fue bueno")
            )
        ),
        IF(AND(G20&gt;TRUNC(J20/2,0), G20&gt;C20),
            "1, no había déficit, pero resultado fue mejor",
            IF(AND(G20&lt;TRUNC(J20/2,0),G20&lt;C20),
                "0, no había déficit y la dejo con déficit",
                IF(G20=TRUNC(J20/2,0),
                    "-1, no había déficit y dejo la capacidad media",
                    "-2,no había déficit y resultado fue bueno")
            )
        )
    ),
    IF(H20&lt;0,
        IF(C20&gt;TRUNC(J20/2,0),
            IF(G20=TRUNC(J20/2,0),
                "-1, Superávit y deje la capacidad media",
                IF(AND(G20&gt;TRUNC(J20/2,0), G20&gt;=C20),
                    "0, Superávit y no eliminé superávit",
                    IF(AND(G20&lt;TRUNC(J20/2,0),G20&lt;C20),
                        "1, Superávit y eliminé superávit",
                        "-2, Superávit y resultado fue bueno"
                    )
                )
            ),
            IF(AND(C20&lt;=TRUNC(J20/2,0),C20&gt;=0),
                IF(G20=TRUNC(J20/2,0),
                    "-1, no había superávit y deje la capacidad media",
                    IF(AND(G20&gt;TRUNC(J20/2,0), G20&gt;=C20),
                        "0, no había superávit, y la deje con superávit",
                        IF(AND(G20&lt;TRUNC(J20/2,0),G20&lt;C20),
                            "1, no había superávit, pero el resultado fue mejor",
                            "-2, no había superávit y resultado fue bueno"
                        )
                    )
                )
            )
        )
    )
)</f>
        <v>0, Superávit y no eliminé superávit</v>
      </c>
      <c r="O20" s="30" t="s">
        <v>224</v>
      </c>
      <c r="P20" s="30">
        <v>15</v>
      </c>
      <c r="Q20" s="31">
        <v>12.111111111111111</v>
      </c>
      <c r="R20" s="30">
        <v>11</v>
      </c>
      <c r="S20" s="29">
        <v>11</v>
      </c>
      <c r="T20" s="30">
        <v>13</v>
      </c>
      <c r="U20" s="30">
        <v>-1.1339562965442611</v>
      </c>
      <c r="V20" s="26" t="s">
        <v>321</v>
      </c>
      <c r="W20" s="30">
        <v>15</v>
      </c>
      <c r="X20" s="29">
        <f>IF(R20&gt;=P20,1,0)</f>
        <v>0</v>
      </c>
      <c r="Y20" s="29">
        <f>R20-P20</f>
        <v>-4</v>
      </c>
      <c r="Z20" s="29" t="str">
        <f>IF(U20&gt;0,
    IF(OR(P20&lt;=TRUNC(W20/2,0),P20=0),
        IF(T20=TRUNC(W20/2,0),
            "-1, Déficit y dejo la capacidad media",
            IF(AND(T20&gt;TRUNC(W20/2,0), T20&gt;P20),
                "1, Déficit y eliminé déficit",
                IF(AND(T20&lt;TRUNC(W20/2,0), T20&lt;P20),
                    "0, Déficit y no elimine déficit",
                    "-2, Déficit y resultado fue bueno")
            )
        ),
        IF(AND(T20&gt;TRUNC(W20/2,0), T20&gt;P20),
            "1, no había déficit, pero resultado fue mejor",
            IF(AND(T20&lt;TRUNC(W20/2,0),T20&lt;P20),
                "0, no había déficit y la dejo con déficit",
                IF(T20=TRUNC(W20/2,0),
                    "-1, no había déficit y dejo la capacidad media",
                    "-2,no había déficit y resultado fue bueno")
            )
        )
    ),
    IF(U20&lt;0,
        IF(P20&gt;TRUNC(W20/2,0),
            IF(T20=TRUNC(W20/2,0),
                "-1, Superávit y deje la capacidad media",
                IF(AND(T20&gt;TRUNC(W20/2,0), T20&gt;=P20),
                    "0, Superávit y no eliminé superávit",
                    IF(AND(T20&lt;TRUNC(W20/2,0),T20&lt;P20),
                        "1, Superávit y eliminé superávit",
                        "-2, Superávit y resultado fue bueno"
                    )
                )
            ),
            IF(AND(P20&lt;=TRUNC(W20/2,0),P20&gt;=0),
                IF(T20=TRUNC(W20/2,0),
                    "-1, no había superávit y deje la capacidad media",
                    IF(AND(T20&gt;TRUNC(W20/2,0), T20&gt;=P20),
                        "0, no había superávit, y la deje con superávit",
                        IF(AND(T20&lt;TRUNC(W20/2,0),T20&lt;P20),
                            "1, no había superávit, pero el resultado fue mejor",
                            "-2, no había superávit y resultado fue bueno"
                        )
                    )
                )
            )
        )
    )
)</f>
        <v>-2, Superávit y resultado fue bueno</v>
      </c>
      <c r="AB20" s="2" t="s">
        <v>224</v>
      </c>
      <c r="AC20" s="3">
        <v>12</v>
      </c>
      <c r="AD20" s="5">
        <v>13</v>
      </c>
      <c r="AE20" s="3">
        <v>12</v>
      </c>
      <c r="AF20" s="3">
        <v>12</v>
      </c>
      <c r="AG20" s="3">
        <v>12</v>
      </c>
      <c r="AH20" s="2">
        <v>-1.1339562965442611</v>
      </c>
      <c r="AI20" s="26" t="s">
        <v>321</v>
      </c>
      <c r="AJ20" s="2">
        <v>15</v>
      </c>
      <c r="AK20" s="14">
        <f>IF(AE20&gt;=AC20,1,0)</f>
        <v>1</v>
      </c>
      <c r="AL20" s="34">
        <f>AE20-AC20</f>
        <v>0</v>
      </c>
      <c r="AM20" s="29" t="str">
        <f>IF(AH20&gt;0,
    IF(OR(AC20&lt;=TRUNC(AJ20/2,0),AC20=0),
        IF(AG20=TRUNC(AJ20/2,0),
            "-1, Déficit y dejo la capacidad media",
            IF(AND(AG20&gt;TRUNC(AJ20/2,0), AG20&gt;AC20),
                "1, Déficit y eliminé déficit",
                IF(AND(AG20&lt;TRUNC(AJ20/2,0), AG20&lt;AC20),
                    "0, Déficit y no elimine déficit",
                    "-2, Déficit y resultado fue bueno")
            )
        ),
        IF(AND(AG20&gt;TRUNC(AJ20/2,0), AG20&gt;AC20),
            "1, no había déficit, pero resultado fue mejor",
            IF(AND(AG20&lt;TRUNC(AJ20/2,0),AG20&lt;AC20),
                "0, no había déficit y la dejo con déficit",
                IF(AG20=TRUNC(AJ20/2,0),
                    "-1, no había déficit y dejo la capacidad media",
                    "-2,no había déficit y resultado fue bueno")
            )
        )
    ),
    IF(AH20&lt;0,
        IF(AC20&gt;TRUNC(AJ20/2,0),
            IF(AG20=TRUNC(AJ20/2,0),
                "-1, Superávit y deje la capacidad media",
                IF(AND(AG20&gt;TRUNC(AJ20/2,0), AG20&gt;=AC20),
                    "0, Superávit y no eliminé superávit",
                    IF(AND(AG20&lt;TRUNC(AJ20/2,0),AG20&lt;AC20),
                        "1, Superávit y eliminé superávit",
                        "-2, Superávit y resultado fue bueno"
                    )
                )
            ),
            IF(AND(AC20&lt;=TRUNC(AJ20/2,0),AC20&gt;=0),
                IF(AG20=TRUNC(AJ20/2,0),
                    "-1, no había superávit y deje la capacidad media",
                    IF(AND(AG20&gt;TRUNC(AJ20/2,0), AG20&gt;=AC20),
                        "0, no había superávit, y la deje con superávit",
                        IF(AND(AG20&lt;TRUNC(AJ20/2,0),AG20&lt;AC20),
                            "1, no había superávit, pero el resultado fue mejor",
                            "-2, no había superávit y resultado fue bueno"
                        )
                    )
                )
            )
        )
    )
)</f>
        <v>0, Superávit y no eliminé superávit</v>
      </c>
      <c r="AO20" s="2" t="s">
        <v>224</v>
      </c>
      <c r="AP20" s="3">
        <v>7</v>
      </c>
      <c r="AQ20" s="5">
        <v>11.777777777777779</v>
      </c>
      <c r="AR20" s="3">
        <v>13</v>
      </c>
      <c r="AS20" s="3">
        <v>15</v>
      </c>
      <c r="AT20" s="3">
        <v>13</v>
      </c>
      <c r="AU20" s="15">
        <v>-1.1339562965442611</v>
      </c>
      <c r="AV20" s="26" t="s">
        <v>321</v>
      </c>
      <c r="AW20" s="2">
        <v>15</v>
      </c>
      <c r="AX20" s="14">
        <f>IF(AR20&gt;=AP20,1,0)</f>
        <v>1</v>
      </c>
      <c r="AY20" s="34">
        <f>AR20-AP20</f>
        <v>6</v>
      </c>
      <c r="AZ20" s="29" t="str">
        <f>IF(AU20&gt;0,
    IF(OR(AP20&lt;=TRUNC(AW20/2,0),AP20=0),
        IF(AT20=TRUNC(AW20/2,0),
            "-1, Déficit y dejo la capacidad media",
            IF(AND(AT20&gt;TRUNC(AW20/2,0), AT20&gt;AP20),
                "1, Déficit y eliminé déficit",
                IF(AND(AT20&lt;TRUNC(AW20/2,0), AT20&lt;AP20),
                    "0, Déficit y no elimine déficit",
                    "-2, Déficit y resultado fue bueno")
            )
        ),
        IF(AND(AT20&gt;TRUNC(AW20/2,0), AT20&gt;AP20),
            "1, no había déficit, pero resultado fue mejor",
            IF(AND(AT20&lt;TRUNC(AW20/2,0),AT20&lt;AP20),
                "0, no había déficit y la dejo con déficit",
                IF(AT20=TRUNC(AW20/2,0),
                    "-1, no había déficit y dejo la capacidad media",
                    "-2,no había déficit y resultado fue bueno")
            )
        )
    ),
    IF(AU20&lt;0,
        IF(AP20&gt;TRUNC(AW20/2,0),
            IF(AT20=TRUNC(AW20/2,0),
                "-1, Superávit y deje la capacidad media",
                IF(AND(AT20&gt;TRUNC(AW20/2,0), AT20&gt;=AP20),
                    "0, Superávit y no eliminé superávit",
                    IF(AND(AT20&lt;TRUNC(AW20/2,0),AT20&lt;AP20),
                        "1, Superávit y eliminé superávit",
                        "-2, Superávit y resultado fue bueno"
                    )
                )
            ),
            IF(AND(AP20&lt;=TRUNC(AW20/2,0),AP20&gt;=0),
                IF(AT20=TRUNC(AW20/2,0),
                    "-1, no había superávit y deje la capacidad media",
                    IF(AND(AT20&gt;TRUNC(AW20/2,0), AT20&gt;=AP20),
                        "0, no había superávit, y la deje con superávit",
                        IF(AND(AT20&lt;TRUNC(AW20/2,0),AT20&lt;AP20),
                            "1, no había superávit, pero el resultado fue mejor",
                            "-2, no había superávit y resultado fue bueno"
                        )
                    )
                )
            )
        )
    )
)</f>
        <v>0, no había superávit, y la deje con superávit</v>
      </c>
      <c r="BB20" s="30" t="s">
        <v>224</v>
      </c>
      <c r="BC20" s="29">
        <v>14</v>
      </c>
      <c r="BD20" s="31">
        <v>9.3333333333333339</v>
      </c>
      <c r="BE20" s="29">
        <v>15</v>
      </c>
      <c r="BF20" s="29">
        <v>15</v>
      </c>
      <c r="BG20" s="29">
        <v>13</v>
      </c>
      <c r="BH20" s="30">
        <v>-1.1339562965442611</v>
      </c>
      <c r="BI20" s="26" t="s">
        <v>321</v>
      </c>
      <c r="BJ20" s="30">
        <v>15</v>
      </c>
      <c r="BK20" s="29">
        <f>IF(BE20&gt;=BC20,1,0)</f>
        <v>1</v>
      </c>
      <c r="BL20" s="29">
        <f>BE20-BC20</f>
        <v>1</v>
      </c>
      <c r="BM20" s="29" t="str">
        <f>IF(BH20&gt;0,
    IF(OR(BC20&lt;=TRUNC(BJ20/2,0),BC20=0),
        IF(BG20=TRUNC(BJ20/2,0),
            "-1, Déficit y dejo la capacidad media",
            IF(AND(BG20&gt;TRUNC(BJ20/2,0), BG20&gt;BC20),
                "1, Déficit y eliminé déficit",
                IF(AND(BG20&lt;TRUNC(BJ20/2,0), BG20&lt;BC20),
                    "0, Déficit y no elimine déficit",
                    "-2, Déficit y resultado fue bueno")
            )
        ),
        IF(AND(BG20&gt;TRUNC(BJ20/2,0), BG20&gt;BC20),
            "1, no había déficit, pero resultado fue mejor",
            IF(AND(BG20&lt;TRUNC(BJ20/2,0),BG20&lt;BC20),
                "0, no había déficit y la dejo con déficit",
                IF(BG20=TRUNC(BJ20/2,0),
                    "-1, no había déficit y dejo la capacidad media",
                    "-2,no había déficit y resultado fue bueno")
            )
        )
    ),
    IF(BH20&lt;0,
        IF(BC20&gt;TRUNC(BJ20/2,0),
            IF(BG20=TRUNC(BJ20/2,0),
                "-1, Superávit y deje la capacidad media",
                IF(AND(BG20&gt;TRUNC(BJ20/2,0), BG20&gt;=BC20),
                    "0, Superávit y no eliminé superávit",
                    IF(AND(BG20&lt;TRUNC(BJ20/2,0),BG20&lt;BC20),
                        "1, Superávit y eliminé superávit",
                        "-2, Superávit y resultado fue bueno"
                    )
                )
            ),
            IF(AND(BC20&lt;=TRUNC(BJ20/2,0),BC20&gt;=0),
                IF(BG20=TRUNC(BJ20/2,0),
                    "-1, no había superávit y deje la capacidad media",
                    IF(AND(BG20&gt;TRUNC(BJ20/2,0), BG20&gt;=BC20),
                        "0, no había superávit, y la deje con superávit",
                        IF(AND(BG20&lt;TRUNC(BJ20/2,0),BG20&lt;BC20),
                            "1, no había superávit, pero el resultado fue mejor",
                            "-2, no había superávit y resultado fue bueno"
                        )
                    )
                )
            )
        )
    )
)</f>
        <v>-2, Superávit y resultado fue bueno</v>
      </c>
      <c r="BO20" s="2" t="s">
        <v>224</v>
      </c>
      <c r="BP20" s="3">
        <v>1</v>
      </c>
      <c r="BQ20" s="5">
        <v>6.4444444444444446</v>
      </c>
      <c r="BR20" s="3">
        <v>4</v>
      </c>
      <c r="BS20" s="3">
        <v>9</v>
      </c>
      <c r="BT20" s="3">
        <v>13</v>
      </c>
      <c r="BU20" s="2">
        <v>-1.1339562965442611</v>
      </c>
      <c r="BV20" s="26" t="s">
        <v>321</v>
      </c>
      <c r="BW20" s="2">
        <v>15</v>
      </c>
      <c r="BX20" s="14">
        <f>IF(BR20&gt;=BP20,1,0)</f>
        <v>1</v>
      </c>
      <c r="BY20" s="34">
        <f>BR20-BP20</f>
        <v>3</v>
      </c>
      <c r="BZ20" s="29" t="str">
        <f>IF(BU20&gt;0,
    IF(OR(BP20&lt;=TRUNC(BW20/2,0),BP20=0),
        IF(BT20=TRUNC(BW20/2,0),
            "-1, Déficit y dejo la capacidad media",
            IF(AND(BT20&gt;TRUNC(BW20/2,0), BT20&gt;BP20),
                "1, Déficit y eliminé déficit",
                IF(AND(BT20&lt;TRUNC(BW20/2,0), BT20&lt;BP20),
                    "0, Déficit y no elimine déficit",
                    "-2, Déficit y resultado fue bueno")
            )
        ),
        IF(AND(BT20&gt;TRUNC(BW20/2,0), BT20&gt;BP20),
            "1, no había déficit, pero resultado fue mejor",
            IF(AND(BT20&lt;TRUNC(BW20/2,0),BT20&lt;BP20),
                "0, no había déficit y la dejo con déficit",
                IF(BT20=TRUNC(BW20/2,0),
                    "-1, no había déficit y dejo la capacidad media",
                    "-2,no había déficit y resultado fue bueno")
            )
        )
    ),
    IF(BU20&lt;0,
        IF(BP20&gt;TRUNC(BW20/2,0),
            IF(BT20=TRUNC(BW20/2,0),
                "-1, Superávit y deje la capacidad media",
                IF(AND(BT20&gt;TRUNC(BW20/2,0), BT20&gt;=BP20),
                    "0, Superávit y no eliminé superávit",
                    IF(AND(BT20&lt;TRUNC(BW20/2,0),BT20&lt;BP20),
                        "1, Superávit y eliminé superávit",
                        "-2, Superávit y resultado fue bueno"
                    )
                )
            ),
            IF(AND(BP20&lt;=TRUNC(BW20/2,0),BP20&gt;=0),
                IF(BT20=TRUNC(BW20/2,0),
                    "-1, no había superávit y deje la capacidad media",
                    IF(AND(BT20&gt;TRUNC(BW20/2,0), BT20&gt;=BP20),
                        "0, no había superávit, y la deje con superávit",
                        IF(AND(BT20&lt;TRUNC(BW20/2,0),BT20&lt;BP20),
                            "1, no había superávit, pero el resultado fue mejor",
                            "-2, no había superávit y resultado fue bueno"
                        )
                    )
                )
            )
        )
    )
)</f>
        <v>0, no había superávit, y la deje con superávit</v>
      </c>
      <c r="CB20" s="30" t="s">
        <v>224</v>
      </c>
      <c r="CC20" s="30">
        <v>10</v>
      </c>
      <c r="CD20" s="31">
        <v>10.555555555555555</v>
      </c>
      <c r="CE20" s="30">
        <v>11</v>
      </c>
      <c r="CF20" s="29">
        <v>13</v>
      </c>
      <c r="CG20" s="30">
        <v>10</v>
      </c>
      <c r="CH20" s="30">
        <v>-1.1339562965442611</v>
      </c>
      <c r="CI20" s="26" t="s">
        <v>321</v>
      </c>
      <c r="CJ20" s="30">
        <v>15</v>
      </c>
      <c r="CK20" s="29">
        <f>IF(CE20&gt;=CC20,1,0)</f>
        <v>1</v>
      </c>
      <c r="CL20" s="29">
        <f>CE20-CC20</f>
        <v>1</v>
      </c>
      <c r="CM20" s="29" t="str">
        <f>IF(CH20&gt;0,
    IF(OR(CC20&lt;=TRUNC(CJ20/2,0),CC20=0),
        IF(CG20=TRUNC(CJ20/2,0),
            "-1, Déficit y dejo la capacidad media",
            IF(AND(CG20&gt;TRUNC(CJ20/2,0), CG20&gt;CC20),
                "1, Déficit y eliminé déficit",
                IF(AND(CG20&lt;TRUNC(CJ20/2,0), CG20&lt;CC20),
                    "0, Déficit y no elimine déficit",
                    "-2, Déficit y resultado fue bueno")
            )
        ),
        IF(AND(CG20&gt;TRUNC(CJ20/2,0), CG20&gt;CC20),
            "1, no había déficit, pero resultado fue mejor",
            IF(AND(CG20&lt;TRUNC(CJ20/2,0),CG20&lt;CC20),
                "0, no había déficit y la dejo con déficit",
                IF(CG20=TRUNC(CJ20/2,0),
                    "-1, no había déficit y dejo la capacidad media",
                    "-2,no había déficit y resultado fue bueno")
            )
        )
    ),
    IF(CH20&lt;0,
        IF(CC20&gt;TRUNC(CJ20/2,0),
            IF(CG20=TRUNC(CJ20/2,0),
                "-1, Superávit y deje la capacidad media",
                IF(AND(CG20&gt;TRUNC(CJ20/2,0), CG20&gt;=CC20),
                    "0, Superávit y no eliminé superávit",
                    IF(AND(CG20&lt;TRUNC(CJ20/2,0),CG20&lt;CC20),
                        "1, Superávit y eliminé superávit",
                        "-2, Superávit y resultado fue bueno"
                    )
                )
            ),
            IF(AND(CC20&lt;=TRUNC(CJ20/2,0),CC20&gt;=0),
                IF(CG20=TRUNC(CJ20/2,0),
                    "-1, no había superávit y deje la capacidad media",
                    IF(AND(CG20&gt;TRUNC(CJ20/2,0), CG20&gt;=CC20),
                        "0, no había superávit, y la deje con superávit",
                        IF(AND(CG20&lt;TRUNC(CJ20/2,0),CG20&lt;CC20),
                            "1, no había superávit, pero el resultado fue mejor",
                            "-2, no había superávit y resultado fue bueno"
                        )
                    )
                )
            )
        )
    )
)</f>
        <v>0, Superávit y no eliminé superávit</v>
      </c>
      <c r="CO20" s="2" t="s">
        <v>224</v>
      </c>
      <c r="CP20" s="2">
        <v>3</v>
      </c>
      <c r="CQ20" s="7">
        <v>8.2222222222222214</v>
      </c>
      <c r="CR20" s="3">
        <v>6</v>
      </c>
      <c r="CS20" s="3">
        <v>6</v>
      </c>
      <c r="CT20" s="2">
        <v>8</v>
      </c>
      <c r="CU20" s="36">
        <v>-1.1339562965442611</v>
      </c>
      <c r="CV20" s="26" t="s">
        <v>321</v>
      </c>
      <c r="CW20" s="30">
        <v>15</v>
      </c>
      <c r="CX20" s="29">
        <f>IF(CR20&gt;=CP20,1,0)</f>
        <v>1</v>
      </c>
      <c r="CY20" s="29">
        <f>CR20-CP20</f>
        <v>3</v>
      </c>
      <c r="CZ20" s="29" t="str">
        <f>IF(CU20&gt;0,
    IF(OR(CP20&lt;=TRUNC(CW20/2,0),CP20=0),
        IF(CT20=TRUNC(CW20/2,0),
            "-1, Déficit y dejo la capacidad media",
            IF(AND(CT20&gt;TRUNC(CW20/2,0), CT20&gt;CP20),
                "1, Déficit y eliminé déficit",
                IF(AND(CT20&lt;TRUNC(CW20/2,0), CT20&lt;CP20),
                    "0, Déficit y no elimine déficit",
                    "-2, Déficit y resultado fue bueno")
            )
        ),
        IF(AND(CT20&gt;TRUNC(CW20/2,0), CT20&gt;CP20),
            "1, no había déficit, pero resultado fue mejor",
            IF(AND(CT20&lt;TRUNC(CW20/2,0),CT20&lt;CP20),
                "0, no había déficit y la dejo con déficit",
                IF(CT20=TRUNC(CW20/2,0),
                    "-1, no había déficit y dejo la capacidad media",
                    "-2,no había déficit y resultado fue bueno")
            )
        )
    ),
    IF(CU20&lt;0,
        IF(CP20&gt;TRUNC(CW20/2,0),
            IF(CT20=TRUNC(CW20/2,0),
                "-1, Superávit y deje la capacidad media",
                IF(AND(CT20&gt;TRUNC(CW20/2,0), CT20&gt;=CP20),
                    "0, Superávit y no eliminé superávit",
                    IF(AND(CT20&lt;TRUNC(CW20/2,0),CT20&lt;CP20),
                        "1, Superávit y eliminé superávit",
                        "-2, Superávit y resultado fue bueno"
                    )
                )
            ),
            IF(AND(CP20&lt;=TRUNC(CW20/2,0),CP20&gt;=0),
                IF(CT20=TRUNC(CW20/2,0),
                    "-1, no había superávit y deje la capacidad media",
                    IF(AND(CT20&gt;TRUNC(CW20/2,0), CT20&gt;=CP20),
                        "0, no había superávit, y la deje con superávit",
                        IF(AND(CT20&lt;TRUNC(CW20/2,0),CT20&lt;CP20),
                            "1, no había superávit, pero el resultado fue mejor",
                            "-2, no había superávit y resultado fue bueno"
                        )
                    )
                )
            )
        )
    )
)</f>
        <v>0, no había superávit, y la deje con superávit</v>
      </c>
      <c r="DB20" s="2" t="s">
        <v>199</v>
      </c>
    </row>
    <row r="21" spans="1:106" ht="14.25" customHeight="1" x14ac:dyDescent="0.3">
      <c r="A21" s="29" t="str">
        <f t="shared" si="0"/>
        <v>Llenado</v>
      </c>
      <c r="B21" s="30" t="s">
        <v>207</v>
      </c>
      <c r="C21" s="30">
        <v>11</v>
      </c>
      <c r="D21" s="31">
        <v>13.222222222222221</v>
      </c>
      <c r="E21" s="31">
        <v>12</v>
      </c>
      <c r="F21" s="29">
        <v>15</v>
      </c>
      <c r="G21" s="30">
        <v>11</v>
      </c>
      <c r="H21" s="30">
        <v>-1.196962071035268</v>
      </c>
      <c r="I21" s="26" t="s">
        <v>329</v>
      </c>
      <c r="J21" s="30">
        <v>19</v>
      </c>
      <c r="K21" s="29">
        <f>IF(E21&gt;=C21,1,0)</f>
        <v>1</v>
      </c>
      <c r="L21" s="32">
        <f>E21-C21</f>
        <v>1</v>
      </c>
      <c r="M21" s="32" t="str">
        <f>IF(H21&gt;0,
    IF(OR(C21&lt;=TRUNC(J21/2,0),C21=0),
        IF(G21=TRUNC(J21/2,0),
            "-1, Déficit y dejo la capacidad media",
            IF(AND(G21&gt;TRUNC(J21/2,0), G21&gt;C21),
                "1, Déficit y eliminé déficit",
                IF(AND(G21&lt;TRUNC(J21/2,0), G21&lt;C21),
                    "0, Déficit y no elimine déficit",
                    "-2, Déficit y resultado fue bueno")
            )
        ),
        IF(AND(G21&gt;TRUNC(J21/2,0), G21&gt;C21),
            "1, no había déficit, pero resultado fue mejor",
            IF(AND(G21&lt;TRUNC(J21/2,0),G21&lt;C21),
                "0, no había déficit y la dejo con déficit",
                IF(G21=TRUNC(J21/2,0),
                    "-1, no había déficit y dejo la capacidad media",
                    "-2,no había déficit y resultado fue bueno")
            )
        )
    ),
    IF(H21&lt;0,
        IF(C21&gt;TRUNC(J21/2,0),
            IF(G21=TRUNC(J21/2,0),
                "-1, Superávit y deje la capacidad media",
                IF(AND(G21&gt;TRUNC(J21/2,0), G21&gt;=C21),
                    "0, Superávit y no eliminé superávit",
                    IF(AND(G21&lt;TRUNC(J21/2,0),G21&lt;C21),
                        "1, Superávit y eliminé superávit",
                        "-2, Superávit y resultado fue bueno"
                    )
                )
            ),
            IF(AND(C21&lt;=TRUNC(J21/2,0),C21&gt;=0),
                IF(G21=TRUNC(J21/2,0),
                    "-1, no había superávit y deje la capacidad media",
                    IF(AND(G21&gt;TRUNC(J21/2,0), G21&gt;=C21),
                        "0, no había superávit, y la deje con superávit",
                        IF(AND(G21&lt;TRUNC(J21/2,0),G21&lt;C21),
                            "1, no había superávit, pero el resultado fue mejor",
                            "-2, no había superávit y resultado fue bueno"
                        )
                    )
                )
            )
        )
    )
)</f>
        <v>0, Superávit y no eliminé superávit</v>
      </c>
      <c r="O21" s="30" t="s">
        <v>207</v>
      </c>
      <c r="P21" s="30">
        <v>19</v>
      </c>
      <c r="Q21" s="31">
        <v>15.666666666666666</v>
      </c>
      <c r="R21" s="30">
        <v>19</v>
      </c>
      <c r="S21" s="29">
        <v>19</v>
      </c>
      <c r="T21" s="30">
        <v>16</v>
      </c>
      <c r="U21" s="30">
        <v>-1.196962071035268</v>
      </c>
      <c r="V21" s="26" t="s">
        <v>329</v>
      </c>
      <c r="W21" s="30">
        <v>19</v>
      </c>
      <c r="X21" s="29">
        <f>IF(R21&gt;=P21,1,0)</f>
        <v>1</v>
      </c>
      <c r="Y21" s="29">
        <f>R21-P21</f>
        <v>0</v>
      </c>
      <c r="Z21" s="29" t="str">
        <f>IF(U21&gt;0,
    IF(OR(P21&lt;=TRUNC(W21/2,0),P21=0),
        IF(T21=TRUNC(W21/2,0),
            "-1, Déficit y dejo la capacidad media",
            IF(AND(T21&gt;TRUNC(W21/2,0), T21&gt;P21),
                "1, Déficit y eliminé déficit",
                IF(AND(T21&lt;TRUNC(W21/2,0), T21&lt;P21),
                    "0, Déficit y no elimine déficit",
                    "-2, Déficit y resultado fue bueno")
            )
        ),
        IF(AND(T21&gt;TRUNC(W21/2,0), T21&gt;P21),
            "1, no había déficit, pero resultado fue mejor",
            IF(AND(T21&lt;TRUNC(W21/2,0),T21&lt;P21),
                "0, no había déficit y la dejo con déficit",
                IF(T21=TRUNC(W21/2,0),
                    "-1, no había déficit y dejo la capacidad media",
                    "-2,no había déficit y resultado fue bueno")
            )
        )
    ),
    IF(U21&lt;0,
        IF(P21&gt;TRUNC(W21/2,0),
            IF(T21=TRUNC(W21/2,0),
                "-1, Superávit y deje la capacidad media",
                IF(AND(T21&gt;TRUNC(W21/2,0), T21&gt;=P21),
                    "0, Superávit y no eliminé superávit",
                    IF(AND(T21&lt;TRUNC(W21/2,0),T21&lt;P21),
                        "1, Superávit y eliminé superávit",
                        "-2, Superávit y resultado fue bueno"
                    )
                )
            ),
            IF(AND(P21&lt;=TRUNC(W21/2,0),P21&gt;=0),
                IF(T21=TRUNC(W21/2,0),
                    "-1, no había superávit y deje la capacidad media",
                    IF(AND(T21&gt;TRUNC(W21/2,0), T21&gt;=P21),
                        "0, no había superávit, y la deje con superávit",
                        IF(AND(T21&lt;TRUNC(W21/2,0),T21&lt;P21),
                            "1, no había superávit, pero el resultado fue mejor",
                            "-2, no había superávit y resultado fue bueno"
                        )
                    )
                )
            )
        )
    )
)</f>
        <v>-2, Superávit y resultado fue bueno</v>
      </c>
      <c r="AB21" s="2" t="s">
        <v>207</v>
      </c>
      <c r="AC21" s="3">
        <v>15</v>
      </c>
      <c r="AD21" s="5">
        <v>14.777777777777779</v>
      </c>
      <c r="AE21" s="3">
        <v>15</v>
      </c>
      <c r="AF21" s="3">
        <v>15</v>
      </c>
      <c r="AG21" s="3">
        <v>15</v>
      </c>
      <c r="AH21" s="2">
        <v>-1.196962071035268</v>
      </c>
      <c r="AI21" s="26" t="s">
        <v>329</v>
      </c>
      <c r="AJ21" s="2">
        <v>19</v>
      </c>
      <c r="AK21" s="14">
        <f>IF(AE21&gt;=AC21,1,0)</f>
        <v>1</v>
      </c>
      <c r="AL21" s="34">
        <f>AE21-AC21</f>
        <v>0</v>
      </c>
      <c r="AM21" s="29" t="str">
        <f>IF(AH21&gt;0,
    IF(OR(AC21&lt;=TRUNC(AJ21/2,0),AC21=0),
        IF(AG21=TRUNC(AJ21/2,0),
            "-1, Déficit y dejo la capacidad media",
            IF(AND(AG21&gt;TRUNC(AJ21/2,0), AG21&gt;AC21),
                "1, Déficit y eliminé déficit",
                IF(AND(AG21&lt;TRUNC(AJ21/2,0), AG21&lt;AC21),
                    "0, Déficit y no elimine déficit",
                    "-2, Déficit y resultado fue bueno")
            )
        ),
        IF(AND(AG21&gt;TRUNC(AJ21/2,0), AG21&gt;AC21),
            "1, no había déficit, pero resultado fue mejor",
            IF(AND(AG21&lt;TRUNC(AJ21/2,0),AG21&lt;AC21),
                "0, no había déficit y la dejo con déficit",
                IF(AG21=TRUNC(AJ21/2,0),
                    "-1, no había déficit y dejo la capacidad media",
                    "-2,no había déficit y resultado fue bueno")
            )
        )
    ),
    IF(AH21&lt;0,
        IF(AC21&gt;TRUNC(AJ21/2,0),
            IF(AG21=TRUNC(AJ21/2,0),
                "-1, Superávit y deje la capacidad media",
                IF(AND(AG21&gt;TRUNC(AJ21/2,0), AG21&gt;=AC21),
                    "0, Superávit y no eliminé superávit",
                    IF(AND(AG21&lt;TRUNC(AJ21/2,0),AG21&lt;AC21),
                        "1, Superávit y eliminé superávit",
                        "-2, Superávit y resultado fue bueno"
                    )
                )
            ),
            IF(AND(AC21&lt;=TRUNC(AJ21/2,0),AC21&gt;=0),
                IF(AG21=TRUNC(AJ21/2,0),
                    "-1, no había superávit y deje la capacidad media",
                    IF(AND(AG21&gt;TRUNC(AJ21/2,0), AG21&gt;=AC21),
                        "0, no había superávit, y la deje con superávit",
                        IF(AND(AG21&lt;TRUNC(AJ21/2,0),AG21&lt;AC21),
                            "1, no había superávit, pero el resultado fue mejor",
                            "-2, no había superávit y resultado fue bueno"
                        )
                    )
                )
            )
        )
    )
)</f>
        <v>0, Superávit y no eliminé superávit</v>
      </c>
      <c r="AO21" s="2" t="s">
        <v>207</v>
      </c>
      <c r="AP21" s="3">
        <v>16</v>
      </c>
      <c r="AQ21" s="5">
        <v>13.111111111111111</v>
      </c>
      <c r="AR21" s="3">
        <v>18</v>
      </c>
      <c r="AS21" s="3">
        <v>19</v>
      </c>
      <c r="AT21" s="3">
        <v>16</v>
      </c>
      <c r="AU21" s="15">
        <v>-1.196962071035268</v>
      </c>
      <c r="AV21" s="26" t="s">
        <v>329</v>
      </c>
      <c r="AW21" s="2">
        <v>19</v>
      </c>
      <c r="AX21" s="14">
        <f>IF(AR21&gt;=AP21,1,0)</f>
        <v>1</v>
      </c>
      <c r="AY21" s="34">
        <f>AR21-AP21</f>
        <v>2</v>
      </c>
      <c r="AZ21" s="29" t="str">
        <f>IF(AU21&gt;0,
    IF(OR(AP21&lt;=TRUNC(AW21/2,0),AP21=0),
        IF(AT21=TRUNC(AW21/2,0),
            "-1, Déficit y dejo la capacidad media",
            IF(AND(AT21&gt;TRUNC(AW21/2,0), AT21&gt;AP21),
                "1, Déficit y eliminé déficit",
                IF(AND(AT21&lt;TRUNC(AW21/2,0), AT21&lt;AP21),
                    "0, Déficit y no elimine déficit",
                    "-2, Déficit y resultado fue bueno")
            )
        ),
        IF(AND(AT21&gt;TRUNC(AW21/2,0), AT21&gt;AP21),
            "1, no había déficit, pero resultado fue mejor",
            IF(AND(AT21&lt;TRUNC(AW21/2,0),AT21&lt;AP21),
                "0, no había déficit y la dejo con déficit",
                IF(AT21=TRUNC(AW21/2,0),
                    "-1, no había déficit y dejo la capacidad media",
                    "-2,no había déficit y resultado fue bueno")
            )
        )
    ),
    IF(AU21&lt;0,
        IF(AP21&gt;TRUNC(AW21/2,0),
            IF(AT21=TRUNC(AW21/2,0),
                "-1, Superávit y deje la capacidad media",
                IF(AND(AT21&gt;TRUNC(AW21/2,0), AT21&gt;=AP21),
                    "0, Superávit y no eliminé superávit",
                    IF(AND(AT21&lt;TRUNC(AW21/2,0),AT21&lt;AP21),
                        "1, Superávit y eliminé superávit",
                        "-2, Superávit y resultado fue bueno"
                    )
                )
            ),
            IF(AND(AP21&lt;=TRUNC(AW21/2,0),AP21&gt;=0),
                IF(AT21=TRUNC(AW21/2,0),
                    "-1, no había superávit y deje la capacidad media",
                    IF(AND(AT21&gt;TRUNC(AW21/2,0), AT21&gt;=AP21),
                        "0, no había superávit, y la deje con superávit",
                        IF(AND(AT21&lt;TRUNC(AW21/2,0),AT21&lt;AP21),
                            "1, no había superávit, pero el resultado fue mejor",
                            "-2, no había superávit y resultado fue bueno"
                        )
                    )
                )
            )
        )
    )
)</f>
        <v>0, Superávit y no eliminé superávit</v>
      </c>
      <c r="BB21" s="30" t="s">
        <v>207</v>
      </c>
      <c r="BC21" s="29">
        <v>16</v>
      </c>
      <c r="BD21" s="31">
        <v>9.2222222222222214</v>
      </c>
      <c r="BE21" s="29">
        <v>19</v>
      </c>
      <c r="BF21" s="29">
        <v>19</v>
      </c>
      <c r="BG21" s="29">
        <v>16</v>
      </c>
      <c r="BH21" s="30">
        <v>-1.196962071035268</v>
      </c>
      <c r="BI21" s="26" t="s">
        <v>329</v>
      </c>
      <c r="BJ21" s="30">
        <v>19</v>
      </c>
      <c r="BK21" s="29">
        <f>IF(BE21&gt;=BC21,1,0)</f>
        <v>1</v>
      </c>
      <c r="BL21" s="29">
        <f>BE21-BC21</f>
        <v>3</v>
      </c>
      <c r="BM21" s="29" t="str">
        <f>IF(BH21&gt;0,
    IF(OR(BC21&lt;=TRUNC(BJ21/2,0),BC21=0),
        IF(BG21=TRUNC(BJ21/2,0),
            "-1, Déficit y dejo la capacidad media",
            IF(AND(BG21&gt;TRUNC(BJ21/2,0), BG21&gt;BC21),
                "1, Déficit y eliminé déficit",
                IF(AND(BG21&lt;TRUNC(BJ21/2,0), BG21&lt;BC21),
                    "0, Déficit y no elimine déficit",
                    "-2, Déficit y resultado fue bueno")
            )
        ),
        IF(AND(BG21&gt;TRUNC(BJ21/2,0), BG21&gt;BC21),
            "1, no había déficit, pero resultado fue mejor",
            IF(AND(BG21&lt;TRUNC(BJ21/2,0),BG21&lt;BC21),
                "0, no había déficit y la dejo con déficit",
                IF(BG21=TRUNC(BJ21/2,0),
                    "-1, no había déficit y dejo la capacidad media",
                    "-2,no había déficit y resultado fue bueno")
            )
        )
    ),
    IF(BH21&lt;0,
        IF(BC21&gt;TRUNC(BJ21/2,0),
            IF(BG21=TRUNC(BJ21/2,0),
                "-1, Superávit y deje la capacidad media",
                IF(AND(BG21&gt;TRUNC(BJ21/2,0), BG21&gt;=BC21),
                    "0, Superávit y no eliminé superávit",
                    IF(AND(BG21&lt;TRUNC(BJ21/2,0),BG21&lt;BC21),
                        "1, Superávit y eliminé superávit",
                        "-2, Superávit y resultado fue bueno"
                    )
                )
            ),
            IF(AND(BC21&lt;=TRUNC(BJ21/2,0),BC21&gt;=0),
                IF(BG21=TRUNC(BJ21/2,0),
                    "-1, no había superávit y deje la capacidad media",
                    IF(AND(BG21&gt;TRUNC(BJ21/2,0), BG21&gt;=BC21),
                        "0, no había superávit, y la deje con superávit",
                        IF(AND(BG21&lt;TRUNC(BJ21/2,0),BG21&lt;BC21),
                            "1, no había superávit, pero el resultado fue mejor",
                            "-2, no había superávit y resultado fue bueno"
                        )
                    )
                )
            )
        )
    )
)</f>
        <v>0, Superávit y no eliminé superávit</v>
      </c>
      <c r="BO21" s="2" t="s">
        <v>207</v>
      </c>
      <c r="BP21" s="3">
        <v>15</v>
      </c>
      <c r="BQ21" s="5">
        <v>11.111111111111111</v>
      </c>
      <c r="BR21" s="3">
        <v>17</v>
      </c>
      <c r="BS21" s="3">
        <v>17</v>
      </c>
      <c r="BT21" s="3">
        <v>15</v>
      </c>
      <c r="BU21" s="2">
        <v>-1.196962071035268</v>
      </c>
      <c r="BV21" s="26" t="s">
        <v>329</v>
      </c>
      <c r="BW21" s="2">
        <v>19</v>
      </c>
      <c r="BX21" s="14">
        <f>IF(BR21&gt;=BP21,1,0)</f>
        <v>1</v>
      </c>
      <c r="BY21" s="34">
        <f>BR21-BP21</f>
        <v>2</v>
      </c>
      <c r="BZ21" s="29" t="str">
        <f>IF(BU21&gt;0,
    IF(OR(BP21&lt;=TRUNC(BW21/2,0),BP21=0),
        IF(BT21=TRUNC(BW21/2,0),
            "-1, Déficit y dejo la capacidad media",
            IF(AND(BT21&gt;TRUNC(BW21/2,0), BT21&gt;BP21),
                "1, Déficit y eliminé déficit",
                IF(AND(BT21&lt;TRUNC(BW21/2,0), BT21&lt;BP21),
                    "0, Déficit y no elimine déficit",
                    "-2, Déficit y resultado fue bueno")
            )
        ),
        IF(AND(BT21&gt;TRUNC(BW21/2,0), BT21&gt;BP21),
            "1, no había déficit, pero resultado fue mejor",
            IF(AND(BT21&lt;TRUNC(BW21/2,0),BT21&lt;BP21),
                "0, no había déficit y la dejo con déficit",
                IF(BT21=TRUNC(BW21/2,0),
                    "-1, no había déficit y dejo la capacidad media",
                    "-2,no había déficit y resultado fue bueno")
            )
        )
    ),
    IF(BU21&lt;0,
        IF(BP21&gt;TRUNC(BW21/2,0),
            IF(BT21=TRUNC(BW21/2,0),
                "-1, Superávit y deje la capacidad media",
                IF(AND(BT21&gt;TRUNC(BW21/2,0), BT21&gt;=BP21),
                    "0, Superávit y no eliminé superávit",
                    IF(AND(BT21&lt;TRUNC(BW21/2,0),BT21&lt;BP21),
                        "1, Superávit y eliminé superávit",
                        "-2, Superávit y resultado fue bueno"
                    )
                )
            ),
            IF(AND(BP21&lt;=TRUNC(BW21/2,0),BP21&gt;=0),
                IF(BT21=TRUNC(BW21/2,0),
                    "-1, no había superávit y deje la capacidad media",
                    IF(AND(BT21&gt;TRUNC(BW21/2,0), BT21&gt;=BP21),
                        "0, no había superávit, y la deje con superávit",
                        IF(AND(BT21&lt;TRUNC(BW21/2,0),BT21&lt;BP21),
                            "1, no había superávit, pero el resultado fue mejor",
                            "-2, no había superávit y resultado fue bueno"
                        )
                    )
                )
            )
        )
    )
)</f>
        <v>0, Superávit y no eliminé superávit</v>
      </c>
      <c r="CB21" s="30" t="s">
        <v>207</v>
      </c>
      <c r="CC21" s="30">
        <v>14</v>
      </c>
      <c r="CD21" s="31">
        <v>12.666666666666666</v>
      </c>
      <c r="CE21" s="30">
        <v>17</v>
      </c>
      <c r="CF21" s="29">
        <v>16</v>
      </c>
      <c r="CG21" s="30">
        <v>14</v>
      </c>
      <c r="CH21" s="30">
        <v>-1.196962071035268</v>
      </c>
      <c r="CI21" s="26" t="s">
        <v>329</v>
      </c>
      <c r="CJ21" s="30">
        <v>19</v>
      </c>
      <c r="CK21" s="29">
        <f>IF(CE21&gt;=CC21,1,0)</f>
        <v>1</v>
      </c>
      <c r="CL21" s="29">
        <f>CE21-CC21</f>
        <v>3</v>
      </c>
      <c r="CM21" s="29" t="str">
        <f>IF(CH21&gt;0,
    IF(OR(CC21&lt;=TRUNC(CJ21/2,0),CC21=0),
        IF(CG21=TRUNC(CJ21/2,0),
            "-1, Déficit y dejo la capacidad media",
            IF(AND(CG21&gt;TRUNC(CJ21/2,0), CG21&gt;CC21),
                "1, Déficit y eliminé déficit",
                IF(AND(CG21&lt;TRUNC(CJ21/2,0), CG21&lt;CC21),
                    "0, Déficit y no elimine déficit",
                    "-2, Déficit y resultado fue bueno")
            )
        ),
        IF(AND(CG21&gt;TRUNC(CJ21/2,0), CG21&gt;CC21),
            "1, no había déficit, pero resultado fue mejor",
            IF(AND(CG21&lt;TRUNC(CJ21/2,0),CG21&lt;CC21),
                "0, no había déficit y la dejo con déficit",
                IF(CG21=TRUNC(CJ21/2,0),
                    "-1, no había déficit y dejo la capacidad media",
                    "-2,no había déficit y resultado fue bueno")
            )
        )
    ),
    IF(CH21&lt;0,
        IF(CC21&gt;TRUNC(CJ21/2,0),
            IF(CG21=TRUNC(CJ21/2,0),
                "-1, Superávit y deje la capacidad media",
                IF(AND(CG21&gt;TRUNC(CJ21/2,0), CG21&gt;=CC21),
                    "0, Superávit y no eliminé superávit",
                    IF(AND(CG21&lt;TRUNC(CJ21/2,0),CG21&lt;CC21),
                        "1, Superávit y eliminé superávit",
                        "-2, Superávit y resultado fue bueno"
                    )
                )
            ),
            IF(AND(CC21&lt;=TRUNC(CJ21/2,0),CC21&gt;=0),
                IF(CG21=TRUNC(CJ21/2,0),
                    "-1, no había superávit y deje la capacidad media",
                    IF(AND(CG21&gt;TRUNC(CJ21/2,0), CG21&gt;=CC21),
                        "0, no había superávit, y la deje con superávit",
                        IF(AND(CG21&lt;TRUNC(CJ21/2,0),CG21&lt;CC21),
                            "1, no había superávit, pero el resultado fue mejor",
                            "-2, no había superávit y resultado fue bueno"
                        )
                    )
                )
            )
        )
    )
)</f>
        <v>0, Superávit y no eliminé superávit</v>
      </c>
      <c r="CO21" s="2" t="s">
        <v>207</v>
      </c>
      <c r="CP21" s="2">
        <v>13</v>
      </c>
      <c r="CQ21" s="7">
        <v>13.222222222222221</v>
      </c>
      <c r="CR21" s="3">
        <v>14</v>
      </c>
      <c r="CS21" s="3">
        <v>17</v>
      </c>
      <c r="CT21" s="2">
        <v>13</v>
      </c>
      <c r="CU21" s="36">
        <v>-1.196962071035268</v>
      </c>
      <c r="CV21" s="26" t="s">
        <v>329</v>
      </c>
      <c r="CW21" s="30">
        <v>19</v>
      </c>
      <c r="CX21" s="29">
        <f>IF(CR21&gt;=CP21,1,0)</f>
        <v>1</v>
      </c>
      <c r="CY21" s="29">
        <f>CR21-CP21</f>
        <v>1</v>
      </c>
      <c r="CZ21" s="29" t="str">
        <f>IF(CU21&gt;0,
    IF(OR(CP21&lt;=TRUNC(CW21/2,0),CP21=0),
        IF(CT21=TRUNC(CW21/2,0),
            "-1, Déficit y dejo la capacidad media",
            IF(AND(CT21&gt;TRUNC(CW21/2,0), CT21&gt;CP21),
                "1, Déficit y eliminé déficit",
                IF(AND(CT21&lt;TRUNC(CW21/2,0), CT21&lt;CP21),
                    "0, Déficit y no elimine déficit",
                    "-2, Déficit y resultado fue bueno")
            )
        ),
        IF(AND(CT21&gt;TRUNC(CW21/2,0), CT21&gt;CP21),
            "1, no había déficit, pero resultado fue mejor",
            IF(AND(CT21&lt;TRUNC(CW21/2,0),CT21&lt;CP21),
                "0, no había déficit y la dejo con déficit",
                IF(CT21=TRUNC(CW21/2,0),
                    "-1, no había déficit y dejo la capacidad media",
                    "-2,no había déficit y resultado fue bueno")
            )
        )
    ),
    IF(CU21&lt;0,
        IF(CP21&gt;TRUNC(CW21/2,0),
            IF(CT21=TRUNC(CW21/2,0),
                "-1, Superávit y deje la capacidad media",
                IF(AND(CT21&gt;TRUNC(CW21/2,0), CT21&gt;=CP21),
                    "0, Superávit y no eliminé superávit",
                    IF(AND(CT21&lt;TRUNC(CW21/2,0),CT21&lt;CP21),
                        "1, Superávit y eliminé superávit",
                        "-2, Superávit y resultado fue bueno"
                    )
                )
            ),
            IF(AND(CP21&lt;=TRUNC(CW21/2,0),CP21&gt;=0),
                IF(CT21=TRUNC(CW21/2,0),
                    "-1, no había superávit y deje la capacidad media",
                    IF(AND(CT21&gt;TRUNC(CW21/2,0), CT21&gt;=CP21),
                        "0, no había superávit, y la deje con superávit",
                        IF(AND(CT21&lt;TRUNC(CW21/2,0),CT21&lt;CP21),
                            "1, no había superávit, pero el resultado fue mejor",
                            "-2, no había superávit y resultado fue bueno"
                        )
                    )
                )
            )
        )
    )
)</f>
        <v>0, Superávit y no eliminé superávit</v>
      </c>
      <c r="DB21" s="2" t="s">
        <v>203</v>
      </c>
    </row>
    <row r="22" spans="1:106" ht="14.25" customHeight="1" x14ac:dyDescent="0.3">
      <c r="A22" s="29" t="str">
        <f t="shared" si="0"/>
        <v>Llenado</v>
      </c>
      <c r="B22" s="30" t="s">
        <v>222</v>
      </c>
      <c r="C22" s="30">
        <v>25</v>
      </c>
      <c r="D22" s="31">
        <v>24.777777777777779</v>
      </c>
      <c r="E22" s="31">
        <v>25</v>
      </c>
      <c r="F22" s="29">
        <v>22</v>
      </c>
      <c r="G22" s="30">
        <v>24</v>
      </c>
      <c r="H22" s="30">
        <v>-1.679865001322572</v>
      </c>
      <c r="I22" s="26" t="s">
        <v>330</v>
      </c>
      <c r="J22" s="30">
        <v>27</v>
      </c>
      <c r="K22" s="29">
        <f>IF(E22&gt;=C22,1,0)</f>
        <v>1</v>
      </c>
      <c r="L22" s="32">
        <f>E22-C22</f>
        <v>0</v>
      </c>
      <c r="M22" s="32" t="str">
        <f>IF(H22&gt;0,
    IF(OR(C22&lt;=TRUNC(J22/2,0),C22=0),
        IF(G22=TRUNC(J22/2,0),
            "-1, Déficit y dejo la capacidad media",
            IF(AND(G22&gt;TRUNC(J22/2,0), G22&gt;C22),
                "1, Déficit y eliminé déficit",
                IF(AND(G22&lt;TRUNC(J22/2,0), G22&lt;C22),
                    "0, Déficit y no elimine déficit",
                    "-2, Déficit y resultado fue bueno")
            )
        ),
        IF(AND(G22&gt;TRUNC(J22/2,0), G22&gt;C22),
            "1, no había déficit, pero resultado fue mejor",
            IF(AND(G22&lt;TRUNC(J22/2,0),G22&lt;C22),
                "0, no había déficit y la dejo con déficit",
                IF(G22=TRUNC(J22/2,0),
                    "-1, no había déficit y dejo la capacidad media",
                    "-2,no había déficit y resultado fue bueno")
            )
        )
    ),
    IF(H22&lt;0,
        IF(C22&gt;TRUNC(J22/2,0),
            IF(G22=TRUNC(J22/2,0),
                "-1, Superávit y deje la capacidad media",
                IF(AND(G22&gt;TRUNC(J22/2,0), G22&gt;=C22),
                    "0, Superávit y no eliminé superávit",
                    IF(AND(G22&lt;TRUNC(J22/2,0),G22&lt;C22),
                        "1, Superávit y eliminé superávit",
                        "-2, Superávit y resultado fue bueno"
                    )
                )
            ),
            IF(AND(C22&lt;=TRUNC(J22/2,0),C22&gt;=0),
                IF(G22=TRUNC(J22/2,0),
                    "-1, no había superávit y deje la capacidad media",
                    IF(AND(G22&gt;TRUNC(J22/2,0), G22&gt;=C22),
                        "0, no había superávit, y la deje con superávit",
                        IF(AND(G22&lt;TRUNC(J22/2,0),G22&lt;C22),
                            "1, no había superávit, pero el resultado fue mejor",
                            "-2, no había superávit y resultado fue bueno"
                        )
                    )
                )
            )
        )
    )
)</f>
        <v>-2, Superávit y resultado fue bueno</v>
      </c>
      <c r="O22" s="30" t="s">
        <v>222</v>
      </c>
      <c r="P22" s="30">
        <v>18</v>
      </c>
      <c r="Q22" s="31">
        <v>18.777777777777779</v>
      </c>
      <c r="R22" s="30">
        <v>17</v>
      </c>
      <c r="S22" s="29">
        <v>17</v>
      </c>
      <c r="T22" s="30">
        <v>22</v>
      </c>
      <c r="U22" s="30">
        <v>-1.679865001322572</v>
      </c>
      <c r="V22" s="26" t="s">
        <v>330</v>
      </c>
      <c r="W22" s="30">
        <v>27</v>
      </c>
      <c r="X22" s="29">
        <f>IF(R22&gt;=P22,1,0)</f>
        <v>0</v>
      </c>
      <c r="Y22" s="29">
        <f>R22-P22</f>
        <v>-1</v>
      </c>
      <c r="Z22" s="29" t="str">
        <f>IF(U22&gt;0,
    IF(OR(P22&lt;=TRUNC(W22/2,0),P22=0),
        IF(T22=TRUNC(W22/2,0),
            "-1, Déficit y dejo la capacidad media",
            IF(AND(T22&gt;TRUNC(W22/2,0), T22&gt;P22),
                "1, Déficit y eliminé déficit",
                IF(AND(T22&lt;TRUNC(W22/2,0), T22&lt;P22),
                    "0, Déficit y no elimine déficit",
                    "-2, Déficit y resultado fue bueno")
            )
        ),
        IF(AND(T22&gt;TRUNC(W22/2,0), T22&gt;P22),
            "1, no había déficit, pero resultado fue mejor",
            IF(AND(T22&lt;TRUNC(W22/2,0),T22&lt;P22),
                "0, no había déficit y la dejo con déficit",
                IF(T22=TRUNC(W22/2,0),
                    "-1, no había déficit y dejo la capacidad media",
                    "-2,no había déficit y resultado fue bueno")
            )
        )
    ),
    IF(U22&lt;0,
        IF(P22&gt;TRUNC(W22/2,0),
            IF(T22=TRUNC(W22/2,0),
                "-1, Superávit y deje la capacidad media",
                IF(AND(T22&gt;TRUNC(W22/2,0), T22&gt;=P22),
                    "0, Superávit y no eliminé superávit",
                    IF(AND(T22&lt;TRUNC(W22/2,0),T22&lt;P22),
                        "1, Superávit y eliminé superávit",
                        "-2, Superávit y resultado fue bueno"
                    )
                )
            ),
            IF(AND(P22&lt;=TRUNC(W22/2,0),P22&gt;=0),
                IF(T22=TRUNC(W22/2,0),
                    "-1, no había superávit y deje la capacidad media",
                    IF(AND(T22&gt;TRUNC(W22/2,0), T22&gt;=P22),
                        "0, no había superávit, y la deje con superávit",
                        IF(AND(T22&lt;TRUNC(W22/2,0),T22&lt;P22),
                            "1, no había superávit, pero el resultado fue mejor",
                            "-2, no había superávit y resultado fue bueno"
                        )
                    )
                )
            )
        )
    )
)</f>
        <v>0, Superávit y no eliminé superávit</v>
      </c>
      <c r="AB22" s="2" t="s">
        <v>222</v>
      </c>
      <c r="AC22" s="3">
        <v>22</v>
      </c>
      <c r="AD22" s="5">
        <v>21.333333333333332</v>
      </c>
      <c r="AE22" s="3">
        <v>22</v>
      </c>
      <c r="AF22" s="3">
        <v>22</v>
      </c>
      <c r="AG22" s="3">
        <v>22</v>
      </c>
      <c r="AH22" s="2">
        <v>-1.679865001322572</v>
      </c>
      <c r="AI22" s="26" t="s">
        <v>330</v>
      </c>
      <c r="AJ22" s="2">
        <v>27</v>
      </c>
      <c r="AK22" s="14">
        <f>IF(AE22&gt;=AC22,1,0)</f>
        <v>1</v>
      </c>
      <c r="AL22" s="34">
        <f>AE22-AC22</f>
        <v>0</v>
      </c>
      <c r="AM22" s="29" t="str">
        <f>IF(AH22&gt;0,
    IF(OR(AC22&lt;=TRUNC(AJ22/2,0),AC22=0),
        IF(AG22=TRUNC(AJ22/2,0),
            "-1, Déficit y dejo la capacidad media",
            IF(AND(AG22&gt;TRUNC(AJ22/2,0), AG22&gt;AC22),
                "1, Déficit y eliminé déficit",
                IF(AND(AG22&lt;TRUNC(AJ22/2,0), AG22&lt;AC22),
                    "0, Déficit y no elimine déficit",
                    "-2, Déficit y resultado fue bueno")
            )
        ),
        IF(AND(AG22&gt;TRUNC(AJ22/2,0), AG22&gt;AC22),
            "1, no había déficit, pero resultado fue mejor",
            IF(AND(AG22&lt;TRUNC(AJ22/2,0),AG22&lt;AC22),
                "0, no había déficit y la dejo con déficit",
                IF(AG22=TRUNC(AJ22/2,0),
                    "-1, no había déficit y dejo la capacidad media",
                    "-2,no había déficit y resultado fue bueno")
            )
        )
    ),
    IF(AH22&lt;0,
        IF(AC22&gt;TRUNC(AJ22/2,0),
            IF(AG22=TRUNC(AJ22/2,0),
                "-1, Superávit y deje la capacidad media",
                IF(AND(AG22&gt;TRUNC(AJ22/2,0), AG22&gt;=AC22),
                    "0, Superávit y no eliminé superávit",
                    IF(AND(AG22&lt;TRUNC(AJ22/2,0),AG22&lt;AC22),
                        "1, Superávit y eliminé superávit",
                        "-2, Superávit y resultado fue bueno"
                    )
                )
            ),
            IF(AND(AC22&lt;=TRUNC(AJ22/2,0),AC22&gt;=0),
                IF(AG22=TRUNC(AJ22/2,0),
                    "-1, no había superávit y deje la capacidad media",
                    IF(AND(AG22&gt;TRUNC(AJ22/2,0), AG22&gt;=AC22),
                        "0, no había superávit, y la deje con superávit",
                        IF(AND(AG22&lt;TRUNC(AJ22/2,0),AG22&lt;AC22),
                            "1, no había superávit, pero el resultado fue mejor",
                            "-2, no había superávit y resultado fue bueno"
                        )
                    )
                )
            )
        )
    )
)</f>
        <v>0, Superávit y no eliminé superávit</v>
      </c>
      <c r="AO22" s="2" t="s">
        <v>222</v>
      </c>
      <c r="AP22" s="3">
        <v>23</v>
      </c>
      <c r="AQ22" s="5">
        <v>23.111111111111111</v>
      </c>
      <c r="AR22" s="3">
        <v>25</v>
      </c>
      <c r="AS22" s="3">
        <v>25</v>
      </c>
      <c r="AT22" s="3">
        <v>23</v>
      </c>
      <c r="AU22" s="15">
        <v>-1.679865001322572</v>
      </c>
      <c r="AV22" s="26" t="s">
        <v>330</v>
      </c>
      <c r="AW22" s="2">
        <v>27</v>
      </c>
      <c r="AX22" s="14">
        <f>IF(AR22&gt;=AP22,1,0)</f>
        <v>1</v>
      </c>
      <c r="AY22" s="34">
        <f>AR22-AP22</f>
        <v>2</v>
      </c>
      <c r="AZ22" s="29" t="str">
        <f>IF(AU22&gt;0,
    IF(OR(AP22&lt;=TRUNC(AW22/2,0),AP22=0),
        IF(AT22=TRUNC(AW22/2,0),
            "-1, Déficit y dejo la capacidad media",
            IF(AND(AT22&gt;TRUNC(AW22/2,0), AT22&gt;AP22),
                "1, Déficit y eliminé déficit",
                IF(AND(AT22&lt;TRUNC(AW22/2,0), AT22&lt;AP22),
                    "0, Déficit y no elimine déficit",
                    "-2, Déficit y resultado fue bueno")
            )
        ),
        IF(AND(AT22&gt;TRUNC(AW22/2,0), AT22&gt;AP22),
            "1, no había déficit, pero resultado fue mejor",
            IF(AND(AT22&lt;TRUNC(AW22/2,0),AT22&lt;AP22),
                "0, no había déficit y la dejo con déficit",
                IF(AT22=TRUNC(AW22/2,0),
                    "-1, no había déficit y dejo la capacidad media",
                    "-2,no había déficit y resultado fue bueno")
            )
        )
    ),
    IF(AU22&lt;0,
        IF(AP22&gt;TRUNC(AW22/2,0),
            IF(AT22=TRUNC(AW22/2,0),
                "-1, Superávit y deje la capacidad media",
                IF(AND(AT22&gt;TRUNC(AW22/2,0), AT22&gt;=AP22),
                    "0, Superávit y no eliminé superávit",
                    IF(AND(AT22&lt;TRUNC(AW22/2,0),AT22&lt;AP22),
                        "1, Superávit y eliminé superávit",
                        "-2, Superávit y resultado fue bueno"
                    )
                )
            ),
            IF(AND(AP22&lt;=TRUNC(AW22/2,0),AP22&gt;=0),
                IF(AT22=TRUNC(AW22/2,0),
                    "-1, no había superávit y deje la capacidad media",
                    IF(AND(AT22&gt;TRUNC(AW22/2,0), AT22&gt;=AP22),
                        "0, no había superávit, y la deje con superávit",
                        IF(AND(AT22&lt;TRUNC(AW22/2,0),AT22&lt;AP22),
                            "1, no había superávit, pero el resultado fue mejor",
                            "-2, no había superávit y resultado fue bueno"
                        )
                    )
                )
            )
        )
    )
)</f>
        <v>0, Superávit y no eliminé superávit</v>
      </c>
      <c r="BB22" s="30" t="s">
        <v>222</v>
      </c>
      <c r="BC22" s="29">
        <v>26</v>
      </c>
      <c r="BD22" s="31">
        <v>23.888888888888889</v>
      </c>
      <c r="BE22" s="29">
        <v>26</v>
      </c>
      <c r="BF22" s="29">
        <v>26</v>
      </c>
      <c r="BG22" s="29">
        <v>24</v>
      </c>
      <c r="BH22" s="30">
        <v>-1.679865001322572</v>
      </c>
      <c r="BI22" s="26" t="s">
        <v>330</v>
      </c>
      <c r="BJ22" s="30">
        <v>27</v>
      </c>
      <c r="BK22" s="29">
        <f>IF(BE22&gt;=BC22,1,0)</f>
        <v>1</v>
      </c>
      <c r="BL22" s="29">
        <f>BE22-BC22</f>
        <v>0</v>
      </c>
      <c r="BM22" s="29" t="str">
        <f>IF(BH22&gt;0,
    IF(OR(BC22&lt;=TRUNC(BJ22/2,0),BC22=0),
        IF(BG22=TRUNC(BJ22/2,0),
            "-1, Déficit y dejo la capacidad media",
            IF(AND(BG22&gt;TRUNC(BJ22/2,0), BG22&gt;BC22),
                "1, Déficit y eliminé déficit",
                IF(AND(BG22&lt;TRUNC(BJ22/2,0), BG22&lt;BC22),
                    "0, Déficit y no elimine déficit",
                    "-2, Déficit y resultado fue bueno")
            )
        ),
        IF(AND(BG22&gt;TRUNC(BJ22/2,0), BG22&gt;BC22),
            "1, no había déficit, pero resultado fue mejor",
            IF(AND(BG22&lt;TRUNC(BJ22/2,0),BG22&lt;BC22),
                "0, no había déficit y la dejo con déficit",
                IF(BG22=TRUNC(BJ22/2,0),
                    "-1, no había déficit y dejo la capacidad media",
                    "-2,no había déficit y resultado fue bueno")
            )
        )
    ),
    IF(BH22&lt;0,
        IF(BC22&gt;TRUNC(BJ22/2,0),
            IF(BG22=TRUNC(BJ22/2,0),
                "-1, Superávit y deje la capacidad media",
                IF(AND(BG22&gt;TRUNC(BJ22/2,0), BG22&gt;=BC22),
                    "0, Superávit y no eliminé superávit",
                    IF(AND(BG22&lt;TRUNC(BJ22/2,0),BG22&lt;BC22),
                        "1, Superávit y eliminé superávit",
                        "-2, Superávit y resultado fue bueno"
                    )
                )
            ),
            IF(AND(BC22&lt;=TRUNC(BJ22/2,0),BC22&gt;=0),
                IF(BG22=TRUNC(BJ22/2,0),
                    "-1, no había superávit y deje la capacidad media",
                    IF(AND(BG22&gt;TRUNC(BJ22/2,0), BG22&gt;=BC22),
                        "0, no había superávit, y la deje con superávit",
                        IF(AND(BG22&lt;TRUNC(BJ22/2,0),BG22&lt;BC22),
                            "1, no había superávit, pero el resultado fue mejor",
                            "-2, no había superávit y resultado fue bueno"
                        )
                    )
                )
            )
        )
    )
)</f>
        <v>-2, Superávit y resultado fue bueno</v>
      </c>
      <c r="BO22" s="2" t="s">
        <v>222</v>
      </c>
      <c r="BP22" s="3">
        <v>27</v>
      </c>
      <c r="BQ22" s="5">
        <v>24.111111111111111</v>
      </c>
      <c r="BR22" s="3">
        <v>27</v>
      </c>
      <c r="BS22" s="3">
        <v>26</v>
      </c>
      <c r="BT22" s="3">
        <v>12</v>
      </c>
      <c r="BU22" s="2">
        <v>-1.679865001322572</v>
      </c>
      <c r="BV22" s="26" t="s">
        <v>330</v>
      </c>
      <c r="BW22" s="2">
        <v>27</v>
      </c>
      <c r="BX22" s="14">
        <f>IF(BR22&gt;=BP22,1,0)</f>
        <v>1</v>
      </c>
      <c r="BY22" s="34">
        <f>BR22-BP22</f>
        <v>0</v>
      </c>
      <c r="BZ22" s="29" t="str">
        <f>IF(BU22&gt;0,
    IF(OR(BP22&lt;=TRUNC(BW22/2,0),BP22=0),
        IF(BT22=TRUNC(BW22/2,0),
            "-1, Déficit y dejo la capacidad media",
            IF(AND(BT22&gt;TRUNC(BW22/2,0), BT22&gt;BP22),
                "1, Déficit y eliminé déficit",
                IF(AND(BT22&lt;TRUNC(BW22/2,0), BT22&lt;BP22),
                    "0, Déficit y no elimine déficit",
                    "-2, Déficit y resultado fue bueno")
            )
        ),
        IF(AND(BT22&gt;TRUNC(BW22/2,0), BT22&gt;BP22),
            "1, no había déficit, pero resultado fue mejor",
            IF(AND(BT22&lt;TRUNC(BW22/2,0),BT22&lt;BP22),
                "0, no había déficit y la dejo con déficit",
                IF(BT22=TRUNC(BW22/2,0),
                    "-1, no había déficit y dejo la capacidad media",
                    "-2,no había déficit y resultado fue bueno")
            )
        )
    ),
    IF(BU22&lt;0,
        IF(BP22&gt;TRUNC(BW22/2,0),
            IF(BT22=TRUNC(BW22/2,0),
                "-1, Superávit y deje la capacidad media",
                IF(AND(BT22&gt;TRUNC(BW22/2,0), BT22&gt;=BP22),
                    "0, Superávit y no eliminé superávit",
                    IF(AND(BT22&lt;TRUNC(BW22/2,0),BT22&lt;BP22),
                        "1, Superávit y eliminé superávit",
                        "-2, Superávit y resultado fue bueno"
                    )
                )
            ),
            IF(AND(BP22&lt;=TRUNC(BW22/2,0),BP22&gt;=0),
                IF(BT22=TRUNC(BW22/2,0),
                    "-1, no había superávit y deje la capacidad media",
                    IF(AND(BT22&gt;TRUNC(BW22/2,0), BT22&gt;=BP22),
                        "0, no había superávit, y la deje con superávit",
                        IF(AND(BT22&lt;TRUNC(BW22/2,0),BT22&lt;BP22),
                            "1, no había superávit, pero el resultado fue mejor",
                            "-2, no había superávit y resultado fue bueno"
                        )
                    )
                )
            )
        )
    )
)</f>
        <v>1, Superávit y eliminé superávit</v>
      </c>
      <c r="CB22" s="30" t="s">
        <v>222</v>
      </c>
      <c r="CC22" s="30">
        <v>26</v>
      </c>
      <c r="CD22" s="31">
        <v>24</v>
      </c>
      <c r="CE22" s="30">
        <v>24</v>
      </c>
      <c r="CF22" s="29">
        <v>25</v>
      </c>
      <c r="CG22" s="30">
        <v>24</v>
      </c>
      <c r="CH22" s="30">
        <v>-1.679865001322572</v>
      </c>
      <c r="CI22" s="26" t="s">
        <v>330</v>
      </c>
      <c r="CJ22" s="30">
        <v>27</v>
      </c>
      <c r="CK22" s="29">
        <f>IF(CE22&gt;=CC22,1,0)</f>
        <v>0</v>
      </c>
      <c r="CL22" s="29">
        <f>CE22-CC22</f>
        <v>-2</v>
      </c>
      <c r="CM22" s="29" t="str">
        <f>IF(CH22&gt;0,
    IF(OR(CC22&lt;=TRUNC(CJ22/2,0),CC22=0),
        IF(CG22=TRUNC(CJ22/2,0),
            "-1, Déficit y dejo la capacidad media",
            IF(AND(CG22&gt;TRUNC(CJ22/2,0), CG22&gt;CC22),
                "1, Déficit y eliminé déficit",
                IF(AND(CG22&lt;TRUNC(CJ22/2,0), CG22&lt;CC22),
                    "0, Déficit y no elimine déficit",
                    "-2, Déficit y resultado fue bueno")
            )
        ),
        IF(AND(CG22&gt;TRUNC(CJ22/2,0), CG22&gt;CC22),
            "1, no había déficit, pero resultado fue mejor",
            IF(AND(CG22&lt;TRUNC(CJ22/2,0),CG22&lt;CC22),
                "0, no había déficit y la dejo con déficit",
                IF(CG22=TRUNC(CJ22/2,0),
                    "-1, no había déficit y dejo la capacidad media",
                    "-2,no había déficit y resultado fue bueno")
            )
        )
    ),
    IF(CH22&lt;0,
        IF(CC22&gt;TRUNC(CJ22/2,0),
            IF(CG22=TRUNC(CJ22/2,0),
                "-1, Superávit y deje la capacidad media",
                IF(AND(CG22&gt;TRUNC(CJ22/2,0), CG22&gt;=CC22),
                    "0, Superávit y no eliminé superávit",
                    IF(AND(CG22&lt;TRUNC(CJ22/2,0),CG22&lt;CC22),
                        "1, Superávit y eliminé superávit",
                        "-2, Superávit y resultado fue bueno"
                    )
                )
            ),
            IF(AND(CC22&lt;=TRUNC(CJ22/2,0),CC22&gt;=0),
                IF(CG22=TRUNC(CJ22/2,0),
                    "-1, no había superávit y deje la capacidad media",
                    IF(AND(CG22&gt;TRUNC(CJ22/2,0), CG22&gt;=CC22),
                        "0, no había superávit, y la deje con superávit",
                        IF(AND(CG22&lt;TRUNC(CJ22/2,0),CG22&lt;CC22),
                            "1, no había superávit, pero el resultado fue mejor",
                            "-2, no había superávit y resultado fue bueno"
                        )
                    )
                )
            )
        )
    )
)</f>
        <v>-2, Superávit y resultado fue bueno</v>
      </c>
      <c r="CO22" s="2" t="s">
        <v>222</v>
      </c>
      <c r="CP22" s="2">
        <v>27</v>
      </c>
      <c r="CQ22" s="7">
        <v>24.777777777777779</v>
      </c>
      <c r="CR22" s="3">
        <v>26</v>
      </c>
      <c r="CS22" s="3">
        <v>26</v>
      </c>
      <c r="CT22" s="2">
        <v>24</v>
      </c>
      <c r="CU22" s="36">
        <v>-1.679865001322572</v>
      </c>
      <c r="CV22" s="26" t="s">
        <v>330</v>
      </c>
      <c r="CW22" s="30">
        <v>27</v>
      </c>
      <c r="CX22" s="29">
        <f>IF(CR22&gt;=CP22,1,0)</f>
        <v>0</v>
      </c>
      <c r="CY22" s="29">
        <f>CR22-CP22</f>
        <v>-1</v>
      </c>
      <c r="CZ22" s="29" t="str">
        <f>IF(CU22&gt;0,
    IF(OR(CP22&lt;=TRUNC(CW22/2,0),CP22=0),
        IF(CT22=TRUNC(CW22/2,0),
            "-1, Déficit y dejo la capacidad media",
            IF(AND(CT22&gt;TRUNC(CW22/2,0), CT22&gt;CP22),
                "1, Déficit y eliminé déficit",
                IF(AND(CT22&lt;TRUNC(CW22/2,0), CT22&lt;CP22),
                    "0, Déficit y no elimine déficit",
                    "-2, Déficit y resultado fue bueno")
            )
        ),
        IF(AND(CT22&gt;TRUNC(CW22/2,0), CT22&gt;CP22),
            "1, no había déficit, pero resultado fue mejor",
            IF(AND(CT22&lt;TRUNC(CW22/2,0),CT22&lt;CP22),
                "0, no había déficit y la dejo con déficit",
                IF(CT22=TRUNC(CW22/2,0),
                    "-1, no había déficit y dejo la capacidad media",
                    "-2,no había déficit y resultado fue bueno")
            )
        )
    ),
    IF(CU22&lt;0,
        IF(CP22&gt;TRUNC(CW22/2,0),
            IF(CT22=TRUNC(CW22/2,0),
                "-1, Superávit y deje la capacidad media",
                IF(AND(CT22&gt;TRUNC(CW22/2,0), CT22&gt;=CP22),
                    "0, Superávit y no eliminé superávit",
                    IF(AND(CT22&lt;TRUNC(CW22/2,0),CT22&lt;CP22),
                        "1, Superávit y eliminé superávit",
                        "-2, Superávit y resultado fue bueno"
                    )
                )
            ),
            IF(AND(CP22&lt;=TRUNC(CW22/2,0),CP22&gt;=0),
                IF(CT22=TRUNC(CW22/2,0),
                    "-1, no había superávit y deje la capacidad media",
                    IF(AND(CT22&gt;TRUNC(CW22/2,0), CT22&gt;=CP22),
                        "0, no había superávit, y la deje con superávit",
                        IF(AND(CT22&lt;TRUNC(CW22/2,0),CT22&lt;CP22),
                            "1, no había superávit, pero el resultado fue mejor",
                            "-2, no había superávit y resultado fue bueno"
                        )
                    )
                )
            )
        )
    )
)</f>
        <v>-2, Superávit y resultado fue bueno</v>
      </c>
    </row>
    <row r="23" spans="1:106" ht="14.25" customHeight="1" x14ac:dyDescent="0.3">
      <c r="A23" s="24"/>
      <c r="B23" s="28" t="s">
        <v>261</v>
      </c>
      <c r="C23" s="21">
        <f t="shared" ref="C23:G23" si="1">AVERAGE(C3:C12)</f>
        <v>3.9</v>
      </c>
      <c r="D23" s="20">
        <f t="shared" si="1"/>
        <v>5.4888888888888889</v>
      </c>
      <c r="E23" s="20">
        <f t="shared" si="1"/>
        <v>2.2999999999999998</v>
      </c>
      <c r="F23" s="21">
        <f t="shared" si="1"/>
        <v>5.4</v>
      </c>
      <c r="G23" s="21">
        <f t="shared" si="1"/>
        <v>7.4</v>
      </c>
      <c r="H23" s="24"/>
      <c r="I23" s="24"/>
      <c r="J23" s="24"/>
      <c r="K23" s="24"/>
      <c r="L23" s="24"/>
      <c r="M23" s="24"/>
      <c r="O23" s="28" t="s">
        <v>262</v>
      </c>
      <c r="P23" s="28">
        <f>AVERAGE(P3:P12)</f>
        <v>4.5999999999999996</v>
      </c>
      <c r="Q23" s="33">
        <f>AVERAGE(Q3:Q12)</f>
        <v>5.4666666666666668</v>
      </c>
      <c r="R23" s="28">
        <f>AVERAGE(R3:R12)</f>
        <v>3.8</v>
      </c>
      <c r="S23" s="28">
        <f>AVERAGE(S3:S12)</f>
        <v>4</v>
      </c>
      <c r="T23" s="28">
        <f>AVERAGE(T3:T12)</f>
        <v>6.4</v>
      </c>
      <c r="U23" s="24"/>
      <c r="V23" s="24"/>
      <c r="W23" s="24"/>
      <c r="X23" s="24"/>
      <c r="Y23" s="24"/>
      <c r="Z23" s="24"/>
      <c r="AB23" s="2" t="s">
        <v>261</v>
      </c>
      <c r="AC23" s="3">
        <f>AVERAGE(AC3:AC12)</f>
        <v>5.4</v>
      </c>
      <c r="AD23" s="16">
        <f>AVERAGE(AD3:AD12)</f>
        <v>4.2333333333333325</v>
      </c>
      <c r="AE23" s="3">
        <f>AVERAGE(AE3:AE12)</f>
        <v>5.4</v>
      </c>
      <c r="AF23" s="3">
        <f>AVERAGE(AF3:AF12)</f>
        <v>5.4</v>
      </c>
      <c r="AG23" s="3">
        <f>AVERAGE(AG3:AG12)</f>
        <v>6.5</v>
      </c>
      <c r="AO23" s="2" t="s">
        <v>263</v>
      </c>
      <c r="AP23" s="2">
        <f>AVERAGE(AP3:AP12)</f>
        <v>5.7</v>
      </c>
      <c r="AQ23" s="7">
        <f>AVERAGE(AQ3:AQ12)</f>
        <v>6.3111111111111109</v>
      </c>
      <c r="AR23" s="2">
        <f>AVERAGE(AR3:AR12)</f>
        <v>2.6</v>
      </c>
      <c r="AS23" s="2">
        <f>AVERAGE(AS3:AS12)</f>
        <v>2</v>
      </c>
      <c r="AT23" s="2">
        <f>AVERAGE(AT3:AT12)</f>
        <v>6.4</v>
      </c>
      <c r="BB23" s="28" t="s">
        <v>261</v>
      </c>
      <c r="BC23" s="28">
        <f>AVERAGE(BC3:BC12)</f>
        <v>6.1</v>
      </c>
      <c r="BD23" s="33">
        <f>AVERAGE(BD3:BD12)</f>
        <v>6.1999999999999984</v>
      </c>
      <c r="BE23" s="28">
        <f>AVERAGE(BE3:BE12)</f>
        <v>3.2</v>
      </c>
      <c r="BF23" s="28">
        <f>AVERAGE(BF3:BF12)</f>
        <v>2.8</v>
      </c>
      <c r="BG23" s="28">
        <f>AVERAGE(BG3:BG12)</f>
        <v>7.2</v>
      </c>
      <c r="BH23" s="24"/>
      <c r="BI23" s="24"/>
      <c r="BJ23" s="24"/>
      <c r="BK23" s="24"/>
      <c r="BL23" s="24"/>
      <c r="BM23" s="24"/>
      <c r="BO23" s="2" t="s">
        <v>261</v>
      </c>
      <c r="BP23" s="2">
        <f>AVERAGE(BP3:BP12)</f>
        <v>5.8</v>
      </c>
      <c r="BQ23" s="7">
        <f>AVERAGE(BQ3:BQ12)</f>
        <v>6.2444444444444454</v>
      </c>
      <c r="BR23" s="2">
        <f>AVERAGE(BR3:BR12)</f>
        <v>3.1</v>
      </c>
      <c r="BS23" s="2">
        <f>AVERAGE(BS3:BS12)</f>
        <v>2.6</v>
      </c>
      <c r="BT23" s="2">
        <f>AVERAGE(BT3:BT12)</f>
        <v>7.3</v>
      </c>
      <c r="CB23" s="28" t="s">
        <v>261</v>
      </c>
      <c r="CC23" s="28">
        <f>AVERAGE(CC3:CC12)</f>
        <v>6.5</v>
      </c>
      <c r="CD23" s="33">
        <f>AVERAGE(CD3:CD12)</f>
        <v>6</v>
      </c>
      <c r="CE23" s="28">
        <f>AVERAGE(CE3:CE12)</f>
        <v>3.8</v>
      </c>
      <c r="CF23" s="28">
        <f>AVERAGE(CF3:CF12)</f>
        <v>3.1</v>
      </c>
      <c r="CG23" s="28">
        <f>AVERAGE(CG3:CG12)</f>
        <v>6.5</v>
      </c>
      <c r="CH23" s="24"/>
      <c r="CI23" s="24"/>
      <c r="CJ23" s="24"/>
      <c r="CK23" s="24"/>
      <c r="CL23" s="24"/>
      <c r="CM23" s="24"/>
      <c r="CO23" s="2" t="s">
        <v>261</v>
      </c>
      <c r="CP23" s="2">
        <f>AVERAGE(CP3:CP12)</f>
        <v>6.5</v>
      </c>
      <c r="CQ23" s="7">
        <f>AVERAGE(CQ3:CQ12)</f>
        <v>5.4888888888888889</v>
      </c>
      <c r="CR23" s="2">
        <f>AVERAGE(CR3:CR12)</f>
        <v>6.1</v>
      </c>
      <c r="CS23" s="2">
        <f>AVERAGE(CS3:CS12)</f>
        <v>5.6</v>
      </c>
      <c r="CT23" s="2">
        <f>AVERAGE(CT3:CT12)</f>
        <v>6.5</v>
      </c>
    </row>
    <row r="24" spans="1:106" ht="14.25" customHeight="1" x14ac:dyDescent="0.3">
      <c r="B24" s="2" t="s">
        <v>264</v>
      </c>
      <c r="C24" s="2">
        <f t="shared" ref="C24:G24" si="2">AVERAGE(C13:C22)</f>
        <v>14.4</v>
      </c>
      <c r="D24" s="7">
        <f t="shared" si="2"/>
        <v>12.455555555555554</v>
      </c>
      <c r="E24" s="7">
        <f t="shared" si="2"/>
        <v>15.3</v>
      </c>
      <c r="F24" s="2">
        <f t="shared" si="2"/>
        <v>13.7</v>
      </c>
      <c r="G24" s="2">
        <f t="shared" si="2"/>
        <v>10.9</v>
      </c>
      <c r="O24" s="2" t="s">
        <v>265</v>
      </c>
      <c r="P24" s="2">
        <f>AVERAGE(P13:P22)</f>
        <v>15.2</v>
      </c>
      <c r="Q24" s="7">
        <f>AVERAGE(Q13:Q22)</f>
        <v>12.611111111111111</v>
      </c>
      <c r="R24" s="2">
        <f>AVERAGE(R13:R22)</f>
        <v>13.7</v>
      </c>
      <c r="S24" s="2">
        <f>AVERAGE(S13:S22)</f>
        <v>13.7</v>
      </c>
      <c r="T24" s="2">
        <f>AVERAGE(T13:T22)</f>
        <v>13.4</v>
      </c>
      <c r="AB24" s="2" t="s">
        <v>264</v>
      </c>
      <c r="AC24" s="2">
        <f>AVERAGE(AC13:AC22)</f>
        <v>13.7</v>
      </c>
      <c r="AD24" s="7">
        <f>AVERAGE(AD13:AD22)</f>
        <v>13.622222222222224</v>
      </c>
      <c r="AE24" s="2">
        <f>AVERAGE(AE13:AE22)</f>
        <v>13.7</v>
      </c>
      <c r="AF24" s="2">
        <f>AVERAGE(AF13:AF22)</f>
        <v>13.7</v>
      </c>
      <c r="AG24" s="2">
        <f>AVERAGE(AG13:AG22)</f>
        <v>12.6</v>
      </c>
      <c r="AO24" s="2" t="s">
        <v>266</v>
      </c>
      <c r="AP24" s="2">
        <f>AVERAGE(AP13:AP22)</f>
        <v>13</v>
      </c>
      <c r="AQ24" s="7">
        <f>AVERAGE(AQ13:AQ22)</f>
        <v>12.5</v>
      </c>
      <c r="AR24" s="2">
        <f>AVERAGE(AR13:AR22)</f>
        <v>14.6</v>
      </c>
      <c r="AS24" s="2">
        <f>AVERAGE(AS13:AS22)</f>
        <v>15.4</v>
      </c>
      <c r="AT24" s="2">
        <f>AVERAGE(AT13:AT22)</f>
        <v>12.3</v>
      </c>
      <c r="BB24" s="2" t="s">
        <v>264</v>
      </c>
      <c r="BC24" s="2">
        <f>AVERAGE(BC13:BC22)</f>
        <v>13.1</v>
      </c>
      <c r="BD24" s="7">
        <f>AVERAGE(BD13:BD22)</f>
        <v>12.155555555555555</v>
      </c>
      <c r="BE24" s="2">
        <f>AVERAGE(BE13:BE22)</f>
        <v>13.7</v>
      </c>
      <c r="BF24" s="2">
        <f>AVERAGE(BF13:BF22)</f>
        <v>14.4</v>
      </c>
      <c r="BG24" s="2">
        <f>AVERAGE(BG13:BG22)</f>
        <v>12</v>
      </c>
      <c r="BO24" s="2" t="s">
        <v>264</v>
      </c>
      <c r="BP24" s="2">
        <f>AVERAGE(BP13:BP22)</f>
        <v>9.1</v>
      </c>
      <c r="BQ24" s="7">
        <f>AVERAGE(BQ13:BQ22)</f>
        <v>11.722222222222223</v>
      </c>
      <c r="BR24" s="2">
        <f>AVERAGE(BR13:BR22)</f>
        <v>10.199999999999999</v>
      </c>
      <c r="BS24" s="2">
        <f>AVERAGE(BS13:BS22)</f>
        <v>10.3</v>
      </c>
      <c r="BT24" s="2">
        <f>AVERAGE(BT13:BT22)</f>
        <v>7.6</v>
      </c>
      <c r="CB24" s="2" t="s">
        <v>264</v>
      </c>
      <c r="CC24" s="2">
        <f>AVERAGE(CC13:CC22)</f>
        <v>12.9</v>
      </c>
      <c r="CD24" s="7">
        <f>AVERAGE(CD13:CD22)</f>
        <v>13.155555555555557</v>
      </c>
      <c r="CE24" s="2">
        <f>AVERAGE(CE13:CE22)</f>
        <v>13.3</v>
      </c>
      <c r="CF24" s="2">
        <f>AVERAGE(CF13:CF22)</f>
        <v>13.5</v>
      </c>
      <c r="CG24" s="2">
        <f>AVERAGE(CG13:CG22)</f>
        <v>12.9</v>
      </c>
      <c r="CO24" s="2" t="s">
        <v>264</v>
      </c>
      <c r="CP24" s="2">
        <f>AVERAGE(CP13:CP22)</f>
        <v>13</v>
      </c>
      <c r="CQ24" s="7">
        <f>AVERAGE(CQ13:CQ22)</f>
        <v>12.455555555555554</v>
      </c>
      <c r="CR24" s="2">
        <f>AVERAGE(CR13:CR22)</f>
        <v>13.9</v>
      </c>
      <c r="CS24" s="2">
        <f>AVERAGE(CS13:CS22)</f>
        <v>14.4</v>
      </c>
      <c r="CT24" s="2">
        <f>AVERAGE(CT13:CT22)</f>
        <v>13</v>
      </c>
    </row>
    <row r="25" spans="1:106" ht="14.25" customHeight="1" x14ac:dyDescent="0.3">
      <c r="B25" s="2" t="s">
        <v>267</v>
      </c>
      <c r="C25" s="2">
        <f>_xlfn.SKEW.P(C3:C12)</f>
        <v>0.96233186013979122</v>
      </c>
      <c r="D25" s="2"/>
      <c r="E25" s="2"/>
      <c r="F25" s="2"/>
      <c r="G25" s="2">
        <f>_xlfn.SKEW.P(G3:G12)</f>
        <v>1.3565001157921466</v>
      </c>
      <c r="O25" s="2" t="s">
        <v>267</v>
      </c>
      <c r="P25" s="2">
        <f>_xlfn.SKEW.P(P3:P12)</f>
        <v>1.5243672464428604</v>
      </c>
      <c r="Q25" s="11"/>
      <c r="R25" s="11">
        <f>_xlfn.SKEW.P(R3:R12)</f>
        <v>0.40774527617600109</v>
      </c>
      <c r="AB25" s="2" t="s">
        <v>267</v>
      </c>
      <c r="AC25" s="2">
        <f>_xlfn.SKEW.P(AC3:AC12)</f>
        <v>1.4022531373416898</v>
      </c>
      <c r="AD25" s="2">
        <f>_xlfn.SKEW.P(AD3:AD12)</f>
        <v>1.7435569723580386</v>
      </c>
      <c r="AE25" s="2">
        <f>_xlfn.SKEW.P(AE3:AE12)</f>
        <v>1.4022531373416898</v>
      </c>
      <c r="AF25" s="2"/>
      <c r="AG25" s="2">
        <f>_xlfn.SKEW.P(AG3:AG12)</f>
        <v>1.3124772193016887</v>
      </c>
      <c r="AO25" s="2" t="s">
        <v>267</v>
      </c>
      <c r="AP25" s="2">
        <f>_xlfn.SKEW.P(AP3:AP12)</f>
        <v>0.38120567664606031</v>
      </c>
      <c r="AQ25" s="2"/>
      <c r="AR25" s="2"/>
      <c r="AS25" s="2"/>
      <c r="AT25" s="2">
        <f>_xlfn.SKEW.P(AT3:AT12)</f>
        <v>1.439539308611987</v>
      </c>
      <c r="BB25" s="2" t="s">
        <v>267</v>
      </c>
      <c r="BC25" s="2">
        <f>_xlfn.SKEW.P(BC3:BC12)</f>
        <v>0.66435285102845798</v>
      </c>
      <c r="BD25" s="2"/>
      <c r="BE25" s="2"/>
      <c r="BF25" s="2"/>
      <c r="BG25" s="2">
        <f>_xlfn.SKEW.P(BG3:BG12)</f>
        <v>0.7741576038277258</v>
      </c>
      <c r="BO25" s="2" t="s">
        <v>267</v>
      </c>
      <c r="BP25" s="2">
        <f>_xlfn.SKEW.P(BP3:BP12)</f>
        <v>0.75502557440137363</v>
      </c>
      <c r="BQ25" s="2"/>
      <c r="BR25" s="2"/>
      <c r="BS25" s="2"/>
      <c r="BT25" s="2">
        <f>_xlfn.SKEW.P(BT3:BT12)</f>
        <v>0.86622765960383252</v>
      </c>
      <c r="CB25" s="2" t="s">
        <v>267</v>
      </c>
      <c r="CC25" s="2">
        <f>_xlfn.SKEW.P(CC3:CC12)</f>
        <v>0.45494241293778243</v>
      </c>
      <c r="CD25" s="2"/>
      <c r="CE25" s="2"/>
      <c r="CF25" s="2"/>
      <c r="CG25" s="2">
        <f>_xlfn.SKEW.P(CG3:CG12)</f>
        <v>1.3154518950437315</v>
      </c>
      <c r="CO25" s="2" t="s">
        <v>267</v>
      </c>
      <c r="CP25" s="2">
        <f>_xlfn.SKEW.P(CP3:CP12)</f>
        <v>1.2646446013260659</v>
      </c>
      <c r="CQ25" s="2"/>
      <c r="CR25" s="2"/>
      <c r="CS25" s="2"/>
      <c r="CT25" s="2">
        <f>_xlfn.SKEW.P(CT3:CT12)</f>
        <v>1.454934897359863</v>
      </c>
    </row>
    <row r="26" spans="1:106" ht="14.25" customHeight="1" x14ac:dyDescent="0.3">
      <c r="B26" s="2" t="s">
        <v>268</v>
      </c>
      <c r="C26" s="2">
        <f>_xlfn.SKEW.P(C13:C22)</f>
        <v>0.73064966613897742</v>
      </c>
      <c r="D26" s="2"/>
      <c r="E26" s="2"/>
      <c r="F26" s="2"/>
      <c r="G26" s="2">
        <f>_xlfn.SKEW.P(G13:G22)</f>
        <v>0.5891227428659338</v>
      </c>
      <c r="O26" s="2" t="s">
        <v>268</v>
      </c>
      <c r="P26" s="2">
        <f>_xlfn.SKEW.P(P13:P22)</f>
        <v>-0.36567514978795462</v>
      </c>
      <c r="Q26" s="11"/>
      <c r="R26" s="11">
        <f>_xlfn.SKEW.P(R13:R22)</f>
        <v>-0.41374521843404999</v>
      </c>
      <c r="AB26" s="2" t="s">
        <v>268</v>
      </c>
      <c r="AC26" s="2">
        <f>_xlfn.SKEW.P(AC13:AC22)</f>
        <v>0.51440274594403068</v>
      </c>
      <c r="AD26" s="2"/>
      <c r="AE26" s="2"/>
      <c r="AF26" s="2"/>
      <c r="AG26" s="2">
        <f>_xlfn.SKEW.P(AG13:AG22)</f>
        <v>0.11353945026988477</v>
      </c>
      <c r="AO26" s="2" t="s">
        <v>268</v>
      </c>
      <c r="AP26" s="2">
        <f>_xlfn.SKEW.P(AP13:AP22)</f>
        <v>0.84568467201384989</v>
      </c>
      <c r="AQ26" s="2"/>
      <c r="AR26" s="2"/>
      <c r="AS26" s="2"/>
      <c r="AT26" s="2">
        <f>_xlfn.SKEW.P(AT13:AT22)</f>
        <v>7.651730443272467E-2</v>
      </c>
      <c r="BB26" s="2" t="s">
        <v>268</v>
      </c>
      <c r="BC26" s="2">
        <f>_xlfn.SKEW.P(BC13:BC22)</f>
        <v>0.80614320368308268</v>
      </c>
      <c r="BD26" s="2"/>
      <c r="BE26" s="2"/>
      <c r="BF26" s="2"/>
      <c r="BG26" s="2">
        <f>_xlfn.SKEW.P(BG13:BG22)</f>
        <v>0.91862995246286694</v>
      </c>
      <c r="BO26" s="2" t="s">
        <v>268</v>
      </c>
      <c r="BP26" s="2">
        <f>_xlfn.SKEW.P(BP13:BP22)</f>
        <v>0.89041685984253216</v>
      </c>
      <c r="BQ26" s="2"/>
      <c r="BR26" s="2"/>
      <c r="BS26" s="2"/>
      <c r="BT26" s="2">
        <f>_xlfn.SKEW.P(BT13:BT22)</f>
        <v>0.18995889997126164</v>
      </c>
      <c r="CB26" s="2" t="s">
        <v>268</v>
      </c>
      <c r="CC26" s="2">
        <f>_xlfn.SKEW.P(CC13:CC22)</f>
        <v>1.1223785355903391</v>
      </c>
      <c r="CD26" s="2"/>
      <c r="CE26" s="2"/>
      <c r="CF26" s="2"/>
      <c r="CG26" s="2">
        <f>_xlfn.SKEW.P(CG13:CG22)</f>
        <v>1.2668945909107863</v>
      </c>
      <c r="CO26" s="2" t="s">
        <v>268</v>
      </c>
      <c r="CP26" s="2">
        <f>_xlfn.SKEW.P(CP13:CP22)</f>
        <v>0.64067469004280808</v>
      </c>
      <c r="CQ26" s="2"/>
      <c r="CR26" s="2"/>
      <c r="CS26" s="2"/>
      <c r="CT26" s="2">
        <f>_xlfn.SKEW.P(CT13:CT22)</f>
        <v>0.70219879373048788</v>
      </c>
    </row>
    <row r="27" spans="1:106" ht="14.25" customHeight="1" x14ac:dyDescent="0.3">
      <c r="B27" s="2" t="s">
        <v>269</v>
      </c>
      <c r="C27" s="2">
        <v>17.13395852741456</v>
      </c>
      <c r="O27" s="2" t="s">
        <v>269</v>
      </c>
      <c r="P27" s="2">
        <v>20.47456125362994</v>
      </c>
      <c r="AB27" s="2" t="s">
        <v>269</v>
      </c>
      <c r="AC27" s="3">
        <v>10.45904851004949</v>
      </c>
      <c r="AO27" s="2" t="s">
        <v>269</v>
      </c>
      <c r="AP27" s="2">
        <v>10.40954166522426</v>
      </c>
      <c r="BB27" s="2" t="s">
        <v>269</v>
      </c>
      <c r="BC27" s="2">
        <v>11.66774672479853</v>
      </c>
      <c r="BO27" s="2" t="s">
        <v>269</v>
      </c>
      <c r="BP27" s="3">
        <v>14.86922900812101</v>
      </c>
      <c r="CB27" s="2" t="s">
        <v>269</v>
      </c>
      <c r="CC27" s="3">
        <v>11.697597677419219</v>
      </c>
      <c r="CO27" s="2" t="s">
        <v>269</v>
      </c>
      <c r="CP27" s="3">
        <v>7.6220379086563366</v>
      </c>
    </row>
    <row r="28" spans="1:106" ht="28.5" customHeight="1" x14ac:dyDescent="0.3">
      <c r="B28" s="2" t="s">
        <v>270</v>
      </c>
      <c r="C28" s="2">
        <v>9</v>
      </c>
      <c r="O28" s="2" t="s">
        <v>270</v>
      </c>
      <c r="P28" s="2">
        <v>14</v>
      </c>
      <c r="AB28" s="2" t="s">
        <v>270</v>
      </c>
      <c r="AC28" s="2">
        <v>7</v>
      </c>
      <c r="AO28" s="2" t="s">
        <v>270</v>
      </c>
      <c r="AP28" s="2">
        <v>9</v>
      </c>
      <c r="BB28" s="2" t="s">
        <v>270</v>
      </c>
      <c r="BC28" s="2">
        <v>11</v>
      </c>
      <c r="BO28" s="2" t="s">
        <v>270</v>
      </c>
      <c r="BP28" s="2">
        <v>8</v>
      </c>
      <c r="CB28" s="2" t="s">
        <v>270</v>
      </c>
      <c r="CC28" s="2">
        <v>9</v>
      </c>
      <c r="CO28" s="2" t="s">
        <v>270</v>
      </c>
      <c r="CP28" s="2">
        <v>7</v>
      </c>
    </row>
    <row r="29" spans="1:106" ht="14.25" customHeight="1" x14ac:dyDescent="0.3">
      <c r="B29" s="17" t="s">
        <v>271</v>
      </c>
      <c r="C29" s="2">
        <f>C28*2</f>
        <v>18</v>
      </c>
      <c r="O29" s="17" t="s">
        <v>271</v>
      </c>
      <c r="P29" s="2">
        <f>P28*2</f>
        <v>28</v>
      </c>
      <c r="AB29" s="17" t="s">
        <v>271</v>
      </c>
      <c r="AC29" s="2">
        <f>AC28*2</f>
        <v>14</v>
      </c>
      <c r="AO29" s="17" t="s">
        <v>271</v>
      </c>
      <c r="AP29" s="2">
        <f>AP28*2</f>
        <v>18</v>
      </c>
      <c r="BB29" s="17" t="s">
        <v>271</v>
      </c>
      <c r="BC29" s="2">
        <f>BC28*2</f>
        <v>22</v>
      </c>
      <c r="BO29" s="17" t="s">
        <v>271</v>
      </c>
      <c r="BP29" s="2">
        <f>BP28*2</f>
        <v>16</v>
      </c>
      <c r="CB29" s="17" t="s">
        <v>271</v>
      </c>
      <c r="CC29" s="2">
        <f>CC28*2</f>
        <v>18</v>
      </c>
      <c r="CO29" s="17" t="s">
        <v>271</v>
      </c>
      <c r="CP29" s="2">
        <f>CP28*2</f>
        <v>14</v>
      </c>
    </row>
    <row r="30" spans="1:106" ht="14.25" customHeight="1" x14ac:dyDescent="0.3"/>
    <row r="31" spans="1:106" ht="14.25" customHeight="1" x14ac:dyDescent="0.3"/>
    <row r="32" spans="1:106"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spans="2:104" ht="14.25" customHeight="1" x14ac:dyDescent="0.3"/>
    <row r="50" spans="2:104" ht="14.25" customHeight="1" x14ac:dyDescent="0.3"/>
    <row r="51" spans="2:104" ht="14.25" customHeight="1" x14ac:dyDescent="0.3">
      <c r="B51" s="24"/>
      <c r="C51" s="27" t="s">
        <v>272</v>
      </c>
      <c r="D51" s="27"/>
      <c r="E51" s="27"/>
      <c r="F51" s="27"/>
      <c r="G51" s="27"/>
      <c r="H51" s="24"/>
      <c r="I51" s="24"/>
      <c r="J51" s="24"/>
      <c r="K51" s="24"/>
      <c r="L51" s="24"/>
      <c r="M51" s="24"/>
      <c r="O51" s="24"/>
      <c r="P51" s="27" t="s">
        <v>273</v>
      </c>
      <c r="Q51" s="27"/>
      <c r="R51" s="27"/>
      <c r="S51" s="24"/>
      <c r="T51" s="24"/>
      <c r="U51" s="24"/>
      <c r="V51" s="24"/>
      <c r="W51" s="24"/>
      <c r="X51" s="24"/>
      <c r="Y51" s="24"/>
      <c r="Z51" s="24"/>
      <c r="AC51" s="2" t="s">
        <v>274</v>
      </c>
      <c r="AD51" s="2"/>
      <c r="AE51" s="2"/>
      <c r="AF51" s="2"/>
      <c r="AG51" s="2"/>
      <c r="AO51" s="24"/>
      <c r="AP51" s="27" t="s">
        <v>275</v>
      </c>
      <c r="AQ51" s="27"/>
      <c r="AR51" s="27"/>
      <c r="AS51" s="27"/>
      <c r="AT51" s="27"/>
      <c r="AU51" s="24"/>
      <c r="AV51" s="24"/>
      <c r="AW51" s="24"/>
      <c r="AX51" s="24"/>
      <c r="AY51" s="24"/>
      <c r="AZ51" s="24"/>
      <c r="BB51" s="24"/>
      <c r="BC51" s="27" t="s">
        <v>276</v>
      </c>
      <c r="BD51" s="27"/>
      <c r="BE51" s="27"/>
      <c r="BF51" s="27"/>
      <c r="BG51" s="27"/>
      <c r="BH51" s="24"/>
      <c r="BI51" s="24"/>
      <c r="BJ51" s="24"/>
      <c r="BK51" s="24"/>
      <c r="BL51" s="24"/>
      <c r="BM51" s="24"/>
      <c r="BO51" s="24"/>
      <c r="BP51" s="27" t="s">
        <v>277</v>
      </c>
      <c r="BQ51" s="27"/>
      <c r="BR51" s="27"/>
      <c r="BS51" s="27"/>
      <c r="BT51" s="27"/>
      <c r="BU51" s="24"/>
      <c r="BV51" s="24"/>
      <c r="BW51" s="24"/>
      <c r="BX51" s="24"/>
      <c r="BY51" s="24"/>
      <c r="BZ51" s="24"/>
      <c r="CB51" s="24"/>
      <c r="CC51" s="27" t="s">
        <v>278</v>
      </c>
      <c r="CD51" s="27"/>
      <c r="CE51" s="27"/>
      <c r="CF51" s="27"/>
      <c r="CG51" s="27"/>
      <c r="CH51" s="24"/>
      <c r="CI51" s="24"/>
      <c r="CJ51" s="24"/>
      <c r="CK51" s="24"/>
      <c r="CL51" s="24"/>
      <c r="CM51" s="24"/>
      <c r="CO51" s="24"/>
      <c r="CP51" s="27" t="s">
        <v>279</v>
      </c>
      <c r="CQ51" s="27"/>
      <c r="CR51" s="27"/>
      <c r="CS51" s="27"/>
      <c r="CT51" s="27"/>
      <c r="CU51" s="24"/>
      <c r="CV51" s="24"/>
      <c r="CW51" s="24"/>
      <c r="CX51" s="24"/>
      <c r="CY51" s="24"/>
      <c r="CZ51" s="24"/>
    </row>
    <row r="52" spans="2:104" ht="14.25" customHeight="1" x14ac:dyDescent="0.3">
      <c r="B52" s="30" t="s">
        <v>180</v>
      </c>
      <c r="C52" s="30" t="s">
        <v>5</v>
      </c>
      <c r="D52" s="30" t="s">
        <v>240</v>
      </c>
      <c r="E52" s="35" t="s">
        <v>255</v>
      </c>
      <c r="F52" s="35" t="s">
        <v>256</v>
      </c>
      <c r="G52" s="30" t="s">
        <v>257</v>
      </c>
      <c r="H52" s="30" t="s">
        <v>258</v>
      </c>
      <c r="I52" s="26" t="s">
        <v>334</v>
      </c>
      <c r="J52" s="30" t="s">
        <v>12</v>
      </c>
      <c r="K52" s="30" t="s">
        <v>259</v>
      </c>
      <c r="L52" s="30" t="s">
        <v>260</v>
      </c>
      <c r="M52" s="30" t="s">
        <v>333</v>
      </c>
      <c r="O52" s="30" t="s">
        <v>180</v>
      </c>
      <c r="P52" s="30" t="s">
        <v>5</v>
      </c>
      <c r="Q52" s="30" t="s">
        <v>245</v>
      </c>
      <c r="R52" s="35" t="s">
        <v>255</v>
      </c>
      <c r="S52" s="35" t="s">
        <v>256</v>
      </c>
      <c r="T52" s="30" t="s">
        <v>257</v>
      </c>
      <c r="U52" s="30" t="s">
        <v>258</v>
      </c>
      <c r="V52" s="26" t="s">
        <v>334</v>
      </c>
      <c r="W52" s="30" t="s">
        <v>12</v>
      </c>
      <c r="X52" s="30" t="s">
        <v>259</v>
      </c>
      <c r="Y52" s="30" t="s">
        <v>260</v>
      </c>
      <c r="Z52" s="30" t="s">
        <v>333</v>
      </c>
      <c r="AB52" s="2" t="s">
        <v>180</v>
      </c>
      <c r="AC52" s="2" t="s">
        <v>5</v>
      </c>
      <c r="AD52" s="2" t="s">
        <v>190</v>
      </c>
      <c r="AE52" s="12" t="s">
        <v>255</v>
      </c>
      <c r="AF52" s="12" t="s">
        <v>256</v>
      </c>
      <c r="AG52" s="2" t="s">
        <v>257</v>
      </c>
      <c r="AH52" s="11" t="s">
        <v>258</v>
      </c>
      <c r="AI52" s="26" t="s">
        <v>334</v>
      </c>
      <c r="AJ52" s="22" t="s">
        <v>12</v>
      </c>
      <c r="AK52" s="30" t="s">
        <v>259</v>
      </c>
      <c r="AL52" s="30" t="s">
        <v>260</v>
      </c>
      <c r="AM52" s="30" t="s">
        <v>333</v>
      </c>
      <c r="AO52" s="30" t="s">
        <v>180</v>
      </c>
      <c r="AP52" s="30" t="s">
        <v>5</v>
      </c>
      <c r="AQ52" s="30" t="s">
        <v>231</v>
      </c>
      <c r="AR52" s="35" t="s">
        <v>255</v>
      </c>
      <c r="AS52" s="35" t="s">
        <v>256</v>
      </c>
      <c r="AT52" s="30" t="s">
        <v>257</v>
      </c>
      <c r="AU52" s="30" t="s">
        <v>258</v>
      </c>
      <c r="AV52" s="26" t="s">
        <v>334</v>
      </c>
      <c r="AW52" s="30" t="s">
        <v>12</v>
      </c>
      <c r="AX52" s="30" t="s">
        <v>259</v>
      </c>
      <c r="AY52" s="30" t="s">
        <v>260</v>
      </c>
      <c r="AZ52" s="30" t="s">
        <v>333</v>
      </c>
      <c r="BB52" s="30" t="s">
        <v>180</v>
      </c>
      <c r="BC52" s="30" t="s">
        <v>5</v>
      </c>
      <c r="BD52" s="30" t="s">
        <v>233</v>
      </c>
      <c r="BE52" s="35" t="s">
        <v>255</v>
      </c>
      <c r="BF52" s="35" t="s">
        <v>256</v>
      </c>
      <c r="BG52" s="30" t="s">
        <v>257</v>
      </c>
      <c r="BH52" s="30" t="s">
        <v>258</v>
      </c>
      <c r="BI52" s="26" t="s">
        <v>334</v>
      </c>
      <c r="BJ52" s="30" t="s">
        <v>12</v>
      </c>
      <c r="BK52" s="30" t="s">
        <v>259</v>
      </c>
      <c r="BL52" s="30" t="s">
        <v>260</v>
      </c>
      <c r="BM52" s="30" t="s">
        <v>333</v>
      </c>
      <c r="BO52" s="30" t="s">
        <v>180</v>
      </c>
      <c r="BP52" s="30" t="s">
        <v>5</v>
      </c>
      <c r="BQ52" s="30" t="s">
        <v>235</v>
      </c>
      <c r="BR52" s="35" t="s">
        <v>255</v>
      </c>
      <c r="BS52" s="35" t="s">
        <v>256</v>
      </c>
      <c r="BT52" s="30" t="s">
        <v>257</v>
      </c>
      <c r="BU52" s="30" t="s">
        <v>258</v>
      </c>
      <c r="BV52" s="26" t="s">
        <v>334</v>
      </c>
      <c r="BW52" s="30" t="s">
        <v>12</v>
      </c>
      <c r="BX52" s="30" t="s">
        <v>259</v>
      </c>
      <c r="BY52" s="30" t="s">
        <v>260</v>
      </c>
      <c r="BZ52" s="30" t="s">
        <v>333</v>
      </c>
      <c r="CB52" s="30" t="s">
        <v>180</v>
      </c>
      <c r="CC52" s="30" t="s">
        <v>5</v>
      </c>
      <c r="CD52" s="30" t="s">
        <v>238</v>
      </c>
      <c r="CE52" s="35" t="s">
        <v>255</v>
      </c>
      <c r="CF52" s="35" t="s">
        <v>256</v>
      </c>
      <c r="CG52" s="30" t="s">
        <v>257</v>
      </c>
      <c r="CH52" s="30" t="s">
        <v>258</v>
      </c>
      <c r="CI52" s="26" t="s">
        <v>334</v>
      </c>
      <c r="CJ52" s="30" t="s">
        <v>12</v>
      </c>
      <c r="CK52" s="30" t="s">
        <v>259</v>
      </c>
      <c r="CL52" s="30" t="s">
        <v>260</v>
      </c>
      <c r="CM52" s="30" t="s">
        <v>333</v>
      </c>
      <c r="CO52" s="30" t="s">
        <v>180</v>
      </c>
      <c r="CP52" s="30" t="s">
        <v>5</v>
      </c>
      <c r="CQ52" s="30" t="s">
        <v>240</v>
      </c>
      <c r="CR52" s="35" t="s">
        <v>255</v>
      </c>
      <c r="CS52" s="35" t="s">
        <v>256</v>
      </c>
      <c r="CT52" s="30" t="s">
        <v>257</v>
      </c>
      <c r="CU52" s="30" t="s">
        <v>258</v>
      </c>
      <c r="CV52" s="26" t="s">
        <v>334</v>
      </c>
      <c r="CW52" s="30" t="s">
        <v>12</v>
      </c>
      <c r="CX52" s="30" t="s">
        <v>259</v>
      </c>
      <c r="CY52" s="30" t="s">
        <v>260</v>
      </c>
      <c r="CZ52" s="30" t="s">
        <v>333</v>
      </c>
    </row>
    <row r="53" spans="2:104" ht="14.25" customHeight="1" x14ac:dyDescent="0.3">
      <c r="B53" s="30" t="s">
        <v>195</v>
      </c>
      <c r="C53" s="29">
        <v>3</v>
      </c>
      <c r="D53" s="31">
        <v>4.4444444444444446</v>
      </c>
      <c r="E53" s="29">
        <v>3</v>
      </c>
      <c r="F53" s="29">
        <v>2</v>
      </c>
      <c r="G53" s="29">
        <v>7</v>
      </c>
      <c r="H53" s="30">
        <v>0.9957863323050703</v>
      </c>
      <c r="I53" s="26" t="s">
        <v>325</v>
      </c>
      <c r="J53" s="30">
        <v>15</v>
      </c>
      <c r="K53" s="29">
        <f>IF(E53&lt;=C53,1,0)</f>
        <v>1</v>
      </c>
      <c r="L53" s="29">
        <f>E53-C53</f>
        <v>0</v>
      </c>
      <c r="M53" s="29" t="str">
        <f>IF(H53&gt;0,
    IF(OR(C53&lt;=TRUNC(J53/2,0),C53=0),
        IF(G53=TRUNC(J53/2,0),
            "-1, Déficit y dejo la capacidad media",
            IF(AND(G53&gt;TRUNC(J53/2,0), G53&gt;C53),
                "1, Déficit y eliminé déficit",
                IF(AND(G53&lt;TRUNC(J53/2,0), G53&lt;C53),
                    "0, Déficit y no elimine déficit",
                    "-2, Déficit y resultado fue bueno")
            )
        ),
        IF(AND(G53&gt;TRUNC(J53/2,0), G53&gt;C53),
            "1, no había déficit, pero resultado fue mejor",
            IF(AND(G53&lt;TRUNC(J53/2,0),G53&lt;C53),
                "0, no había déficit y la dejo con déficit",
                IF(G53=TRUNC(J53/2,0),
                    "-1, no había déficit y dejo la capacidad media",
                    "-2,no había déficit y resultado fue bueno")
            )
        )
    ),
    IF(H53&lt;0,
        IF(C53&gt;TRUNC(J53/2,0),
            IF(G53=TRUNC(J53/2,0),
                "-1, Superávit y deje la capacidad media",
                IF(AND(G53&gt;TRUNC(J53/2,0), G53&gt;=C53),
                    "0, Superávit y no eliminé superávit",
                    IF(AND(G53&lt;TRUNC(J53/2,0),G53&lt;C53),
                        "1, Superávit y eliminé superávit",
                        "-2, Superávit y resultado fue bueno"
                    )
                )
            ),
            IF(AND(C53&lt;=TRUNC(J53/2,0),C53&gt;=0),
                IF(G53=TRUNC(J53/2,0),
                    "-1, no había superávit y deje la capacidad media",
                    IF(AND(G53&gt;TRUNC(J53/2,0), G53&gt;=C53),
                        "0, no había superávit, y la deje con superávit",
                        IF(AND(G53&lt;TRUNC(J53/2,0),G53&lt;C53),
                            "1, no había superávit, pero el resultado fue mejor",
                            "-2, no había superávit y resultado fue bueno"
                        )
                    )
                )
            )
        )
    )
)</f>
        <v>-1, Déficit y dejo la capacidad media</v>
      </c>
      <c r="O53" s="30" t="s">
        <v>195</v>
      </c>
      <c r="P53" s="30">
        <v>1</v>
      </c>
      <c r="Q53" s="31">
        <v>3</v>
      </c>
      <c r="R53" s="29">
        <v>0</v>
      </c>
      <c r="S53" s="29">
        <v>1</v>
      </c>
      <c r="T53" s="30">
        <v>7</v>
      </c>
      <c r="U53" s="30">
        <v>0.9957863323050703</v>
      </c>
      <c r="V53" s="26" t="s">
        <v>325</v>
      </c>
      <c r="W53" s="30">
        <v>15</v>
      </c>
      <c r="X53" s="29">
        <f>IF(R53&lt;=P53,1,0)</f>
        <v>1</v>
      </c>
      <c r="Y53" s="29">
        <f>R53-P53</f>
        <v>-1</v>
      </c>
      <c r="Z53" s="29" t="str">
        <f>IF(U53&gt;0,
    IF(OR(P53&lt;=TRUNC(W53/2,0),P53=0),
        IF(T53=TRUNC(W53/2,0),
            "-1, Déficit y dejo la capacidad media",
            IF(AND(T53&gt;TRUNC(W53/2,0), T53&gt;P53),
                "1, Déficit y eliminé déficit",
                IF(AND(T53&lt;TRUNC(W53/2,0), T53&lt;P53),
                    "0, Déficit y no elimine déficit",
                    "-2, Déficit y resultado fue bueno")
            )
        ),
        IF(AND(T53&gt;TRUNC(W53/2,0), T53&gt;P53),
            "1, no había déficit, pero resultado fue mejor",
            IF(AND(T53&lt;TRUNC(W53/2,0),T53&lt;P53),
                "0, no había déficit y la dejo con déficit",
                IF(T53=TRUNC(W53/2,0),
                    "-1, no había déficit y dejo la capacidad media",
                    "-2,no había déficit y resultado fue bueno")
            )
        )
    ),
    IF(U53&lt;0,
        IF(P53&gt;TRUNC(W53/2,0),
            IF(T53=TRUNC(W53/2,0),
                "-1, Superávit y deje la capacidad media",
                IF(AND(T53&gt;TRUNC(W53/2,0), T53&gt;=P53),
                    "0, Superávit y no eliminé superávit",
                    IF(AND(T53&lt;TRUNC(W53/2,0),T53&lt;P53),
                        "1, Superávit y eliminé superávit",
                        "-2, Superávit y resultado fue bueno"
                    )
                )
            ),
            IF(AND(P53&lt;=TRUNC(W53/2,0),P53&gt;=0),
                IF(T53=TRUNC(W53/2,0),
                    "-1, no había superávit y deje la capacidad media",
                    IF(AND(T53&gt;TRUNC(W53/2,0), T53&gt;=P53),
                        "0, no había superávit, y la deje con superávit",
                        IF(AND(T53&lt;TRUNC(W53/2,0),T53&lt;P53),
                            "1, no había superávit, pero el resultado fue mejor",
                            "-2, no había superávit y resultado fue bueno"
                        )
                    )
                )
            )
        )
    )
)</f>
        <v>-1, Déficit y dejo la capacidad media</v>
      </c>
      <c r="AB53" s="2" t="s">
        <v>195</v>
      </c>
      <c r="AC53" s="2">
        <v>1</v>
      </c>
      <c r="AD53" s="7">
        <v>6.7777777777777777</v>
      </c>
      <c r="AE53" s="3">
        <v>0</v>
      </c>
      <c r="AF53" s="3">
        <v>0</v>
      </c>
      <c r="AG53" s="2">
        <v>7</v>
      </c>
      <c r="AH53" s="11">
        <v>0.9957863323050703</v>
      </c>
      <c r="AI53" s="26" t="s">
        <v>325</v>
      </c>
      <c r="AJ53" s="22">
        <v>15</v>
      </c>
      <c r="AK53" s="29">
        <f>IF(AE53&lt;=AC53,1,0)</f>
        <v>1</v>
      </c>
      <c r="AL53" s="29">
        <f>AE53-AC53</f>
        <v>-1</v>
      </c>
      <c r="AM53" s="29" t="str">
        <f>IF(AH53&gt;0,
    IF(OR(AC53&lt;=TRUNC(AJ53/2,0),AC53=0),
        IF(AG53=TRUNC(AJ53/2,0),
            "-1, Déficit y dejo la capacidad media",
            IF(AND(AG53&gt;TRUNC(AJ53/2,0), AG53&gt;AC53),
                "1, Déficit y eliminé déficit",
                IF(AND(AG53&lt;TRUNC(AJ53/2,0), AG53&lt;AC53),
                    "0, Déficit y no elimine déficit",
                    "-2, Déficit y resultado fue bueno")
            )
        ),
        IF(AND(AG53&gt;TRUNC(AJ53/2,0), AG53&gt;AC53),
            "1, no había déficit, pero resultado fue mejor",
            IF(AND(AG53&lt;TRUNC(AJ53/2,0),AG53&lt;AC53),
                "0, no había déficit y la dejo con déficit",
                IF(AG53=TRUNC(AJ53/2,0),
                    "-1, no había déficit y dejo la capacidad media",
                    "-2,no había déficit y resultado fue bueno")
            )
        )
    ),
    IF(AH53&lt;0,
        IF(AC53&gt;TRUNC(AJ53/2,0),
            IF(AG53=TRUNC(AJ53/2,0),
                "-1, Superávit y deje la capacidad media",
                IF(AND(AG53&gt;TRUNC(AJ53/2,0), AG53&gt;=AC53),
                    "0, Superávit y no eliminé superávit",
                    IF(AND(AG53&lt;TRUNC(AJ53/2,0),AG53&lt;AC53),
                        "1, Superávit y eliminé superávit",
                        "-2, Superávit y resultado fue bueno"
                    )
                )
            ),
            IF(AND(AC53&lt;=TRUNC(AJ53/2,0),AC53&gt;=0),
                IF(AG53=TRUNC(AJ53/2,0),
                    "-1, no había superávit y deje la capacidad media",
                    IF(AND(AG53&gt;TRUNC(AJ53/2,0), AG53&gt;=AC53),
                        "0, no había superávit, y la deje con superávit",
                        IF(AND(AG53&lt;TRUNC(AJ53/2,0),AG53&lt;AC53),
                            "1, no había superávit, pero el resultado fue mejor",
                            "-2, no había superávit y resultado fue bueno"
                        )
                    )
                )
            )
        )
    )
)</f>
        <v>-1, Déficit y dejo la capacidad media</v>
      </c>
      <c r="AO53" s="30" t="s">
        <v>195</v>
      </c>
      <c r="AP53" s="30">
        <v>9</v>
      </c>
      <c r="AQ53" s="31">
        <v>6.2222222222222223</v>
      </c>
      <c r="AR53" s="29">
        <v>6</v>
      </c>
      <c r="AS53" s="29">
        <v>7</v>
      </c>
      <c r="AT53" s="30">
        <v>9</v>
      </c>
      <c r="AU53" s="30">
        <v>0.9957863323050703</v>
      </c>
      <c r="AV53" s="26" t="s">
        <v>325</v>
      </c>
      <c r="AW53" s="30">
        <v>15</v>
      </c>
      <c r="AX53" s="29">
        <f>IF(AR53&lt;=AP53,1,0)</f>
        <v>1</v>
      </c>
      <c r="AY53" s="29">
        <f>AR53-AP53</f>
        <v>-3</v>
      </c>
      <c r="AZ53" s="29" t="str">
        <f>IF(AU53&gt;0,
    IF(OR(AP53&lt;=TRUNC(AW53/2,0),AP53=0),
        IF(AT53=TRUNC(AW53/2,0),
            "-1, Déficit y dejo la capacidad media",
            IF(AND(AT53&gt;TRUNC(AW53/2,0), AT53&gt;AP53),
                "1, Déficit y eliminé déficit",
                IF(AND(AT53&lt;TRUNC(AW53/2,0), AT53&lt;AP53),
                    "0, Déficit y no elimine déficit",
                    "-2, Déficit y resultado fue bueno")
            )
        ),
        IF(AND(AT53&gt;TRUNC(AW53/2,0), AT53&gt;AP53),
            "1, no había déficit, pero resultado fue mejor",
            IF(AND(AT53&lt;TRUNC(AW53/2,0),AT53&lt;AP53),
                "0, no había déficit y la dejo con déficit",
                IF(AT53=TRUNC(AW53/2,0),
                    "-1, no había déficit y dejo la capacidad media",
                    "-2,no había déficit y resultado fue bueno")
            )
        )
    ),
    IF(AU53&lt;0,
        IF(AP53&gt;TRUNC(AW53/2,0),
            IF(AT53=TRUNC(AW53/2,0),
                "-1, Superávit y deje la capacidad media",
                IF(AND(AT53&gt;TRUNC(AW53/2,0), AT53&gt;=AP53),
                    "0, Superávit y no eliminé superávit",
                    IF(AND(AT53&lt;TRUNC(AW53/2,0),AT53&lt;AP53),
                        "1, Superávit y eliminé superávit",
                        "-2, Superávit y resultado fue bueno"
                    )
                )
            ),
            IF(AND(AP53&lt;=TRUNC(AW53/2,0),AP53&gt;=0),
                IF(AT53=TRUNC(AW53/2,0),
                    "-1, no había superávit y deje la capacidad media",
                    IF(AND(AT53&gt;TRUNC(AW53/2,0), AT53&gt;=AP53),
                        "0, no había superávit, y la deje con superávit",
                        IF(AND(AT53&lt;TRUNC(AW53/2,0),AT53&lt;AP53),
                            "1, no había superávit, pero el resultado fue mejor",
                            "-2, no había superávit y resultado fue bueno"
                        )
                    )
                )
            )
        )
    )
)</f>
        <v>-2,no había déficit y resultado fue bueno</v>
      </c>
      <c r="BB53" s="30" t="s">
        <v>195</v>
      </c>
      <c r="BC53" s="30">
        <v>8</v>
      </c>
      <c r="BD53" s="31">
        <v>2.2222222222222223</v>
      </c>
      <c r="BE53" s="29">
        <v>8</v>
      </c>
      <c r="BF53" s="29">
        <v>4</v>
      </c>
      <c r="BG53" s="30">
        <v>8</v>
      </c>
      <c r="BH53" s="30">
        <v>0.9957863323050703</v>
      </c>
      <c r="BI53" s="26" t="s">
        <v>325</v>
      </c>
      <c r="BJ53" s="30">
        <v>15</v>
      </c>
      <c r="BK53" s="29">
        <f>IF(BE53&lt;=BC53,1,0)</f>
        <v>1</v>
      </c>
      <c r="BL53" s="29">
        <f>BE53-BC53</f>
        <v>0</v>
      </c>
      <c r="BM53" s="29" t="str">
        <f>IF(BH53&gt;0,
    IF(OR(BC53&lt;=TRUNC(BJ53/2,0),BC53=0),
        IF(BG53=TRUNC(BJ53/2,0),
            "-1, Déficit y dejo la capacidad media",
            IF(AND(BG53&gt;TRUNC(BJ53/2,0), BG53&gt;BC53),
                "1, Déficit y eliminé déficit",
                IF(AND(BG53&lt;TRUNC(BJ53/2,0), BG53&lt;BC53),
                    "0, Déficit y no elimine déficit",
                    "-2, Déficit y resultado fue bueno")
            )
        ),
        IF(AND(BG53&gt;TRUNC(BJ53/2,0), BG53&gt;BC53),
            "1, no había déficit, pero resultado fue mejor",
            IF(AND(BG53&lt;TRUNC(BJ53/2,0),BG53&lt;BC53),
                "0, no había déficit y la dejo con déficit",
                IF(BG53=TRUNC(BJ53/2,0),
                    "-1, no había déficit y dejo la capacidad media",
                    "-2,no había déficit y resultado fue bueno")
            )
        )
    ),
    IF(BH53&lt;0,
        IF(BC53&gt;TRUNC(BJ53/2,0),
            IF(BG53=TRUNC(BJ53/2,0),
                "-1, Superávit y deje la capacidad media",
                IF(AND(BG53&gt;TRUNC(BJ53/2,0), BG53&gt;=BC53),
                    "0, Superávit y no eliminé superávit",
                    IF(AND(BG53&lt;TRUNC(BJ53/2,0),BG53&lt;BC53),
                        "1, Superávit y eliminé superávit",
                        "-2, Superávit y resultado fue bueno"
                    )
                )
            ),
            IF(AND(BC53&lt;=TRUNC(BJ53/2,0),BC53&gt;=0),
                IF(BG53=TRUNC(BJ53/2,0),
                    "-1, no había superávit y deje la capacidad media",
                    IF(AND(BG53&gt;TRUNC(BJ53/2,0), BG53&gt;=BC53),
                        "0, no había superávit, y la deje con superávit",
                        IF(AND(BG53&lt;TRUNC(BJ53/2,0),BG53&lt;BC53),
                            "1, no había superávit, pero el resultado fue mejor",
                            "-2, no había superávit y resultado fue bueno"
                        )
                    )
                )
            )
        )
    )
)</f>
        <v>-2,no había déficit y resultado fue bueno</v>
      </c>
      <c r="BO53" s="30" t="s">
        <v>195</v>
      </c>
      <c r="BP53" s="30">
        <v>8</v>
      </c>
      <c r="BQ53" s="31">
        <v>7.8888888888888893</v>
      </c>
      <c r="BR53" s="29">
        <v>9</v>
      </c>
      <c r="BS53" s="29">
        <v>10</v>
      </c>
      <c r="BT53" s="30">
        <v>8</v>
      </c>
      <c r="BU53" s="30">
        <v>0.9957863323050703</v>
      </c>
      <c r="BV53" s="26" t="s">
        <v>325</v>
      </c>
      <c r="BW53" s="30">
        <v>15</v>
      </c>
      <c r="BX53" s="29">
        <f>IF(BR53&lt;=BP53,1,0)</f>
        <v>0</v>
      </c>
      <c r="BY53" s="29">
        <f>BR53-BP53</f>
        <v>1</v>
      </c>
      <c r="BZ53" s="29" t="str">
        <f>IF(BU53&gt;0,
    IF(OR(BP53&lt;=TRUNC(BW53/2,0),BP53=0),
        IF(BT53=TRUNC(BW53/2,0),
            "-1, Déficit y dejo la capacidad media",
            IF(AND(BT53&gt;TRUNC(BW53/2,0), BT53&gt;BP53),
                "1, Déficit y eliminé déficit",
                IF(AND(BT53&lt;TRUNC(BW53/2,0), BT53&lt;BP53),
                    "0, Déficit y no elimine déficit",
                    "-2, Déficit y resultado fue bueno")
            )
        ),
        IF(AND(BT53&gt;TRUNC(BW53/2,0), BT53&gt;BP53),
            "1, no había déficit, pero resultado fue mejor",
            IF(AND(BT53&lt;TRUNC(BW53/2,0),BT53&lt;BP53),
                "0, no había déficit y la dejo con déficit",
                IF(BT53=TRUNC(BW53/2,0),
                    "-1, no había déficit y dejo la capacidad media",
                    "-2,no había déficit y resultado fue bueno")
            )
        )
    ),
    IF(BU53&lt;0,
        IF(BP53&gt;TRUNC(BW53/2,0),
            IF(BT53=TRUNC(BW53/2,0),
                "-1, Superávit y deje la capacidad media",
                IF(AND(BT53&gt;TRUNC(BW53/2,0), BT53&gt;=BP53),
                    "0, Superávit y no eliminé superávit",
                    IF(AND(BT53&lt;TRUNC(BW53/2,0),BT53&lt;BP53),
                        "1, Superávit y eliminé superávit",
                        "-2, Superávit y resultado fue bueno"
                    )
                )
            ),
            IF(AND(BP53&lt;=TRUNC(BW53/2,0),BP53&gt;=0),
                IF(BT53=TRUNC(BW53/2,0),
                    "-1, no había superávit y deje la capacidad media",
                    IF(AND(BT53&gt;TRUNC(BW53/2,0), BT53&gt;=BP53),
                        "0, no había superávit, y la deje con superávit",
                        IF(AND(BT53&lt;TRUNC(BW53/2,0),BT53&lt;BP53),
                            "1, no había superávit, pero el resultado fue mejor",
                            "-2, no había superávit y resultado fue bueno"
                        )
                    )
                )
            )
        )
    )
)</f>
        <v>-2,no había déficit y resultado fue bueno</v>
      </c>
      <c r="CB53" s="30" t="s">
        <v>195</v>
      </c>
      <c r="CC53" s="30">
        <v>0</v>
      </c>
      <c r="CD53" s="31">
        <v>6.1111111111111107</v>
      </c>
      <c r="CE53" s="29">
        <v>1</v>
      </c>
      <c r="CF53" s="29">
        <v>4</v>
      </c>
      <c r="CG53" s="30">
        <v>7</v>
      </c>
      <c r="CH53" s="30">
        <v>0.9957863323050703</v>
      </c>
      <c r="CI53" s="26" t="s">
        <v>325</v>
      </c>
      <c r="CJ53" s="30">
        <v>15</v>
      </c>
      <c r="CK53" s="29">
        <f>IF(CE53&lt;=CC53,1,0)</f>
        <v>0</v>
      </c>
      <c r="CL53" s="29">
        <f>CE53-CC53</f>
        <v>1</v>
      </c>
      <c r="CM53" s="29" t="str">
        <f>IF(CH53&gt;0,
    IF(OR(CC53&lt;=TRUNC(CJ53/2,0),CC53=0),
        IF(CG53=TRUNC(CJ53/2,0),
            "-1, Déficit y dejo la capacidad media",
            IF(AND(CG53&gt;TRUNC(CJ53/2,0), CG53&gt;CC53),
                "1, Déficit y eliminé déficit",
                IF(AND(CG53&lt;TRUNC(CJ53/2,0), CG53&lt;CC53),
                    "0, Déficit y no elimine déficit",
                    "-2, Déficit y resultado fue bueno")
            )
        ),
        IF(AND(CG53&gt;TRUNC(CJ53/2,0), CG53&gt;CC53),
            "1, no había déficit, pero resultado fue mejor",
            IF(AND(CG53&lt;TRUNC(CJ53/2,0),CG53&lt;CC53),
                "0, no había déficit y la dejo con déficit",
                IF(CG53=TRUNC(CJ53/2,0),
                    "-1, no había déficit y dejo la capacidad media",
                    "-2,no había déficit y resultado fue bueno")
            )
        )
    ),
    IF(CH53&lt;0,
        IF(CC53&gt;TRUNC(CJ53/2,0),
            IF(CG53=TRUNC(CJ53/2,0),
                "-1, Superávit y deje la capacidad media",
                IF(AND(CG53&gt;TRUNC(CJ53/2,0), CG53&gt;=CC53),
                    "0, Superávit y no eliminé superávit",
                    IF(AND(CG53&lt;TRUNC(CJ53/2,0),CG53&lt;CC53),
                        "1, Superávit y eliminé superávit",
                        "-2, Superávit y resultado fue bueno"
                    )
                )
            ),
            IF(AND(CC53&lt;=TRUNC(CJ53/2,0),CC53&gt;=0),
                IF(CG53=TRUNC(CJ53/2,0),
                    "-1, no había superávit y deje la capacidad media",
                    IF(AND(CG53&gt;TRUNC(CJ53/2,0), CG53&gt;=CC53),
                        "0, no había superávit, y la deje con superávit",
                        IF(AND(CG53&lt;TRUNC(CJ53/2,0),CG53&lt;CC53),
                            "1, no había superávit, pero el resultado fue mejor",
                            "-2, no había superávit y resultado fue bueno"
                        )
                    )
                )
            )
        )
    )
)</f>
        <v>-1, Déficit y dejo la capacidad media</v>
      </c>
      <c r="CO53" s="30" t="s">
        <v>195</v>
      </c>
      <c r="CP53" s="30">
        <v>0</v>
      </c>
      <c r="CQ53" s="31">
        <v>4.4444444444444446</v>
      </c>
      <c r="CR53" s="29">
        <v>0</v>
      </c>
      <c r="CS53" s="29">
        <v>10</v>
      </c>
      <c r="CT53" s="30">
        <v>7</v>
      </c>
      <c r="CU53" s="30">
        <v>0.9957863323050703</v>
      </c>
      <c r="CV53" s="26" t="s">
        <v>325</v>
      </c>
      <c r="CW53" s="30">
        <v>15</v>
      </c>
      <c r="CX53" s="29">
        <f>IF(CR53&lt;=CP53,1,0)</f>
        <v>1</v>
      </c>
      <c r="CY53" s="29">
        <f>CR53-CP53</f>
        <v>0</v>
      </c>
      <c r="CZ53" s="29" t="str">
        <f>IF(CU53&gt;0,
    IF(OR(CP53&lt;=TRUNC(CW53/2,0),CP53=0),
        IF(CT53=TRUNC(CW53/2,0),
            "-1, Déficit y dejo la capacidad media",
            IF(AND(CT53&gt;TRUNC(CW53/2,0), CT53&gt;CP53),
                "1, Déficit y eliminé déficit",
                IF(AND(CT53&lt;TRUNC(CW53/2,0), CT53&lt;CP53),
                    "0, Déficit y no elimine déficit",
                    "-2, Déficit y resultado fue bueno")
            )
        ),
        IF(AND(CT53&gt;TRUNC(CW53/2,0), CT53&gt;CP53),
            "1, no había déficit, pero resultado fue mejor",
            IF(AND(CT53&lt;TRUNC(CW53/2,0),CT53&lt;CP53),
                "0, no había déficit y la dejo con déficit",
                IF(CT53=TRUNC(CW53/2,0),
                    "-1, no había déficit y dejo la capacidad media",
                    "-2,no había déficit y resultado fue bueno")
            )
        )
    ),
    IF(CU53&lt;0,
        IF(CP53&gt;TRUNC(CW53/2,0),
            IF(CT53=TRUNC(CW53/2,0),
                "-1, Superávit y deje la capacidad media",
                IF(AND(CT53&gt;TRUNC(CW53/2,0), CT53&gt;=CP53),
                    "0, Superávit y no eliminé superávit",
                    IF(AND(CT53&lt;TRUNC(CW53/2,0),CT53&lt;CP53),
                        "1, Superávit y eliminé superávit",
                        "-2, Superávit y resultado fue bueno"
                    )
                )
            ),
            IF(AND(CP53&lt;=TRUNC(CW53/2,0),CP53&gt;=0),
                IF(CT53=TRUNC(CW53/2,0),
                    "-1, no había superávit y deje la capacidad media",
                    IF(AND(CT53&gt;TRUNC(CW53/2,0), CT53&gt;=CP53),
                        "0, no había superávit, y la deje con superávit",
                        IF(AND(CT53&lt;TRUNC(CW53/2,0),CT53&lt;CP53),
                            "1, no había superávit, pero el resultado fue mejor",
                            "-2, no había superávit y resultado fue bueno"
                        )
                    )
                )
            )
        )
    )
)</f>
        <v>-1, Déficit y dejo la capacidad media</v>
      </c>
    </row>
    <row r="54" spans="2:104" ht="14.25" customHeight="1" x14ac:dyDescent="0.3">
      <c r="B54" s="30" t="s">
        <v>199</v>
      </c>
      <c r="C54" s="29">
        <v>5</v>
      </c>
      <c r="D54" s="31">
        <v>3.7777777777777777</v>
      </c>
      <c r="E54" s="29">
        <v>5</v>
      </c>
      <c r="F54" s="29">
        <v>4</v>
      </c>
      <c r="G54" s="29">
        <v>5</v>
      </c>
      <c r="H54" s="30">
        <v>0.98995442105744402</v>
      </c>
      <c r="I54" s="26" t="s">
        <v>332</v>
      </c>
      <c r="J54" s="30">
        <v>11</v>
      </c>
      <c r="K54" s="29">
        <f>IF(E54&lt;=C54,1,0)</f>
        <v>1</v>
      </c>
      <c r="L54" s="29">
        <f>E54-C54</f>
        <v>0</v>
      </c>
      <c r="M54" s="29" t="str">
        <f>IF(H54&gt;0,
    IF(OR(C54&lt;=TRUNC(J54/2,0),C54=0),
        IF(G54=TRUNC(J54/2,0),
            "-1, Déficit y dejo la capacidad media",
            IF(AND(G54&gt;TRUNC(J54/2,0), G54&gt;C54),
                "1, Déficit y eliminé déficit",
                IF(AND(G54&lt;TRUNC(J54/2,0), G54&lt;C54),
                    "0, Déficit y no elimine déficit",
                    "-2, Déficit y resultado fue bueno")
            )
        ),
        IF(AND(G54&gt;TRUNC(J54/2,0), G54&gt;C54),
            "1, no había déficit, pero resultado fue mejor",
            IF(AND(G54&lt;TRUNC(J54/2,0),G54&lt;C54),
                "0, no había déficit y la dejo con déficit",
                IF(G54=TRUNC(J54/2,0),
                    "-1, no había déficit y dejo la capacidad media",
                    "-2,no había déficit y resultado fue bueno")
            )
        )
    ),
    IF(H54&lt;0,
        IF(C54&gt;TRUNC(J54/2,0),
            IF(G54=TRUNC(J54/2,0),
                "-1, Superávit y deje la capacidad media",
                IF(AND(G54&gt;TRUNC(J54/2,0), G54&gt;=C54),
                    "0, Superávit y no eliminé superávit",
                    IF(AND(G54&lt;TRUNC(J54/2,0),G54&lt;C54),
                        "1, Superávit y eliminé superávit",
                        "-2, Superávit y resultado fue bueno"
                    )
                )
            ),
            IF(AND(C54&lt;=TRUNC(J54/2,0),C54&gt;=0),
                IF(G54=TRUNC(J54/2,0),
                    "-1, no había superávit y deje la capacidad media",
                    IF(AND(G54&gt;TRUNC(J54/2,0), G54&gt;=C54),
                        "0, no había superávit, y la deje con superávit",
                        IF(AND(G54&lt;TRUNC(J54/2,0),G54&lt;C54),
                            "1, no había superávit, pero el resultado fue mejor",
                            "-2, no había superávit y resultado fue bueno"
                        )
                    )
                )
            )
        )
    )
)</f>
        <v>-1, Déficit y dejo la capacidad media</v>
      </c>
      <c r="O54" s="30" t="s">
        <v>199</v>
      </c>
      <c r="P54" s="30">
        <v>4</v>
      </c>
      <c r="Q54" s="31">
        <v>1.8888888888888888</v>
      </c>
      <c r="R54" s="29">
        <v>2</v>
      </c>
      <c r="S54" s="29">
        <v>1</v>
      </c>
      <c r="T54" s="30">
        <v>5</v>
      </c>
      <c r="U54" s="30">
        <v>0.98995442105744402</v>
      </c>
      <c r="V54" s="26" t="s">
        <v>332</v>
      </c>
      <c r="W54" s="30">
        <v>11</v>
      </c>
      <c r="X54" s="29">
        <f>IF(R54&lt;=P54,1,0)</f>
        <v>1</v>
      </c>
      <c r="Y54" s="29">
        <f>R54-P54</f>
        <v>-2</v>
      </c>
      <c r="Z54" s="29" t="str">
        <f>IF(U54&gt;0,
    IF(OR(P54&lt;=TRUNC(W54/2,0),P54=0),
        IF(T54=TRUNC(W54/2,0),
            "-1, Déficit y dejo la capacidad media",
            IF(AND(T54&gt;TRUNC(W54/2,0), T54&gt;P54),
                "1, Déficit y eliminé déficit",
                IF(AND(T54&lt;TRUNC(W54/2,0), T54&lt;P54),
                    "0, Déficit y no elimine déficit",
                    "-2, Déficit y resultado fue bueno")
            )
        ),
        IF(AND(T54&gt;TRUNC(W54/2,0), T54&gt;P54),
            "1, no había déficit, pero resultado fue mejor",
            IF(AND(T54&lt;TRUNC(W54/2,0),T54&lt;P54),
                "0, no había déficit y la dejo con déficit",
                IF(T54=TRUNC(W54/2,0),
                    "-1, no había déficit y dejo la capacidad media",
                    "-2,no había déficit y resultado fue bueno")
            )
        )
    ),
    IF(U54&lt;0,
        IF(P54&gt;TRUNC(W54/2,0),
            IF(T54=TRUNC(W54/2,0),
                "-1, Superávit y deje la capacidad media",
                IF(AND(T54&gt;TRUNC(W54/2,0), T54&gt;=P54),
                    "0, Superávit y no eliminé superávit",
                    IF(AND(T54&lt;TRUNC(W54/2,0),T54&lt;P54),
                        "1, Superávit y eliminé superávit",
                        "-2, Superávit y resultado fue bueno"
                    )
                )
            ),
            IF(AND(P54&lt;=TRUNC(W54/2,0),P54&gt;=0),
                IF(T54=TRUNC(W54/2,0),
                    "-1, no había superávit y deje la capacidad media",
                    IF(AND(T54&gt;TRUNC(W54/2,0), T54&gt;=P54),
                        "0, no había superávit, y la deje con superávit",
                        IF(AND(T54&lt;TRUNC(W54/2,0),T54&lt;P54),
                            "1, no había superávit, pero el resultado fue mejor",
                            "-2, no había superávit y resultado fue bueno"
                        )
                    )
                )
            )
        )
    )
)</f>
        <v>-1, Déficit y dejo la capacidad media</v>
      </c>
      <c r="AB54" s="2" t="s">
        <v>199</v>
      </c>
      <c r="AC54" s="2">
        <v>1</v>
      </c>
      <c r="AD54" s="7">
        <v>1.8888888888888888</v>
      </c>
      <c r="AE54" s="3">
        <v>1</v>
      </c>
      <c r="AF54" s="3">
        <v>1</v>
      </c>
      <c r="AG54" s="2">
        <v>5</v>
      </c>
      <c r="AH54" s="11">
        <v>0.98995442105744402</v>
      </c>
      <c r="AI54" s="26" t="s">
        <v>332</v>
      </c>
      <c r="AJ54" s="22">
        <v>11</v>
      </c>
      <c r="AK54" s="29">
        <f>IF(AE54&lt;=AC54,1,0)</f>
        <v>1</v>
      </c>
      <c r="AL54" s="29">
        <f>AE54-AC54</f>
        <v>0</v>
      </c>
      <c r="AM54" s="29" t="str">
        <f>IF(AH54&gt;0,
    IF(OR(AC54&lt;=TRUNC(AJ54/2,0),AC54=0),
        IF(AG54=TRUNC(AJ54/2,0),
            "-1, Déficit y dejo la capacidad media",
            IF(AND(AG54&gt;TRUNC(AJ54/2,0), AG54&gt;AC54),
                "1, Déficit y eliminé déficit",
                IF(AND(AG54&lt;TRUNC(AJ54/2,0), AG54&lt;AC54),
                    "0, Déficit y no elimine déficit",
                    "-2, Déficit y resultado fue bueno")
            )
        ),
        IF(AND(AG54&gt;TRUNC(AJ54/2,0), AG54&gt;AC54),
            "1, no había déficit, pero resultado fue mejor",
            IF(AND(AG54&lt;TRUNC(AJ54/2,0),AG54&lt;AC54),
                "0, no había déficit y la dejo con déficit",
                IF(AG54=TRUNC(AJ54/2,0),
                    "-1, no había déficit y dejo la capacidad media",
                    "-2,no había déficit y resultado fue bueno")
            )
        )
    ),
    IF(AH54&lt;0,
        IF(AC54&gt;TRUNC(AJ54/2,0),
            IF(AG54=TRUNC(AJ54/2,0),
                "-1, Superávit y deje la capacidad media",
                IF(AND(AG54&gt;TRUNC(AJ54/2,0), AG54&gt;=AC54),
                    "0, Superávit y no eliminé superávit",
                    IF(AND(AG54&lt;TRUNC(AJ54/2,0),AG54&lt;AC54),
                        "1, Superávit y eliminé superávit",
                        "-2, Superávit y resultado fue bueno"
                    )
                )
            ),
            IF(AND(AC54&lt;=TRUNC(AJ54/2,0),AC54&gt;=0),
                IF(AG54=TRUNC(AJ54/2,0),
                    "-1, no había superávit y deje la capacidad media",
                    IF(AND(AG54&gt;TRUNC(AJ54/2,0), AG54&gt;=AC54),
                        "0, no había superávit, y la deje con superávit",
                        IF(AND(AG54&lt;TRUNC(AJ54/2,0),AG54&lt;AC54),
                            "1, no había superávit, pero el resultado fue mejor",
                            "-2, no había superávit y resultado fue bueno"
                        )
                    )
                )
            )
        )
    )
)</f>
        <v>-1, Déficit y dejo la capacidad media</v>
      </c>
      <c r="AO54" s="30" t="s">
        <v>199</v>
      </c>
      <c r="AP54" s="30">
        <v>2</v>
      </c>
      <c r="AQ54" s="31">
        <v>1.5555555555555556</v>
      </c>
      <c r="AR54" s="29">
        <v>2</v>
      </c>
      <c r="AS54" s="29">
        <v>2</v>
      </c>
      <c r="AT54" s="30">
        <v>5</v>
      </c>
      <c r="AU54" s="30">
        <v>0.98995442105744402</v>
      </c>
      <c r="AV54" s="26" t="s">
        <v>332</v>
      </c>
      <c r="AW54" s="30">
        <v>11</v>
      </c>
      <c r="AX54" s="29">
        <f>IF(AR54&lt;=AP54,1,0)</f>
        <v>1</v>
      </c>
      <c r="AY54" s="29">
        <f>AR54-AP54</f>
        <v>0</v>
      </c>
      <c r="AZ54" s="29" t="str">
        <f>IF(AU54&gt;0,
    IF(OR(AP54&lt;=TRUNC(AW54/2,0),AP54=0),
        IF(AT54=TRUNC(AW54/2,0),
            "-1, Déficit y dejo la capacidad media",
            IF(AND(AT54&gt;TRUNC(AW54/2,0), AT54&gt;AP54),
                "1, Déficit y eliminé déficit",
                IF(AND(AT54&lt;TRUNC(AW54/2,0), AT54&lt;AP54),
                    "0, Déficit y no elimine déficit",
                    "-2, Déficit y resultado fue bueno")
            )
        ),
        IF(AND(AT54&gt;TRUNC(AW54/2,0), AT54&gt;AP54),
            "1, no había déficit, pero resultado fue mejor",
            IF(AND(AT54&lt;TRUNC(AW54/2,0),AT54&lt;AP54),
                "0, no había déficit y la dejo con déficit",
                IF(AT54=TRUNC(AW54/2,0),
                    "-1, no había déficit y dejo la capacidad media",
                    "-2,no había déficit y resultado fue bueno")
            )
        )
    ),
    IF(AU54&lt;0,
        IF(AP54&gt;TRUNC(AW54/2,0),
            IF(AT54=TRUNC(AW54/2,0),
                "-1, Superávit y deje la capacidad media",
                IF(AND(AT54&gt;TRUNC(AW54/2,0), AT54&gt;=AP54),
                    "0, Superávit y no eliminé superávit",
                    IF(AND(AT54&lt;TRUNC(AW54/2,0),AT54&lt;AP54),
                        "1, Superávit y eliminé superávit",
                        "-2, Superávit y resultado fue bueno"
                    )
                )
            ),
            IF(AND(AP54&lt;=TRUNC(AW54/2,0),AP54&gt;=0),
                IF(AT54=TRUNC(AW54/2,0),
                    "-1, no había superávit y deje la capacidad media",
                    IF(AND(AT54&gt;TRUNC(AW54/2,0), AT54&gt;=AP54),
                        "0, no había superávit, y la deje con superávit",
                        IF(AND(AT54&lt;TRUNC(AW54/2,0),AT54&lt;AP54),
                            "1, no había superávit, pero el resultado fue mejor",
                            "-2, no había superávit y resultado fue bueno"
                        )
                    )
                )
            )
        )
    )
)</f>
        <v>-1, Déficit y dejo la capacidad media</v>
      </c>
      <c r="BB54" s="30" t="s">
        <v>199</v>
      </c>
      <c r="BC54" s="30">
        <v>1</v>
      </c>
      <c r="BD54" s="31">
        <v>11.111111111111111</v>
      </c>
      <c r="BE54" s="29">
        <v>0</v>
      </c>
      <c r="BF54" s="29">
        <v>0</v>
      </c>
      <c r="BG54" s="30">
        <v>5</v>
      </c>
      <c r="BH54" s="30">
        <v>0.98995442105744402</v>
      </c>
      <c r="BI54" s="26" t="s">
        <v>332</v>
      </c>
      <c r="BJ54" s="30">
        <v>11</v>
      </c>
      <c r="BK54" s="29">
        <f>IF(BE54&lt;=BC54,1,0)</f>
        <v>1</v>
      </c>
      <c r="BL54" s="29">
        <f>BE54-BC54</f>
        <v>-1</v>
      </c>
      <c r="BM54" s="29" t="str">
        <f>IF(BH54&gt;0,
    IF(OR(BC54&lt;=TRUNC(BJ54/2,0),BC54=0),
        IF(BG54=TRUNC(BJ54/2,0),
            "-1, Déficit y dejo la capacidad media",
            IF(AND(BG54&gt;TRUNC(BJ54/2,0), BG54&gt;BC54),
                "1, Déficit y eliminé déficit",
                IF(AND(BG54&lt;TRUNC(BJ54/2,0), BG54&lt;BC54),
                    "0, Déficit y no elimine déficit",
                    "-2, Déficit y resultado fue bueno")
            )
        ),
        IF(AND(BG54&gt;TRUNC(BJ54/2,0), BG54&gt;BC54),
            "1, no había déficit, pero resultado fue mejor",
            IF(AND(BG54&lt;TRUNC(BJ54/2,0),BG54&lt;BC54),
                "0, no había déficit y la dejo con déficit",
                IF(BG54=TRUNC(BJ54/2,0),
                    "-1, no había déficit y dejo la capacidad media",
                    "-2,no había déficit y resultado fue bueno")
            )
        )
    ),
    IF(BH54&lt;0,
        IF(BC54&gt;TRUNC(BJ54/2,0),
            IF(BG54=TRUNC(BJ54/2,0),
                "-1, Superávit y deje la capacidad media",
                IF(AND(BG54&gt;TRUNC(BJ54/2,0), BG54&gt;=BC54),
                    "0, Superávit y no eliminé superávit",
                    IF(AND(BG54&lt;TRUNC(BJ54/2,0),BG54&lt;BC54),
                        "1, Superávit y eliminé superávit",
                        "-2, Superávit y resultado fue bueno"
                    )
                )
            ),
            IF(AND(BC54&lt;=TRUNC(BJ54/2,0),BC54&gt;=0),
                IF(BG54=TRUNC(BJ54/2,0),
                    "-1, no había superávit y deje la capacidad media",
                    IF(AND(BG54&gt;TRUNC(BJ54/2,0), BG54&gt;=BC54),
                        "0, no había superávit, y la deje con superávit",
                        IF(AND(BG54&lt;TRUNC(BJ54/2,0),BG54&lt;BC54),
                            "1, no había superávit, pero el resultado fue mejor",
                            "-2, no había superávit y resultado fue bueno"
                        )
                    )
                )
            )
        )
    )
)</f>
        <v>-1, Déficit y dejo la capacidad media</v>
      </c>
      <c r="BO54" s="30" t="s">
        <v>199</v>
      </c>
      <c r="BP54" s="30">
        <v>0</v>
      </c>
      <c r="BQ54" s="31">
        <v>3.1111111111111112</v>
      </c>
      <c r="BR54" s="29">
        <v>0</v>
      </c>
      <c r="BS54" s="29">
        <v>0</v>
      </c>
      <c r="BT54" s="30">
        <v>5</v>
      </c>
      <c r="BU54" s="30">
        <v>0.98995442105744402</v>
      </c>
      <c r="BV54" s="26" t="s">
        <v>332</v>
      </c>
      <c r="BW54" s="30">
        <v>11</v>
      </c>
      <c r="BX54" s="29">
        <f>IF(BR54&lt;=BP54,1,0)</f>
        <v>1</v>
      </c>
      <c r="BY54" s="29">
        <f>BR54-BP54</f>
        <v>0</v>
      </c>
      <c r="BZ54" s="29" t="str">
        <f>IF(BU54&gt;0,
    IF(OR(BP54&lt;=TRUNC(BW54/2,0),BP54=0),
        IF(BT54=TRUNC(BW54/2,0),
            "-1, Déficit y dejo la capacidad media",
            IF(AND(BT54&gt;TRUNC(BW54/2,0), BT54&gt;BP54),
                "1, Déficit y eliminé déficit",
                IF(AND(BT54&lt;TRUNC(BW54/2,0), BT54&lt;BP54),
                    "0, Déficit y no elimine déficit",
                    "-2, Déficit y resultado fue bueno")
            )
        ),
        IF(AND(BT54&gt;TRUNC(BW54/2,0), BT54&gt;BP54),
            "1, no había déficit, pero resultado fue mejor",
            IF(AND(BT54&lt;TRUNC(BW54/2,0),BT54&lt;BP54),
                "0, no había déficit y la dejo con déficit",
                IF(BT54=TRUNC(BW54/2,0),
                    "-1, no había déficit y dejo la capacidad media",
                    "-2,no había déficit y resultado fue bueno")
            )
        )
    ),
    IF(BU54&lt;0,
        IF(BP54&gt;TRUNC(BW54/2,0),
            IF(BT54=TRUNC(BW54/2,0),
                "-1, Superávit y deje la capacidad media",
                IF(AND(BT54&gt;TRUNC(BW54/2,0), BT54&gt;=BP54),
                    "0, Superávit y no eliminé superávit",
                    IF(AND(BT54&lt;TRUNC(BW54/2,0),BT54&lt;BP54),
                        "1, Superávit y eliminé superávit",
                        "-2, Superávit y resultado fue bueno"
                    )
                )
            ),
            IF(AND(BP54&lt;=TRUNC(BW54/2,0),BP54&gt;=0),
                IF(BT54=TRUNC(BW54/2,0),
                    "-1, no había superávit y deje la capacidad media",
                    IF(AND(BT54&gt;TRUNC(BW54/2,0), BT54&gt;=BP54),
                        "0, no había superávit, y la deje con superávit",
                        IF(AND(BT54&lt;TRUNC(BW54/2,0),BT54&lt;BP54),
                            "1, no había superávit, pero el resultado fue mejor",
                            "-2, no había superávit y resultado fue bueno"
                        )
                    )
                )
            )
        )
    )
)</f>
        <v>-1, Déficit y dejo la capacidad media</v>
      </c>
      <c r="CB54" s="30" t="s">
        <v>199</v>
      </c>
      <c r="CC54" s="30">
        <v>0</v>
      </c>
      <c r="CD54" s="31">
        <v>3.2222222222222223</v>
      </c>
      <c r="CE54" s="29">
        <v>0</v>
      </c>
      <c r="CF54" s="29">
        <v>8</v>
      </c>
      <c r="CG54" s="30">
        <v>5</v>
      </c>
      <c r="CH54" s="30">
        <v>0.98995442105744402</v>
      </c>
      <c r="CI54" s="26" t="s">
        <v>332</v>
      </c>
      <c r="CJ54" s="30">
        <v>11</v>
      </c>
      <c r="CK54" s="29">
        <f>IF(CE54&lt;=CC54,1,0)</f>
        <v>1</v>
      </c>
      <c r="CL54" s="29">
        <f>CE54-CC54</f>
        <v>0</v>
      </c>
      <c r="CM54" s="29" t="str">
        <f>IF(CH54&gt;0,
    IF(OR(CC54&lt;=TRUNC(CJ54/2,0),CC54=0),
        IF(CG54=TRUNC(CJ54/2,0),
            "-1, Déficit y dejo la capacidad media",
            IF(AND(CG54&gt;TRUNC(CJ54/2,0), CG54&gt;CC54),
                "1, Déficit y eliminé déficit",
                IF(AND(CG54&lt;TRUNC(CJ54/2,0), CG54&lt;CC54),
                    "0, Déficit y no elimine déficit",
                    "-2, Déficit y resultado fue bueno")
            )
        ),
        IF(AND(CG54&gt;TRUNC(CJ54/2,0), CG54&gt;CC54),
            "1, no había déficit, pero resultado fue mejor",
            IF(AND(CG54&lt;TRUNC(CJ54/2,0),CG54&lt;CC54),
                "0, no había déficit y la dejo con déficit",
                IF(CG54=TRUNC(CJ54/2,0),
                    "-1, no había déficit y dejo la capacidad media",
                    "-2,no había déficit y resultado fue bueno")
            )
        )
    ),
    IF(CH54&lt;0,
        IF(CC54&gt;TRUNC(CJ54/2,0),
            IF(CG54=TRUNC(CJ54/2,0),
                "-1, Superávit y deje la capacidad media",
                IF(AND(CG54&gt;TRUNC(CJ54/2,0), CG54&gt;=CC54),
                    "0, Superávit y no eliminé superávit",
                    IF(AND(CG54&lt;TRUNC(CJ54/2,0),CG54&lt;CC54),
                        "1, Superávit y eliminé superávit",
                        "-2, Superávit y resultado fue bueno"
                    )
                )
            ),
            IF(AND(CC54&lt;=TRUNC(CJ54/2,0),CC54&gt;=0),
                IF(CG54=TRUNC(CJ54/2,0),
                    "-1, no había superávit y deje la capacidad media",
                    IF(AND(CG54&gt;TRUNC(CJ54/2,0), CG54&gt;=CC54),
                        "0, no había superávit, y la deje con superávit",
                        IF(AND(CG54&lt;TRUNC(CJ54/2,0),CG54&lt;CC54),
                            "1, no había superávit, pero el resultado fue mejor",
                            "-2, no había superávit y resultado fue bueno"
                        )
                    )
                )
            )
        )
    )
)</f>
        <v>-1, Déficit y dejo la capacidad media</v>
      </c>
      <c r="CO54" s="30" t="s">
        <v>199</v>
      </c>
      <c r="CP54" s="30">
        <v>3</v>
      </c>
      <c r="CQ54" s="31">
        <v>3.7777777777777777</v>
      </c>
      <c r="CR54" s="29">
        <v>1</v>
      </c>
      <c r="CS54" s="29">
        <v>2</v>
      </c>
      <c r="CT54" s="30">
        <v>5</v>
      </c>
      <c r="CU54" s="30">
        <v>0.98995442105744402</v>
      </c>
      <c r="CV54" s="26" t="s">
        <v>332</v>
      </c>
      <c r="CW54" s="30">
        <v>11</v>
      </c>
      <c r="CX54" s="29">
        <f>IF(CR54&lt;=CP54,1,0)</f>
        <v>1</v>
      </c>
      <c r="CY54" s="29">
        <f>CR54-CP54</f>
        <v>-2</v>
      </c>
      <c r="CZ54" s="29" t="str">
        <f>IF(CU54&gt;0,
    IF(OR(CP54&lt;=TRUNC(CW54/2,0),CP54=0),
        IF(CT54=TRUNC(CW54/2,0),
            "-1, Déficit y dejo la capacidad media",
            IF(AND(CT54&gt;TRUNC(CW54/2,0), CT54&gt;CP54),
                "1, Déficit y eliminé déficit",
                IF(AND(CT54&lt;TRUNC(CW54/2,0), CT54&lt;CP54),
                    "0, Déficit y no elimine déficit",
                    "-2, Déficit y resultado fue bueno")
            )
        ),
        IF(AND(CT54&gt;TRUNC(CW54/2,0), CT54&gt;CP54),
            "1, no había déficit, pero resultado fue mejor",
            IF(AND(CT54&lt;TRUNC(CW54/2,0),CT54&lt;CP54),
                "0, no había déficit y la dejo con déficit",
                IF(CT54=TRUNC(CW54/2,0),
                    "-1, no había déficit y dejo la capacidad media",
                    "-2,no había déficit y resultado fue bueno")
            )
        )
    ),
    IF(CU54&lt;0,
        IF(CP54&gt;TRUNC(CW54/2,0),
            IF(CT54=TRUNC(CW54/2,0),
                "-1, Superávit y deje la capacidad media",
                IF(AND(CT54&gt;TRUNC(CW54/2,0), CT54&gt;=CP54),
                    "0, Superávit y no eliminé superávit",
                    IF(AND(CT54&lt;TRUNC(CW54/2,0),CT54&lt;CP54),
                        "1, Superávit y eliminé superávit",
                        "-2, Superávit y resultado fue bueno"
                    )
                )
            ),
            IF(AND(CP54&lt;=TRUNC(CW54/2,0),CP54&gt;=0),
                IF(CT54=TRUNC(CW54/2,0),
                    "-1, no había superávit y deje la capacidad media",
                    IF(AND(CT54&gt;TRUNC(CW54/2,0), CT54&gt;=CP54),
                        "0, no había superávit, y la deje con superávit",
                        IF(AND(CT54&lt;TRUNC(CW54/2,0),CT54&lt;CP54),
                            "1, no había superávit, pero el resultado fue mejor",
                            "-2, no había superávit y resultado fue bueno"
                        )
                    )
                )
            )
        )
    )
)</f>
        <v>-1, Déficit y dejo la capacidad media</v>
      </c>
    </row>
    <row r="55" spans="2:104" ht="14.25" customHeight="1" x14ac:dyDescent="0.3">
      <c r="B55" s="30" t="s">
        <v>203</v>
      </c>
      <c r="C55" s="29">
        <v>4</v>
      </c>
      <c r="D55" s="31">
        <v>3.3333333333333335</v>
      </c>
      <c r="E55" s="29">
        <v>4</v>
      </c>
      <c r="F55" s="29">
        <v>4</v>
      </c>
      <c r="G55" s="29">
        <v>7</v>
      </c>
      <c r="H55" s="30">
        <v>0.8031838310216366</v>
      </c>
      <c r="I55" s="26" t="s">
        <v>332</v>
      </c>
      <c r="J55" s="30">
        <v>11</v>
      </c>
      <c r="K55" s="29">
        <f>IF(E55&lt;=C55,1,0)</f>
        <v>1</v>
      </c>
      <c r="L55" s="29">
        <f>E55-C55</f>
        <v>0</v>
      </c>
      <c r="M55" s="29" t="str">
        <f>IF(H55&gt;0,
    IF(OR(C55&lt;=TRUNC(J55/2,0),C55=0),
        IF(G55=TRUNC(J55/2,0),
            "-1, Déficit y dejo la capacidad media",
            IF(AND(G55&gt;TRUNC(J55/2,0), G55&gt;C55),
                "1, Déficit y eliminé déficit",
                IF(AND(G55&lt;TRUNC(J55/2,0), G55&lt;C55),
                    "0, Déficit y no elimine déficit",
                    "-2, Déficit y resultado fue bueno")
            )
        ),
        IF(AND(G55&gt;TRUNC(J55/2,0), G55&gt;C55),
            "1, no había déficit, pero resultado fue mejor",
            IF(AND(G55&lt;TRUNC(J55/2,0),G55&lt;C55),
                "0, no había déficit y la dejo con déficit",
                IF(G55=TRUNC(J55/2,0),
                    "-1, no había déficit y dejo la capacidad media",
                    "-2,no había déficit y resultado fue bueno")
            )
        )
    ),
    IF(H55&lt;0,
        IF(C55&gt;TRUNC(J55/2,0),
            IF(G55=TRUNC(J55/2,0),
                "-1, Superávit y deje la capacidad media",
                IF(AND(G55&gt;TRUNC(J55/2,0), G55&gt;=C55),
                    "0, Superávit y no eliminé superávit",
                    IF(AND(G55&lt;TRUNC(J55/2,0),G55&lt;C55),
                        "1, Superávit y eliminé superávit",
                        "-2, Superávit y resultado fue bueno"
                    )
                )
            ),
            IF(AND(C55&lt;=TRUNC(J55/2,0),C55&gt;=0),
                IF(G55=TRUNC(J55/2,0),
                    "-1, no había superávit y deje la capacidad media",
                    IF(AND(G55&gt;TRUNC(J55/2,0), G55&gt;=C55),
                        "0, no había superávit, y la deje con superávit",
                        IF(AND(G55&lt;TRUNC(J55/2,0),G55&lt;C55),
                            "1, no había superávit, pero el resultado fue mejor",
                            "-2, no había superávit y resultado fue bueno"
                        )
                    )
                )
            )
        )
    )
)</f>
        <v>1, Déficit y eliminé déficit</v>
      </c>
      <c r="O55" s="30" t="s">
        <v>203</v>
      </c>
      <c r="P55" s="30">
        <v>2</v>
      </c>
      <c r="Q55" s="31">
        <v>2</v>
      </c>
      <c r="R55" s="29">
        <v>2</v>
      </c>
      <c r="S55" s="29">
        <v>2</v>
      </c>
      <c r="T55" s="30">
        <v>5</v>
      </c>
      <c r="U55" s="30">
        <v>0.8031838310216366</v>
      </c>
      <c r="V55" s="26" t="s">
        <v>332</v>
      </c>
      <c r="W55" s="30">
        <v>11</v>
      </c>
      <c r="X55" s="29">
        <f>IF(R55&lt;=P55,1,0)</f>
        <v>1</v>
      </c>
      <c r="Y55" s="29">
        <f>R55-P55</f>
        <v>0</v>
      </c>
      <c r="Z55" s="29" t="str">
        <f>IF(U55&gt;0,
    IF(OR(P55&lt;=TRUNC(W55/2,0),P55=0),
        IF(T55=TRUNC(W55/2,0),
            "-1, Déficit y dejo la capacidad media",
            IF(AND(T55&gt;TRUNC(W55/2,0), T55&gt;P55),
                "1, Déficit y eliminé déficit",
                IF(AND(T55&lt;TRUNC(W55/2,0), T55&lt;P55),
                    "0, Déficit y no elimine déficit",
                    "-2, Déficit y resultado fue bueno")
            )
        ),
        IF(AND(T55&gt;TRUNC(W55/2,0), T55&gt;P55),
            "1, no había déficit, pero resultado fue mejor",
            IF(AND(T55&lt;TRUNC(W55/2,0),T55&lt;P55),
                "0, no había déficit y la dejo con déficit",
                IF(T55=TRUNC(W55/2,0),
                    "-1, no había déficit y dejo la capacidad media",
                    "-2,no había déficit y resultado fue bueno")
            )
        )
    ),
    IF(U55&lt;0,
        IF(P55&gt;TRUNC(W55/2,0),
            IF(T55=TRUNC(W55/2,0),
                "-1, Superávit y deje la capacidad media",
                IF(AND(T55&gt;TRUNC(W55/2,0), T55&gt;=P55),
                    "0, Superávit y no eliminé superávit",
                    IF(AND(T55&lt;TRUNC(W55/2,0),T55&lt;P55),
                        "1, Superávit y eliminé superávit",
                        "-2, Superávit y resultado fue bueno"
                    )
                )
            ),
            IF(AND(P55&lt;=TRUNC(W55/2,0),P55&gt;=0),
                IF(T55=TRUNC(W55/2,0),
                    "-1, no había superávit y deje la capacidad media",
                    IF(AND(T55&gt;TRUNC(W55/2,0), T55&gt;=P55),
                        "0, no había superávit, y la deje con superávit",
                        IF(AND(T55&lt;TRUNC(W55/2,0),T55&lt;P55),
                            "1, no había superávit, pero el resultado fue mejor",
                            "-2, no había superávit y resultado fue bueno"
                        )
                    )
                )
            )
        )
    )
)</f>
        <v>-1, Déficit y dejo la capacidad media</v>
      </c>
      <c r="AB55" s="2" t="s">
        <v>203</v>
      </c>
      <c r="AC55" s="2">
        <v>4</v>
      </c>
      <c r="AD55" s="7">
        <v>4.7777777777777777</v>
      </c>
      <c r="AE55" s="3">
        <v>1</v>
      </c>
      <c r="AF55" s="3">
        <v>1</v>
      </c>
      <c r="AG55" s="2">
        <v>5</v>
      </c>
      <c r="AH55" s="11">
        <v>0.8031838310216366</v>
      </c>
      <c r="AI55" s="26" t="s">
        <v>332</v>
      </c>
      <c r="AJ55" s="22">
        <v>11</v>
      </c>
      <c r="AK55" s="29">
        <f>IF(AE55&lt;=AC55,1,0)</f>
        <v>1</v>
      </c>
      <c r="AL55" s="29">
        <f>AE55-AC55</f>
        <v>-3</v>
      </c>
      <c r="AM55" s="29" t="str">
        <f>IF(AH55&gt;0,
    IF(OR(AC55&lt;=TRUNC(AJ55/2,0),AC55=0),
        IF(AG55=TRUNC(AJ55/2,0),
            "-1, Déficit y dejo la capacidad media",
            IF(AND(AG55&gt;TRUNC(AJ55/2,0), AG55&gt;AC55),
                "1, Déficit y eliminé déficit",
                IF(AND(AG55&lt;TRUNC(AJ55/2,0), AG55&lt;AC55),
                    "0, Déficit y no elimine déficit",
                    "-2, Déficit y resultado fue bueno")
            )
        ),
        IF(AND(AG55&gt;TRUNC(AJ55/2,0), AG55&gt;AC55),
            "1, no había déficit, pero resultado fue mejor",
            IF(AND(AG55&lt;TRUNC(AJ55/2,0),AG55&lt;AC55),
                "0, no había déficit y la dejo con déficit",
                IF(AG55=TRUNC(AJ55/2,0),
                    "-1, no había déficit y dejo la capacidad media",
                    "-2,no había déficit y resultado fue bueno")
            )
        )
    ),
    IF(AH55&lt;0,
        IF(AC55&gt;TRUNC(AJ55/2,0),
            IF(AG55=TRUNC(AJ55/2,0),
                "-1, Superávit y deje la capacidad media",
                IF(AND(AG55&gt;TRUNC(AJ55/2,0), AG55&gt;=AC55),
                    "0, Superávit y no eliminé superávit",
                    IF(AND(AG55&lt;TRUNC(AJ55/2,0),AG55&lt;AC55),
                        "1, Superávit y eliminé superávit",
                        "-2, Superávit y resultado fue bueno"
                    )
                )
            ),
            IF(AND(AC55&lt;=TRUNC(AJ55/2,0),AC55&gt;=0),
                IF(AG55=TRUNC(AJ55/2,0),
                    "-1, no había superávit y deje la capacidad media",
                    IF(AND(AG55&gt;TRUNC(AJ55/2,0), AG55&gt;=AC55),
                        "0, no había superávit, y la deje con superávit",
                        IF(AND(AG55&lt;TRUNC(AJ55/2,0),AG55&lt;AC55),
                            "1, no había superávit, pero el resultado fue mejor",
                            "-2, no había superávit y resultado fue bueno"
                        )
                    )
                )
            )
        )
    )
)</f>
        <v>-1, Déficit y dejo la capacidad media</v>
      </c>
      <c r="AO55" s="30" t="s">
        <v>203</v>
      </c>
      <c r="AP55" s="30">
        <v>3</v>
      </c>
      <c r="AQ55" s="31">
        <v>4.333333333333333</v>
      </c>
      <c r="AR55" s="29">
        <v>3</v>
      </c>
      <c r="AS55" s="29">
        <v>4</v>
      </c>
      <c r="AT55" s="30">
        <v>5</v>
      </c>
      <c r="AU55" s="30">
        <v>0.8031838310216366</v>
      </c>
      <c r="AV55" s="26" t="s">
        <v>332</v>
      </c>
      <c r="AW55" s="30">
        <v>11</v>
      </c>
      <c r="AX55" s="29">
        <f>IF(AR55&lt;=AP55,1,0)</f>
        <v>1</v>
      </c>
      <c r="AY55" s="29">
        <f>AR55-AP55</f>
        <v>0</v>
      </c>
      <c r="AZ55" s="29" t="str">
        <f>IF(AU55&gt;0,
    IF(OR(AP55&lt;=TRUNC(AW55/2,0),AP55=0),
        IF(AT55=TRUNC(AW55/2,0),
            "-1, Déficit y dejo la capacidad media",
            IF(AND(AT55&gt;TRUNC(AW55/2,0), AT55&gt;AP55),
                "1, Déficit y eliminé déficit",
                IF(AND(AT55&lt;TRUNC(AW55/2,0), AT55&lt;AP55),
                    "0, Déficit y no elimine déficit",
                    "-2, Déficit y resultado fue bueno")
            )
        ),
        IF(AND(AT55&gt;TRUNC(AW55/2,0), AT55&gt;AP55),
            "1, no había déficit, pero resultado fue mejor",
            IF(AND(AT55&lt;TRUNC(AW55/2,0),AT55&lt;AP55),
                "0, no había déficit y la dejo con déficit",
                IF(AT55=TRUNC(AW55/2,0),
                    "-1, no había déficit y dejo la capacidad media",
                    "-2,no había déficit y resultado fue bueno")
            )
        )
    ),
    IF(AU55&lt;0,
        IF(AP55&gt;TRUNC(AW55/2,0),
            IF(AT55=TRUNC(AW55/2,0),
                "-1, Superávit y deje la capacidad media",
                IF(AND(AT55&gt;TRUNC(AW55/2,0), AT55&gt;=AP55),
                    "0, Superávit y no eliminé superávit",
                    IF(AND(AT55&lt;TRUNC(AW55/2,0),AT55&lt;AP55),
                        "1, Superávit y eliminé superávit",
                        "-2, Superávit y resultado fue bueno"
                    )
                )
            ),
            IF(AND(AP55&lt;=TRUNC(AW55/2,0),AP55&gt;=0),
                IF(AT55=TRUNC(AW55/2,0),
                    "-1, no había superávit y deje la capacidad media",
                    IF(AND(AT55&gt;TRUNC(AW55/2,0), AT55&gt;=AP55),
                        "0, no había superávit, y la deje con superávit",
                        IF(AND(AT55&lt;TRUNC(AW55/2,0),AT55&lt;AP55),
                            "1, no había superávit, pero el resultado fue mejor",
                            "-2, no había superávit y resultado fue bueno"
                        )
                    )
                )
            )
        )
    )
)</f>
        <v>-1, Déficit y dejo la capacidad media</v>
      </c>
      <c r="BB55" s="30" t="s">
        <v>203</v>
      </c>
      <c r="BC55" s="30">
        <v>1</v>
      </c>
      <c r="BD55" s="31">
        <v>24.111111111111111</v>
      </c>
      <c r="BE55" s="29">
        <v>6</v>
      </c>
      <c r="BF55" s="29">
        <v>8</v>
      </c>
      <c r="BG55" s="30">
        <v>7</v>
      </c>
      <c r="BH55" s="30">
        <v>0.8031838310216366</v>
      </c>
      <c r="BI55" s="26" t="s">
        <v>332</v>
      </c>
      <c r="BJ55" s="30">
        <v>11</v>
      </c>
      <c r="BK55" s="29">
        <f>IF(BE55&lt;=BC55,1,0)</f>
        <v>0</v>
      </c>
      <c r="BL55" s="29">
        <f>BE55-BC55</f>
        <v>5</v>
      </c>
      <c r="BM55" s="29" t="str">
        <f>IF(BH55&gt;0,
    IF(OR(BC55&lt;=TRUNC(BJ55/2,0),BC55=0),
        IF(BG55=TRUNC(BJ55/2,0),
            "-1, Déficit y dejo la capacidad media",
            IF(AND(BG55&gt;TRUNC(BJ55/2,0), BG55&gt;BC55),
                "1, Déficit y eliminé déficit",
                IF(AND(BG55&lt;TRUNC(BJ55/2,0), BG55&lt;BC55),
                    "0, Déficit y no elimine déficit",
                    "-2, Déficit y resultado fue bueno")
            )
        ),
        IF(AND(BG55&gt;TRUNC(BJ55/2,0), BG55&gt;BC55),
            "1, no había déficit, pero resultado fue mejor",
            IF(AND(BG55&lt;TRUNC(BJ55/2,0),BG55&lt;BC55),
                "0, no había déficit y la dejo con déficit",
                IF(BG55=TRUNC(BJ55/2,0),
                    "-1, no había déficit y dejo la capacidad media",
                    "-2,no había déficit y resultado fue bueno")
            )
        )
    ),
    IF(BH55&lt;0,
        IF(BC55&gt;TRUNC(BJ55/2,0),
            IF(BG55=TRUNC(BJ55/2,0),
                "-1, Superávit y deje la capacidad media",
                IF(AND(BG55&gt;TRUNC(BJ55/2,0), BG55&gt;=BC55),
                    "0, Superávit y no eliminé superávit",
                    IF(AND(BG55&lt;TRUNC(BJ55/2,0),BG55&lt;BC55),
                        "1, Superávit y eliminé superávit",
                        "-2, Superávit y resultado fue bueno"
                    )
                )
            ),
            IF(AND(BC55&lt;=TRUNC(BJ55/2,0),BC55&gt;=0),
                IF(BG55=TRUNC(BJ55/2,0),
                    "-1, no había superávit y deje la capacidad media",
                    IF(AND(BG55&gt;TRUNC(BJ55/2,0), BG55&gt;=BC55),
                        "0, no había superávit, y la deje con superávit",
                        IF(AND(BG55&lt;TRUNC(BJ55/2,0),BG55&lt;BC55),
                            "1, no había superávit, pero el resultado fue mejor",
                            "-2, no había superávit y resultado fue bueno"
                        )
                    )
                )
            )
        )
    )
)</f>
        <v>1, Déficit y eliminé déficit</v>
      </c>
      <c r="BO55" s="30" t="s">
        <v>203</v>
      </c>
      <c r="BP55" s="30">
        <v>1</v>
      </c>
      <c r="BQ55" s="31">
        <v>2.5555555555555554</v>
      </c>
      <c r="BR55" s="29">
        <v>1</v>
      </c>
      <c r="BS55" s="29">
        <v>0</v>
      </c>
      <c r="BT55" s="30">
        <v>5</v>
      </c>
      <c r="BU55" s="30">
        <v>0.8031838310216366</v>
      </c>
      <c r="BV55" s="26" t="s">
        <v>332</v>
      </c>
      <c r="BW55" s="30">
        <v>11</v>
      </c>
      <c r="BX55" s="29">
        <f>IF(BR55&lt;=BP55,1,0)</f>
        <v>1</v>
      </c>
      <c r="BY55" s="29">
        <f>BR55-BP55</f>
        <v>0</v>
      </c>
      <c r="BZ55" s="29" t="str">
        <f>IF(BU55&gt;0,
    IF(OR(BP55&lt;=TRUNC(BW55/2,0),BP55=0),
        IF(BT55=TRUNC(BW55/2,0),
            "-1, Déficit y dejo la capacidad media",
            IF(AND(BT55&gt;TRUNC(BW55/2,0), BT55&gt;BP55),
                "1, Déficit y eliminé déficit",
                IF(AND(BT55&lt;TRUNC(BW55/2,0), BT55&lt;BP55),
                    "0, Déficit y no elimine déficit",
                    "-2, Déficit y resultado fue bueno")
            )
        ),
        IF(AND(BT55&gt;TRUNC(BW55/2,0), BT55&gt;BP55),
            "1, no había déficit, pero resultado fue mejor",
            IF(AND(BT55&lt;TRUNC(BW55/2,0),BT55&lt;BP55),
                "0, no había déficit y la dejo con déficit",
                IF(BT55=TRUNC(BW55/2,0),
                    "-1, no había déficit y dejo la capacidad media",
                    "-2,no había déficit y resultado fue bueno")
            )
        )
    ),
    IF(BU55&lt;0,
        IF(BP55&gt;TRUNC(BW55/2,0),
            IF(BT55=TRUNC(BW55/2,0),
                "-1, Superávit y deje la capacidad media",
                IF(AND(BT55&gt;TRUNC(BW55/2,0), BT55&gt;=BP55),
                    "0, Superávit y no eliminé superávit",
                    IF(AND(BT55&lt;TRUNC(BW55/2,0),BT55&lt;BP55),
                        "1, Superávit y eliminé superávit",
                        "-2, Superávit y resultado fue bueno"
                    )
                )
            ),
            IF(AND(BP55&lt;=TRUNC(BW55/2,0),BP55&gt;=0),
                IF(BT55=TRUNC(BW55/2,0),
                    "-1, no había superávit y deje la capacidad media",
                    IF(AND(BT55&gt;TRUNC(BW55/2,0), BT55&gt;=BP55),
                        "0, no había superávit, y la deje con superávit",
                        IF(AND(BT55&lt;TRUNC(BW55/2,0),BT55&lt;BP55),
                            "1, no había superávit, pero el resultado fue mejor",
                            "-2, no había superávit y resultado fue bueno"
                        )
                    )
                )
            )
        )
    )
)</f>
        <v>-1, Déficit y dejo la capacidad media</v>
      </c>
      <c r="CB55" s="30" t="s">
        <v>203</v>
      </c>
      <c r="CC55" s="30">
        <v>3</v>
      </c>
      <c r="CD55" s="31">
        <v>3.8888888888888888</v>
      </c>
      <c r="CE55" s="29">
        <v>1</v>
      </c>
      <c r="CF55" s="29">
        <v>1</v>
      </c>
      <c r="CG55" s="30">
        <v>5</v>
      </c>
      <c r="CH55" s="30">
        <v>0.8031838310216366</v>
      </c>
      <c r="CI55" s="26" t="s">
        <v>332</v>
      </c>
      <c r="CJ55" s="30">
        <v>11</v>
      </c>
      <c r="CK55" s="29">
        <f>IF(CE55&lt;=CC55,1,0)</f>
        <v>1</v>
      </c>
      <c r="CL55" s="29">
        <f>CE55-CC55</f>
        <v>-2</v>
      </c>
      <c r="CM55" s="29" t="str">
        <f>IF(CH55&gt;0,
    IF(OR(CC55&lt;=TRUNC(CJ55/2,0),CC55=0),
        IF(CG55=TRUNC(CJ55/2,0),
            "-1, Déficit y dejo la capacidad media",
            IF(AND(CG55&gt;TRUNC(CJ55/2,0), CG55&gt;CC55),
                "1, Déficit y eliminé déficit",
                IF(AND(CG55&lt;TRUNC(CJ55/2,0), CG55&lt;CC55),
                    "0, Déficit y no elimine déficit",
                    "-2, Déficit y resultado fue bueno")
            )
        ),
        IF(AND(CG55&gt;TRUNC(CJ55/2,0), CG55&gt;CC55),
            "1, no había déficit, pero resultado fue mejor",
            IF(AND(CG55&lt;TRUNC(CJ55/2,0),CG55&lt;CC55),
                "0, no había déficit y la dejo con déficit",
                IF(CG55=TRUNC(CJ55/2,0),
                    "-1, no había déficit y dejo la capacidad media",
                    "-2,no había déficit y resultado fue bueno")
            )
        )
    ),
    IF(CH55&lt;0,
        IF(CC55&gt;TRUNC(CJ55/2,0),
            IF(CG55=TRUNC(CJ55/2,0),
                "-1, Superávit y deje la capacidad media",
                IF(AND(CG55&gt;TRUNC(CJ55/2,0), CG55&gt;=CC55),
                    "0, Superávit y no eliminé superávit",
                    IF(AND(CG55&lt;TRUNC(CJ55/2,0),CG55&lt;CC55),
                        "1, Superávit y eliminé superávit",
                        "-2, Superávit y resultado fue bueno"
                    )
                )
            ),
            IF(AND(CC55&lt;=TRUNC(CJ55/2,0),CC55&gt;=0),
                IF(CG55=TRUNC(CJ55/2,0),
                    "-1, no había superávit y deje la capacidad media",
                    IF(AND(CG55&gt;TRUNC(CJ55/2,0), CG55&gt;=CC55),
                        "0, no había superávit, y la deje con superávit",
                        IF(AND(CG55&lt;TRUNC(CJ55/2,0),CG55&lt;CC55),
                            "1, no había superávit, pero el resultado fue mejor",
                            "-2, no había superávit y resultado fue bueno"
                        )
                    )
                )
            )
        )
    )
)</f>
        <v>-1, Déficit y dejo la capacidad media</v>
      </c>
      <c r="CO55" s="30" t="s">
        <v>203</v>
      </c>
      <c r="CP55" s="30">
        <v>0</v>
      </c>
      <c r="CQ55" s="31">
        <v>3.3333333333333335</v>
      </c>
      <c r="CR55" s="29">
        <v>0</v>
      </c>
      <c r="CS55" s="29">
        <v>0</v>
      </c>
      <c r="CT55" s="30">
        <v>5</v>
      </c>
      <c r="CU55" s="30">
        <v>0.8031838310216366</v>
      </c>
      <c r="CV55" s="26" t="s">
        <v>332</v>
      </c>
      <c r="CW55" s="30">
        <v>11</v>
      </c>
      <c r="CX55" s="29">
        <f>IF(CR55&lt;=CP55,1,0)</f>
        <v>1</v>
      </c>
      <c r="CY55" s="29">
        <f>CR55-CP55</f>
        <v>0</v>
      </c>
      <c r="CZ55" s="29" t="str">
        <f>IF(CU55&gt;0,
    IF(OR(CP55&lt;=TRUNC(CW55/2,0),CP55=0),
        IF(CT55=TRUNC(CW55/2,0),
            "-1, Déficit y dejo la capacidad media",
            IF(AND(CT55&gt;TRUNC(CW55/2,0), CT55&gt;CP55),
                "1, Déficit y eliminé déficit",
                IF(AND(CT55&lt;TRUNC(CW55/2,0), CT55&lt;CP55),
                    "0, Déficit y no elimine déficit",
                    "-2, Déficit y resultado fue bueno")
            )
        ),
        IF(AND(CT55&gt;TRUNC(CW55/2,0), CT55&gt;CP55),
            "1, no había déficit, pero resultado fue mejor",
            IF(AND(CT55&lt;TRUNC(CW55/2,0),CT55&lt;CP55),
                "0, no había déficit y la dejo con déficit",
                IF(CT55=TRUNC(CW55/2,0),
                    "-1, no había déficit y dejo la capacidad media",
                    "-2,no había déficit y resultado fue bueno")
            )
        )
    ),
    IF(CU55&lt;0,
        IF(CP55&gt;TRUNC(CW55/2,0),
            IF(CT55=TRUNC(CW55/2,0),
                "-1, Superávit y deje la capacidad media",
                IF(AND(CT55&gt;TRUNC(CW55/2,0), CT55&gt;=CP55),
                    "0, Superávit y no eliminé superávit",
                    IF(AND(CT55&lt;TRUNC(CW55/2,0),CT55&lt;CP55),
                        "1, Superávit y eliminé superávit",
                        "-2, Superávit y resultado fue bueno"
                    )
                )
            ),
            IF(AND(CP55&lt;=TRUNC(CW55/2,0),CP55&gt;=0),
                IF(CT55=TRUNC(CW55/2,0),
                    "-1, no había superávit y deje la capacidad media",
                    IF(AND(CT55&gt;TRUNC(CW55/2,0), CT55&gt;=CP55),
                        "0, no había superávit, y la deje con superávit",
                        IF(AND(CT55&lt;TRUNC(CW55/2,0),CT55&lt;CP55),
                            "1, no había superávit, pero el resultado fue mejor",
                            "-2, no había superávit y resultado fue bueno"
                        )
                    )
                )
            )
        )
    )
)</f>
        <v>-1, Déficit y dejo la capacidad media</v>
      </c>
    </row>
    <row r="56" spans="2:104" ht="14.25" customHeight="1" x14ac:dyDescent="0.3">
      <c r="B56" s="30" t="s">
        <v>206</v>
      </c>
      <c r="C56" s="29">
        <v>31</v>
      </c>
      <c r="D56" s="31">
        <v>14.555555555555555</v>
      </c>
      <c r="E56" s="29">
        <v>29</v>
      </c>
      <c r="F56" s="29">
        <v>31</v>
      </c>
      <c r="G56" s="29">
        <v>16</v>
      </c>
      <c r="H56" s="30">
        <v>0.7952330657044463</v>
      </c>
      <c r="I56" s="26" t="s">
        <v>324</v>
      </c>
      <c r="J56" s="30">
        <v>41</v>
      </c>
      <c r="K56" s="29">
        <f>IF(E56&lt;=C56,1,0)</f>
        <v>1</v>
      </c>
      <c r="L56" s="29">
        <f>E56-C56</f>
        <v>-2</v>
      </c>
      <c r="M56" s="29" t="str">
        <f>IF(H56&gt;0,
    IF(OR(C56&lt;=TRUNC(J56/2,0),C56=0),
        IF(G56=TRUNC(J56/2,0),
            "-1, Déficit y dejo la capacidad media",
            IF(AND(G56&gt;TRUNC(J56/2,0), G56&gt;C56),
                "1, Déficit y eliminé déficit",
                IF(AND(G56&lt;TRUNC(J56/2,0), G56&lt;C56),
                    "0, Déficit y no elimine déficit",
                    "-2, Déficit y resultado fue bueno")
            )
        ),
        IF(AND(G56&gt;TRUNC(J56/2,0), G56&gt;C56),
            "1, no había déficit, pero resultado fue mejor",
            IF(AND(G56&lt;TRUNC(J56/2,0),G56&lt;C56),
                "0, no había déficit y la dejo con déficit",
                IF(G56=TRUNC(J56/2,0),
                    "-1, no había déficit y dejo la capacidad media",
                    "-2,no había déficit y resultado fue bueno")
            )
        )
    ),
    IF(H56&lt;0,
        IF(C56&gt;TRUNC(J56/2,0),
            IF(G56=TRUNC(J56/2,0),
                "-1, Superávit y deje la capacidad media",
                IF(AND(G56&gt;TRUNC(J56/2,0), G56&gt;=C56),
                    "0, Superávit y no eliminé superávit",
                    IF(AND(G56&lt;TRUNC(J56/2,0),G56&lt;C56),
                        "1, Superávit y eliminé superávit",
                        "-2, Superávit y resultado fue bueno"
                    )
                )
            ),
            IF(AND(C56&lt;=TRUNC(J56/2,0),C56&gt;=0),
                IF(G56=TRUNC(J56/2,0),
                    "-1, no había superávit y deje la capacidad media",
                    IF(AND(G56&gt;TRUNC(J56/2,0), G56&gt;=C56),
                        "0, no había superávit, y la deje con superávit",
                        IF(AND(G56&lt;TRUNC(J56/2,0),G56&lt;C56),
                            "1, no había superávit, pero el resultado fue mejor",
                            "-2, no había superávit y resultado fue bueno"
                        )
                    )
                )
            )
        )
    )
)</f>
        <v>0, no había déficit y la dejo con déficit</v>
      </c>
      <c r="O56" s="30" t="s">
        <v>206</v>
      </c>
      <c r="P56" s="30">
        <v>5</v>
      </c>
      <c r="Q56" s="31">
        <v>12.222222222222221</v>
      </c>
      <c r="R56" s="29">
        <v>10</v>
      </c>
      <c r="S56" s="29">
        <v>11</v>
      </c>
      <c r="T56" s="30">
        <v>15</v>
      </c>
      <c r="U56" s="30">
        <v>0.7952330657044463</v>
      </c>
      <c r="V56" s="26" t="s">
        <v>324</v>
      </c>
      <c r="W56" s="30">
        <v>41</v>
      </c>
      <c r="X56" s="29">
        <f>IF(R56&lt;=P56,1,0)</f>
        <v>0</v>
      </c>
      <c r="Y56" s="29">
        <f>R56-P56</f>
        <v>5</v>
      </c>
      <c r="Z56" s="29" t="str">
        <f>IF(U56&gt;0,
    IF(OR(P56&lt;=TRUNC(W56/2,0),P56=0),
        IF(T56=TRUNC(W56/2,0),
            "-1, Déficit y dejo la capacidad media",
            IF(AND(T56&gt;TRUNC(W56/2,0), T56&gt;P56),
                "1, Déficit y eliminé déficit",
                IF(AND(T56&lt;TRUNC(W56/2,0), T56&lt;P56),
                    "0, Déficit y no elimine déficit",
                    "-2, Déficit y resultado fue bueno")
            )
        ),
        IF(AND(T56&gt;TRUNC(W56/2,0), T56&gt;P56),
            "1, no había déficit, pero resultado fue mejor",
            IF(AND(T56&lt;TRUNC(W56/2,0),T56&lt;P56),
                "0, no había déficit y la dejo con déficit",
                IF(T56=TRUNC(W56/2,0),
                    "-1, no había déficit y dejo la capacidad media",
                    "-2,no había déficit y resultado fue bueno")
            )
        )
    ),
    IF(U56&lt;0,
        IF(P56&gt;TRUNC(W56/2,0),
            IF(T56=TRUNC(W56/2,0),
                "-1, Superávit y deje la capacidad media",
                IF(AND(T56&gt;TRUNC(W56/2,0), T56&gt;=P56),
                    "0, Superávit y no eliminé superávit",
                    IF(AND(T56&lt;TRUNC(W56/2,0),T56&lt;P56),
                        "1, Superávit y eliminé superávit",
                        "-2, Superávit y resultado fue bueno"
                    )
                )
            ),
            IF(AND(P56&lt;=TRUNC(W56/2,0),P56&gt;=0),
                IF(T56=TRUNC(W56/2,0),
                    "-1, no había superávit y deje la capacidad media",
                    IF(AND(T56&gt;TRUNC(W56/2,0), T56&gt;=P56),
                        "0, no había superávit, y la deje con superávit",
                        IF(AND(T56&lt;TRUNC(W56/2,0),T56&lt;P56),
                            "1, no había superávit, pero el resultado fue mejor",
                            "-2, no había superávit y resultado fue bueno"
                        )
                    )
                )
            )
        )
    )
)</f>
        <v>-2, Déficit y resultado fue bueno</v>
      </c>
      <c r="AB56" s="2" t="s">
        <v>206</v>
      </c>
      <c r="AC56" s="2">
        <v>3</v>
      </c>
      <c r="AD56" s="7">
        <v>17.333333333333332</v>
      </c>
      <c r="AE56" s="3">
        <v>1</v>
      </c>
      <c r="AF56" s="3">
        <v>0</v>
      </c>
      <c r="AG56" s="2">
        <v>15</v>
      </c>
      <c r="AH56" s="11">
        <v>0.7952330657044463</v>
      </c>
      <c r="AI56" s="26" t="s">
        <v>324</v>
      </c>
      <c r="AJ56" s="22">
        <v>41</v>
      </c>
      <c r="AK56" s="29">
        <f>IF(AE56&lt;=AC56,1,0)</f>
        <v>1</v>
      </c>
      <c r="AL56" s="29">
        <f>AE56-AC56</f>
        <v>-2</v>
      </c>
      <c r="AM56" s="29" t="str">
        <f>IF(AH56&gt;0,
    IF(OR(AC56&lt;=TRUNC(AJ56/2,0),AC56=0),
        IF(AG56=TRUNC(AJ56/2,0),
            "-1, Déficit y dejo la capacidad media",
            IF(AND(AG56&gt;TRUNC(AJ56/2,0), AG56&gt;AC56),
                "1, Déficit y eliminé déficit",
                IF(AND(AG56&lt;TRUNC(AJ56/2,0), AG56&lt;AC56),
                    "0, Déficit y no elimine déficit",
                    "-2, Déficit y resultado fue bueno")
            )
        ),
        IF(AND(AG56&gt;TRUNC(AJ56/2,0), AG56&gt;AC56),
            "1, no había déficit, pero resultado fue mejor",
            IF(AND(AG56&lt;TRUNC(AJ56/2,0),AG56&lt;AC56),
                "0, no había déficit y la dejo con déficit",
                IF(AG56=TRUNC(AJ56/2,0),
                    "-1, no había déficit y dejo la capacidad media",
                    "-2,no había déficit y resultado fue bueno")
            )
        )
    ),
    IF(AH56&lt;0,
        IF(AC56&gt;TRUNC(AJ56/2,0),
            IF(AG56=TRUNC(AJ56/2,0),
                "-1, Superávit y deje la capacidad media",
                IF(AND(AG56&gt;TRUNC(AJ56/2,0), AG56&gt;=AC56),
                    "0, Superávit y no eliminé superávit",
                    IF(AND(AG56&lt;TRUNC(AJ56/2,0),AG56&lt;AC56),
                        "1, Superávit y eliminé superávit",
                        "-2, Superávit y resultado fue bueno"
                    )
                )
            ),
            IF(AND(AC56&lt;=TRUNC(AJ56/2,0),AC56&gt;=0),
                IF(AG56=TRUNC(AJ56/2,0),
                    "-1, no había superávit y deje la capacidad media",
                    IF(AND(AG56&gt;TRUNC(AJ56/2,0), AG56&gt;=AC56),
                        "0, no había superávit, y la deje con superávit",
                        IF(AND(AG56&lt;TRUNC(AJ56/2,0),AG56&lt;AC56),
                            "1, no había superávit, pero el resultado fue mejor",
                            "-2, no había superávit y resultado fue bueno"
                        )
                    )
                )
            )
        )
    )
)</f>
        <v>-2, Déficit y resultado fue bueno</v>
      </c>
      <c r="AO56" s="30" t="s">
        <v>206</v>
      </c>
      <c r="AP56" s="30">
        <v>18</v>
      </c>
      <c r="AQ56" s="31">
        <v>18.222222222222221</v>
      </c>
      <c r="AR56" s="29">
        <v>6</v>
      </c>
      <c r="AS56" s="29">
        <v>1</v>
      </c>
      <c r="AT56" s="30">
        <v>16</v>
      </c>
      <c r="AU56" s="30">
        <v>0.7952330657044463</v>
      </c>
      <c r="AV56" s="26" t="s">
        <v>324</v>
      </c>
      <c r="AW56" s="30">
        <v>41</v>
      </c>
      <c r="AX56" s="29">
        <f>IF(AR56&lt;=AP56,1,0)</f>
        <v>1</v>
      </c>
      <c r="AY56" s="29">
        <f>AR56-AP56</f>
        <v>-12</v>
      </c>
      <c r="AZ56" s="29" t="str">
        <f>IF(AU56&gt;0,
    IF(OR(AP56&lt;=TRUNC(AW56/2,0),AP56=0),
        IF(AT56=TRUNC(AW56/2,0),
            "-1, Déficit y dejo la capacidad media",
            IF(AND(AT56&gt;TRUNC(AW56/2,0), AT56&gt;AP56),
                "1, Déficit y eliminé déficit",
                IF(AND(AT56&lt;TRUNC(AW56/2,0), AT56&lt;AP56),
                    "0, Déficit y no elimine déficit",
                    "-2, Déficit y resultado fue bueno")
            )
        ),
        IF(AND(AT56&gt;TRUNC(AW56/2,0), AT56&gt;AP56),
            "1, no había déficit, pero resultado fue mejor",
            IF(AND(AT56&lt;TRUNC(AW56/2,0),AT56&lt;AP56),
                "0, no había déficit y la dejo con déficit",
                IF(AT56=TRUNC(AW56/2,0),
                    "-1, no había déficit y dejo la capacidad media",
                    "-2,no había déficit y resultado fue bueno")
            )
        )
    ),
    IF(AU56&lt;0,
        IF(AP56&gt;TRUNC(AW56/2,0),
            IF(AT56=TRUNC(AW56/2,0),
                "-1, Superávit y deje la capacidad media",
                IF(AND(AT56&gt;TRUNC(AW56/2,0), AT56&gt;=AP56),
                    "0, Superávit y no eliminé superávit",
                    IF(AND(AT56&lt;TRUNC(AW56/2,0),AT56&lt;AP56),
                        "1, Superávit y eliminé superávit",
                        "-2, Superávit y resultado fue bueno"
                    )
                )
            ),
            IF(AND(AP56&lt;=TRUNC(AW56/2,0),AP56&gt;=0),
                IF(AT56=TRUNC(AW56/2,0),
                    "-1, no había superávit y deje la capacidad media",
                    IF(AND(AT56&gt;TRUNC(AW56/2,0), AT56&gt;=AP56),
                        "0, no había superávit, y la deje con superávit",
                        IF(AND(AT56&lt;TRUNC(AW56/2,0),AT56&lt;AP56),
                            "1, no había superávit, pero el resultado fue mejor",
                            "-2, no había superávit y resultado fue bueno"
                        )
                    )
                )
            )
        )
    )
)</f>
        <v>0, Déficit y no elimine déficit</v>
      </c>
      <c r="BB56" s="30" t="s">
        <v>206</v>
      </c>
      <c r="BC56" s="30">
        <v>26</v>
      </c>
      <c r="BD56" s="31">
        <v>9.8888888888888893</v>
      </c>
      <c r="BE56" s="29">
        <v>15</v>
      </c>
      <c r="BF56" s="29">
        <v>13</v>
      </c>
      <c r="BG56" s="30">
        <v>15</v>
      </c>
      <c r="BH56" s="30">
        <v>0.7952330657044463</v>
      </c>
      <c r="BI56" s="26" t="s">
        <v>324</v>
      </c>
      <c r="BJ56" s="30">
        <v>41</v>
      </c>
      <c r="BK56" s="29">
        <f>IF(BE56&lt;=BC56,1,0)</f>
        <v>1</v>
      </c>
      <c r="BL56" s="29">
        <f>BE56-BC56</f>
        <v>-11</v>
      </c>
      <c r="BM56" s="29" t="str">
        <f>IF(BH56&gt;0,
    IF(OR(BC56&lt;=TRUNC(BJ56/2,0),BC56=0),
        IF(BG56=TRUNC(BJ56/2,0),
            "-1, Déficit y dejo la capacidad media",
            IF(AND(BG56&gt;TRUNC(BJ56/2,0), BG56&gt;BC56),
                "1, Déficit y eliminé déficit",
                IF(AND(BG56&lt;TRUNC(BJ56/2,0), BG56&lt;BC56),
                    "0, Déficit y no elimine déficit",
                    "-2, Déficit y resultado fue bueno")
            )
        ),
        IF(AND(BG56&gt;TRUNC(BJ56/2,0), BG56&gt;BC56),
            "1, no había déficit, pero resultado fue mejor",
            IF(AND(BG56&lt;TRUNC(BJ56/2,0),BG56&lt;BC56),
                "0, no había déficit y la dejo con déficit",
                IF(BG56=TRUNC(BJ56/2,0),
                    "-1, no había déficit y dejo la capacidad media",
                    "-2,no había déficit y resultado fue bueno")
            )
        )
    ),
    IF(BH56&lt;0,
        IF(BC56&gt;TRUNC(BJ56/2,0),
            IF(BG56=TRUNC(BJ56/2,0),
                "-1, Superávit y deje la capacidad media",
                IF(AND(BG56&gt;TRUNC(BJ56/2,0), BG56&gt;=BC56),
                    "0, Superávit y no eliminé superávit",
                    IF(AND(BG56&lt;TRUNC(BJ56/2,0),BG56&lt;BC56),
                        "1, Superávit y eliminé superávit",
                        "-2, Superávit y resultado fue bueno"
                    )
                )
            ),
            IF(AND(BC56&lt;=TRUNC(BJ56/2,0),BC56&gt;=0),
                IF(BG56=TRUNC(BJ56/2,0),
                    "-1, no había superávit y deje la capacidad media",
                    IF(AND(BG56&gt;TRUNC(BJ56/2,0), BG56&gt;=BC56),
                        "0, no había superávit, y la deje con superávit",
                        IF(AND(BG56&lt;TRUNC(BJ56/2,0),BG56&lt;BC56),
                            "1, no había superávit, pero el resultado fue mejor",
                            "-2, no había superávit y resultado fue bueno"
                        )
                    )
                )
            )
        )
    )
)</f>
        <v>0, no había déficit y la dejo con déficit</v>
      </c>
      <c r="BO56" s="30" t="s">
        <v>206</v>
      </c>
      <c r="BP56" s="30">
        <v>16</v>
      </c>
      <c r="BQ56" s="31">
        <v>19.333333333333332</v>
      </c>
      <c r="BR56" s="29">
        <v>3</v>
      </c>
      <c r="BS56" s="29">
        <v>2</v>
      </c>
      <c r="BT56" s="30">
        <v>15</v>
      </c>
      <c r="BU56" s="30">
        <v>0.7952330657044463</v>
      </c>
      <c r="BV56" s="26" t="s">
        <v>324</v>
      </c>
      <c r="BW56" s="30">
        <v>41</v>
      </c>
      <c r="BX56" s="29">
        <f>IF(BR56&lt;=BP56,1,0)</f>
        <v>1</v>
      </c>
      <c r="BY56" s="29">
        <f>BR56-BP56</f>
        <v>-13</v>
      </c>
      <c r="BZ56" s="29" t="str">
        <f>IF(BU56&gt;0,
    IF(OR(BP56&lt;=TRUNC(BW56/2,0),BP56=0),
        IF(BT56=TRUNC(BW56/2,0),
            "-1, Déficit y dejo la capacidad media",
            IF(AND(BT56&gt;TRUNC(BW56/2,0), BT56&gt;BP56),
                "1, Déficit y eliminé déficit",
                IF(AND(BT56&lt;TRUNC(BW56/2,0), BT56&lt;BP56),
                    "0, Déficit y no elimine déficit",
                    "-2, Déficit y resultado fue bueno")
            )
        ),
        IF(AND(BT56&gt;TRUNC(BW56/2,0), BT56&gt;BP56),
            "1, no había déficit, pero resultado fue mejor",
            IF(AND(BT56&lt;TRUNC(BW56/2,0),BT56&lt;BP56),
                "0, no había déficit y la dejo con déficit",
                IF(BT56=TRUNC(BW56/2,0),
                    "-1, no había déficit y dejo la capacidad media",
                    "-2,no había déficit y resultado fue bueno")
            )
        )
    ),
    IF(BU56&lt;0,
        IF(BP56&gt;TRUNC(BW56/2,0),
            IF(BT56=TRUNC(BW56/2,0),
                "-1, Superávit y deje la capacidad media",
                IF(AND(BT56&gt;TRUNC(BW56/2,0), BT56&gt;=BP56),
                    "0, Superávit y no eliminé superávit",
                    IF(AND(BT56&lt;TRUNC(BW56/2,0),BT56&lt;BP56),
                        "1, Superávit y eliminé superávit",
                        "-2, Superávit y resultado fue bueno"
                    )
                )
            ),
            IF(AND(BP56&lt;=TRUNC(BW56/2,0),BP56&gt;=0),
                IF(BT56=TRUNC(BW56/2,0),
                    "-1, no había superávit y deje la capacidad media",
                    IF(AND(BT56&gt;TRUNC(BW56/2,0), BT56&gt;=BP56),
                        "0, no había superávit, y la deje con superávit",
                        IF(AND(BT56&lt;TRUNC(BW56/2,0),BT56&lt;BP56),
                            "1, no había superávit, pero el resultado fue mejor",
                            "-2, no había superávit y resultado fue bueno"
                        )
                    )
                )
            )
        )
    )
)</f>
        <v>0, Déficit y no elimine déficit</v>
      </c>
      <c r="CB56" s="30" t="s">
        <v>206</v>
      </c>
      <c r="CC56" s="30">
        <v>10</v>
      </c>
      <c r="CD56" s="31">
        <v>16.777777777777779</v>
      </c>
      <c r="CE56" s="29">
        <v>5</v>
      </c>
      <c r="CF56" s="29">
        <v>6</v>
      </c>
      <c r="CG56" s="30">
        <v>15</v>
      </c>
      <c r="CH56" s="30">
        <v>0.7952330657044463</v>
      </c>
      <c r="CI56" s="26" t="s">
        <v>324</v>
      </c>
      <c r="CJ56" s="30">
        <v>41</v>
      </c>
      <c r="CK56" s="29">
        <f>IF(CE56&lt;=CC56,1,0)</f>
        <v>1</v>
      </c>
      <c r="CL56" s="29">
        <f>CE56-CC56</f>
        <v>-5</v>
      </c>
      <c r="CM56" s="29" t="str">
        <f>IF(CH56&gt;0,
    IF(OR(CC56&lt;=TRUNC(CJ56/2,0),CC56=0),
        IF(CG56=TRUNC(CJ56/2,0),
            "-1, Déficit y dejo la capacidad media",
            IF(AND(CG56&gt;TRUNC(CJ56/2,0), CG56&gt;CC56),
                "1, Déficit y eliminé déficit",
                IF(AND(CG56&lt;TRUNC(CJ56/2,0), CG56&lt;CC56),
                    "0, Déficit y no elimine déficit",
                    "-2, Déficit y resultado fue bueno")
            )
        ),
        IF(AND(CG56&gt;TRUNC(CJ56/2,0), CG56&gt;CC56),
            "1, no había déficit, pero resultado fue mejor",
            IF(AND(CG56&lt;TRUNC(CJ56/2,0),CG56&lt;CC56),
                "0, no había déficit y la dejo con déficit",
                IF(CG56=TRUNC(CJ56/2,0),
                    "-1, no había déficit y dejo la capacidad media",
                    "-2,no había déficit y resultado fue bueno")
            )
        )
    ),
    IF(CH56&lt;0,
        IF(CC56&gt;TRUNC(CJ56/2,0),
            IF(CG56=TRUNC(CJ56/2,0),
                "-1, Superávit y deje la capacidad media",
                IF(AND(CG56&gt;TRUNC(CJ56/2,0), CG56&gt;=CC56),
                    "0, Superávit y no eliminé superávit",
                    IF(AND(CG56&lt;TRUNC(CJ56/2,0),CG56&lt;CC56),
                        "1, Superávit y eliminé superávit",
                        "-2, Superávit y resultado fue bueno"
                    )
                )
            ),
            IF(AND(CC56&lt;=TRUNC(CJ56/2,0),CC56&gt;=0),
                IF(CG56=TRUNC(CJ56/2,0),
                    "-1, no había superávit y deje la capacidad media",
                    IF(AND(CG56&gt;TRUNC(CJ56/2,0), CG56&gt;=CC56),
                        "0, no había superávit, y la deje con superávit",
                        IF(AND(CG56&lt;TRUNC(CJ56/2,0),CG56&lt;CC56),
                            "1, no había superávit, pero el resultado fue mejor",
                            "-2, no había superávit y resultado fue bueno"
                        )
                    )
                )
            )
        )
    )
)</f>
        <v>-2, Déficit y resultado fue bueno</v>
      </c>
      <c r="CO56" s="30" t="s">
        <v>206</v>
      </c>
      <c r="CP56" s="30">
        <v>16</v>
      </c>
      <c r="CQ56" s="31">
        <v>14.555555555555555</v>
      </c>
      <c r="CR56" s="29">
        <v>15</v>
      </c>
      <c r="CS56" s="29">
        <v>9</v>
      </c>
      <c r="CT56" s="30">
        <v>15</v>
      </c>
      <c r="CU56" s="30">
        <v>0.7952330657044463</v>
      </c>
      <c r="CV56" s="26" t="s">
        <v>324</v>
      </c>
      <c r="CW56" s="30">
        <v>41</v>
      </c>
      <c r="CX56" s="29">
        <f>IF(CR56&lt;=CP56,1,0)</f>
        <v>1</v>
      </c>
      <c r="CY56" s="29">
        <f>CR56-CP56</f>
        <v>-1</v>
      </c>
      <c r="CZ56" s="29" t="str">
        <f>IF(CU56&gt;0,
    IF(OR(CP56&lt;=TRUNC(CW56/2,0),CP56=0),
        IF(CT56=TRUNC(CW56/2,0),
            "-1, Déficit y dejo la capacidad media",
            IF(AND(CT56&gt;TRUNC(CW56/2,0), CT56&gt;CP56),
                "1, Déficit y eliminé déficit",
                IF(AND(CT56&lt;TRUNC(CW56/2,0), CT56&lt;CP56),
                    "0, Déficit y no elimine déficit",
                    "-2, Déficit y resultado fue bueno")
            )
        ),
        IF(AND(CT56&gt;TRUNC(CW56/2,0), CT56&gt;CP56),
            "1, no había déficit, pero resultado fue mejor",
            IF(AND(CT56&lt;TRUNC(CW56/2,0),CT56&lt;CP56),
                "0, no había déficit y la dejo con déficit",
                IF(CT56=TRUNC(CW56/2,0),
                    "-1, no había déficit y dejo la capacidad media",
                    "-2,no había déficit y resultado fue bueno")
            )
        )
    ),
    IF(CU56&lt;0,
        IF(CP56&gt;TRUNC(CW56/2,0),
            IF(CT56=TRUNC(CW56/2,0),
                "-1, Superávit y deje la capacidad media",
                IF(AND(CT56&gt;TRUNC(CW56/2,0), CT56&gt;=CP56),
                    "0, Superávit y no eliminé superávit",
                    IF(AND(CT56&lt;TRUNC(CW56/2,0),CT56&lt;CP56),
                        "1, Superávit y eliminé superávit",
                        "-2, Superávit y resultado fue bueno"
                    )
                )
            ),
            IF(AND(CP56&lt;=TRUNC(CW56/2,0),CP56&gt;=0),
                IF(CT56=TRUNC(CW56/2,0),
                    "-1, no había superávit y deje la capacidad media",
                    IF(AND(CT56&gt;TRUNC(CW56/2,0), CT56&gt;=CP56),
                        "0, no había superávit, y la deje con superávit",
                        IF(AND(CT56&lt;TRUNC(CW56/2,0),CT56&lt;CP56),
                            "1, no había superávit, pero el resultado fue mejor",
                            "-2, no había superávit y resultado fue bueno"
                        )
                    )
                )
            )
        )
    )
)</f>
        <v>0, Déficit y no elimine déficit</v>
      </c>
    </row>
    <row r="57" spans="2:104" ht="14.25" customHeight="1" x14ac:dyDescent="0.3">
      <c r="B57" s="30" t="s">
        <v>202</v>
      </c>
      <c r="C57" s="29">
        <v>0</v>
      </c>
      <c r="D57" s="31">
        <v>4.5555555555555554</v>
      </c>
      <c r="E57" s="29">
        <v>0</v>
      </c>
      <c r="F57" s="29">
        <v>0</v>
      </c>
      <c r="G57" s="29">
        <v>4</v>
      </c>
      <c r="H57" s="30">
        <v>0.65812761495518723</v>
      </c>
      <c r="I57" s="26" t="s">
        <v>318</v>
      </c>
      <c r="J57" s="30">
        <v>11</v>
      </c>
      <c r="K57" s="29">
        <f>IF(E57&lt;=C57,1,0)</f>
        <v>1</v>
      </c>
      <c r="L57" s="29">
        <f>E57-C57</f>
        <v>0</v>
      </c>
      <c r="M57" s="29" t="str">
        <f>IF(H57&gt;0,
    IF(OR(C57&lt;=TRUNC(J57/2,0),C57=0),
        IF(G57=TRUNC(J57/2,0),
            "-1, Déficit y dejo la capacidad media",
            IF(AND(G57&gt;TRUNC(J57/2,0), G57&gt;C57),
                "1, Déficit y eliminé déficit",
                IF(AND(G57&lt;TRUNC(J57/2,0), G57&lt;C57),
                    "0, Déficit y no elimine déficit",
                    "-2, Déficit y resultado fue bueno")
            )
        ),
        IF(AND(G57&gt;TRUNC(J57/2,0), G57&gt;C57),
            "1, no había déficit, pero resultado fue mejor",
            IF(AND(G57&lt;TRUNC(J57/2,0),G57&lt;C57),
                "0, no había déficit y la dejo con déficit",
                IF(G57=TRUNC(J57/2,0),
                    "-1, no había déficit y dejo la capacidad media",
                    "-2,no había déficit y resultado fue bueno")
            )
        )
    ),
    IF(H57&lt;0,
        IF(C57&gt;TRUNC(J57/2,0),
            IF(G57=TRUNC(J57/2,0),
                "-1, Superávit y deje la capacidad media",
                IF(AND(G57&gt;TRUNC(J57/2,0), G57&gt;=C57),
                    "0, Superávit y no eliminé superávit",
                    IF(AND(G57&lt;TRUNC(J57/2,0),G57&lt;C57),
                        "1, Superávit y eliminé superávit",
                        "-2, Superávit y resultado fue bueno"
                    )
                )
            ),
            IF(AND(C57&lt;=TRUNC(J57/2,0),C57&gt;=0),
                IF(G57=TRUNC(J57/2,0),
                    "-1, no había superávit y deje la capacidad media",
                    IF(AND(G57&gt;TRUNC(J57/2,0), G57&gt;=C57),
                        "0, no había superávit, y la deje con superávit",
                        IF(AND(G57&lt;TRUNC(J57/2,0),G57&lt;C57),
                            "1, no había superávit, pero el resultado fue mejor",
                            "-2, no había superávit y resultado fue bueno"
                        )
                    )
                )
            )
        )
    )
)</f>
        <v>-2, Déficit y resultado fue bueno</v>
      </c>
      <c r="O57" s="30" t="s">
        <v>202</v>
      </c>
      <c r="P57" s="30">
        <v>0</v>
      </c>
      <c r="Q57" s="31">
        <v>4.2222222222222223</v>
      </c>
      <c r="R57" s="29">
        <v>0</v>
      </c>
      <c r="S57" s="29">
        <v>0</v>
      </c>
      <c r="T57" s="30">
        <v>4</v>
      </c>
      <c r="U57" s="30">
        <v>0.65812761495518723</v>
      </c>
      <c r="V57" s="26" t="s">
        <v>318</v>
      </c>
      <c r="W57" s="30">
        <v>11</v>
      </c>
      <c r="X57" s="29">
        <f>IF(R57&lt;=P57,1,0)</f>
        <v>1</v>
      </c>
      <c r="Y57" s="29">
        <f>R57-P57</f>
        <v>0</v>
      </c>
      <c r="Z57" s="29" t="str">
        <f>IF(U57&gt;0,
    IF(OR(P57&lt;=TRUNC(W57/2,0),P57=0),
        IF(T57=TRUNC(W57/2,0),
            "-1, Déficit y dejo la capacidad media",
            IF(AND(T57&gt;TRUNC(W57/2,0), T57&gt;P57),
                "1, Déficit y eliminé déficit",
                IF(AND(T57&lt;TRUNC(W57/2,0), T57&lt;P57),
                    "0, Déficit y no elimine déficit",
                    "-2, Déficit y resultado fue bueno")
            )
        ),
        IF(AND(T57&gt;TRUNC(W57/2,0), T57&gt;P57),
            "1, no había déficit, pero resultado fue mejor",
            IF(AND(T57&lt;TRUNC(W57/2,0),T57&lt;P57),
                "0, no había déficit y la dejo con déficit",
                IF(T57=TRUNC(W57/2,0),
                    "-1, no había déficit y dejo la capacidad media",
                    "-2,no había déficit y resultado fue bueno")
            )
        )
    ),
    IF(U57&lt;0,
        IF(P57&gt;TRUNC(W57/2,0),
            IF(T57=TRUNC(W57/2,0),
                "-1, Superávit y deje la capacidad media",
                IF(AND(T57&gt;TRUNC(W57/2,0), T57&gt;=P57),
                    "0, Superávit y no eliminé superávit",
                    IF(AND(T57&lt;TRUNC(W57/2,0),T57&lt;P57),
                        "1, Superávit y eliminé superávit",
                        "-2, Superávit y resultado fue bueno"
                    )
                )
            ),
            IF(AND(P57&lt;=TRUNC(W57/2,0),P57&gt;=0),
                IF(T57=TRUNC(W57/2,0),
                    "-1, no había superávit y deje la capacidad media",
                    IF(AND(T57&gt;TRUNC(W57/2,0), T57&gt;=P57),
                        "0, no había superávit, y la deje con superávit",
                        IF(AND(T57&lt;TRUNC(W57/2,0),T57&lt;P57),
                            "1, no había superávit, pero el resultado fue mejor",
                            "-2, no había superávit y resultado fue bueno"
                        )
                    )
                )
            )
        )
    )
)</f>
        <v>-2, Déficit y resultado fue bueno</v>
      </c>
      <c r="AB57" s="2" t="s">
        <v>202</v>
      </c>
      <c r="AC57" s="2">
        <v>0</v>
      </c>
      <c r="AD57" s="7">
        <v>3.5555555555555554</v>
      </c>
      <c r="AE57" s="3">
        <v>1</v>
      </c>
      <c r="AF57" s="3">
        <v>0</v>
      </c>
      <c r="AG57" s="2">
        <v>4</v>
      </c>
      <c r="AH57" s="11">
        <v>0.65812761495518723</v>
      </c>
      <c r="AI57" s="26" t="s">
        <v>318</v>
      </c>
      <c r="AJ57" s="22">
        <v>11</v>
      </c>
      <c r="AK57" s="29">
        <f>IF(AE57&lt;=AC57,1,0)</f>
        <v>0</v>
      </c>
      <c r="AL57" s="29">
        <f>AE57-AC57</f>
        <v>1</v>
      </c>
      <c r="AM57" s="29" t="str">
        <f>IF(AH57&gt;0,
    IF(OR(AC57&lt;=TRUNC(AJ57/2,0),AC57=0),
        IF(AG57=TRUNC(AJ57/2,0),
            "-1, Déficit y dejo la capacidad media",
            IF(AND(AG57&gt;TRUNC(AJ57/2,0), AG57&gt;AC57),
                "1, Déficit y eliminé déficit",
                IF(AND(AG57&lt;TRUNC(AJ57/2,0), AG57&lt;AC57),
                    "0, Déficit y no elimine déficit",
                    "-2, Déficit y resultado fue bueno")
            )
        ),
        IF(AND(AG57&gt;TRUNC(AJ57/2,0), AG57&gt;AC57),
            "1, no había déficit, pero resultado fue mejor",
            IF(AND(AG57&lt;TRUNC(AJ57/2,0),AG57&lt;AC57),
                "0, no había déficit y la dejo con déficit",
                IF(AG57=TRUNC(AJ57/2,0),
                    "-1, no había déficit y dejo la capacidad media",
                    "-2,no había déficit y resultado fue bueno")
            )
        )
    ),
    IF(AH57&lt;0,
        IF(AC57&gt;TRUNC(AJ57/2,0),
            IF(AG57=TRUNC(AJ57/2,0),
                "-1, Superávit y deje la capacidad media",
                IF(AND(AG57&gt;TRUNC(AJ57/2,0), AG57&gt;=AC57),
                    "0, Superávit y no eliminé superávit",
                    IF(AND(AG57&lt;TRUNC(AJ57/2,0),AG57&lt;AC57),
                        "1, Superávit y eliminé superávit",
                        "-2, Superávit y resultado fue bueno"
                    )
                )
            ),
            IF(AND(AC57&lt;=TRUNC(AJ57/2,0),AC57&gt;=0),
                IF(AG57=TRUNC(AJ57/2,0),
                    "-1, no había superávit y deje la capacidad media",
                    IF(AND(AG57&gt;TRUNC(AJ57/2,0), AG57&gt;=AC57),
                        "0, no había superávit, y la deje con superávit",
                        IF(AND(AG57&lt;TRUNC(AJ57/2,0),AG57&lt;AC57),
                            "1, no había superávit, pero el resultado fue mejor",
                            "-2, no había superávit y resultado fue bueno"
                        )
                    )
                )
            )
        )
    )
)</f>
        <v>-2, Déficit y resultado fue bueno</v>
      </c>
      <c r="AO57" s="30" t="s">
        <v>202</v>
      </c>
      <c r="AP57" s="30">
        <v>7</v>
      </c>
      <c r="AQ57" s="31">
        <v>4.1111111111111107</v>
      </c>
      <c r="AR57" s="29">
        <v>5</v>
      </c>
      <c r="AS57" s="29">
        <v>5</v>
      </c>
      <c r="AT57" s="30">
        <v>4</v>
      </c>
      <c r="AU57" s="30">
        <v>0.65812761495518723</v>
      </c>
      <c r="AV57" s="26" t="s">
        <v>318</v>
      </c>
      <c r="AW57" s="30">
        <v>11</v>
      </c>
      <c r="AX57" s="29">
        <f>IF(AR57&lt;=AP57,1,0)</f>
        <v>1</v>
      </c>
      <c r="AY57" s="29">
        <f>AR57-AP57</f>
        <v>-2</v>
      </c>
      <c r="AZ57" s="29" t="str">
        <f>IF(AU57&gt;0,
    IF(OR(AP57&lt;=TRUNC(AW57/2,0),AP57=0),
        IF(AT57=TRUNC(AW57/2,0),
            "-1, Déficit y dejo la capacidad media",
            IF(AND(AT57&gt;TRUNC(AW57/2,0), AT57&gt;AP57),
                "1, Déficit y eliminé déficit",
                IF(AND(AT57&lt;TRUNC(AW57/2,0), AT57&lt;AP57),
                    "0, Déficit y no elimine déficit",
                    "-2, Déficit y resultado fue bueno")
            )
        ),
        IF(AND(AT57&gt;TRUNC(AW57/2,0), AT57&gt;AP57),
            "1, no había déficit, pero resultado fue mejor",
            IF(AND(AT57&lt;TRUNC(AW57/2,0),AT57&lt;AP57),
                "0, no había déficit y la dejo con déficit",
                IF(AT57=TRUNC(AW57/2,0),
                    "-1, no había déficit y dejo la capacidad media",
                    "-2,no había déficit y resultado fue bueno")
            )
        )
    ),
    IF(AU57&lt;0,
        IF(AP57&gt;TRUNC(AW57/2,0),
            IF(AT57=TRUNC(AW57/2,0),
                "-1, Superávit y deje la capacidad media",
                IF(AND(AT57&gt;TRUNC(AW57/2,0), AT57&gt;=AP57),
                    "0, Superávit y no eliminé superávit",
                    IF(AND(AT57&lt;TRUNC(AW57/2,0),AT57&lt;AP57),
                        "1, Superávit y eliminé superávit",
                        "-2, Superávit y resultado fue bueno"
                    )
                )
            ),
            IF(AND(AP57&lt;=TRUNC(AW57/2,0),AP57&gt;=0),
                IF(AT57=TRUNC(AW57/2,0),
                    "-1, no había superávit y deje la capacidad media",
                    IF(AND(AT57&gt;TRUNC(AW57/2,0), AT57&gt;=AP57),
                        "0, no había superávit, y la deje con superávit",
                        IF(AND(AT57&lt;TRUNC(AW57/2,0),AT57&lt;AP57),
                            "1, no había superávit, pero el resultado fue mejor",
                            "-2, no había superávit y resultado fue bueno"
                        )
                    )
                )
            )
        )
    )
)</f>
        <v>0, no había déficit y la dejo con déficit</v>
      </c>
      <c r="BB57" s="30" t="s">
        <v>202</v>
      </c>
      <c r="BC57" s="30">
        <v>5</v>
      </c>
      <c r="BD57" s="31">
        <v>0.88888888888888884</v>
      </c>
      <c r="BE57" s="29">
        <v>4</v>
      </c>
      <c r="BF57" s="29">
        <v>4</v>
      </c>
      <c r="BG57" s="30">
        <v>5</v>
      </c>
      <c r="BH57" s="30">
        <v>0.65812761495518723</v>
      </c>
      <c r="BI57" s="26" t="s">
        <v>318</v>
      </c>
      <c r="BJ57" s="30">
        <v>11</v>
      </c>
      <c r="BK57" s="29">
        <f>IF(BE57&lt;=BC57,1,0)</f>
        <v>1</v>
      </c>
      <c r="BL57" s="29">
        <f>BE57-BC57</f>
        <v>-1</v>
      </c>
      <c r="BM57" s="29" t="str">
        <f>IF(BH57&gt;0,
    IF(OR(BC57&lt;=TRUNC(BJ57/2,0),BC57=0),
        IF(BG57=TRUNC(BJ57/2,0),
            "-1, Déficit y dejo la capacidad media",
            IF(AND(BG57&gt;TRUNC(BJ57/2,0), BG57&gt;BC57),
                "1, Déficit y eliminé déficit",
                IF(AND(BG57&lt;TRUNC(BJ57/2,0), BG57&lt;BC57),
                    "0, Déficit y no elimine déficit",
                    "-2, Déficit y resultado fue bueno")
            )
        ),
        IF(AND(BG57&gt;TRUNC(BJ57/2,0), BG57&gt;BC57),
            "1, no había déficit, pero resultado fue mejor",
            IF(AND(BG57&lt;TRUNC(BJ57/2,0),BG57&lt;BC57),
                "0, no había déficit y la dejo con déficit",
                IF(BG57=TRUNC(BJ57/2,0),
                    "-1, no había déficit y dejo la capacidad media",
                    "-2,no había déficit y resultado fue bueno")
            )
        )
    ),
    IF(BH57&lt;0,
        IF(BC57&gt;TRUNC(BJ57/2,0),
            IF(BG57=TRUNC(BJ57/2,0),
                "-1, Superávit y deje la capacidad media",
                IF(AND(BG57&gt;TRUNC(BJ57/2,0), BG57&gt;=BC57),
                    "0, Superávit y no eliminé superávit",
                    IF(AND(BG57&lt;TRUNC(BJ57/2,0),BG57&lt;BC57),
                        "1, Superávit y eliminé superávit",
                        "-2, Superávit y resultado fue bueno"
                    )
                )
            ),
            IF(AND(BC57&lt;=TRUNC(BJ57/2,0),BC57&gt;=0),
                IF(BG57=TRUNC(BJ57/2,0),
                    "-1, no había superávit y deje la capacidad media",
                    IF(AND(BG57&gt;TRUNC(BJ57/2,0), BG57&gt;=BC57),
                        "0, no había superávit, y la deje con superávit",
                        IF(AND(BG57&lt;TRUNC(BJ57/2,0),BG57&lt;BC57),
                            "1, no había superávit, pero el resultado fue mejor",
                            "-2, no había superávit y resultado fue bueno"
                        )
                    )
                )
            )
        )
    )
)</f>
        <v>-1, Déficit y dejo la capacidad media</v>
      </c>
      <c r="BO57" s="30" t="s">
        <v>202</v>
      </c>
      <c r="BP57" s="30">
        <v>2</v>
      </c>
      <c r="BQ57" s="31">
        <v>4.333333333333333</v>
      </c>
      <c r="BR57" s="29">
        <v>0</v>
      </c>
      <c r="BS57" s="29">
        <v>0</v>
      </c>
      <c r="BT57" s="30">
        <v>4</v>
      </c>
      <c r="BU57" s="30">
        <v>0.65812761495518723</v>
      </c>
      <c r="BV57" s="26" t="s">
        <v>318</v>
      </c>
      <c r="BW57" s="30">
        <v>11</v>
      </c>
      <c r="BX57" s="29">
        <f>IF(BR57&lt;=BP57,1,0)</f>
        <v>1</v>
      </c>
      <c r="BY57" s="29">
        <f>BR57-BP57</f>
        <v>-2</v>
      </c>
      <c r="BZ57" s="29" t="str">
        <f>IF(BU57&gt;0,
    IF(OR(BP57&lt;=TRUNC(BW57/2,0),BP57=0),
        IF(BT57=TRUNC(BW57/2,0),
            "-1, Déficit y dejo la capacidad media",
            IF(AND(BT57&gt;TRUNC(BW57/2,0), BT57&gt;BP57),
                "1, Déficit y eliminé déficit",
                IF(AND(BT57&lt;TRUNC(BW57/2,0), BT57&lt;BP57),
                    "0, Déficit y no elimine déficit",
                    "-2, Déficit y resultado fue bueno")
            )
        ),
        IF(AND(BT57&gt;TRUNC(BW57/2,0), BT57&gt;BP57),
            "1, no había déficit, pero resultado fue mejor",
            IF(AND(BT57&lt;TRUNC(BW57/2,0),BT57&lt;BP57),
                "0, no había déficit y la dejo con déficit",
                IF(BT57=TRUNC(BW57/2,0),
                    "-1, no había déficit y dejo la capacidad media",
                    "-2,no había déficit y resultado fue bueno")
            )
        )
    ),
    IF(BU57&lt;0,
        IF(BP57&gt;TRUNC(BW57/2,0),
            IF(BT57=TRUNC(BW57/2,0),
                "-1, Superávit y deje la capacidad media",
                IF(AND(BT57&gt;TRUNC(BW57/2,0), BT57&gt;=BP57),
                    "0, Superávit y no eliminé superávit",
                    IF(AND(BT57&lt;TRUNC(BW57/2,0),BT57&lt;BP57),
                        "1, Superávit y eliminé superávit",
                        "-2, Superávit y resultado fue bueno"
                    )
                )
            ),
            IF(AND(BP57&lt;=TRUNC(BW57/2,0),BP57&gt;=0),
                IF(BT57=TRUNC(BW57/2,0),
                    "-1, no había superávit y deje la capacidad media",
                    IF(AND(BT57&gt;TRUNC(BW57/2,0), BT57&gt;=BP57),
                        "0, no había superávit, y la deje con superávit",
                        IF(AND(BT57&lt;TRUNC(BW57/2,0),BT57&lt;BP57),
                            "1, no había superávit, pero el resultado fue mejor",
                            "-2, no había superávit y resultado fue bueno"
                        )
                    )
                )
            )
        )
    )
)</f>
        <v>-2, Déficit y resultado fue bueno</v>
      </c>
      <c r="CB57" s="30" t="s">
        <v>202</v>
      </c>
      <c r="CC57" s="30">
        <v>1</v>
      </c>
      <c r="CD57" s="31">
        <v>2.5555555555555554</v>
      </c>
      <c r="CE57" s="29">
        <v>1</v>
      </c>
      <c r="CF57" s="29">
        <v>1</v>
      </c>
      <c r="CG57" s="30">
        <v>4</v>
      </c>
      <c r="CH57" s="30">
        <v>0.65812761495518723</v>
      </c>
      <c r="CI57" s="26" t="s">
        <v>318</v>
      </c>
      <c r="CJ57" s="30">
        <v>11</v>
      </c>
      <c r="CK57" s="29">
        <f>IF(CE57&lt;=CC57,1,0)</f>
        <v>1</v>
      </c>
      <c r="CL57" s="29">
        <f>CE57-CC57</f>
        <v>0</v>
      </c>
      <c r="CM57" s="29" t="str">
        <f>IF(CH57&gt;0,
    IF(OR(CC57&lt;=TRUNC(CJ57/2,0),CC57=0),
        IF(CG57=TRUNC(CJ57/2,0),
            "-1, Déficit y dejo la capacidad media",
            IF(AND(CG57&gt;TRUNC(CJ57/2,0), CG57&gt;CC57),
                "1, Déficit y eliminé déficit",
                IF(AND(CG57&lt;TRUNC(CJ57/2,0), CG57&lt;CC57),
                    "0, Déficit y no elimine déficit",
                    "-2, Déficit y resultado fue bueno")
            )
        ),
        IF(AND(CG57&gt;TRUNC(CJ57/2,0), CG57&gt;CC57),
            "1, no había déficit, pero resultado fue mejor",
            IF(AND(CG57&lt;TRUNC(CJ57/2,0),CG57&lt;CC57),
                "0, no había déficit y la dejo con déficit",
                IF(CG57=TRUNC(CJ57/2,0),
                    "-1, no había déficit y dejo la capacidad media",
                    "-2,no había déficit y resultado fue bueno")
            )
        )
    ),
    IF(CH57&lt;0,
        IF(CC57&gt;TRUNC(CJ57/2,0),
            IF(CG57=TRUNC(CJ57/2,0),
                "-1, Superávit y deje la capacidad media",
                IF(AND(CG57&gt;TRUNC(CJ57/2,0), CG57&gt;=CC57),
                    "0, Superávit y no eliminé superávit",
                    IF(AND(CG57&lt;TRUNC(CJ57/2,0),CG57&lt;CC57),
                        "1, Superávit y eliminé superávit",
                        "-2, Superávit y resultado fue bueno"
                    )
                )
            ),
            IF(AND(CC57&lt;=TRUNC(CJ57/2,0),CC57&gt;=0),
                IF(CG57=TRUNC(CJ57/2,0),
                    "-1, no había superávit y deje la capacidad media",
                    IF(AND(CG57&gt;TRUNC(CJ57/2,0), CG57&gt;=CC57),
                        "0, no había superávit, y la deje con superávit",
                        IF(AND(CG57&lt;TRUNC(CJ57/2,0),CG57&lt;CC57),
                            "1, no había superávit, pero el resultado fue mejor",
                            "-2, no había superávit y resultado fue bueno"
                        )
                    )
                )
            )
        )
    )
)</f>
        <v>-2, Déficit y resultado fue bueno</v>
      </c>
      <c r="CO57" s="30" t="s">
        <v>202</v>
      </c>
      <c r="CP57" s="30">
        <v>6</v>
      </c>
      <c r="CQ57" s="31">
        <v>4.5555555555555554</v>
      </c>
      <c r="CR57" s="29">
        <v>6</v>
      </c>
      <c r="CS57" s="29">
        <v>6</v>
      </c>
      <c r="CT57" s="30">
        <v>4</v>
      </c>
      <c r="CU57" s="30">
        <v>0.65812761495518723</v>
      </c>
      <c r="CV57" s="26" t="s">
        <v>318</v>
      </c>
      <c r="CW57" s="30">
        <v>11</v>
      </c>
      <c r="CX57" s="29">
        <f>IF(CR57&lt;=CP57,1,0)</f>
        <v>1</v>
      </c>
      <c r="CY57" s="29">
        <f>CR57-CP57</f>
        <v>0</v>
      </c>
      <c r="CZ57" s="29" t="str">
        <f>IF(CU57&gt;0,
    IF(OR(CP57&lt;=TRUNC(CW57/2,0),CP57=0),
        IF(CT57=TRUNC(CW57/2,0),
            "-1, Déficit y dejo la capacidad media",
            IF(AND(CT57&gt;TRUNC(CW57/2,0), CT57&gt;CP57),
                "1, Déficit y eliminé déficit",
                IF(AND(CT57&lt;TRUNC(CW57/2,0), CT57&lt;CP57),
                    "0, Déficit y no elimine déficit",
                    "-2, Déficit y resultado fue bueno")
            )
        ),
        IF(AND(CT57&gt;TRUNC(CW57/2,0), CT57&gt;CP57),
            "1, no había déficit, pero resultado fue mejor",
            IF(AND(CT57&lt;TRUNC(CW57/2,0),CT57&lt;CP57),
                "0, no había déficit y la dejo con déficit",
                IF(CT57=TRUNC(CW57/2,0),
                    "-1, no había déficit y dejo la capacidad media",
                    "-2,no había déficit y resultado fue bueno")
            )
        )
    ),
    IF(CU57&lt;0,
        IF(CP57&gt;TRUNC(CW57/2,0),
            IF(CT57=TRUNC(CW57/2,0),
                "-1, Superávit y deje la capacidad media",
                IF(AND(CT57&gt;TRUNC(CW57/2,0), CT57&gt;=CP57),
                    "0, Superávit y no eliminé superávit",
                    IF(AND(CT57&lt;TRUNC(CW57/2,0),CT57&lt;CP57),
                        "1, Superávit y eliminé superávit",
                        "-2, Superávit y resultado fue bueno"
                    )
                )
            ),
            IF(AND(CP57&lt;=TRUNC(CW57/2,0),CP57&gt;=0),
                IF(CT57=TRUNC(CW57/2,0),
                    "-1, no había superávit y deje la capacidad media",
                    IF(AND(CT57&gt;TRUNC(CW57/2,0), CT57&gt;=CP57),
                        "0, no había superávit, y la deje con superávit",
                        IF(AND(CT57&lt;TRUNC(CW57/2,0),CT57&lt;CP57),
                            "1, no había superávit, pero el resultado fue mejor",
                            "-2, no había superávit y resultado fue bueno"
                        )
                    )
                )
            )
        )
    )
)</f>
        <v>0, no había déficit y la dejo con déficit</v>
      </c>
    </row>
    <row r="58" spans="2:104" ht="14.25" customHeight="1" x14ac:dyDescent="0.3">
      <c r="B58" s="30" t="s">
        <v>205</v>
      </c>
      <c r="C58" s="29">
        <v>3</v>
      </c>
      <c r="D58" s="31">
        <v>1.5555555555555556</v>
      </c>
      <c r="E58" s="29">
        <v>3</v>
      </c>
      <c r="F58" s="29">
        <v>3</v>
      </c>
      <c r="G58" s="29">
        <v>4</v>
      </c>
      <c r="H58" s="30">
        <v>0.65757862978307635</v>
      </c>
      <c r="I58" s="26" t="s">
        <v>319</v>
      </c>
      <c r="J58" s="30">
        <v>7</v>
      </c>
      <c r="K58" s="29">
        <f>IF(E58&lt;=C58,1,0)</f>
        <v>1</v>
      </c>
      <c r="L58" s="29">
        <f>E58-C58</f>
        <v>0</v>
      </c>
      <c r="M58" s="29" t="str">
        <f>IF(H58&gt;0,
    IF(OR(C58&lt;=TRUNC(J58/2,0),C58=0),
        IF(G58=TRUNC(J58/2,0),
            "-1, Déficit y dejo la capacidad media",
            IF(AND(G58&gt;TRUNC(J58/2,0), G58&gt;C58),
                "1, Déficit y eliminé déficit",
                IF(AND(G58&lt;TRUNC(J58/2,0), G58&lt;C58),
                    "0, Déficit y no elimine déficit",
                    "-2, Déficit y resultado fue bueno")
            )
        ),
        IF(AND(G58&gt;TRUNC(J58/2,0), G58&gt;C58),
            "1, no había déficit, pero resultado fue mejor",
            IF(AND(G58&lt;TRUNC(J58/2,0),G58&lt;C58),
                "0, no había déficit y la dejo con déficit",
                IF(G58=TRUNC(J58/2,0),
                    "-1, no había déficit y dejo la capacidad media",
                    "-2,no había déficit y resultado fue bueno")
            )
        )
    ),
    IF(H58&lt;0,
        IF(C58&gt;TRUNC(J58/2,0),
            IF(G58=TRUNC(J58/2,0),
                "-1, Superávit y deje la capacidad media",
                IF(AND(G58&gt;TRUNC(J58/2,0), G58&gt;=C58),
                    "0, Superávit y no eliminé superávit",
                    IF(AND(G58&lt;TRUNC(J58/2,0),G58&lt;C58),
                        "1, Superávit y eliminé superávit",
                        "-2, Superávit y resultado fue bueno"
                    )
                )
            ),
            IF(AND(C58&lt;=TRUNC(J58/2,0),C58&gt;=0),
                IF(G58=TRUNC(J58/2,0),
                    "-1, no había superávit y deje la capacidad media",
                    IF(AND(G58&gt;TRUNC(J58/2,0), G58&gt;=C58),
                        "0, no había superávit, y la deje con superávit",
                        IF(AND(G58&lt;TRUNC(J58/2,0),G58&lt;C58),
                            "1, no había superávit, pero el resultado fue mejor",
                            "-2, no había superávit y resultado fue bueno"
                        )
                    )
                )
            )
        )
    )
)</f>
        <v>1, Déficit y eliminé déficit</v>
      </c>
      <c r="O58" s="30" t="s">
        <v>205</v>
      </c>
      <c r="P58" s="30">
        <v>3</v>
      </c>
      <c r="Q58" s="31">
        <v>1.6666666666666667</v>
      </c>
      <c r="R58" s="29">
        <v>3</v>
      </c>
      <c r="S58" s="29">
        <v>2</v>
      </c>
      <c r="T58" s="30">
        <v>4</v>
      </c>
      <c r="U58" s="30">
        <v>0.65757862978307635</v>
      </c>
      <c r="V58" s="26" t="s">
        <v>319</v>
      </c>
      <c r="W58" s="30">
        <v>7</v>
      </c>
      <c r="X58" s="29">
        <f>IF(R58&lt;=P58,1,0)</f>
        <v>1</v>
      </c>
      <c r="Y58" s="29">
        <f>R58-P58</f>
        <v>0</v>
      </c>
      <c r="Z58" s="29" t="str">
        <f>IF(U58&gt;0,
    IF(OR(P58&lt;=TRUNC(W58/2,0),P58=0),
        IF(T58=TRUNC(W58/2,0),
            "-1, Déficit y dejo la capacidad media",
            IF(AND(T58&gt;TRUNC(W58/2,0), T58&gt;P58),
                "1, Déficit y eliminé déficit",
                IF(AND(T58&lt;TRUNC(W58/2,0), T58&lt;P58),
                    "0, Déficit y no elimine déficit",
                    "-2, Déficit y resultado fue bueno")
            )
        ),
        IF(AND(T58&gt;TRUNC(W58/2,0), T58&gt;P58),
            "1, no había déficit, pero resultado fue mejor",
            IF(AND(T58&lt;TRUNC(W58/2,0),T58&lt;P58),
                "0, no había déficit y la dejo con déficit",
                IF(T58=TRUNC(W58/2,0),
                    "-1, no había déficit y dejo la capacidad media",
                    "-2,no había déficit y resultado fue bueno")
            )
        )
    ),
    IF(U58&lt;0,
        IF(P58&gt;TRUNC(W58/2,0),
            IF(T58=TRUNC(W58/2,0),
                "-1, Superávit y deje la capacidad media",
                IF(AND(T58&gt;TRUNC(W58/2,0), T58&gt;=P58),
                    "0, Superávit y no eliminé superávit",
                    IF(AND(T58&lt;TRUNC(W58/2,0),T58&lt;P58),
                        "1, Superávit y eliminé superávit",
                        "-2, Superávit y resultado fue bueno"
                    )
                )
            ),
            IF(AND(P58&lt;=TRUNC(W58/2,0),P58&gt;=0),
                IF(T58=TRUNC(W58/2,0),
                    "-1, no había superávit y deje la capacidad media",
                    IF(AND(T58&gt;TRUNC(W58/2,0), T58&gt;=P58),
                        "0, no había superávit, y la deje con superávit",
                        IF(AND(T58&lt;TRUNC(W58/2,0),T58&lt;P58),
                            "1, no había superávit, pero el resultado fue mejor",
                            "-2, no había superávit y resultado fue bueno"
                        )
                    )
                )
            )
        )
    )
)</f>
        <v>1, Déficit y eliminé déficit</v>
      </c>
      <c r="AB58" s="2" t="s">
        <v>205</v>
      </c>
      <c r="AC58" s="2">
        <v>1</v>
      </c>
      <c r="AD58" s="7">
        <v>1.8888888888888888</v>
      </c>
      <c r="AE58" s="3">
        <v>0</v>
      </c>
      <c r="AF58" s="3">
        <v>0</v>
      </c>
      <c r="AG58" s="2">
        <v>4</v>
      </c>
      <c r="AH58" s="11">
        <v>0.65757862978307635</v>
      </c>
      <c r="AI58" s="26" t="s">
        <v>319</v>
      </c>
      <c r="AJ58" s="22">
        <v>7</v>
      </c>
      <c r="AK58" s="29">
        <f>IF(AE58&lt;=AC58,1,0)</f>
        <v>1</v>
      </c>
      <c r="AL58" s="29">
        <f>AE58-AC58</f>
        <v>-1</v>
      </c>
      <c r="AM58" s="29" t="str">
        <f>IF(AH58&gt;0,
    IF(OR(AC58&lt;=TRUNC(AJ58/2,0),AC58=0),
        IF(AG58=TRUNC(AJ58/2,0),
            "-1, Déficit y dejo la capacidad media",
            IF(AND(AG58&gt;TRUNC(AJ58/2,0), AG58&gt;AC58),
                "1, Déficit y eliminé déficit",
                IF(AND(AG58&lt;TRUNC(AJ58/2,0), AG58&lt;AC58),
                    "0, Déficit y no elimine déficit",
                    "-2, Déficit y resultado fue bueno")
            )
        ),
        IF(AND(AG58&gt;TRUNC(AJ58/2,0), AG58&gt;AC58),
            "1, no había déficit, pero resultado fue mejor",
            IF(AND(AG58&lt;TRUNC(AJ58/2,0),AG58&lt;AC58),
                "0, no había déficit y la dejo con déficit",
                IF(AG58=TRUNC(AJ58/2,0),
                    "-1, no había déficit y dejo la capacidad media",
                    "-2,no había déficit y resultado fue bueno")
            )
        )
    ),
    IF(AH58&lt;0,
        IF(AC58&gt;TRUNC(AJ58/2,0),
            IF(AG58=TRUNC(AJ58/2,0),
                "-1, Superávit y deje la capacidad media",
                IF(AND(AG58&gt;TRUNC(AJ58/2,0), AG58&gt;=AC58),
                    "0, Superávit y no eliminé superávit",
                    IF(AND(AG58&lt;TRUNC(AJ58/2,0),AG58&lt;AC58),
                        "1, Superávit y eliminé superávit",
                        "-2, Superávit y resultado fue bueno"
                    )
                )
            ),
            IF(AND(AC58&lt;=TRUNC(AJ58/2,0),AC58&gt;=0),
                IF(AG58=TRUNC(AJ58/2,0),
                    "-1, no había superávit y deje la capacidad media",
                    IF(AND(AG58&gt;TRUNC(AJ58/2,0), AG58&gt;=AC58),
                        "0, no había superávit, y la deje con superávit",
                        IF(AND(AG58&lt;TRUNC(AJ58/2,0),AG58&lt;AC58),
                            "1, no había superávit, pero el resultado fue mejor",
                            "-2, no había superávit y resultado fue bueno"
                        )
                    )
                )
            )
        )
    )
)</f>
        <v>1, Déficit y eliminé déficit</v>
      </c>
      <c r="AO58" s="30" t="s">
        <v>205</v>
      </c>
      <c r="AP58" s="30">
        <v>4</v>
      </c>
      <c r="AQ58" s="31">
        <v>1.8888888888888888</v>
      </c>
      <c r="AR58" s="29">
        <v>0</v>
      </c>
      <c r="AS58" s="29">
        <v>0</v>
      </c>
      <c r="AT58" s="30">
        <v>4</v>
      </c>
      <c r="AU58" s="30">
        <v>0.65757862978307635</v>
      </c>
      <c r="AV58" s="26" t="s">
        <v>319</v>
      </c>
      <c r="AW58" s="30">
        <v>7</v>
      </c>
      <c r="AX58" s="29">
        <f>IF(AR58&lt;=AP58,1,0)</f>
        <v>1</v>
      </c>
      <c r="AY58" s="29">
        <f>AR58-AP58</f>
        <v>-4</v>
      </c>
      <c r="AZ58" s="29" t="str">
        <f>IF(AU58&gt;0,
    IF(OR(AP58&lt;=TRUNC(AW58/2,0),AP58=0),
        IF(AT58=TRUNC(AW58/2,0),
            "-1, Déficit y dejo la capacidad media",
            IF(AND(AT58&gt;TRUNC(AW58/2,0), AT58&gt;AP58),
                "1, Déficit y eliminé déficit",
                IF(AND(AT58&lt;TRUNC(AW58/2,0), AT58&lt;AP58),
                    "0, Déficit y no elimine déficit",
                    "-2, Déficit y resultado fue bueno")
            )
        ),
        IF(AND(AT58&gt;TRUNC(AW58/2,0), AT58&gt;AP58),
            "1, no había déficit, pero resultado fue mejor",
            IF(AND(AT58&lt;TRUNC(AW58/2,0),AT58&lt;AP58),
                "0, no había déficit y la dejo con déficit",
                IF(AT58=TRUNC(AW58/2,0),
                    "-1, no había déficit y dejo la capacidad media",
                    "-2,no había déficit y resultado fue bueno")
            )
        )
    ),
    IF(AU58&lt;0,
        IF(AP58&gt;TRUNC(AW58/2,0),
            IF(AT58=TRUNC(AW58/2,0),
                "-1, Superávit y deje la capacidad media",
                IF(AND(AT58&gt;TRUNC(AW58/2,0), AT58&gt;=AP58),
                    "0, Superávit y no eliminé superávit",
                    IF(AND(AT58&lt;TRUNC(AW58/2,0),AT58&lt;AP58),
                        "1, Superávit y eliminé superávit",
                        "-2, Superávit y resultado fue bueno"
                    )
                )
            ),
            IF(AND(AP58&lt;=TRUNC(AW58/2,0),AP58&gt;=0),
                IF(AT58=TRUNC(AW58/2,0),
                    "-1, no había superávit y deje la capacidad media",
                    IF(AND(AT58&gt;TRUNC(AW58/2,0), AT58&gt;=AP58),
                        "0, no había superávit, y la deje con superávit",
                        IF(AND(AT58&lt;TRUNC(AW58/2,0),AT58&lt;AP58),
                            "1, no había superávit, pero el resultado fue mejor",
                            "-2, no había superávit y resultado fue bueno"
                        )
                    )
                )
            )
        )
    )
)</f>
        <v>-2,no había déficit y resultado fue bueno</v>
      </c>
      <c r="BB58" s="30" t="s">
        <v>205</v>
      </c>
      <c r="BC58" s="30">
        <v>4</v>
      </c>
      <c r="BD58" s="31">
        <v>3.5555555555555554</v>
      </c>
      <c r="BE58" s="29">
        <v>1</v>
      </c>
      <c r="BF58" s="29">
        <v>1</v>
      </c>
      <c r="BG58" s="30">
        <v>4</v>
      </c>
      <c r="BH58" s="30">
        <v>0.65757862978307635</v>
      </c>
      <c r="BI58" s="26" t="s">
        <v>319</v>
      </c>
      <c r="BJ58" s="30">
        <v>7</v>
      </c>
      <c r="BK58" s="29">
        <f>IF(BE58&lt;=BC58,1,0)</f>
        <v>1</v>
      </c>
      <c r="BL58" s="29">
        <f>BE58-BC58</f>
        <v>-3</v>
      </c>
      <c r="BM58" s="29" t="str">
        <f>IF(BH58&gt;0,
    IF(OR(BC58&lt;=TRUNC(BJ58/2,0),BC58=0),
        IF(BG58=TRUNC(BJ58/2,0),
            "-1, Déficit y dejo la capacidad media",
            IF(AND(BG58&gt;TRUNC(BJ58/2,0), BG58&gt;BC58),
                "1, Déficit y eliminé déficit",
                IF(AND(BG58&lt;TRUNC(BJ58/2,0), BG58&lt;BC58),
                    "0, Déficit y no elimine déficit",
                    "-2, Déficit y resultado fue bueno")
            )
        ),
        IF(AND(BG58&gt;TRUNC(BJ58/2,0), BG58&gt;BC58),
            "1, no había déficit, pero resultado fue mejor",
            IF(AND(BG58&lt;TRUNC(BJ58/2,0),BG58&lt;BC58),
                "0, no había déficit y la dejo con déficit",
                IF(BG58=TRUNC(BJ58/2,0),
                    "-1, no había déficit y dejo la capacidad media",
                    "-2,no había déficit y resultado fue bueno")
            )
        )
    ),
    IF(BH58&lt;0,
        IF(BC58&gt;TRUNC(BJ58/2,0),
            IF(BG58=TRUNC(BJ58/2,0),
                "-1, Superávit y deje la capacidad media",
                IF(AND(BG58&gt;TRUNC(BJ58/2,0), BG58&gt;=BC58),
                    "0, Superávit y no eliminé superávit",
                    IF(AND(BG58&lt;TRUNC(BJ58/2,0),BG58&lt;BC58),
                        "1, Superávit y eliminé superávit",
                        "-2, Superávit y resultado fue bueno"
                    )
                )
            ),
            IF(AND(BC58&lt;=TRUNC(BJ58/2,0),BC58&gt;=0),
                IF(BG58=TRUNC(BJ58/2,0),
                    "-1, no había superávit y deje la capacidad media",
                    IF(AND(BG58&gt;TRUNC(BJ58/2,0), BG58&gt;=BC58),
                        "0, no había superávit, y la deje con superávit",
                        IF(AND(BG58&lt;TRUNC(BJ58/2,0),BG58&lt;BC58),
                            "1, no había superávit, pero el resultado fue mejor",
                            "-2, no había superávit y resultado fue bueno"
                        )
                    )
                )
            )
        )
    )
)</f>
        <v>-2,no había déficit y resultado fue bueno</v>
      </c>
      <c r="BO58" s="30" t="s">
        <v>205</v>
      </c>
      <c r="BP58" s="30">
        <v>5</v>
      </c>
      <c r="BQ58" s="31">
        <v>1.6666666666666667</v>
      </c>
      <c r="BR58" s="29">
        <v>3</v>
      </c>
      <c r="BS58" s="29">
        <v>0</v>
      </c>
      <c r="BT58" s="30">
        <v>4</v>
      </c>
      <c r="BU58" s="30">
        <v>0.65757862978307635</v>
      </c>
      <c r="BV58" s="26" t="s">
        <v>319</v>
      </c>
      <c r="BW58" s="30">
        <v>7</v>
      </c>
      <c r="BX58" s="29">
        <f>IF(BR58&lt;=BP58,1,0)</f>
        <v>1</v>
      </c>
      <c r="BY58" s="29">
        <f>BR58-BP58</f>
        <v>-2</v>
      </c>
      <c r="BZ58" s="29" t="str">
        <f>IF(BU58&gt;0,
    IF(OR(BP58&lt;=TRUNC(BW58/2,0),BP58=0),
        IF(BT58=TRUNC(BW58/2,0),
            "-1, Déficit y dejo la capacidad media",
            IF(AND(BT58&gt;TRUNC(BW58/2,0), BT58&gt;BP58),
                "1, Déficit y eliminé déficit",
                IF(AND(BT58&lt;TRUNC(BW58/2,0), BT58&lt;BP58),
                    "0, Déficit y no elimine déficit",
                    "-2, Déficit y resultado fue bueno")
            )
        ),
        IF(AND(BT58&gt;TRUNC(BW58/2,0), BT58&gt;BP58),
            "1, no había déficit, pero resultado fue mejor",
            IF(AND(BT58&lt;TRUNC(BW58/2,0),BT58&lt;BP58),
                "0, no había déficit y la dejo con déficit",
                IF(BT58=TRUNC(BW58/2,0),
                    "-1, no había déficit y dejo la capacidad media",
                    "-2,no había déficit y resultado fue bueno")
            )
        )
    ),
    IF(BU58&lt;0,
        IF(BP58&gt;TRUNC(BW58/2,0),
            IF(BT58=TRUNC(BW58/2,0),
                "-1, Superávit y deje la capacidad media",
                IF(AND(BT58&gt;TRUNC(BW58/2,0), BT58&gt;=BP58),
                    "0, Superávit y no eliminé superávit",
                    IF(AND(BT58&lt;TRUNC(BW58/2,0),BT58&lt;BP58),
                        "1, Superávit y eliminé superávit",
                        "-2, Superávit y resultado fue bueno"
                    )
                )
            ),
            IF(AND(BP58&lt;=TRUNC(BW58/2,0),BP58&gt;=0),
                IF(BT58=TRUNC(BW58/2,0),
                    "-1, no había superávit y deje la capacidad media",
                    IF(AND(BT58&gt;TRUNC(BW58/2,0), BT58&gt;=BP58),
                        "0, no había superávit, y la deje con superávit",
                        IF(AND(BT58&lt;TRUNC(BW58/2,0),BT58&lt;BP58),
                            "1, no había superávit, pero el resultado fue mejor",
                            "-2, no había superávit y resultado fue bueno"
                        )
                    )
                )
            )
        )
    )
)</f>
        <v>-2,no había déficit y resultado fue bueno</v>
      </c>
      <c r="CB58" s="30" t="s">
        <v>205</v>
      </c>
      <c r="CC58" s="30">
        <v>1</v>
      </c>
      <c r="CD58" s="31">
        <v>1.2222222222222223</v>
      </c>
      <c r="CE58" s="29">
        <v>1</v>
      </c>
      <c r="CF58" s="29">
        <v>1</v>
      </c>
      <c r="CG58" s="30">
        <v>4</v>
      </c>
      <c r="CH58" s="30">
        <v>0.65757862978307635</v>
      </c>
      <c r="CI58" s="26" t="s">
        <v>319</v>
      </c>
      <c r="CJ58" s="30">
        <v>7</v>
      </c>
      <c r="CK58" s="29">
        <f>IF(CE58&lt;=CC58,1,0)</f>
        <v>1</v>
      </c>
      <c r="CL58" s="29">
        <f>CE58-CC58</f>
        <v>0</v>
      </c>
      <c r="CM58" s="29" t="str">
        <f>IF(CH58&gt;0,
    IF(OR(CC58&lt;=TRUNC(CJ58/2,0),CC58=0),
        IF(CG58=TRUNC(CJ58/2,0),
            "-1, Déficit y dejo la capacidad media",
            IF(AND(CG58&gt;TRUNC(CJ58/2,0), CG58&gt;CC58),
                "1, Déficit y eliminé déficit",
                IF(AND(CG58&lt;TRUNC(CJ58/2,0), CG58&lt;CC58),
                    "0, Déficit y no elimine déficit",
                    "-2, Déficit y resultado fue bueno")
            )
        ),
        IF(AND(CG58&gt;TRUNC(CJ58/2,0), CG58&gt;CC58),
            "1, no había déficit, pero resultado fue mejor",
            IF(AND(CG58&lt;TRUNC(CJ58/2,0),CG58&lt;CC58),
                "0, no había déficit y la dejo con déficit",
                IF(CG58=TRUNC(CJ58/2,0),
                    "-1, no había déficit y dejo la capacidad media",
                    "-2,no había déficit y resultado fue bueno")
            )
        )
    ),
    IF(CH58&lt;0,
        IF(CC58&gt;TRUNC(CJ58/2,0),
            IF(CG58=TRUNC(CJ58/2,0),
                "-1, Superávit y deje la capacidad media",
                IF(AND(CG58&gt;TRUNC(CJ58/2,0), CG58&gt;=CC58),
                    "0, Superávit y no eliminé superávit",
                    IF(AND(CG58&lt;TRUNC(CJ58/2,0),CG58&lt;CC58),
                        "1, Superávit y eliminé superávit",
                        "-2, Superávit y resultado fue bueno"
                    )
                )
            ),
            IF(AND(CC58&lt;=TRUNC(CJ58/2,0),CC58&gt;=0),
                IF(CG58=TRUNC(CJ58/2,0),
                    "-1, no había superávit y deje la capacidad media",
                    IF(AND(CG58&gt;TRUNC(CJ58/2,0), CG58&gt;=CC58),
                        "0, no había superávit, y la deje con superávit",
                        IF(AND(CG58&lt;TRUNC(CJ58/2,0),CG58&lt;CC58),
                            "1, no había superávit, pero el resultado fue mejor",
                            "-2, no había superávit y resultado fue bueno"
                        )
                    )
                )
            )
        )
    )
)</f>
        <v>1, Déficit y eliminé déficit</v>
      </c>
      <c r="CO58" s="30" t="s">
        <v>205</v>
      </c>
      <c r="CP58" s="30">
        <v>0</v>
      </c>
      <c r="CQ58" s="31">
        <v>1.5555555555555556</v>
      </c>
      <c r="CR58" s="29">
        <v>0</v>
      </c>
      <c r="CS58" s="29">
        <v>0</v>
      </c>
      <c r="CT58" s="30">
        <v>4</v>
      </c>
      <c r="CU58" s="30">
        <v>0.65757862978307635</v>
      </c>
      <c r="CV58" s="26" t="s">
        <v>319</v>
      </c>
      <c r="CW58" s="30">
        <v>7</v>
      </c>
      <c r="CX58" s="29">
        <f>IF(CR58&lt;=CP58,1,0)</f>
        <v>1</v>
      </c>
      <c r="CY58" s="29">
        <f>CR58-CP58</f>
        <v>0</v>
      </c>
      <c r="CZ58" s="29" t="str">
        <f>IF(CU58&gt;0,
    IF(OR(CP58&lt;=TRUNC(CW58/2,0),CP58=0),
        IF(CT58=TRUNC(CW58/2,0),
            "-1, Déficit y dejo la capacidad media",
            IF(AND(CT58&gt;TRUNC(CW58/2,0), CT58&gt;CP58),
                "1, Déficit y eliminé déficit",
                IF(AND(CT58&lt;TRUNC(CW58/2,0), CT58&lt;CP58),
                    "0, Déficit y no elimine déficit",
                    "-2, Déficit y resultado fue bueno")
            )
        ),
        IF(AND(CT58&gt;TRUNC(CW58/2,0), CT58&gt;CP58),
            "1, no había déficit, pero resultado fue mejor",
            IF(AND(CT58&lt;TRUNC(CW58/2,0),CT58&lt;CP58),
                "0, no había déficit y la dejo con déficit",
                IF(CT58=TRUNC(CW58/2,0),
                    "-1, no había déficit y dejo la capacidad media",
                    "-2,no había déficit y resultado fue bueno")
            )
        )
    ),
    IF(CU58&lt;0,
        IF(CP58&gt;TRUNC(CW58/2,0),
            IF(CT58=TRUNC(CW58/2,0),
                "-1, Superávit y deje la capacidad media",
                IF(AND(CT58&gt;TRUNC(CW58/2,0), CT58&gt;=CP58),
                    "0, Superávit y no eliminé superávit",
                    IF(AND(CT58&lt;TRUNC(CW58/2,0),CT58&lt;CP58),
                        "1, Superávit y eliminé superávit",
                        "-2, Superávit y resultado fue bueno"
                    )
                )
            ),
            IF(AND(CP58&lt;=TRUNC(CW58/2,0),CP58&gt;=0),
                IF(CT58=TRUNC(CW58/2,0),
                    "-1, no había superávit y deje la capacidad media",
                    IF(AND(CT58&gt;TRUNC(CW58/2,0), CT58&gt;=CP58),
                        "0, no había superávit, y la deje con superávit",
                        IF(AND(CT58&lt;TRUNC(CW58/2,0),CT58&lt;CP58),
                            "1, no había superávit, pero el resultado fue mejor",
                            "-2, no había superávit y resultado fue bueno"
                        )
                    )
                )
            )
        )
    )
)</f>
        <v>1, Déficit y eliminé déficit</v>
      </c>
    </row>
    <row r="59" spans="2:104" ht="14.25" customHeight="1" x14ac:dyDescent="0.3">
      <c r="B59" s="30" t="s">
        <v>215</v>
      </c>
      <c r="C59" s="29">
        <v>2</v>
      </c>
      <c r="D59" s="31">
        <v>6.8888888888888893</v>
      </c>
      <c r="E59" s="29">
        <v>1</v>
      </c>
      <c r="F59" s="29">
        <v>1</v>
      </c>
      <c r="G59" s="29">
        <v>13</v>
      </c>
      <c r="H59" s="30">
        <v>0.44467337167202509</v>
      </c>
      <c r="I59" s="26" t="s">
        <v>327</v>
      </c>
      <c r="J59" s="30">
        <v>23</v>
      </c>
      <c r="K59" s="29">
        <f>IF(E59&lt;=C59,1,0)</f>
        <v>1</v>
      </c>
      <c r="L59" s="29">
        <f>E59-C59</f>
        <v>-1</v>
      </c>
      <c r="M59" s="29" t="str">
        <f>IF(H59&gt;0,
    IF(OR(C59&lt;=TRUNC(J59/2,0),C59=0),
        IF(G59=TRUNC(J59/2,0),
            "-1, Déficit y dejo la capacidad media",
            IF(AND(G59&gt;TRUNC(J59/2,0), G59&gt;C59),
                "1, Déficit y eliminé déficit",
                IF(AND(G59&lt;TRUNC(J59/2,0), G59&lt;C59),
                    "0, Déficit y no elimine déficit",
                    "-2, Déficit y resultado fue bueno")
            )
        ),
        IF(AND(G59&gt;TRUNC(J59/2,0), G59&gt;C59),
            "1, no había déficit, pero resultado fue mejor",
            IF(AND(G59&lt;TRUNC(J59/2,0),G59&lt;C59),
                "0, no había déficit y la dejo con déficit",
                IF(G59=TRUNC(J59/2,0),
                    "-1, no había déficit y dejo la capacidad media",
                    "-2,no había déficit y resultado fue bueno")
            )
        )
    ),
    IF(H59&lt;0,
        IF(C59&gt;TRUNC(J59/2,0),
            IF(G59=TRUNC(J59/2,0),
                "-1, Superávit y deje la capacidad media",
                IF(AND(G59&gt;TRUNC(J59/2,0), G59&gt;=C59),
                    "0, Superávit y no eliminé superávit",
                    IF(AND(G59&lt;TRUNC(J59/2,0),G59&lt;C59),
                        "1, Superávit y eliminé superávit",
                        "-2, Superávit y resultado fue bueno"
                    )
                )
            ),
            IF(AND(C59&lt;=TRUNC(J59/2,0),C59&gt;=0),
                IF(G59=TRUNC(J59/2,0),
                    "-1, no había superávit y deje la capacidad media",
                    IF(AND(G59&gt;TRUNC(J59/2,0), G59&gt;=C59),
                        "0, no había superávit, y la deje con superávit",
                        IF(AND(G59&lt;TRUNC(J59/2,0),G59&lt;C59),
                            "1, no había superávit, pero el resultado fue mejor",
                            "-2, no había superávit y resultado fue bueno"
                        )
                    )
                )
            )
        )
    )
)</f>
        <v>1, Déficit y eliminé déficit</v>
      </c>
      <c r="O59" s="30" t="s">
        <v>215</v>
      </c>
      <c r="P59" s="30">
        <v>2</v>
      </c>
      <c r="Q59" s="31">
        <v>5</v>
      </c>
      <c r="R59" s="29">
        <v>2</v>
      </c>
      <c r="S59" s="29">
        <v>2</v>
      </c>
      <c r="T59" s="30">
        <v>8</v>
      </c>
      <c r="U59" s="30">
        <v>0.44467337167202509</v>
      </c>
      <c r="V59" s="26" t="s">
        <v>327</v>
      </c>
      <c r="W59" s="30">
        <v>23</v>
      </c>
      <c r="X59" s="29">
        <f>IF(R59&lt;=P59,1,0)</f>
        <v>1</v>
      </c>
      <c r="Y59" s="29">
        <f>R59-P59</f>
        <v>0</v>
      </c>
      <c r="Z59" s="29" t="str">
        <f>IF(U59&gt;0,
    IF(OR(P59&lt;=TRUNC(W59/2,0),P59=0),
        IF(T59=TRUNC(W59/2,0),
            "-1, Déficit y dejo la capacidad media",
            IF(AND(T59&gt;TRUNC(W59/2,0), T59&gt;P59),
                "1, Déficit y eliminé déficit",
                IF(AND(T59&lt;TRUNC(W59/2,0), T59&lt;P59),
                    "0, Déficit y no elimine déficit",
                    "-2, Déficit y resultado fue bueno")
            )
        ),
        IF(AND(T59&gt;TRUNC(W59/2,0), T59&gt;P59),
            "1, no había déficit, pero resultado fue mejor",
            IF(AND(T59&lt;TRUNC(W59/2,0),T59&lt;P59),
                "0, no había déficit y la dejo con déficit",
                IF(T59=TRUNC(W59/2,0),
                    "-1, no había déficit y dejo la capacidad media",
                    "-2,no había déficit y resultado fue bueno")
            )
        )
    ),
    IF(U59&lt;0,
        IF(P59&gt;TRUNC(W59/2,0),
            IF(T59=TRUNC(W59/2,0),
                "-1, Superávit y deje la capacidad media",
                IF(AND(T59&gt;TRUNC(W59/2,0), T59&gt;=P59),
                    "0, Superávit y no eliminé superávit",
                    IF(AND(T59&lt;TRUNC(W59/2,0),T59&lt;P59),
                        "1, Superávit y eliminé superávit",
                        "-2, Superávit y resultado fue bueno"
                    )
                )
            ),
            IF(AND(P59&lt;=TRUNC(W59/2,0),P59&gt;=0),
                IF(T59=TRUNC(W59/2,0),
                    "-1, no había superávit y deje la capacidad media",
                    IF(AND(T59&gt;TRUNC(W59/2,0), T59&gt;=P59),
                        "0, no había superávit, y la deje con superávit",
                        IF(AND(T59&lt;TRUNC(W59/2,0),T59&lt;P59),
                            "1, no había superávit, pero el resultado fue mejor",
                            "-2, no había superávit y resultado fue bueno"
                        )
                    )
                )
            )
        )
    )
)</f>
        <v>-2, Déficit y resultado fue bueno</v>
      </c>
      <c r="AB59" s="2" t="s">
        <v>215</v>
      </c>
      <c r="AC59" s="2">
        <v>2</v>
      </c>
      <c r="AD59" s="7">
        <v>9.3333333333333339</v>
      </c>
      <c r="AE59" s="3">
        <v>1</v>
      </c>
      <c r="AF59" s="3">
        <v>1</v>
      </c>
      <c r="AG59" s="2">
        <v>8</v>
      </c>
      <c r="AH59" s="11">
        <v>0.44467337167202509</v>
      </c>
      <c r="AI59" s="26" t="s">
        <v>327</v>
      </c>
      <c r="AJ59" s="22">
        <v>23</v>
      </c>
      <c r="AK59" s="29">
        <f>IF(AE59&lt;=AC59,1,0)</f>
        <v>1</v>
      </c>
      <c r="AL59" s="29">
        <f>AE59-AC59</f>
        <v>-1</v>
      </c>
      <c r="AM59" s="29" t="str">
        <f>IF(AH59&gt;0,
    IF(OR(AC59&lt;=TRUNC(AJ59/2,0),AC59=0),
        IF(AG59=TRUNC(AJ59/2,0),
            "-1, Déficit y dejo la capacidad media",
            IF(AND(AG59&gt;TRUNC(AJ59/2,0), AG59&gt;AC59),
                "1, Déficit y eliminé déficit",
                IF(AND(AG59&lt;TRUNC(AJ59/2,0), AG59&lt;AC59),
                    "0, Déficit y no elimine déficit",
                    "-2, Déficit y resultado fue bueno")
            )
        ),
        IF(AND(AG59&gt;TRUNC(AJ59/2,0), AG59&gt;AC59),
            "1, no había déficit, pero resultado fue mejor",
            IF(AND(AG59&lt;TRUNC(AJ59/2,0),AG59&lt;AC59),
                "0, no había déficit y la dejo con déficit",
                IF(AG59=TRUNC(AJ59/2,0),
                    "-1, no había déficit y dejo la capacidad media",
                    "-2,no había déficit y resultado fue bueno")
            )
        )
    ),
    IF(AH59&lt;0,
        IF(AC59&gt;TRUNC(AJ59/2,0),
            IF(AG59=TRUNC(AJ59/2,0),
                "-1, Superávit y deje la capacidad media",
                IF(AND(AG59&gt;TRUNC(AJ59/2,0), AG59&gt;=AC59),
                    "0, Superávit y no eliminé superávit",
                    IF(AND(AG59&lt;TRUNC(AJ59/2,0),AG59&lt;AC59),
                        "1, Superávit y eliminé superávit",
                        "-2, Superávit y resultado fue bueno"
                    )
                )
            ),
            IF(AND(AC59&lt;=TRUNC(AJ59/2,0),AC59&gt;=0),
                IF(AG59=TRUNC(AJ59/2,0),
                    "-1, no había superávit y deje la capacidad media",
                    IF(AND(AG59&gt;TRUNC(AJ59/2,0), AG59&gt;=AC59),
                        "0, no había superávit, y la deje con superávit",
                        IF(AND(AG59&lt;TRUNC(AJ59/2,0),AG59&lt;AC59),
                            "1, no había superávit, pero el resultado fue mejor",
                            "-2, no había superávit y resultado fue bueno"
                        )
                    )
                )
            )
        )
    )
)</f>
        <v>-2, Déficit y resultado fue bueno</v>
      </c>
      <c r="AO59" s="30" t="s">
        <v>215</v>
      </c>
      <c r="AP59" s="30">
        <v>6</v>
      </c>
      <c r="AQ59" s="31">
        <v>8.8888888888888893</v>
      </c>
      <c r="AR59" s="29">
        <v>0</v>
      </c>
      <c r="AS59" s="29">
        <v>0</v>
      </c>
      <c r="AT59" s="30">
        <v>8</v>
      </c>
      <c r="AU59" s="30">
        <v>0.44467337167202509</v>
      </c>
      <c r="AV59" s="26" t="s">
        <v>327</v>
      </c>
      <c r="AW59" s="30">
        <v>23</v>
      </c>
      <c r="AX59" s="29">
        <f>IF(AR59&lt;=AP59,1,0)</f>
        <v>1</v>
      </c>
      <c r="AY59" s="29">
        <f>AR59-AP59</f>
        <v>-6</v>
      </c>
      <c r="AZ59" s="29" t="str">
        <f>IF(AU59&gt;0,
    IF(OR(AP59&lt;=TRUNC(AW59/2,0),AP59=0),
        IF(AT59=TRUNC(AW59/2,0),
            "-1, Déficit y dejo la capacidad media",
            IF(AND(AT59&gt;TRUNC(AW59/2,0), AT59&gt;AP59),
                "1, Déficit y eliminé déficit",
                IF(AND(AT59&lt;TRUNC(AW59/2,0), AT59&lt;AP59),
                    "0, Déficit y no elimine déficit",
                    "-2, Déficit y resultado fue bueno")
            )
        ),
        IF(AND(AT59&gt;TRUNC(AW59/2,0), AT59&gt;AP59),
            "1, no había déficit, pero resultado fue mejor",
            IF(AND(AT59&lt;TRUNC(AW59/2,0),AT59&lt;AP59),
                "0, no había déficit y la dejo con déficit",
                IF(AT59=TRUNC(AW59/2,0),
                    "-1, no había déficit y dejo la capacidad media",
                    "-2,no había déficit y resultado fue bueno")
            )
        )
    ),
    IF(AU59&lt;0,
        IF(AP59&gt;TRUNC(AW59/2,0),
            IF(AT59=TRUNC(AW59/2,0),
                "-1, Superávit y deje la capacidad media",
                IF(AND(AT59&gt;TRUNC(AW59/2,0), AT59&gt;=AP59),
                    "0, Superávit y no eliminé superávit",
                    IF(AND(AT59&lt;TRUNC(AW59/2,0),AT59&lt;AP59),
                        "1, Superávit y eliminé superávit",
                        "-2, Superávit y resultado fue bueno"
                    )
                )
            ),
            IF(AND(AP59&lt;=TRUNC(AW59/2,0),AP59&gt;=0),
                IF(AT59=TRUNC(AW59/2,0),
                    "-1, no había superávit y deje la capacidad media",
                    IF(AND(AT59&gt;TRUNC(AW59/2,0), AT59&gt;=AP59),
                        "0, no había superávit, y la deje con superávit",
                        IF(AND(AT59&lt;TRUNC(AW59/2,0),AT59&lt;AP59),
                            "1, no había superávit, pero el resultado fue mejor",
                            "-2, no había superávit y resultado fue bueno"
                        )
                    )
                )
            )
        )
    )
)</f>
        <v>-2, Déficit y resultado fue bueno</v>
      </c>
      <c r="BB59" s="30" t="s">
        <v>215</v>
      </c>
      <c r="BC59" s="30">
        <v>1</v>
      </c>
      <c r="BD59" s="31">
        <v>9.6666666666666661</v>
      </c>
      <c r="BE59" s="29">
        <v>0</v>
      </c>
      <c r="BF59" s="29">
        <v>0</v>
      </c>
      <c r="BG59" s="30">
        <v>9</v>
      </c>
      <c r="BH59" s="30">
        <v>0.44467337167202509</v>
      </c>
      <c r="BI59" s="26" t="s">
        <v>327</v>
      </c>
      <c r="BJ59" s="30">
        <v>23</v>
      </c>
      <c r="BK59" s="29">
        <f>IF(BE59&lt;=BC59,1,0)</f>
        <v>1</v>
      </c>
      <c r="BL59" s="29">
        <f>BE59-BC59</f>
        <v>-1</v>
      </c>
      <c r="BM59" s="29" t="str">
        <f>IF(BH59&gt;0,
    IF(OR(BC59&lt;=TRUNC(BJ59/2,0),BC59=0),
        IF(BG59=TRUNC(BJ59/2,0),
            "-1, Déficit y dejo la capacidad media",
            IF(AND(BG59&gt;TRUNC(BJ59/2,0), BG59&gt;BC59),
                "1, Déficit y eliminé déficit",
                IF(AND(BG59&lt;TRUNC(BJ59/2,0), BG59&lt;BC59),
                    "0, Déficit y no elimine déficit",
                    "-2, Déficit y resultado fue bueno")
            )
        ),
        IF(AND(BG59&gt;TRUNC(BJ59/2,0), BG59&gt;BC59),
            "1, no había déficit, pero resultado fue mejor",
            IF(AND(BG59&lt;TRUNC(BJ59/2,0),BG59&lt;BC59),
                "0, no había déficit y la dejo con déficit",
                IF(BG59=TRUNC(BJ59/2,0),
                    "-1, no había déficit y dejo la capacidad media",
                    "-2,no había déficit y resultado fue bueno")
            )
        )
    ),
    IF(BH59&lt;0,
        IF(BC59&gt;TRUNC(BJ59/2,0),
            IF(BG59=TRUNC(BJ59/2,0),
                "-1, Superávit y deje la capacidad media",
                IF(AND(BG59&gt;TRUNC(BJ59/2,0), BG59&gt;=BC59),
                    "0, Superávit y no eliminé superávit",
                    IF(AND(BG59&lt;TRUNC(BJ59/2,0),BG59&lt;BC59),
                        "1, Superávit y eliminé superávit",
                        "-2, Superávit y resultado fue bueno"
                    )
                )
            ),
            IF(AND(BC59&lt;=TRUNC(BJ59/2,0),BC59&gt;=0),
                IF(BG59=TRUNC(BJ59/2,0),
                    "-1, no había superávit y deje la capacidad media",
                    IF(AND(BG59&gt;TRUNC(BJ59/2,0), BG59&gt;=BC59),
                        "0, no había superávit, y la deje con superávit",
                        IF(AND(BG59&lt;TRUNC(BJ59/2,0),BG59&lt;BC59),
                            "1, no había superávit, pero el resultado fue mejor",
                            "-2, no había superávit y resultado fue bueno"
                        )
                    )
                )
            )
        )
    )
)</f>
        <v>-2, Déficit y resultado fue bueno</v>
      </c>
      <c r="BO59" s="30" t="s">
        <v>215</v>
      </c>
      <c r="BP59" s="30">
        <v>2</v>
      </c>
      <c r="BQ59" s="31">
        <v>7.1111111111111107</v>
      </c>
      <c r="BR59" s="29">
        <v>0</v>
      </c>
      <c r="BS59" s="29">
        <v>0</v>
      </c>
      <c r="BT59" s="30">
        <v>8</v>
      </c>
      <c r="BU59" s="30">
        <v>0.44467337167202509</v>
      </c>
      <c r="BV59" s="26" t="s">
        <v>327</v>
      </c>
      <c r="BW59" s="30">
        <v>23</v>
      </c>
      <c r="BX59" s="29">
        <f>IF(BR59&lt;=BP59,1,0)</f>
        <v>1</v>
      </c>
      <c r="BY59" s="29">
        <f>BR59-BP59</f>
        <v>-2</v>
      </c>
      <c r="BZ59" s="29" t="str">
        <f>IF(BU59&gt;0,
    IF(OR(BP59&lt;=TRUNC(BW59/2,0),BP59=0),
        IF(BT59=TRUNC(BW59/2,0),
            "-1, Déficit y dejo la capacidad media",
            IF(AND(BT59&gt;TRUNC(BW59/2,0), BT59&gt;BP59),
                "1, Déficit y eliminé déficit",
                IF(AND(BT59&lt;TRUNC(BW59/2,0), BT59&lt;BP59),
                    "0, Déficit y no elimine déficit",
                    "-2, Déficit y resultado fue bueno")
            )
        ),
        IF(AND(BT59&gt;TRUNC(BW59/2,0), BT59&gt;BP59),
            "1, no había déficit, pero resultado fue mejor",
            IF(AND(BT59&lt;TRUNC(BW59/2,0),BT59&lt;BP59),
                "0, no había déficit y la dejo con déficit",
                IF(BT59=TRUNC(BW59/2,0),
                    "-1, no había déficit y dejo la capacidad media",
                    "-2,no había déficit y resultado fue bueno")
            )
        )
    ),
    IF(BU59&lt;0,
        IF(BP59&gt;TRUNC(BW59/2,0),
            IF(BT59=TRUNC(BW59/2,0),
                "-1, Superávit y deje la capacidad media",
                IF(AND(BT59&gt;TRUNC(BW59/2,0), BT59&gt;=BP59),
                    "0, Superávit y no eliminé superávit",
                    IF(AND(BT59&lt;TRUNC(BW59/2,0),BT59&lt;BP59),
                        "1, Superávit y eliminé superávit",
                        "-2, Superávit y resultado fue bueno"
                    )
                )
            ),
            IF(AND(BP59&lt;=TRUNC(BW59/2,0),BP59&gt;=0),
                IF(BT59=TRUNC(BW59/2,0),
                    "-1, no había superávit y deje la capacidad media",
                    IF(AND(BT59&gt;TRUNC(BW59/2,0), BT59&gt;=BP59),
                        "0, no había superávit, y la deje con superávit",
                        IF(AND(BT59&lt;TRUNC(BW59/2,0),BT59&lt;BP59),
                            "1, no había superávit, pero el resultado fue mejor",
                            "-2, no había superávit y resultado fue bueno"
                        )
                    )
                )
            )
        )
    )
)</f>
        <v>-2, Déficit y resultado fue bueno</v>
      </c>
      <c r="CB59" s="30" t="s">
        <v>215</v>
      </c>
      <c r="CC59" s="30">
        <v>2</v>
      </c>
      <c r="CD59" s="31">
        <v>7.5555555555555554</v>
      </c>
      <c r="CE59" s="29">
        <v>2</v>
      </c>
      <c r="CF59" s="29">
        <v>2</v>
      </c>
      <c r="CG59" s="30">
        <v>8</v>
      </c>
      <c r="CH59" s="30">
        <v>0.44467337167202509</v>
      </c>
      <c r="CI59" s="26" t="s">
        <v>327</v>
      </c>
      <c r="CJ59" s="30">
        <v>23</v>
      </c>
      <c r="CK59" s="29">
        <f>IF(CE59&lt;=CC59,1,0)</f>
        <v>1</v>
      </c>
      <c r="CL59" s="29">
        <f>CE59-CC59</f>
        <v>0</v>
      </c>
      <c r="CM59" s="29" t="str">
        <f>IF(CH59&gt;0,
    IF(OR(CC59&lt;=TRUNC(CJ59/2,0),CC59=0),
        IF(CG59=TRUNC(CJ59/2,0),
            "-1, Déficit y dejo la capacidad media",
            IF(AND(CG59&gt;TRUNC(CJ59/2,0), CG59&gt;CC59),
                "1, Déficit y eliminé déficit",
                IF(AND(CG59&lt;TRUNC(CJ59/2,0), CG59&lt;CC59),
                    "0, Déficit y no elimine déficit",
                    "-2, Déficit y resultado fue bueno")
            )
        ),
        IF(AND(CG59&gt;TRUNC(CJ59/2,0), CG59&gt;CC59),
            "1, no había déficit, pero resultado fue mejor",
            IF(AND(CG59&lt;TRUNC(CJ59/2,0),CG59&lt;CC59),
                "0, no había déficit y la dejo con déficit",
                IF(CG59=TRUNC(CJ59/2,0),
                    "-1, no había déficit y dejo la capacidad media",
                    "-2,no había déficit y resultado fue bueno")
            )
        )
    ),
    IF(CH59&lt;0,
        IF(CC59&gt;TRUNC(CJ59/2,0),
            IF(CG59=TRUNC(CJ59/2,0),
                "-1, Superávit y deje la capacidad media",
                IF(AND(CG59&gt;TRUNC(CJ59/2,0), CG59&gt;=CC59),
                    "0, Superávit y no eliminé superávit",
                    IF(AND(CG59&lt;TRUNC(CJ59/2,0),CG59&lt;CC59),
                        "1, Superávit y eliminé superávit",
                        "-2, Superávit y resultado fue bueno"
                    )
                )
            ),
            IF(AND(CC59&lt;=TRUNC(CJ59/2,0),CC59&gt;=0),
                IF(CG59=TRUNC(CJ59/2,0),
                    "-1, no había superávit y deje la capacidad media",
                    IF(AND(CG59&gt;TRUNC(CJ59/2,0), CG59&gt;=CC59),
                        "0, no había superávit, y la deje con superávit",
                        IF(AND(CG59&lt;TRUNC(CJ59/2,0),CG59&lt;CC59),
                            "1, no había superávit, pero el resultado fue mejor",
                            "-2, no había superávit y resultado fue bueno"
                        )
                    )
                )
            )
        )
    )
)</f>
        <v>-2, Déficit y resultado fue bueno</v>
      </c>
      <c r="CO59" s="30" t="s">
        <v>215</v>
      </c>
      <c r="CP59" s="30">
        <v>6</v>
      </c>
      <c r="CQ59" s="31">
        <v>6.8888888888888893</v>
      </c>
      <c r="CR59" s="29">
        <v>6</v>
      </c>
      <c r="CS59" s="29">
        <v>10</v>
      </c>
      <c r="CT59" s="30">
        <v>8</v>
      </c>
      <c r="CU59" s="30">
        <v>0.44467337167202509</v>
      </c>
      <c r="CV59" s="26" t="s">
        <v>327</v>
      </c>
      <c r="CW59" s="30">
        <v>23</v>
      </c>
      <c r="CX59" s="29">
        <f>IF(CR59&lt;=CP59,1,0)</f>
        <v>1</v>
      </c>
      <c r="CY59" s="29">
        <f>CR59-CP59</f>
        <v>0</v>
      </c>
      <c r="CZ59" s="29" t="str">
        <f>IF(CU59&gt;0,
    IF(OR(CP59&lt;=TRUNC(CW59/2,0),CP59=0),
        IF(CT59=TRUNC(CW59/2,0),
            "-1, Déficit y dejo la capacidad media",
            IF(AND(CT59&gt;TRUNC(CW59/2,0), CT59&gt;CP59),
                "1, Déficit y eliminé déficit",
                IF(AND(CT59&lt;TRUNC(CW59/2,0), CT59&lt;CP59),
                    "0, Déficit y no elimine déficit",
                    "-2, Déficit y resultado fue bueno")
            )
        ),
        IF(AND(CT59&gt;TRUNC(CW59/2,0), CT59&gt;CP59),
            "1, no había déficit, pero resultado fue mejor",
            IF(AND(CT59&lt;TRUNC(CW59/2,0),CT59&lt;CP59),
                "0, no había déficit y la dejo con déficit",
                IF(CT59=TRUNC(CW59/2,0),
                    "-1, no había déficit y dejo la capacidad media",
                    "-2,no había déficit y resultado fue bueno")
            )
        )
    ),
    IF(CU59&lt;0,
        IF(CP59&gt;TRUNC(CW59/2,0),
            IF(CT59=TRUNC(CW59/2,0),
                "-1, Superávit y deje la capacidad media",
                IF(AND(CT59&gt;TRUNC(CW59/2,0), CT59&gt;=CP59),
                    "0, Superávit y no eliminé superávit",
                    IF(AND(CT59&lt;TRUNC(CW59/2,0),CT59&lt;CP59),
                        "1, Superávit y eliminé superávit",
                        "-2, Superávit y resultado fue bueno"
                    )
                )
            ),
            IF(AND(CP59&lt;=TRUNC(CW59/2,0),CP59&gt;=0),
                IF(CT59=TRUNC(CW59/2,0),
                    "-1, no había superávit y deje la capacidad media",
                    IF(AND(CT59&gt;TRUNC(CW59/2,0), CT59&gt;=CP59),
                        "0, no había superávit, y la deje con superávit",
                        IF(AND(CT59&lt;TRUNC(CW59/2,0),CT59&lt;CP59),
                            "1, no había superávit, pero el resultado fue mejor",
                            "-2, no había superávit y resultado fue bueno"
                        )
                    )
                )
            )
        )
    )
)</f>
        <v>-2, Déficit y resultado fue bueno</v>
      </c>
    </row>
    <row r="60" spans="2:104" ht="14.25" customHeight="1" x14ac:dyDescent="0.3">
      <c r="B60" s="30" t="s">
        <v>218</v>
      </c>
      <c r="C60" s="29">
        <v>0</v>
      </c>
      <c r="D60" s="31">
        <v>7</v>
      </c>
      <c r="E60" s="29">
        <v>0</v>
      </c>
      <c r="F60" s="29">
        <v>0</v>
      </c>
      <c r="G60" s="29">
        <v>9</v>
      </c>
      <c r="H60" s="30">
        <v>0.28220965544261112</v>
      </c>
      <c r="I60" s="26" t="s">
        <v>326</v>
      </c>
      <c r="J60" s="30">
        <v>23</v>
      </c>
      <c r="K60" s="29">
        <f>IF(E60&lt;=C60,1,0)</f>
        <v>1</v>
      </c>
      <c r="L60" s="29">
        <f>E60-C60</f>
        <v>0</v>
      </c>
      <c r="M60" s="29" t="str">
        <f>IF(H60&gt;0,
    IF(OR(C60&lt;=TRUNC(J60/2,0),C60=0),
        IF(G60=TRUNC(J60/2,0),
            "-1, Déficit y dejo la capacidad media",
            IF(AND(G60&gt;TRUNC(J60/2,0), G60&gt;C60),
                "1, Déficit y eliminé déficit",
                IF(AND(G60&lt;TRUNC(J60/2,0), G60&lt;C60),
                    "0, Déficit y no elimine déficit",
                    "-2, Déficit y resultado fue bueno")
            )
        ),
        IF(AND(G60&gt;TRUNC(J60/2,0), G60&gt;C60),
            "1, no había déficit, pero resultado fue mejor",
            IF(AND(G60&lt;TRUNC(J60/2,0),G60&lt;C60),
                "0, no había déficit y la dejo con déficit",
                IF(G60=TRUNC(J60/2,0),
                    "-1, no había déficit y dejo la capacidad media",
                    "-2,no había déficit y resultado fue bueno")
            )
        )
    ),
    IF(H60&lt;0,
        IF(C60&gt;TRUNC(J60/2,0),
            IF(G60=TRUNC(J60/2,0),
                "-1, Superávit y deje la capacidad media",
                IF(AND(G60&gt;TRUNC(J60/2,0), G60&gt;=C60),
                    "0, Superávit y no eliminé superávit",
                    IF(AND(G60&lt;TRUNC(J60/2,0),G60&lt;C60),
                        "1, Superávit y eliminé superávit",
                        "-2, Superávit y resultado fue bueno"
                    )
                )
            ),
            IF(AND(C60&lt;=TRUNC(J60/2,0),C60&gt;=0),
                IF(G60=TRUNC(J60/2,0),
                    "-1, no había superávit y deje la capacidad media",
                    IF(AND(G60&gt;TRUNC(J60/2,0), G60&gt;=C60),
                        "0, no había superávit, y la deje con superávit",
                        IF(AND(G60&lt;TRUNC(J60/2,0),G60&lt;C60),
                            "1, no había superávit, pero el resultado fue mejor",
                            "-2, no había superávit y resultado fue bueno"
                        )
                    )
                )
            )
        )
    )
)</f>
        <v>-2, Déficit y resultado fue bueno</v>
      </c>
      <c r="O60" s="30" t="s">
        <v>218</v>
      </c>
      <c r="P60" s="30">
        <v>0</v>
      </c>
      <c r="Q60" s="31">
        <v>6.2222222222222223</v>
      </c>
      <c r="R60" s="29">
        <v>0</v>
      </c>
      <c r="S60" s="29">
        <v>0</v>
      </c>
      <c r="T60" s="30">
        <v>9</v>
      </c>
      <c r="U60" s="30">
        <v>0.28220965544261112</v>
      </c>
      <c r="V60" s="26" t="s">
        <v>326</v>
      </c>
      <c r="W60" s="30">
        <v>23</v>
      </c>
      <c r="X60" s="29">
        <f>IF(R60&lt;=P60,1,0)</f>
        <v>1</v>
      </c>
      <c r="Y60" s="29">
        <f>R60-P60</f>
        <v>0</v>
      </c>
      <c r="Z60" s="29" t="str">
        <f>IF(U60&gt;0,
    IF(OR(P60&lt;=TRUNC(W60/2,0),P60=0),
        IF(T60=TRUNC(W60/2,0),
            "-1, Déficit y dejo la capacidad media",
            IF(AND(T60&gt;TRUNC(W60/2,0), T60&gt;P60),
                "1, Déficit y eliminé déficit",
                IF(AND(T60&lt;TRUNC(W60/2,0), T60&lt;P60),
                    "0, Déficit y no elimine déficit",
                    "-2, Déficit y resultado fue bueno")
            )
        ),
        IF(AND(T60&gt;TRUNC(W60/2,0), T60&gt;P60),
            "1, no había déficit, pero resultado fue mejor",
            IF(AND(T60&lt;TRUNC(W60/2,0),T60&lt;P60),
                "0, no había déficit y la dejo con déficit",
                IF(T60=TRUNC(W60/2,0),
                    "-1, no había déficit y dejo la capacidad media",
                    "-2,no había déficit y resultado fue bueno")
            )
        )
    ),
    IF(U60&lt;0,
        IF(P60&gt;TRUNC(W60/2,0),
            IF(T60=TRUNC(W60/2,0),
                "-1, Superávit y deje la capacidad media",
                IF(AND(T60&gt;TRUNC(W60/2,0), T60&gt;=P60),
                    "0, Superávit y no eliminé superávit",
                    IF(AND(T60&lt;TRUNC(W60/2,0),T60&lt;P60),
                        "1, Superávit y eliminé superávit",
                        "-2, Superávit y resultado fue bueno"
                    )
                )
            ),
            IF(AND(P60&lt;=TRUNC(W60/2,0),P60&gt;=0),
                IF(T60=TRUNC(W60/2,0),
                    "-1, no había superávit y deje la capacidad media",
                    IF(AND(T60&gt;TRUNC(W60/2,0), T60&gt;=P60),
                        "0, no había superávit, y la deje con superávit",
                        IF(AND(T60&lt;TRUNC(W60/2,0),T60&lt;P60),
                            "1, no había superávit, pero el resultado fue mejor",
                            "-2, no había superávit y resultado fue bueno"
                        )
                    )
                )
            )
        )
    )
)</f>
        <v>-2, Déficit y resultado fue bueno</v>
      </c>
      <c r="AB60" s="2" t="s">
        <v>218</v>
      </c>
      <c r="AC60" s="2">
        <v>5</v>
      </c>
      <c r="AD60" s="7">
        <v>11.555555555555555</v>
      </c>
      <c r="AE60" s="3">
        <v>4</v>
      </c>
      <c r="AF60" s="3">
        <v>5</v>
      </c>
      <c r="AG60" s="2">
        <v>9</v>
      </c>
      <c r="AH60" s="11">
        <v>0.28220965544261112</v>
      </c>
      <c r="AI60" s="26" t="s">
        <v>326</v>
      </c>
      <c r="AJ60" s="22">
        <v>23</v>
      </c>
      <c r="AK60" s="29">
        <f>IF(AE60&lt;=AC60,1,0)</f>
        <v>1</v>
      </c>
      <c r="AL60" s="29">
        <f>AE60-AC60</f>
        <v>-1</v>
      </c>
      <c r="AM60" s="29" t="str">
        <f>IF(AH60&gt;0,
    IF(OR(AC60&lt;=TRUNC(AJ60/2,0),AC60=0),
        IF(AG60=TRUNC(AJ60/2,0),
            "-1, Déficit y dejo la capacidad media",
            IF(AND(AG60&gt;TRUNC(AJ60/2,0), AG60&gt;AC60),
                "1, Déficit y eliminé déficit",
                IF(AND(AG60&lt;TRUNC(AJ60/2,0), AG60&lt;AC60),
                    "0, Déficit y no elimine déficit",
                    "-2, Déficit y resultado fue bueno")
            )
        ),
        IF(AND(AG60&gt;TRUNC(AJ60/2,0), AG60&gt;AC60),
            "1, no había déficit, pero resultado fue mejor",
            IF(AND(AG60&lt;TRUNC(AJ60/2,0),AG60&lt;AC60),
                "0, no había déficit y la dejo con déficit",
                IF(AG60=TRUNC(AJ60/2,0),
                    "-1, no había déficit y dejo la capacidad media",
                    "-2,no había déficit y resultado fue bueno")
            )
        )
    ),
    IF(AH60&lt;0,
        IF(AC60&gt;TRUNC(AJ60/2,0),
            IF(AG60=TRUNC(AJ60/2,0),
                "-1, Superávit y deje la capacidad media",
                IF(AND(AG60&gt;TRUNC(AJ60/2,0), AG60&gt;=AC60),
                    "0, Superávit y no eliminé superávit",
                    IF(AND(AG60&lt;TRUNC(AJ60/2,0),AG60&lt;AC60),
                        "1, Superávit y eliminé superávit",
                        "-2, Superávit y resultado fue bueno"
                    )
                )
            ),
            IF(AND(AC60&lt;=TRUNC(AJ60/2,0),AC60&gt;=0),
                IF(AG60=TRUNC(AJ60/2,0),
                    "-1, no había superávit y deje la capacidad media",
                    IF(AND(AG60&gt;TRUNC(AJ60/2,0), AG60&gt;=AC60),
                        "0, no había superávit, y la deje con superávit",
                        IF(AND(AG60&lt;TRUNC(AJ60/2,0),AG60&lt;AC60),
                            "1, no había superávit, pero el resultado fue mejor",
                            "-2, no había superávit y resultado fue bueno"
                        )
                    )
                )
            )
        )
    )
)</f>
        <v>-2, Déficit y resultado fue bueno</v>
      </c>
      <c r="AO60" s="30" t="s">
        <v>218</v>
      </c>
      <c r="AP60" s="30">
        <v>13</v>
      </c>
      <c r="AQ60" s="31">
        <v>9.2222222222222214</v>
      </c>
      <c r="AR60" s="29">
        <v>9</v>
      </c>
      <c r="AS60" s="29">
        <v>8</v>
      </c>
      <c r="AT60" s="30">
        <v>9</v>
      </c>
      <c r="AU60" s="30">
        <v>0.28220965544261112</v>
      </c>
      <c r="AV60" s="26" t="s">
        <v>326</v>
      </c>
      <c r="AW60" s="30">
        <v>23</v>
      </c>
      <c r="AX60" s="29">
        <f>IF(AR60&lt;=AP60,1,0)</f>
        <v>1</v>
      </c>
      <c r="AY60" s="29">
        <f>AR60-AP60</f>
        <v>-4</v>
      </c>
      <c r="AZ60" s="29" t="str">
        <f>IF(AU60&gt;0,
    IF(OR(AP60&lt;=TRUNC(AW60/2,0),AP60=0),
        IF(AT60=TRUNC(AW60/2,0),
            "-1, Déficit y dejo la capacidad media",
            IF(AND(AT60&gt;TRUNC(AW60/2,0), AT60&gt;AP60),
                "1, Déficit y eliminé déficit",
                IF(AND(AT60&lt;TRUNC(AW60/2,0), AT60&lt;AP60),
                    "0, Déficit y no elimine déficit",
                    "-2, Déficit y resultado fue bueno")
            )
        ),
        IF(AND(AT60&gt;TRUNC(AW60/2,0), AT60&gt;AP60),
            "1, no había déficit, pero resultado fue mejor",
            IF(AND(AT60&lt;TRUNC(AW60/2,0),AT60&lt;AP60),
                "0, no había déficit y la dejo con déficit",
                IF(AT60=TRUNC(AW60/2,0),
                    "-1, no había déficit y dejo la capacidad media",
                    "-2,no había déficit y resultado fue bueno")
            )
        )
    ),
    IF(AU60&lt;0,
        IF(AP60&gt;TRUNC(AW60/2,0),
            IF(AT60=TRUNC(AW60/2,0),
                "-1, Superávit y deje la capacidad media",
                IF(AND(AT60&gt;TRUNC(AW60/2,0), AT60&gt;=AP60),
                    "0, Superávit y no eliminé superávit",
                    IF(AND(AT60&lt;TRUNC(AW60/2,0),AT60&lt;AP60),
                        "1, Superávit y eliminé superávit",
                        "-2, Superávit y resultado fue bueno"
                    )
                )
            ),
            IF(AND(AP60&lt;=TRUNC(AW60/2,0),AP60&gt;=0),
                IF(AT60=TRUNC(AW60/2,0),
                    "-1, no había superávit y deje la capacidad media",
                    IF(AND(AT60&gt;TRUNC(AW60/2,0), AT60&gt;=AP60),
                        "0, no había superávit, y la deje con superávit",
                        IF(AND(AT60&lt;TRUNC(AW60/2,0),AT60&lt;AP60),
                            "1, no había superávit, pero el resultado fue mejor",
                            "-2, no había superávit y resultado fue bueno"
                        )
                    )
                )
            )
        )
    )
)</f>
        <v>0, no había déficit y la dejo con déficit</v>
      </c>
      <c r="BB60" s="30" t="s">
        <v>218</v>
      </c>
      <c r="BC60" s="30">
        <v>9</v>
      </c>
      <c r="BD60" s="31">
        <v>3.1111111111111112</v>
      </c>
      <c r="BE60" s="29">
        <v>11</v>
      </c>
      <c r="BF60" s="29">
        <v>11</v>
      </c>
      <c r="BG60" s="30">
        <v>9</v>
      </c>
      <c r="BH60" s="30">
        <v>0.28220965544261112</v>
      </c>
      <c r="BI60" s="26" t="s">
        <v>326</v>
      </c>
      <c r="BJ60" s="30">
        <v>23</v>
      </c>
      <c r="BK60" s="29">
        <f>IF(BE60&lt;=BC60,1,0)</f>
        <v>0</v>
      </c>
      <c r="BL60" s="29">
        <f>BE60-BC60</f>
        <v>2</v>
      </c>
      <c r="BM60" s="29" t="str">
        <f>IF(BH60&gt;0,
    IF(OR(BC60&lt;=TRUNC(BJ60/2,0),BC60=0),
        IF(BG60=TRUNC(BJ60/2,0),
            "-1, Déficit y dejo la capacidad media",
            IF(AND(BG60&gt;TRUNC(BJ60/2,0), BG60&gt;BC60),
                "1, Déficit y eliminé déficit",
                IF(AND(BG60&lt;TRUNC(BJ60/2,0), BG60&lt;BC60),
                    "0, Déficit y no elimine déficit",
                    "-2, Déficit y resultado fue bueno")
            )
        ),
        IF(AND(BG60&gt;TRUNC(BJ60/2,0), BG60&gt;BC60),
            "1, no había déficit, pero resultado fue mejor",
            IF(AND(BG60&lt;TRUNC(BJ60/2,0),BG60&lt;BC60),
                "0, no había déficit y la dejo con déficit",
                IF(BG60=TRUNC(BJ60/2,0),
                    "-1, no había déficit y dejo la capacidad media",
                    "-2,no había déficit y resultado fue bueno")
            )
        )
    ),
    IF(BH60&lt;0,
        IF(BC60&gt;TRUNC(BJ60/2,0),
            IF(BG60=TRUNC(BJ60/2,0),
                "-1, Superávit y deje la capacidad media",
                IF(AND(BG60&gt;TRUNC(BJ60/2,0), BG60&gt;=BC60),
                    "0, Superávit y no eliminé superávit",
                    IF(AND(BG60&lt;TRUNC(BJ60/2,0),BG60&lt;BC60),
                        "1, Superávit y eliminé superávit",
                        "-2, Superávit y resultado fue bueno"
                    )
                )
            ),
            IF(AND(BC60&lt;=TRUNC(BJ60/2,0),BC60&gt;=0),
                IF(BG60=TRUNC(BJ60/2,0),
                    "-1, no había superávit y deje la capacidad media",
                    IF(AND(BG60&gt;TRUNC(BJ60/2,0), BG60&gt;=BC60),
                        "0, no había superávit, y la deje con superávit",
                        IF(AND(BG60&lt;TRUNC(BJ60/2,0),BG60&lt;BC60),
                            "1, no había superávit, pero el resultado fue mejor",
                            "-2, no había superávit y resultado fue bueno"
                        )
                    )
                )
            )
        )
    )
)</f>
        <v>-2, Déficit y resultado fue bueno</v>
      </c>
      <c r="BO60" s="30" t="s">
        <v>218</v>
      </c>
      <c r="BP60" s="30">
        <v>14</v>
      </c>
      <c r="BQ60" s="31">
        <v>8.2222222222222214</v>
      </c>
      <c r="BR60" s="29">
        <v>10</v>
      </c>
      <c r="BS60" s="29">
        <v>8</v>
      </c>
      <c r="BT60" s="30">
        <v>9</v>
      </c>
      <c r="BU60" s="30">
        <v>0.28220965544261112</v>
      </c>
      <c r="BV60" s="26" t="s">
        <v>326</v>
      </c>
      <c r="BW60" s="30">
        <v>23</v>
      </c>
      <c r="BX60" s="29">
        <f>IF(BR60&lt;=BP60,1,0)</f>
        <v>1</v>
      </c>
      <c r="BY60" s="29">
        <f>BR60-BP60</f>
        <v>-4</v>
      </c>
      <c r="BZ60" s="29" t="str">
        <f>IF(BU60&gt;0,
    IF(OR(BP60&lt;=TRUNC(BW60/2,0),BP60=0),
        IF(BT60=TRUNC(BW60/2,0),
            "-1, Déficit y dejo la capacidad media",
            IF(AND(BT60&gt;TRUNC(BW60/2,0), BT60&gt;BP60),
                "1, Déficit y eliminé déficit",
                IF(AND(BT60&lt;TRUNC(BW60/2,0), BT60&lt;BP60),
                    "0, Déficit y no elimine déficit",
                    "-2, Déficit y resultado fue bueno")
            )
        ),
        IF(AND(BT60&gt;TRUNC(BW60/2,0), BT60&gt;BP60),
            "1, no había déficit, pero resultado fue mejor",
            IF(AND(BT60&lt;TRUNC(BW60/2,0),BT60&lt;BP60),
                "0, no había déficit y la dejo con déficit",
                IF(BT60=TRUNC(BW60/2,0),
                    "-1, no había déficit y dejo la capacidad media",
                    "-2,no había déficit y resultado fue bueno")
            )
        )
    ),
    IF(BU60&lt;0,
        IF(BP60&gt;TRUNC(BW60/2,0),
            IF(BT60=TRUNC(BW60/2,0),
                "-1, Superávit y deje la capacidad media",
                IF(AND(BT60&gt;TRUNC(BW60/2,0), BT60&gt;=BP60),
                    "0, Superávit y no eliminé superávit",
                    IF(AND(BT60&lt;TRUNC(BW60/2,0),BT60&lt;BP60),
                        "1, Superávit y eliminé superávit",
                        "-2, Superávit y resultado fue bueno"
                    )
                )
            ),
            IF(AND(BP60&lt;=TRUNC(BW60/2,0),BP60&gt;=0),
                IF(BT60=TRUNC(BW60/2,0),
                    "-1, no había superávit y deje la capacidad media",
                    IF(AND(BT60&gt;TRUNC(BW60/2,0), BT60&gt;=BP60),
                        "0, no había superávit, y la deje con superávit",
                        IF(AND(BT60&lt;TRUNC(BW60/2,0),BT60&lt;BP60),
                            "1, no había superávit, pero el resultado fue mejor",
                            "-2, no había superávit y resultado fue bueno"
                        )
                    )
                )
            )
        )
    )
)</f>
        <v>0, no había déficit y la dejo con déficit</v>
      </c>
      <c r="CB60" s="30" t="s">
        <v>218</v>
      </c>
      <c r="CC60" s="30">
        <v>1</v>
      </c>
      <c r="CD60" s="31">
        <v>8.2222222222222214</v>
      </c>
      <c r="CE60" s="29">
        <v>1</v>
      </c>
      <c r="CF60" s="29">
        <v>1</v>
      </c>
      <c r="CG60" s="30">
        <v>11</v>
      </c>
      <c r="CH60" s="30">
        <v>0.28220965544261112</v>
      </c>
      <c r="CI60" s="26" t="s">
        <v>326</v>
      </c>
      <c r="CJ60" s="30">
        <v>23</v>
      </c>
      <c r="CK60" s="29">
        <f>IF(CE60&lt;=CC60,1,0)</f>
        <v>1</v>
      </c>
      <c r="CL60" s="29">
        <f>CE60-CC60</f>
        <v>0</v>
      </c>
      <c r="CM60" s="29" t="str">
        <f>IF(CH60&gt;0,
    IF(OR(CC60&lt;=TRUNC(CJ60/2,0),CC60=0),
        IF(CG60=TRUNC(CJ60/2,0),
            "-1, Déficit y dejo la capacidad media",
            IF(AND(CG60&gt;TRUNC(CJ60/2,0), CG60&gt;CC60),
                "1, Déficit y eliminé déficit",
                IF(AND(CG60&lt;TRUNC(CJ60/2,0), CG60&lt;CC60),
                    "0, Déficit y no elimine déficit",
                    "-2, Déficit y resultado fue bueno")
            )
        ),
        IF(AND(CG60&gt;TRUNC(CJ60/2,0), CG60&gt;CC60),
            "1, no había déficit, pero resultado fue mejor",
            IF(AND(CG60&lt;TRUNC(CJ60/2,0),CG60&lt;CC60),
                "0, no había déficit y la dejo con déficit",
                IF(CG60=TRUNC(CJ60/2,0),
                    "-1, no había déficit y dejo la capacidad media",
                    "-2,no había déficit y resultado fue bueno")
            )
        )
    ),
    IF(CH60&lt;0,
        IF(CC60&gt;TRUNC(CJ60/2,0),
            IF(CG60=TRUNC(CJ60/2,0),
                "-1, Superávit y deje la capacidad media",
                IF(AND(CG60&gt;TRUNC(CJ60/2,0), CG60&gt;=CC60),
                    "0, Superávit y no eliminé superávit",
                    IF(AND(CG60&lt;TRUNC(CJ60/2,0),CG60&lt;CC60),
                        "1, Superávit y eliminé superávit",
                        "-2, Superávit y resultado fue bueno"
                    )
                )
            ),
            IF(AND(CC60&lt;=TRUNC(CJ60/2,0),CC60&gt;=0),
                IF(CG60=TRUNC(CJ60/2,0),
                    "-1, no había superávit y deje la capacidad media",
                    IF(AND(CG60&gt;TRUNC(CJ60/2,0), CG60&gt;=CC60),
                        "0, no había superávit, y la deje con superávit",
                        IF(AND(CG60&lt;TRUNC(CJ60/2,0),CG60&lt;CC60),
                            "1, no había superávit, pero el resultado fue mejor",
                            "-2, no había superávit y resultado fue bueno"
                        )
                    )
                )
            )
        )
    )
)</f>
        <v>-1, Déficit y dejo la capacidad media</v>
      </c>
      <c r="CO60" s="30" t="s">
        <v>218</v>
      </c>
      <c r="CP60" s="30">
        <v>18</v>
      </c>
      <c r="CQ60" s="31">
        <v>7</v>
      </c>
      <c r="CR60" s="29">
        <v>20</v>
      </c>
      <c r="CS60" s="29">
        <v>20</v>
      </c>
      <c r="CT60" s="30">
        <v>9</v>
      </c>
      <c r="CU60" s="30">
        <v>0.28220965544261112</v>
      </c>
      <c r="CV60" s="26" t="s">
        <v>326</v>
      </c>
      <c r="CW60" s="30">
        <v>23</v>
      </c>
      <c r="CX60" s="29">
        <f>IF(CR60&lt;=CP60,1,0)</f>
        <v>0</v>
      </c>
      <c r="CY60" s="29">
        <f>CR60-CP60</f>
        <v>2</v>
      </c>
      <c r="CZ60" s="29" t="str">
        <f>IF(CU60&gt;0,
    IF(OR(CP60&lt;=TRUNC(CW60/2,0),CP60=0),
        IF(CT60=TRUNC(CW60/2,0),
            "-1, Déficit y dejo la capacidad media",
            IF(AND(CT60&gt;TRUNC(CW60/2,0), CT60&gt;CP60),
                "1, Déficit y eliminé déficit",
                IF(AND(CT60&lt;TRUNC(CW60/2,0), CT60&lt;CP60),
                    "0, Déficit y no elimine déficit",
                    "-2, Déficit y resultado fue bueno")
            )
        ),
        IF(AND(CT60&gt;TRUNC(CW60/2,0), CT60&gt;CP60),
            "1, no había déficit, pero resultado fue mejor",
            IF(AND(CT60&lt;TRUNC(CW60/2,0),CT60&lt;CP60),
                "0, no había déficit y la dejo con déficit",
                IF(CT60=TRUNC(CW60/2,0),
                    "-1, no había déficit y dejo la capacidad media",
                    "-2,no había déficit y resultado fue bueno")
            )
        )
    ),
    IF(CU60&lt;0,
        IF(CP60&gt;TRUNC(CW60/2,0),
            IF(CT60=TRUNC(CW60/2,0),
                "-1, Superávit y deje la capacidad media",
                IF(AND(CT60&gt;TRUNC(CW60/2,0), CT60&gt;=CP60),
                    "0, Superávit y no eliminé superávit",
                    IF(AND(CT60&lt;TRUNC(CW60/2,0),CT60&lt;CP60),
                        "1, Superávit y eliminé superávit",
                        "-2, Superávit y resultado fue bueno"
                    )
                )
            ),
            IF(AND(CP60&lt;=TRUNC(CW60/2,0),CP60&gt;=0),
                IF(CT60=TRUNC(CW60/2,0),
                    "-1, no había superávit y deje la capacidad media",
                    IF(AND(CT60&gt;TRUNC(CW60/2,0), CT60&gt;=CP60),
                        "0, no había superávit, y la deje con superávit",
                        IF(AND(CT60&lt;TRUNC(CW60/2,0),CT60&lt;CP60),
                            "1, no había superávit, pero el resultado fue mejor",
                            "-2, no había superávit y resultado fue bueno"
                        )
                    )
                )
            )
        )
    )
)</f>
        <v>0, no había déficit y la dejo con déficit</v>
      </c>
    </row>
    <row r="61" spans="2:104" ht="14.25" customHeight="1" x14ac:dyDescent="0.3">
      <c r="B61" s="30" t="s">
        <v>198</v>
      </c>
      <c r="C61" s="29">
        <v>1</v>
      </c>
      <c r="D61" s="31">
        <v>5.7777777777777777</v>
      </c>
      <c r="E61" s="29">
        <v>1</v>
      </c>
      <c r="F61" s="29">
        <v>1</v>
      </c>
      <c r="G61" s="29">
        <v>4</v>
      </c>
      <c r="H61" s="30">
        <v>0.26647717855960468</v>
      </c>
      <c r="I61" s="26" t="s">
        <v>318</v>
      </c>
      <c r="J61" s="30">
        <v>11</v>
      </c>
      <c r="K61" s="29">
        <f>IF(E61&lt;=C61,1,0)</f>
        <v>1</v>
      </c>
      <c r="L61" s="29">
        <f>E61-C61</f>
        <v>0</v>
      </c>
      <c r="M61" s="29" t="str">
        <f>IF(H61&gt;0,
    IF(OR(C61&lt;=TRUNC(J61/2,0),C61=0),
        IF(G61=TRUNC(J61/2,0),
            "-1, Déficit y dejo la capacidad media",
            IF(AND(G61&gt;TRUNC(J61/2,0), G61&gt;C61),
                "1, Déficit y eliminé déficit",
                IF(AND(G61&lt;TRUNC(J61/2,0), G61&lt;C61),
                    "0, Déficit y no elimine déficit",
                    "-2, Déficit y resultado fue bueno")
            )
        ),
        IF(AND(G61&gt;TRUNC(J61/2,0), G61&gt;C61),
            "1, no había déficit, pero resultado fue mejor",
            IF(AND(G61&lt;TRUNC(J61/2,0),G61&lt;C61),
                "0, no había déficit y la dejo con déficit",
                IF(G61=TRUNC(J61/2,0),
                    "-1, no había déficit y dejo la capacidad media",
                    "-2,no había déficit y resultado fue bueno")
            )
        )
    ),
    IF(H61&lt;0,
        IF(C61&gt;TRUNC(J61/2,0),
            IF(G61=TRUNC(J61/2,0),
                "-1, Superávit y deje la capacidad media",
                IF(AND(G61&gt;TRUNC(J61/2,0), G61&gt;=C61),
                    "0, Superávit y no eliminé superávit",
                    IF(AND(G61&lt;TRUNC(J61/2,0),G61&lt;C61),
                        "1, Superávit y eliminé superávit",
                        "-2, Superávit y resultado fue bueno"
                    )
                )
            ),
            IF(AND(C61&lt;=TRUNC(J61/2,0),C61&gt;=0),
                IF(G61=TRUNC(J61/2,0),
                    "-1, no había superávit y deje la capacidad media",
                    IF(AND(G61&gt;TRUNC(J61/2,0), G61&gt;=C61),
                        "0, no había superávit, y la deje con superávit",
                        IF(AND(G61&lt;TRUNC(J61/2,0),G61&lt;C61),
                            "1, no había superávit, pero el resultado fue mejor",
                            "-2, no había superávit y resultado fue bueno"
                        )
                    )
                )
            )
        )
    )
)</f>
        <v>-2, Déficit y resultado fue bueno</v>
      </c>
      <c r="O61" s="30" t="s">
        <v>198</v>
      </c>
      <c r="P61" s="30">
        <v>0</v>
      </c>
      <c r="Q61" s="31">
        <v>3.4444444444444446</v>
      </c>
      <c r="R61" s="29">
        <v>0</v>
      </c>
      <c r="S61" s="29">
        <v>0</v>
      </c>
      <c r="T61" s="30">
        <v>4</v>
      </c>
      <c r="U61" s="30">
        <v>0.26647717855960468</v>
      </c>
      <c r="V61" s="26" t="s">
        <v>318</v>
      </c>
      <c r="W61" s="30">
        <v>11</v>
      </c>
      <c r="X61" s="29">
        <f>IF(R61&lt;=P61,1,0)</f>
        <v>1</v>
      </c>
      <c r="Y61" s="29">
        <f>R61-P61</f>
        <v>0</v>
      </c>
      <c r="Z61" s="29" t="str">
        <f>IF(U61&gt;0,
    IF(OR(P61&lt;=TRUNC(W61/2,0),P61=0),
        IF(T61=TRUNC(W61/2,0),
            "-1, Déficit y dejo la capacidad media",
            IF(AND(T61&gt;TRUNC(W61/2,0), T61&gt;P61),
                "1, Déficit y eliminé déficit",
                IF(AND(T61&lt;TRUNC(W61/2,0), T61&lt;P61),
                    "0, Déficit y no elimine déficit",
                    "-2, Déficit y resultado fue bueno")
            )
        ),
        IF(AND(T61&gt;TRUNC(W61/2,0), T61&gt;P61),
            "1, no había déficit, pero resultado fue mejor",
            IF(AND(T61&lt;TRUNC(W61/2,0),T61&lt;P61),
                "0, no había déficit y la dejo con déficit",
                IF(T61=TRUNC(W61/2,0),
                    "-1, no había déficit y dejo la capacidad media",
                    "-2,no había déficit y resultado fue bueno")
            )
        )
    ),
    IF(U61&lt;0,
        IF(P61&gt;TRUNC(W61/2,0),
            IF(T61=TRUNC(W61/2,0),
                "-1, Superávit y deje la capacidad media",
                IF(AND(T61&gt;TRUNC(W61/2,0), T61&gt;=P61),
                    "0, Superávit y no eliminé superávit",
                    IF(AND(T61&lt;TRUNC(W61/2,0),T61&lt;P61),
                        "1, Superávit y eliminé superávit",
                        "-2, Superávit y resultado fue bueno"
                    )
                )
            ),
            IF(AND(P61&lt;=TRUNC(W61/2,0),P61&gt;=0),
                IF(T61=TRUNC(W61/2,0),
                    "-1, no había superávit y deje la capacidad media",
                    IF(AND(T61&gt;TRUNC(W61/2,0), T61&gt;=P61),
                        "0, no había superávit, y la deje con superávit",
                        IF(AND(T61&lt;TRUNC(W61/2,0),T61&lt;P61),
                            "1, no había superávit, pero el resultado fue mejor",
                            "-2, no había superávit y resultado fue bueno"
                        )
                    )
                )
            )
        )
    )
)</f>
        <v>-2, Déficit y resultado fue bueno</v>
      </c>
      <c r="AB61" s="2" t="s">
        <v>198</v>
      </c>
      <c r="AC61" s="2">
        <v>2</v>
      </c>
      <c r="AD61" s="7">
        <v>2.8888888888888888</v>
      </c>
      <c r="AE61" s="3">
        <v>0</v>
      </c>
      <c r="AF61" s="3">
        <v>0</v>
      </c>
      <c r="AG61" s="2">
        <v>4</v>
      </c>
      <c r="AH61" s="11">
        <v>0.26647717855960468</v>
      </c>
      <c r="AI61" s="26" t="s">
        <v>318</v>
      </c>
      <c r="AJ61" s="22">
        <v>11</v>
      </c>
      <c r="AK61" s="29">
        <f>IF(AE61&lt;=AC61,1,0)</f>
        <v>1</v>
      </c>
      <c r="AL61" s="29">
        <f>AE61-AC61</f>
        <v>-2</v>
      </c>
      <c r="AM61" s="29" t="str">
        <f>IF(AH61&gt;0,
    IF(OR(AC61&lt;=TRUNC(AJ61/2,0),AC61=0),
        IF(AG61=TRUNC(AJ61/2,0),
            "-1, Déficit y dejo la capacidad media",
            IF(AND(AG61&gt;TRUNC(AJ61/2,0), AG61&gt;AC61),
                "1, Déficit y eliminé déficit",
                IF(AND(AG61&lt;TRUNC(AJ61/2,0), AG61&lt;AC61),
                    "0, Déficit y no elimine déficit",
                    "-2, Déficit y resultado fue bueno")
            )
        ),
        IF(AND(AG61&gt;TRUNC(AJ61/2,0), AG61&gt;AC61),
            "1, no había déficit, pero resultado fue mejor",
            IF(AND(AG61&lt;TRUNC(AJ61/2,0),AG61&lt;AC61),
                "0, no había déficit y la dejo con déficit",
                IF(AG61=TRUNC(AJ61/2,0),
                    "-1, no había déficit y dejo la capacidad media",
                    "-2,no había déficit y resultado fue bueno")
            )
        )
    ),
    IF(AH61&lt;0,
        IF(AC61&gt;TRUNC(AJ61/2,0),
            IF(AG61=TRUNC(AJ61/2,0),
                "-1, Superávit y deje la capacidad media",
                IF(AND(AG61&gt;TRUNC(AJ61/2,0), AG61&gt;=AC61),
                    "0, Superávit y no eliminé superávit",
                    IF(AND(AG61&lt;TRUNC(AJ61/2,0),AG61&lt;AC61),
                        "1, Superávit y eliminé superávit",
                        "-2, Superávit y resultado fue bueno"
                    )
                )
            ),
            IF(AND(AC61&lt;=TRUNC(AJ61/2,0),AC61&gt;=0),
                IF(AG61=TRUNC(AJ61/2,0),
                    "-1, no había superávit y deje la capacidad media",
                    IF(AND(AG61&gt;TRUNC(AJ61/2,0), AG61&gt;=AC61),
                        "0, no había superávit, y la deje con superávit",
                        IF(AND(AG61&lt;TRUNC(AJ61/2,0),AG61&lt;AC61),
                            "1, no había superávit, pero el resultado fue mejor",
                            "-2, no había superávit y resultado fue bueno"
                        )
                    )
                )
            )
        )
    )
)</f>
        <v>-2, Déficit y resultado fue bueno</v>
      </c>
      <c r="AO61" s="30" t="s">
        <v>198</v>
      </c>
      <c r="AP61" s="30">
        <v>4</v>
      </c>
      <c r="AQ61" s="31">
        <v>3.8888888888888888</v>
      </c>
      <c r="AR61" s="29">
        <v>0</v>
      </c>
      <c r="AS61" s="29">
        <v>0</v>
      </c>
      <c r="AT61" s="30">
        <v>4</v>
      </c>
      <c r="AU61" s="30">
        <v>0.26647717855960468</v>
      </c>
      <c r="AV61" s="26" t="s">
        <v>318</v>
      </c>
      <c r="AW61" s="30">
        <v>11</v>
      </c>
      <c r="AX61" s="29">
        <f>IF(AR61&lt;=AP61,1,0)</f>
        <v>1</v>
      </c>
      <c r="AY61" s="29">
        <f>AR61-AP61</f>
        <v>-4</v>
      </c>
      <c r="AZ61" s="29" t="str">
        <f>IF(AU61&gt;0,
    IF(OR(AP61&lt;=TRUNC(AW61/2,0),AP61=0),
        IF(AT61=TRUNC(AW61/2,0),
            "-1, Déficit y dejo la capacidad media",
            IF(AND(AT61&gt;TRUNC(AW61/2,0), AT61&gt;AP61),
                "1, Déficit y eliminé déficit",
                IF(AND(AT61&lt;TRUNC(AW61/2,0), AT61&lt;AP61),
                    "0, Déficit y no elimine déficit",
                    "-2, Déficit y resultado fue bueno")
            )
        ),
        IF(AND(AT61&gt;TRUNC(AW61/2,0), AT61&gt;AP61),
            "1, no había déficit, pero resultado fue mejor",
            IF(AND(AT61&lt;TRUNC(AW61/2,0),AT61&lt;AP61),
                "0, no había déficit y la dejo con déficit",
                IF(AT61=TRUNC(AW61/2,0),
                    "-1, no había déficit y dejo la capacidad media",
                    "-2,no había déficit y resultado fue bueno")
            )
        )
    ),
    IF(AU61&lt;0,
        IF(AP61&gt;TRUNC(AW61/2,0),
            IF(AT61=TRUNC(AW61/2,0),
                "-1, Superávit y deje la capacidad media",
                IF(AND(AT61&gt;TRUNC(AW61/2,0), AT61&gt;=AP61),
                    "0, Superávit y no eliminé superávit",
                    IF(AND(AT61&lt;TRUNC(AW61/2,0),AT61&lt;AP61),
                        "1, Superávit y eliminé superávit",
                        "-2, Superávit y resultado fue bueno"
                    )
                )
            ),
            IF(AND(AP61&lt;=TRUNC(AW61/2,0),AP61&gt;=0),
                IF(AT61=TRUNC(AW61/2,0),
                    "-1, no había superávit y deje la capacidad media",
                    IF(AND(AT61&gt;TRUNC(AW61/2,0), AT61&gt;=AP61),
                        "0, no había superávit, y la deje con superávit",
                        IF(AND(AT61&lt;TRUNC(AW61/2,0),AT61&lt;AP61),
                            "1, no había superávit, pero el resultado fue mejor",
                            "-2, no había superávit y resultado fue bueno"
                        )
                    )
                )
            )
        )
    )
)</f>
        <v>-2, Déficit y resultado fue bueno</v>
      </c>
      <c r="BB61" s="30" t="s">
        <v>198</v>
      </c>
      <c r="BC61" s="30">
        <v>1</v>
      </c>
      <c r="BD61" s="31">
        <v>9</v>
      </c>
      <c r="BE61" s="29">
        <v>1</v>
      </c>
      <c r="BF61" s="29">
        <v>0</v>
      </c>
      <c r="BG61" s="30">
        <v>4</v>
      </c>
      <c r="BH61" s="30">
        <v>0.26647717855960468</v>
      </c>
      <c r="BI61" s="26" t="s">
        <v>318</v>
      </c>
      <c r="BJ61" s="30">
        <v>11</v>
      </c>
      <c r="BK61" s="29">
        <f>IF(BE61&lt;=BC61,1,0)</f>
        <v>1</v>
      </c>
      <c r="BL61" s="29">
        <f>BE61-BC61</f>
        <v>0</v>
      </c>
      <c r="BM61" s="29" t="str">
        <f>IF(BH61&gt;0,
    IF(OR(BC61&lt;=TRUNC(BJ61/2,0),BC61=0),
        IF(BG61=TRUNC(BJ61/2,0),
            "-1, Déficit y dejo la capacidad media",
            IF(AND(BG61&gt;TRUNC(BJ61/2,0), BG61&gt;BC61),
                "1, Déficit y eliminé déficit",
                IF(AND(BG61&lt;TRUNC(BJ61/2,0), BG61&lt;BC61),
                    "0, Déficit y no elimine déficit",
                    "-2, Déficit y resultado fue bueno")
            )
        ),
        IF(AND(BG61&gt;TRUNC(BJ61/2,0), BG61&gt;BC61),
            "1, no había déficit, pero resultado fue mejor",
            IF(AND(BG61&lt;TRUNC(BJ61/2,0),BG61&lt;BC61),
                "0, no había déficit y la dejo con déficit",
                IF(BG61=TRUNC(BJ61/2,0),
                    "-1, no había déficit y dejo la capacidad media",
                    "-2,no había déficit y resultado fue bueno")
            )
        )
    ),
    IF(BH61&lt;0,
        IF(BC61&gt;TRUNC(BJ61/2,0),
            IF(BG61=TRUNC(BJ61/2,0),
                "-1, Superávit y deje la capacidad media",
                IF(AND(BG61&gt;TRUNC(BJ61/2,0), BG61&gt;=BC61),
                    "0, Superávit y no eliminé superávit",
                    IF(AND(BG61&lt;TRUNC(BJ61/2,0),BG61&lt;BC61),
                        "1, Superávit y eliminé superávit",
                        "-2, Superávit y resultado fue bueno"
                    )
                )
            ),
            IF(AND(BC61&lt;=TRUNC(BJ61/2,0),BC61&gt;=0),
                IF(BG61=TRUNC(BJ61/2,0),
                    "-1, no había superávit y deje la capacidad media",
                    IF(AND(BG61&gt;TRUNC(BJ61/2,0), BG61&gt;=BC61),
                        "0, no había superávit, y la deje con superávit",
                        IF(AND(BG61&lt;TRUNC(BJ61/2,0),BG61&lt;BC61),
                            "1, no había superávit, pero el resultado fue mejor",
                            "-2, no había superávit y resultado fue bueno"
                        )
                    )
                )
            )
        )
    )
)</f>
        <v>-2, Déficit y resultado fue bueno</v>
      </c>
      <c r="BO61" s="30" t="s">
        <v>198</v>
      </c>
      <c r="BP61" s="30">
        <v>0</v>
      </c>
      <c r="BQ61" s="31">
        <v>1.3333333333333333</v>
      </c>
      <c r="BR61" s="29">
        <v>0</v>
      </c>
      <c r="BS61" s="29">
        <v>0</v>
      </c>
      <c r="BT61" s="30">
        <v>4</v>
      </c>
      <c r="BU61" s="30">
        <v>0.26647717855960468</v>
      </c>
      <c r="BV61" s="26" t="s">
        <v>318</v>
      </c>
      <c r="BW61" s="30">
        <v>11</v>
      </c>
      <c r="BX61" s="29">
        <f>IF(BR61&lt;=BP61,1,0)</f>
        <v>1</v>
      </c>
      <c r="BY61" s="29">
        <f>BR61-BP61</f>
        <v>0</v>
      </c>
      <c r="BZ61" s="29" t="str">
        <f>IF(BU61&gt;0,
    IF(OR(BP61&lt;=TRUNC(BW61/2,0),BP61=0),
        IF(BT61=TRUNC(BW61/2,0),
            "-1, Déficit y dejo la capacidad media",
            IF(AND(BT61&gt;TRUNC(BW61/2,0), BT61&gt;BP61),
                "1, Déficit y eliminé déficit",
                IF(AND(BT61&lt;TRUNC(BW61/2,0), BT61&lt;BP61),
                    "0, Déficit y no elimine déficit",
                    "-2, Déficit y resultado fue bueno")
            )
        ),
        IF(AND(BT61&gt;TRUNC(BW61/2,0), BT61&gt;BP61),
            "1, no había déficit, pero resultado fue mejor",
            IF(AND(BT61&lt;TRUNC(BW61/2,0),BT61&lt;BP61),
                "0, no había déficit y la dejo con déficit",
                IF(BT61=TRUNC(BW61/2,0),
                    "-1, no había déficit y dejo la capacidad media",
                    "-2,no había déficit y resultado fue bueno")
            )
        )
    ),
    IF(BU61&lt;0,
        IF(BP61&gt;TRUNC(BW61/2,0),
            IF(BT61=TRUNC(BW61/2,0),
                "-1, Superávit y deje la capacidad media",
                IF(AND(BT61&gt;TRUNC(BW61/2,0), BT61&gt;=BP61),
                    "0, Superávit y no eliminé superávit",
                    IF(AND(BT61&lt;TRUNC(BW61/2,0),BT61&lt;BP61),
                        "1, Superávit y eliminé superávit",
                        "-2, Superávit y resultado fue bueno"
                    )
                )
            ),
            IF(AND(BP61&lt;=TRUNC(BW61/2,0),BP61&gt;=0),
                IF(BT61=TRUNC(BW61/2,0),
                    "-1, no había superávit y deje la capacidad media",
                    IF(AND(BT61&gt;TRUNC(BW61/2,0), BT61&gt;=BP61),
                        "0, no había superávit, y la deje con superávit",
                        IF(AND(BT61&lt;TRUNC(BW61/2,0),BT61&lt;BP61),
                            "1, no había superávit, pero el resultado fue mejor",
                            "-2, no había superávit y resultado fue bueno"
                        )
                    )
                )
            )
        )
    )
)</f>
        <v>-2, Déficit y resultado fue bueno</v>
      </c>
      <c r="CB61" s="30" t="s">
        <v>198</v>
      </c>
      <c r="CC61" s="30">
        <v>6</v>
      </c>
      <c r="CD61" s="31">
        <v>2.1111111111111112</v>
      </c>
      <c r="CE61" s="29">
        <v>5</v>
      </c>
      <c r="CF61" s="29">
        <v>5</v>
      </c>
      <c r="CG61" s="30">
        <v>4</v>
      </c>
      <c r="CH61" s="30">
        <v>0.26647717855960468</v>
      </c>
      <c r="CI61" s="26" t="s">
        <v>318</v>
      </c>
      <c r="CJ61" s="30">
        <v>11</v>
      </c>
      <c r="CK61" s="29">
        <f>IF(CE61&lt;=CC61,1,0)</f>
        <v>1</v>
      </c>
      <c r="CL61" s="29">
        <f>CE61-CC61</f>
        <v>-1</v>
      </c>
      <c r="CM61" s="29" t="str">
        <f>IF(CH61&gt;0,
    IF(OR(CC61&lt;=TRUNC(CJ61/2,0),CC61=0),
        IF(CG61=TRUNC(CJ61/2,0),
            "-1, Déficit y dejo la capacidad media",
            IF(AND(CG61&gt;TRUNC(CJ61/2,0), CG61&gt;CC61),
                "1, Déficit y eliminé déficit",
                IF(AND(CG61&lt;TRUNC(CJ61/2,0), CG61&lt;CC61),
                    "0, Déficit y no elimine déficit",
                    "-2, Déficit y resultado fue bueno")
            )
        ),
        IF(AND(CG61&gt;TRUNC(CJ61/2,0), CG61&gt;CC61),
            "1, no había déficit, pero resultado fue mejor",
            IF(AND(CG61&lt;TRUNC(CJ61/2,0),CG61&lt;CC61),
                "0, no había déficit y la dejo con déficit",
                IF(CG61=TRUNC(CJ61/2,0),
                    "-1, no había déficit y dejo la capacidad media",
                    "-2,no había déficit y resultado fue bueno")
            )
        )
    ),
    IF(CH61&lt;0,
        IF(CC61&gt;TRUNC(CJ61/2,0),
            IF(CG61=TRUNC(CJ61/2,0),
                "-1, Superávit y deje la capacidad media",
                IF(AND(CG61&gt;TRUNC(CJ61/2,0), CG61&gt;=CC61),
                    "0, Superávit y no eliminé superávit",
                    IF(AND(CG61&lt;TRUNC(CJ61/2,0),CG61&lt;CC61),
                        "1, Superávit y eliminé superávit",
                        "-2, Superávit y resultado fue bueno"
                    )
                )
            ),
            IF(AND(CC61&lt;=TRUNC(CJ61/2,0),CC61&gt;=0),
                IF(CG61=TRUNC(CJ61/2,0),
                    "-1, no había superávit y deje la capacidad media",
                    IF(AND(CG61&gt;TRUNC(CJ61/2,0), CG61&gt;=CC61),
                        "0, no había superávit, y la deje con superávit",
                        IF(AND(CG61&lt;TRUNC(CJ61/2,0),CG61&lt;CC61),
                            "1, no había superávit, pero el resultado fue mejor",
                            "-2, no había superávit y resultado fue bueno"
                        )
                    )
                )
            )
        )
    )
)</f>
        <v>0, no había déficit y la dejo con déficit</v>
      </c>
      <c r="CO61" s="30" t="s">
        <v>198</v>
      </c>
      <c r="CP61" s="30">
        <v>3</v>
      </c>
      <c r="CQ61" s="31">
        <v>5.7777777777777777</v>
      </c>
      <c r="CR61" s="29">
        <v>3</v>
      </c>
      <c r="CS61" s="29">
        <v>3</v>
      </c>
      <c r="CT61" s="30">
        <v>4</v>
      </c>
      <c r="CU61" s="30">
        <v>0.26647717855960468</v>
      </c>
      <c r="CV61" s="26" t="s">
        <v>318</v>
      </c>
      <c r="CW61" s="30">
        <v>11</v>
      </c>
      <c r="CX61" s="29">
        <f>IF(CR61&lt;=CP61,1,0)</f>
        <v>1</v>
      </c>
      <c r="CY61" s="29">
        <f>CR61-CP61</f>
        <v>0</v>
      </c>
      <c r="CZ61" s="29" t="str">
        <f>IF(CU61&gt;0,
    IF(OR(CP61&lt;=TRUNC(CW61/2,0),CP61=0),
        IF(CT61=TRUNC(CW61/2,0),
            "-1, Déficit y dejo la capacidad media",
            IF(AND(CT61&gt;TRUNC(CW61/2,0), CT61&gt;CP61),
                "1, Déficit y eliminé déficit",
                IF(AND(CT61&lt;TRUNC(CW61/2,0), CT61&lt;CP61),
                    "0, Déficit y no elimine déficit",
                    "-2, Déficit y resultado fue bueno")
            )
        ),
        IF(AND(CT61&gt;TRUNC(CW61/2,0), CT61&gt;CP61),
            "1, no había déficit, pero resultado fue mejor",
            IF(AND(CT61&lt;TRUNC(CW61/2,0),CT61&lt;CP61),
                "0, no había déficit y la dejo con déficit",
                IF(CT61=TRUNC(CW61/2,0),
                    "-1, no había déficit y dejo la capacidad media",
                    "-2,no había déficit y resultado fue bueno")
            )
        )
    ),
    IF(CU61&lt;0,
        IF(CP61&gt;TRUNC(CW61/2,0),
            IF(CT61=TRUNC(CW61/2,0),
                "-1, Superávit y deje la capacidad media",
                IF(AND(CT61&gt;TRUNC(CW61/2,0), CT61&gt;=CP61),
                    "0, Superávit y no eliminé superávit",
                    IF(AND(CT61&lt;TRUNC(CW61/2,0),CT61&lt;CP61),
                        "1, Superávit y eliminé superávit",
                        "-2, Superávit y resultado fue bueno"
                    )
                )
            ),
            IF(AND(CP61&lt;=TRUNC(CW61/2,0),CP61&gt;=0),
                IF(CT61=TRUNC(CW61/2,0),
                    "-1, no había superávit y deje la capacidad media",
                    IF(AND(CT61&gt;TRUNC(CW61/2,0), CT61&gt;=CP61),
                        "0, no había superávit, y la deje con superávit",
                        IF(AND(CT61&lt;TRUNC(CW61/2,0),CT61&lt;CP61),
                            "1, no había superávit, pero el resultado fue mejor",
                            "-2, no había superávit y resultado fue bueno"
                        )
                    )
                )
            )
        )
    )
)</f>
        <v>-2, Déficit y resultado fue bueno</v>
      </c>
    </row>
    <row r="62" spans="2:104" ht="14.25" customHeight="1" x14ac:dyDescent="0.3">
      <c r="B62" s="30" t="s">
        <v>209</v>
      </c>
      <c r="C62" s="29">
        <v>3</v>
      </c>
      <c r="D62" s="31">
        <v>2.7777777777777777</v>
      </c>
      <c r="E62" s="29">
        <v>3</v>
      </c>
      <c r="F62" s="29">
        <v>3</v>
      </c>
      <c r="G62" s="29">
        <v>3</v>
      </c>
      <c r="H62" s="30">
        <v>2.6646209564781631E-3</v>
      </c>
      <c r="I62" s="26" t="s">
        <v>320</v>
      </c>
      <c r="J62" s="30">
        <v>7</v>
      </c>
      <c r="K62" s="29">
        <f>IF(E62&lt;=C62,1,0)</f>
        <v>1</v>
      </c>
      <c r="L62" s="29">
        <f>E62-C62</f>
        <v>0</v>
      </c>
      <c r="M62" s="29" t="str">
        <f>IF(H62&gt;0,
    IF(OR(C62&lt;=TRUNC(J62/2,0),C62=0),
        IF(G62=TRUNC(J62/2,0),
            "-1, Déficit y dejo la capacidad media",
            IF(AND(G62&gt;TRUNC(J62/2,0), G62&gt;C62),
                "1, Déficit y eliminé déficit",
                IF(AND(G62&lt;TRUNC(J62/2,0), G62&lt;C62),
                    "0, Déficit y no elimine déficit",
                    "-2, Déficit y resultado fue bueno")
            )
        ),
        IF(AND(G62&gt;TRUNC(J62/2,0), G62&gt;C62),
            "1, no había déficit, pero resultado fue mejor",
            IF(AND(G62&lt;TRUNC(J62/2,0),G62&lt;C62),
                "0, no había déficit y la dejo con déficit",
                IF(G62=TRUNC(J62/2,0),
                    "-1, no había déficit y dejo la capacidad media",
                    "-2,no había déficit y resultado fue bueno")
            )
        )
    ),
    IF(H62&lt;0,
        IF(C62&gt;TRUNC(J62/2,0),
            IF(G62=TRUNC(J62/2,0),
                "-1, Superávit y deje la capacidad media",
                IF(AND(G62&gt;TRUNC(J62/2,0), G62&gt;=C62),
                    "0, Superávit y no eliminé superávit",
                    IF(AND(G62&lt;TRUNC(J62/2,0),G62&lt;C62),
                        "1, Superávit y eliminé superávit",
                        "-2, Superávit y resultado fue bueno"
                    )
                )
            ),
            IF(AND(C62&lt;=TRUNC(J62/2,0),C62&gt;=0),
                IF(G62=TRUNC(J62/2,0),
                    "-1, no había superávit y deje la capacidad media",
                    IF(AND(G62&gt;TRUNC(J62/2,0), G62&gt;=C62),
                        "0, no había superávit, y la deje con superávit",
                        IF(AND(G62&lt;TRUNC(J62/2,0),G62&lt;C62),
                            "1, no había superávit, pero el resultado fue mejor",
                            "-2, no había superávit y resultado fue bueno"
                        )
                    )
                )
            )
        )
    )
)</f>
        <v>-1, Déficit y dejo la capacidad media</v>
      </c>
      <c r="O62" s="30" t="s">
        <v>209</v>
      </c>
      <c r="P62" s="30">
        <v>5</v>
      </c>
      <c r="Q62" s="31">
        <v>2.6666666666666665</v>
      </c>
      <c r="R62" s="29">
        <v>5</v>
      </c>
      <c r="S62" s="29">
        <v>5</v>
      </c>
      <c r="T62" s="30">
        <v>3</v>
      </c>
      <c r="U62" s="30">
        <v>2.6646209564781631E-3</v>
      </c>
      <c r="V62" s="26" t="s">
        <v>320</v>
      </c>
      <c r="W62" s="30">
        <v>7</v>
      </c>
      <c r="X62" s="29">
        <f>IF(R62&lt;=P62,1,0)</f>
        <v>1</v>
      </c>
      <c r="Y62" s="29">
        <f>R62-P62</f>
        <v>0</v>
      </c>
      <c r="Z62" s="29" t="str">
        <f>IF(U62&gt;0,
    IF(OR(P62&lt;=TRUNC(W62/2,0),P62=0),
        IF(T62=TRUNC(W62/2,0),
            "-1, Déficit y dejo la capacidad media",
            IF(AND(T62&gt;TRUNC(W62/2,0), T62&gt;P62),
                "1, Déficit y eliminé déficit",
                IF(AND(T62&lt;TRUNC(W62/2,0), T62&lt;P62),
                    "0, Déficit y no elimine déficit",
                    "-2, Déficit y resultado fue bueno")
            )
        ),
        IF(AND(T62&gt;TRUNC(W62/2,0), T62&gt;P62),
            "1, no había déficit, pero resultado fue mejor",
            IF(AND(T62&lt;TRUNC(W62/2,0),T62&lt;P62),
                "0, no había déficit y la dejo con déficit",
                IF(T62=TRUNC(W62/2,0),
                    "-1, no había déficit y dejo la capacidad media",
                    "-2,no había déficit y resultado fue bueno")
            )
        )
    ),
    IF(U62&lt;0,
        IF(P62&gt;TRUNC(W62/2,0),
            IF(T62=TRUNC(W62/2,0),
                "-1, Superávit y deje la capacidad media",
                IF(AND(T62&gt;TRUNC(W62/2,0), T62&gt;=P62),
                    "0, Superávit y no eliminé superávit",
                    IF(AND(T62&lt;TRUNC(W62/2,0),T62&lt;P62),
                        "1, Superávit y eliminé superávit",
                        "-2, Superávit y resultado fue bueno"
                    )
                )
            ),
            IF(AND(P62&lt;=TRUNC(W62/2,0),P62&gt;=0),
                IF(T62=TRUNC(W62/2,0),
                    "-1, no había superávit y deje la capacidad media",
                    IF(AND(T62&gt;TRUNC(W62/2,0), T62&gt;=P62),
                        "0, no había superávit, y la deje con superávit",
                        IF(AND(T62&lt;TRUNC(W62/2,0),T62&lt;P62),
                            "1, no había superávit, pero el resultado fue mejor",
                            "-2, no había superávit y resultado fue bueno"
                        )
                    )
                )
            )
        )
    )
)</f>
        <v>-1, no había déficit y dejo la capacidad media</v>
      </c>
      <c r="AB62" s="2" t="s">
        <v>209</v>
      </c>
      <c r="AC62" s="2">
        <v>3</v>
      </c>
      <c r="AD62" s="7">
        <v>3.1111111111111112</v>
      </c>
      <c r="AE62" s="3">
        <v>3</v>
      </c>
      <c r="AF62" s="3">
        <v>2</v>
      </c>
      <c r="AG62" s="2">
        <v>3</v>
      </c>
      <c r="AH62" s="11">
        <v>2.6646209564781631E-3</v>
      </c>
      <c r="AI62" s="26" t="s">
        <v>320</v>
      </c>
      <c r="AJ62" s="22">
        <v>7</v>
      </c>
      <c r="AK62" s="29">
        <f>IF(AE62&lt;=AC62,1,0)</f>
        <v>1</v>
      </c>
      <c r="AL62" s="29">
        <f>AE62-AC62</f>
        <v>0</v>
      </c>
      <c r="AM62" s="29" t="str">
        <f>IF(AH62&gt;0,
    IF(OR(AC62&lt;=TRUNC(AJ62/2,0),AC62=0),
        IF(AG62=TRUNC(AJ62/2,0),
            "-1, Déficit y dejo la capacidad media",
            IF(AND(AG62&gt;TRUNC(AJ62/2,0), AG62&gt;AC62),
                "1, Déficit y eliminé déficit",
                IF(AND(AG62&lt;TRUNC(AJ62/2,0), AG62&lt;AC62),
                    "0, Déficit y no elimine déficit",
                    "-2, Déficit y resultado fue bueno")
            )
        ),
        IF(AND(AG62&gt;TRUNC(AJ62/2,0), AG62&gt;AC62),
            "1, no había déficit, pero resultado fue mejor",
            IF(AND(AG62&lt;TRUNC(AJ62/2,0),AG62&lt;AC62),
                "0, no había déficit y la dejo con déficit",
                IF(AG62=TRUNC(AJ62/2,0),
                    "-1, no había déficit y dejo la capacidad media",
                    "-2,no había déficit y resultado fue bueno")
            )
        )
    ),
    IF(AH62&lt;0,
        IF(AC62&gt;TRUNC(AJ62/2,0),
            IF(AG62=TRUNC(AJ62/2,0),
                "-1, Superávit y deje la capacidad media",
                IF(AND(AG62&gt;TRUNC(AJ62/2,0), AG62&gt;=AC62),
                    "0, Superávit y no eliminé superávit",
                    IF(AND(AG62&lt;TRUNC(AJ62/2,0),AG62&lt;AC62),
                        "1, Superávit y eliminé superávit",
                        "-2, Superávit y resultado fue bueno"
                    )
                )
            ),
            IF(AND(AC62&lt;=TRUNC(AJ62/2,0),AC62&gt;=0),
                IF(AG62=TRUNC(AJ62/2,0),
                    "-1, no había superávit y deje la capacidad media",
                    IF(AND(AG62&gt;TRUNC(AJ62/2,0), AG62&gt;=AC62),
                        "0, no había superávit, y la deje con superávit",
                        IF(AND(AG62&lt;TRUNC(AJ62/2,0),AG62&lt;AC62),
                            "1, no había superávit, pero el resultado fue mejor",
                            "-2, no había superávit y resultado fue bueno"
                        )
                    )
                )
            )
        )
    )
)</f>
        <v>-1, Déficit y dejo la capacidad media</v>
      </c>
      <c r="AO62" s="30" t="s">
        <v>209</v>
      </c>
      <c r="AP62" s="30">
        <v>1</v>
      </c>
      <c r="AQ62" s="31">
        <v>3.6666666666666665</v>
      </c>
      <c r="AR62" s="29">
        <v>0</v>
      </c>
      <c r="AS62" s="29">
        <v>0</v>
      </c>
      <c r="AT62" s="30">
        <v>3</v>
      </c>
      <c r="AU62" s="30">
        <v>2.6646209564781631E-3</v>
      </c>
      <c r="AV62" s="26" t="s">
        <v>320</v>
      </c>
      <c r="AW62" s="30">
        <v>7</v>
      </c>
      <c r="AX62" s="29">
        <f>IF(AR62&lt;=AP62,1,0)</f>
        <v>1</v>
      </c>
      <c r="AY62" s="29">
        <f>AR62-AP62</f>
        <v>-1</v>
      </c>
      <c r="AZ62" s="29" t="str">
        <f>IF(AU62&gt;0,
    IF(OR(AP62&lt;=TRUNC(AW62/2,0),AP62=0),
        IF(AT62=TRUNC(AW62/2,0),
            "-1, Déficit y dejo la capacidad media",
            IF(AND(AT62&gt;TRUNC(AW62/2,0), AT62&gt;AP62),
                "1, Déficit y eliminé déficit",
                IF(AND(AT62&lt;TRUNC(AW62/2,0), AT62&lt;AP62),
                    "0, Déficit y no elimine déficit",
                    "-2, Déficit y resultado fue bueno")
            )
        ),
        IF(AND(AT62&gt;TRUNC(AW62/2,0), AT62&gt;AP62),
            "1, no había déficit, pero resultado fue mejor",
            IF(AND(AT62&lt;TRUNC(AW62/2,0),AT62&lt;AP62),
                "0, no había déficit y la dejo con déficit",
                IF(AT62=TRUNC(AW62/2,0),
                    "-1, no había déficit y dejo la capacidad media",
                    "-2,no había déficit y resultado fue bueno")
            )
        )
    ),
    IF(AU62&lt;0,
        IF(AP62&gt;TRUNC(AW62/2,0),
            IF(AT62=TRUNC(AW62/2,0),
                "-1, Superávit y deje la capacidad media",
                IF(AND(AT62&gt;TRUNC(AW62/2,0), AT62&gt;=AP62),
                    "0, Superávit y no eliminé superávit",
                    IF(AND(AT62&lt;TRUNC(AW62/2,0),AT62&lt;AP62),
                        "1, Superávit y eliminé superávit",
                        "-2, Superávit y resultado fue bueno"
                    )
                )
            ),
            IF(AND(AP62&lt;=TRUNC(AW62/2,0),AP62&gt;=0),
                IF(AT62=TRUNC(AW62/2,0),
                    "-1, no había superávit y deje la capacidad media",
                    IF(AND(AT62&gt;TRUNC(AW62/2,0), AT62&gt;=AP62),
                        "0, no había superávit, y la deje con superávit",
                        IF(AND(AT62&lt;TRUNC(AW62/2,0),AT62&lt;AP62),
                            "1, no había superávit, pero el resultado fue mejor",
                            "-2, no había superávit y resultado fue bueno"
                        )
                    )
                )
            )
        )
    )
)</f>
        <v>-1, Déficit y dejo la capacidad media</v>
      </c>
      <c r="BB62" s="30" t="s">
        <v>209</v>
      </c>
      <c r="BC62" s="30">
        <v>5</v>
      </c>
      <c r="BD62" s="31">
        <v>19.444444444444443</v>
      </c>
      <c r="BE62" s="29">
        <v>6</v>
      </c>
      <c r="BF62" s="29">
        <v>5</v>
      </c>
      <c r="BG62" s="30">
        <v>3</v>
      </c>
      <c r="BH62" s="30">
        <v>2.6646209564781631E-3</v>
      </c>
      <c r="BI62" s="26" t="s">
        <v>320</v>
      </c>
      <c r="BJ62" s="30">
        <v>7</v>
      </c>
      <c r="BK62" s="29">
        <f>IF(BE62&lt;=BC62,1,0)</f>
        <v>0</v>
      </c>
      <c r="BL62" s="29">
        <f>BE62-BC62</f>
        <v>1</v>
      </c>
      <c r="BM62" s="29" t="str">
        <f>IF(BH62&gt;0,
    IF(OR(BC62&lt;=TRUNC(BJ62/2,0),BC62=0),
        IF(BG62=TRUNC(BJ62/2,0),
            "-1, Déficit y dejo la capacidad media",
            IF(AND(BG62&gt;TRUNC(BJ62/2,0), BG62&gt;BC62),
                "1, Déficit y eliminé déficit",
                IF(AND(BG62&lt;TRUNC(BJ62/2,0), BG62&lt;BC62),
                    "0, Déficit y no elimine déficit",
                    "-2, Déficit y resultado fue bueno")
            )
        ),
        IF(AND(BG62&gt;TRUNC(BJ62/2,0), BG62&gt;BC62),
            "1, no había déficit, pero resultado fue mejor",
            IF(AND(BG62&lt;TRUNC(BJ62/2,0),BG62&lt;BC62),
                "0, no había déficit y la dejo con déficit",
                IF(BG62=TRUNC(BJ62/2,0),
                    "-1, no había déficit y dejo la capacidad media",
                    "-2,no había déficit y resultado fue bueno")
            )
        )
    ),
    IF(BH62&lt;0,
        IF(BC62&gt;TRUNC(BJ62/2,0),
            IF(BG62=TRUNC(BJ62/2,0),
                "-1, Superávit y deje la capacidad media",
                IF(AND(BG62&gt;TRUNC(BJ62/2,0), BG62&gt;=BC62),
                    "0, Superávit y no eliminé superávit",
                    IF(AND(BG62&lt;TRUNC(BJ62/2,0),BG62&lt;BC62),
                        "1, Superávit y eliminé superávit",
                        "-2, Superávit y resultado fue bueno"
                    )
                )
            ),
            IF(AND(BC62&lt;=TRUNC(BJ62/2,0),BC62&gt;=0),
                IF(BG62=TRUNC(BJ62/2,0),
                    "-1, no había superávit y deje la capacidad media",
                    IF(AND(BG62&gt;TRUNC(BJ62/2,0), BG62&gt;=BC62),
                        "0, no había superávit, y la deje con superávit",
                        IF(AND(BG62&lt;TRUNC(BJ62/2,0),BG62&lt;BC62),
                            "1, no había superávit, pero el resultado fue mejor",
                            "-2, no había superávit y resultado fue bueno"
                        )
                    )
                )
            )
        )
    )
)</f>
        <v>-1, no había déficit y dejo la capacidad media</v>
      </c>
      <c r="BO62" s="30" t="s">
        <v>209</v>
      </c>
      <c r="BP62" s="30">
        <v>7</v>
      </c>
      <c r="BQ62" s="31">
        <v>4.4444444444444446</v>
      </c>
      <c r="BR62" s="29">
        <v>6</v>
      </c>
      <c r="BS62" s="29">
        <v>6</v>
      </c>
      <c r="BT62" s="30">
        <v>3</v>
      </c>
      <c r="BU62" s="30">
        <v>2.6646209564781631E-3</v>
      </c>
      <c r="BV62" s="26" t="s">
        <v>320</v>
      </c>
      <c r="BW62" s="30">
        <v>7</v>
      </c>
      <c r="BX62" s="29">
        <f>IF(BR62&lt;=BP62,1,0)</f>
        <v>1</v>
      </c>
      <c r="BY62" s="29">
        <f>BR62-BP62</f>
        <v>-1</v>
      </c>
      <c r="BZ62" s="29" t="str">
        <f>IF(BU62&gt;0,
    IF(OR(BP62&lt;=TRUNC(BW62/2,0),BP62=0),
        IF(BT62=TRUNC(BW62/2,0),
            "-1, Déficit y dejo la capacidad media",
            IF(AND(BT62&gt;TRUNC(BW62/2,0), BT62&gt;BP62),
                "1, Déficit y eliminé déficit",
                IF(AND(BT62&lt;TRUNC(BW62/2,0), BT62&lt;BP62),
                    "0, Déficit y no elimine déficit",
                    "-2, Déficit y resultado fue bueno")
            )
        ),
        IF(AND(BT62&gt;TRUNC(BW62/2,0), BT62&gt;BP62),
            "1, no había déficit, pero resultado fue mejor",
            IF(AND(BT62&lt;TRUNC(BW62/2,0),BT62&lt;BP62),
                "0, no había déficit y la dejo con déficit",
                IF(BT62=TRUNC(BW62/2,0),
                    "-1, no había déficit y dejo la capacidad media",
                    "-2,no había déficit y resultado fue bueno")
            )
        )
    ),
    IF(BU62&lt;0,
        IF(BP62&gt;TRUNC(BW62/2,0),
            IF(BT62=TRUNC(BW62/2,0),
                "-1, Superávit y deje la capacidad media",
                IF(AND(BT62&gt;TRUNC(BW62/2,0), BT62&gt;=BP62),
                    "0, Superávit y no eliminé superávit",
                    IF(AND(BT62&lt;TRUNC(BW62/2,0),BT62&lt;BP62),
                        "1, Superávit y eliminé superávit",
                        "-2, Superávit y resultado fue bueno"
                    )
                )
            ),
            IF(AND(BP62&lt;=TRUNC(BW62/2,0),BP62&gt;=0),
                IF(BT62=TRUNC(BW62/2,0),
                    "-1, no había superávit y deje la capacidad media",
                    IF(AND(BT62&gt;TRUNC(BW62/2,0), BT62&gt;=BP62),
                        "0, no había superávit, y la deje con superávit",
                        IF(AND(BT62&lt;TRUNC(BW62/2,0),BT62&lt;BP62),
                            "1, no había superávit, pero el resultado fue mejor",
                            "-2, no había superávit y resultado fue bueno"
                        )
                    )
                )
            )
        )
    )
)</f>
        <v>-1, no había déficit y dejo la capacidad media</v>
      </c>
      <c r="CB62" s="30" t="s">
        <v>209</v>
      </c>
      <c r="CC62" s="30">
        <v>3</v>
      </c>
      <c r="CD62" s="31">
        <v>3.2222222222222223</v>
      </c>
      <c r="CE62" s="29">
        <v>3</v>
      </c>
      <c r="CF62" s="29">
        <v>3</v>
      </c>
      <c r="CG62" s="30">
        <v>3</v>
      </c>
      <c r="CH62" s="30">
        <v>2.6646209564781631E-3</v>
      </c>
      <c r="CI62" s="26" t="s">
        <v>320</v>
      </c>
      <c r="CJ62" s="30">
        <v>7</v>
      </c>
      <c r="CK62" s="29">
        <f>IF(CE62&lt;=CC62,1,0)</f>
        <v>1</v>
      </c>
      <c r="CL62" s="29">
        <f>CE62-CC62</f>
        <v>0</v>
      </c>
      <c r="CM62" s="29" t="str">
        <f>IF(CH62&gt;0,
    IF(OR(CC62&lt;=TRUNC(CJ62/2,0),CC62=0),
        IF(CG62=TRUNC(CJ62/2,0),
            "-1, Déficit y dejo la capacidad media",
            IF(AND(CG62&gt;TRUNC(CJ62/2,0), CG62&gt;CC62),
                "1, Déficit y eliminé déficit",
                IF(AND(CG62&lt;TRUNC(CJ62/2,0), CG62&lt;CC62),
                    "0, Déficit y no elimine déficit",
                    "-2, Déficit y resultado fue bueno")
            )
        ),
        IF(AND(CG62&gt;TRUNC(CJ62/2,0), CG62&gt;CC62),
            "1, no había déficit, pero resultado fue mejor",
            IF(AND(CG62&lt;TRUNC(CJ62/2,0),CG62&lt;CC62),
                "0, no había déficit y la dejo con déficit",
                IF(CG62=TRUNC(CJ62/2,0),
                    "-1, no había déficit y dejo la capacidad media",
                    "-2,no había déficit y resultado fue bueno")
            )
        )
    ),
    IF(CH62&lt;0,
        IF(CC62&gt;TRUNC(CJ62/2,0),
            IF(CG62=TRUNC(CJ62/2,0),
                "-1, Superávit y deje la capacidad media",
                IF(AND(CG62&gt;TRUNC(CJ62/2,0), CG62&gt;=CC62),
                    "0, Superávit y no eliminé superávit",
                    IF(AND(CG62&lt;TRUNC(CJ62/2,0),CG62&lt;CC62),
                        "1, Superávit y eliminé superávit",
                        "-2, Superávit y resultado fue bueno"
                    )
                )
            ),
            IF(AND(CC62&lt;=TRUNC(CJ62/2,0),CC62&gt;=0),
                IF(CG62=TRUNC(CJ62/2,0),
                    "-1, no había superávit y deje la capacidad media",
                    IF(AND(CG62&gt;TRUNC(CJ62/2,0), CG62&gt;=CC62),
                        "0, no había superávit, y la deje con superávit",
                        IF(AND(CG62&lt;TRUNC(CJ62/2,0),CG62&lt;CC62),
                            "1, no había superávit, pero el resultado fue mejor",
                            "-2, no había superávit y resultado fue bueno"
                        )
                    )
                )
            )
        )
    )
)</f>
        <v>-1, Déficit y dejo la capacidad media</v>
      </c>
      <c r="CO62" s="30" t="s">
        <v>209</v>
      </c>
      <c r="CP62" s="30">
        <v>5</v>
      </c>
      <c r="CQ62" s="31">
        <v>2.7777777777777777</v>
      </c>
      <c r="CR62" s="29">
        <v>5</v>
      </c>
      <c r="CS62" s="29">
        <v>1</v>
      </c>
      <c r="CT62" s="30">
        <v>4</v>
      </c>
      <c r="CU62" s="30">
        <v>2.6646209564781631E-3</v>
      </c>
      <c r="CV62" s="26" t="s">
        <v>320</v>
      </c>
      <c r="CW62" s="30">
        <v>7</v>
      </c>
      <c r="CX62" s="29">
        <f>IF(CR62&lt;=CP62,1,0)</f>
        <v>1</v>
      </c>
      <c r="CY62" s="29">
        <f>CR62-CP62</f>
        <v>0</v>
      </c>
      <c r="CZ62" s="29" t="str">
        <f>IF(CU62&gt;0,
    IF(OR(CP62&lt;=TRUNC(CW62/2,0),CP62=0),
        IF(CT62=TRUNC(CW62/2,0),
            "-1, Déficit y dejo la capacidad media",
            IF(AND(CT62&gt;TRUNC(CW62/2,0), CT62&gt;CP62),
                "1, Déficit y eliminé déficit",
                IF(AND(CT62&lt;TRUNC(CW62/2,0), CT62&lt;CP62),
                    "0, Déficit y no elimine déficit",
                    "-2, Déficit y resultado fue bueno")
            )
        ),
        IF(AND(CT62&gt;TRUNC(CW62/2,0), CT62&gt;CP62),
            "1, no había déficit, pero resultado fue mejor",
            IF(AND(CT62&lt;TRUNC(CW62/2,0),CT62&lt;CP62),
                "0, no había déficit y la dejo con déficit",
                IF(CT62=TRUNC(CW62/2,0),
                    "-1, no había déficit y dejo la capacidad media",
                    "-2,no había déficit y resultado fue bueno")
            )
        )
    ),
    IF(CU62&lt;0,
        IF(CP62&gt;TRUNC(CW62/2,0),
            IF(CT62=TRUNC(CW62/2,0),
                "-1, Superávit y deje la capacidad media",
                IF(AND(CT62&gt;TRUNC(CW62/2,0), CT62&gt;=CP62),
                    "0, Superávit y no eliminé superávit",
                    IF(AND(CT62&lt;TRUNC(CW62/2,0),CT62&lt;CP62),
                        "1, Superávit y eliminé superávit",
                        "-2, Superávit y resultado fue bueno"
                    )
                )
            ),
            IF(AND(CP62&lt;=TRUNC(CW62/2,0),CP62&gt;=0),
                IF(CT62=TRUNC(CW62/2,0),
                    "-1, no había superávit y deje la capacidad media",
                    IF(AND(CT62&gt;TRUNC(CW62/2,0), CT62&gt;=CP62),
                        "0, no había superávit, y la deje con superávit",
                        IF(AND(CT62&lt;TRUNC(CW62/2,0),CT62&lt;CP62),
                            "1, no había superávit, pero el resultado fue mejor",
                            "-2, no había superávit y resultado fue bueno"
                        )
                    )
                )
            )
        )
    )
)</f>
        <v>-2,no había déficit y resultado fue bueno</v>
      </c>
    </row>
    <row r="63" spans="2:104" ht="14.25" customHeight="1" x14ac:dyDescent="0.3">
      <c r="B63" s="30" t="s">
        <v>214</v>
      </c>
      <c r="C63" s="29">
        <v>15</v>
      </c>
      <c r="D63" s="31">
        <v>9.5555555555555554</v>
      </c>
      <c r="E63" s="29">
        <v>15</v>
      </c>
      <c r="F63" s="29">
        <v>15</v>
      </c>
      <c r="G63" s="29">
        <v>6</v>
      </c>
      <c r="H63" s="30">
        <v>-0.3761105231824623</v>
      </c>
      <c r="I63" s="26" t="s">
        <v>322</v>
      </c>
      <c r="J63" s="30">
        <v>15</v>
      </c>
      <c r="K63" s="29">
        <f>IF(E63&gt;=C63,1,0)</f>
        <v>1</v>
      </c>
      <c r="L63" s="29">
        <f>E63-C63</f>
        <v>0</v>
      </c>
      <c r="M63" s="29" t="str">
        <f>IF(H63&gt;0,
    IF(OR(C63&lt;=TRUNC(J63/2,0),C63=0),
        IF(G63=TRUNC(J63/2,0),
            "-1, Déficit y dejo la capacidad media",
            IF(AND(G63&gt;TRUNC(J63/2,0), G63&gt;C63),
                "1, Déficit y eliminé déficit",
                IF(AND(G63&lt;TRUNC(J63/2,0), G63&lt;C63),
                    "0, Déficit y no elimine déficit",
                    "-2, Déficit y resultado fue bueno")
            )
        ),
        IF(AND(G63&gt;TRUNC(J63/2,0), G63&gt;C63),
            "1, no había déficit, pero resultado fue mejor",
            IF(AND(G63&lt;TRUNC(J63/2,0),G63&lt;C63),
                "0, no había déficit y la dejo con déficit",
                IF(G63=TRUNC(J63/2,0),
                    "-1, no había déficit y dejo la capacidad media",
                    "-2,no había déficit y resultado fue bueno")
            )
        )
    ),
    IF(H63&lt;0,
        IF(C63&gt;TRUNC(J63/2,0),
            IF(G63=TRUNC(J63/2,0),
                "-1, Superávit y deje la capacidad media",
                IF(AND(G63&gt;TRUNC(J63/2,0), G63&gt;=C63),
                    "0, Superávit y no eliminé superávit",
                    IF(AND(G63&lt;TRUNC(J63/2,0),G63&lt;C63),
                        "1, Superávit y eliminé superávit",
                        "-2, Superávit y resultado fue bueno"
                    )
                )
            ),
            IF(AND(C63&lt;=TRUNC(J63/2,0),C63&gt;=0),
                IF(G63=TRUNC(J63/2,0),
                    "-1, no había superávit y deje la capacidad media",
                    IF(AND(G63&gt;TRUNC(J63/2,0), G63&gt;=C63),
                        "0, no había superávit, y la deje con superávit",
                        IF(AND(G63&lt;TRUNC(J63/2,0),G63&lt;C63),
                            "1, no había superávit, pero el resultado fue mejor",
                            "-2, no había superávit y resultado fue bueno"
                        )
                    )
                )
            )
        )
    )
)</f>
        <v>1, Superávit y eliminé superávit</v>
      </c>
      <c r="O63" s="30" t="s">
        <v>214</v>
      </c>
      <c r="P63" s="30">
        <v>13</v>
      </c>
      <c r="Q63" s="31">
        <v>10.555555555555555</v>
      </c>
      <c r="R63" s="29">
        <v>15</v>
      </c>
      <c r="S63" s="29">
        <v>15</v>
      </c>
      <c r="T63" s="30">
        <v>4</v>
      </c>
      <c r="U63" s="30">
        <v>-0.3761105231824623</v>
      </c>
      <c r="V63" s="26" t="s">
        <v>322</v>
      </c>
      <c r="W63" s="30">
        <v>15</v>
      </c>
      <c r="X63" s="29">
        <f>IF(R63&gt;=P63,1,0)</f>
        <v>1</v>
      </c>
      <c r="Y63" s="29">
        <f>R63-P63</f>
        <v>2</v>
      </c>
      <c r="Z63" s="29" t="str">
        <f>IF(U63&gt;0,
    IF(OR(P63&lt;=TRUNC(W63/2,0),P63=0),
        IF(T63=TRUNC(W63/2,0),
            "-1, Déficit y dejo la capacidad media",
            IF(AND(T63&gt;TRUNC(W63/2,0), T63&gt;P63),
                "1, Déficit y eliminé déficit",
                IF(AND(T63&lt;TRUNC(W63/2,0), T63&lt;P63),
                    "0, Déficit y no elimine déficit",
                    "-2, Déficit y resultado fue bueno")
            )
        ),
        IF(AND(T63&gt;TRUNC(W63/2,0), T63&gt;P63),
            "1, no había déficit, pero resultado fue mejor",
            IF(AND(T63&lt;TRUNC(W63/2,0),T63&lt;P63),
                "0, no había déficit y la dejo con déficit",
                IF(T63=TRUNC(W63/2,0),
                    "-1, no había déficit y dejo la capacidad media",
                    "-2,no había déficit y resultado fue bueno")
            )
        )
    ),
    IF(U63&lt;0,
        IF(P63&gt;TRUNC(W63/2,0),
            IF(T63=TRUNC(W63/2,0),
                "-1, Superávit y deje la capacidad media",
                IF(AND(T63&gt;TRUNC(W63/2,0), T63&gt;=P63),
                    "0, Superávit y no eliminé superávit",
                    IF(AND(T63&lt;TRUNC(W63/2,0),T63&lt;P63),
                        "1, Superávit y eliminé superávit",
                        "-2, Superávit y resultado fue bueno"
                    )
                )
            ),
            IF(AND(P63&lt;=TRUNC(W63/2,0),P63&gt;=0),
                IF(T63=TRUNC(W63/2,0),
                    "-1, no había superávit y deje la capacidad media",
                    IF(AND(T63&gt;TRUNC(W63/2,0), T63&gt;=P63),
                        "0, no había superávit, y la deje con superávit",
                        IF(AND(T63&lt;TRUNC(W63/2,0),T63&lt;P63),
                            "1, no había superávit, pero el resultado fue mejor",
                            "-2, no había superávit y resultado fue bueno"
                        )
                    )
                )
            )
        )
    )
)</f>
        <v>1, Superávit y eliminé superávit</v>
      </c>
      <c r="AB63" s="2" t="s">
        <v>214</v>
      </c>
      <c r="AC63" s="2">
        <v>15</v>
      </c>
      <c r="AD63" s="7">
        <v>9.2222222222222214</v>
      </c>
      <c r="AE63" s="3">
        <v>15</v>
      </c>
      <c r="AF63" s="3">
        <v>15</v>
      </c>
      <c r="AG63" s="2">
        <v>6</v>
      </c>
      <c r="AH63" s="11">
        <v>-0.3761105231824623</v>
      </c>
      <c r="AI63" s="26" t="s">
        <v>322</v>
      </c>
      <c r="AJ63" s="22">
        <v>15</v>
      </c>
      <c r="AK63" s="29">
        <f>IF(AE63&gt;=AC63,1,0)</f>
        <v>1</v>
      </c>
      <c r="AL63" s="29">
        <f>AE63-AC63</f>
        <v>0</v>
      </c>
      <c r="AM63" s="29" t="str">
        <f>IF(AH63&gt;0,
    IF(OR(AC63&lt;=TRUNC(AJ63/2,0),AC63=0),
        IF(AG63=TRUNC(AJ63/2,0),
            "-1, Déficit y dejo la capacidad media",
            IF(AND(AG63&gt;TRUNC(AJ63/2,0), AG63&gt;AC63),
                "1, Déficit y eliminé déficit",
                IF(AND(AG63&lt;TRUNC(AJ63/2,0), AG63&lt;AC63),
                    "0, Déficit y no elimine déficit",
                    "-2, Déficit y resultado fue bueno")
            )
        ),
        IF(AND(AG63&gt;TRUNC(AJ63/2,0), AG63&gt;AC63),
            "1, no había déficit, pero resultado fue mejor",
            IF(AND(AG63&lt;TRUNC(AJ63/2,0),AG63&lt;AC63),
                "0, no había déficit y la dejo con déficit",
                IF(AG63=TRUNC(AJ63/2,0),
                    "-1, no había déficit y dejo la capacidad media",
                    "-2,no había déficit y resultado fue bueno")
            )
        )
    ),
    IF(AH63&lt;0,
        IF(AC63&gt;TRUNC(AJ63/2,0),
            IF(AG63=TRUNC(AJ63/2,0),
                "-1, Superávit y deje la capacidad media",
                IF(AND(AG63&gt;TRUNC(AJ63/2,0), AG63&gt;=AC63),
                    "0, Superávit y no eliminé superávit",
                    IF(AND(AG63&lt;TRUNC(AJ63/2,0),AG63&lt;AC63),
                        "1, Superávit y eliminé superávit",
                        "-2, Superávit y resultado fue bueno"
                    )
                )
            ),
            IF(AND(AC63&lt;=TRUNC(AJ63/2,0),AC63&gt;=0),
                IF(AG63=TRUNC(AJ63/2,0),
                    "-1, no había superávit y deje la capacidad media",
                    IF(AND(AG63&gt;TRUNC(AJ63/2,0), AG63&gt;=AC63),
                        "0, no había superávit, y la deje con superávit",
                        IF(AND(AG63&lt;TRUNC(AJ63/2,0),AG63&lt;AC63),
                            "1, no había superávit, pero el resultado fue mejor",
                            "-2, no había superávit y resultado fue bueno"
                        )
                    )
                )
            )
        )
    )
)</f>
        <v>1, Superávit y eliminé superávit</v>
      </c>
      <c r="AO63" s="30" t="s">
        <v>214</v>
      </c>
      <c r="AP63" s="30">
        <v>6</v>
      </c>
      <c r="AQ63" s="31">
        <v>8.7777777777777786</v>
      </c>
      <c r="AR63" s="29">
        <v>5</v>
      </c>
      <c r="AS63" s="29">
        <v>6</v>
      </c>
      <c r="AT63" s="30">
        <v>6</v>
      </c>
      <c r="AU63" s="30">
        <v>-0.3761105231824623</v>
      </c>
      <c r="AV63" s="26" t="s">
        <v>322</v>
      </c>
      <c r="AW63" s="30">
        <v>15</v>
      </c>
      <c r="AX63" s="29">
        <f>IF(AR63&gt;=AP63,1,0)</f>
        <v>0</v>
      </c>
      <c r="AY63" s="29">
        <f>AR63-AP63</f>
        <v>-1</v>
      </c>
      <c r="AZ63" s="29" t="str">
        <f>IF(AU63&gt;0,
    IF(OR(AP63&lt;=TRUNC(AW63/2,0),AP63=0),
        IF(AT63=TRUNC(AW63/2,0),
            "-1, Déficit y dejo la capacidad media",
            IF(AND(AT63&gt;TRUNC(AW63/2,0), AT63&gt;AP63),
                "1, Déficit y eliminé déficit",
                IF(AND(AT63&lt;TRUNC(AW63/2,0), AT63&lt;AP63),
                    "0, Déficit y no elimine déficit",
                    "-2, Déficit y resultado fue bueno")
            )
        ),
        IF(AND(AT63&gt;TRUNC(AW63/2,0), AT63&gt;AP63),
            "1, no había déficit, pero resultado fue mejor",
            IF(AND(AT63&lt;TRUNC(AW63/2,0),AT63&lt;AP63),
                "0, no había déficit y la dejo con déficit",
                IF(AT63=TRUNC(AW63/2,0),
                    "-1, no había déficit y dejo la capacidad media",
                    "-2,no había déficit y resultado fue bueno")
            )
        )
    ),
    IF(AU63&lt;0,
        IF(AP63&gt;TRUNC(AW63/2,0),
            IF(AT63=TRUNC(AW63/2,0),
                "-1, Superávit y deje la capacidad media",
                IF(AND(AT63&gt;TRUNC(AW63/2,0), AT63&gt;=AP63),
                    "0, Superávit y no eliminé superávit",
                    IF(AND(AT63&lt;TRUNC(AW63/2,0),AT63&lt;AP63),
                        "1, Superávit y eliminé superávit",
                        "-2, Superávit y resultado fue bueno"
                    )
                )
            ),
            IF(AND(AP63&lt;=TRUNC(AW63/2,0),AP63&gt;=0),
                IF(AT63=TRUNC(AW63/2,0),
                    "-1, no había superávit y deje la capacidad media",
                    IF(AND(AT63&gt;TRUNC(AW63/2,0), AT63&gt;=AP63),
                        "0, no había superávit, y la deje con superávit",
                        IF(AND(AT63&lt;TRUNC(AW63/2,0),AT63&lt;AP63),
                            "1, no había superávit, pero el resultado fue mejor",
                            "-2, no había superávit y resultado fue bueno"
                        )
                    )
                )
            )
        )
    )
)</f>
        <v>-2, no había superávit y resultado fue bueno</v>
      </c>
      <c r="BB63" s="30" t="s">
        <v>214</v>
      </c>
      <c r="BC63" s="30">
        <v>10</v>
      </c>
      <c r="BD63" s="31">
        <v>1.5555555555555556</v>
      </c>
      <c r="BE63" s="29">
        <v>9</v>
      </c>
      <c r="BF63" s="29">
        <v>9</v>
      </c>
      <c r="BG63" s="30">
        <v>10</v>
      </c>
      <c r="BH63" s="30">
        <v>-0.3761105231824623</v>
      </c>
      <c r="BI63" s="26" t="s">
        <v>322</v>
      </c>
      <c r="BJ63" s="30">
        <v>15</v>
      </c>
      <c r="BK63" s="29">
        <f>IF(BE63&gt;=BC63,1,0)</f>
        <v>0</v>
      </c>
      <c r="BL63" s="29">
        <f>BE63-BC63</f>
        <v>-1</v>
      </c>
      <c r="BM63" s="29" t="str">
        <f>IF(BH63&gt;0,
    IF(OR(BC63&lt;=TRUNC(BJ63/2,0),BC63=0),
        IF(BG63=TRUNC(BJ63/2,0),
            "-1, Déficit y dejo la capacidad media",
            IF(AND(BG63&gt;TRUNC(BJ63/2,0), BG63&gt;BC63),
                "1, Déficit y eliminé déficit",
                IF(AND(BG63&lt;TRUNC(BJ63/2,0), BG63&lt;BC63),
                    "0, Déficit y no elimine déficit",
                    "-2, Déficit y resultado fue bueno")
            )
        ),
        IF(AND(BG63&gt;TRUNC(BJ63/2,0), BG63&gt;BC63),
            "1, no había déficit, pero resultado fue mejor",
            IF(AND(BG63&lt;TRUNC(BJ63/2,0),BG63&lt;BC63),
                "0, no había déficit y la dejo con déficit",
                IF(BG63=TRUNC(BJ63/2,0),
                    "-1, no había déficit y dejo la capacidad media",
                    "-2,no había déficit y resultado fue bueno")
            )
        )
    ),
    IF(BH63&lt;0,
        IF(BC63&gt;TRUNC(BJ63/2,0),
            IF(BG63=TRUNC(BJ63/2,0),
                "-1, Superávit y deje la capacidad media",
                IF(AND(BG63&gt;TRUNC(BJ63/2,0), BG63&gt;=BC63),
                    "0, Superávit y no eliminé superávit",
                    IF(AND(BG63&lt;TRUNC(BJ63/2,0),BG63&lt;BC63),
                        "1, Superávit y eliminé superávit",
                        "-2, Superávit y resultado fue bueno"
                    )
                )
            ),
            IF(AND(BC63&lt;=TRUNC(BJ63/2,0),BC63&gt;=0),
                IF(BG63=TRUNC(BJ63/2,0),
                    "-1, no había superávit y deje la capacidad media",
                    IF(AND(BG63&gt;TRUNC(BJ63/2,0), BG63&gt;=BC63),
                        "0, no había superávit, y la deje con superávit",
                        IF(AND(BG63&lt;TRUNC(BJ63/2,0),BG63&lt;BC63),
                            "1, no había superávit, pero el resultado fue mejor",
                            "-2, no había superávit y resultado fue bueno"
                        )
                    )
                )
            )
        )
    )
)</f>
        <v>0, Superávit y no eliminé superávit</v>
      </c>
      <c r="BO63" s="30" t="s">
        <v>214</v>
      </c>
      <c r="BP63" s="30">
        <v>6</v>
      </c>
      <c r="BQ63" s="31">
        <v>9.8888888888888893</v>
      </c>
      <c r="BR63" s="29">
        <v>5</v>
      </c>
      <c r="BS63" s="29">
        <v>7</v>
      </c>
      <c r="BT63" s="30">
        <v>6</v>
      </c>
      <c r="BU63" s="30">
        <v>-0.3761105231824623</v>
      </c>
      <c r="BV63" s="26" t="s">
        <v>322</v>
      </c>
      <c r="BW63" s="30">
        <v>15</v>
      </c>
      <c r="BX63" s="29">
        <f>IF(BR63&gt;=BP63,1,0)</f>
        <v>0</v>
      </c>
      <c r="BY63" s="29">
        <f>BR63-BP63</f>
        <v>-1</v>
      </c>
      <c r="BZ63" s="29" t="str">
        <f>IF(BU63&gt;0,
    IF(OR(BP63&lt;=TRUNC(BW63/2,0),BP63=0),
        IF(BT63=TRUNC(BW63/2,0),
            "-1, Déficit y dejo la capacidad media",
            IF(AND(BT63&gt;TRUNC(BW63/2,0), BT63&gt;BP63),
                "1, Déficit y eliminé déficit",
                IF(AND(BT63&lt;TRUNC(BW63/2,0), BT63&lt;BP63),
                    "0, Déficit y no elimine déficit",
                    "-2, Déficit y resultado fue bueno")
            )
        ),
        IF(AND(BT63&gt;TRUNC(BW63/2,0), BT63&gt;BP63),
            "1, no había déficit, pero resultado fue mejor",
            IF(AND(BT63&lt;TRUNC(BW63/2,0),BT63&lt;BP63),
                "0, no había déficit y la dejo con déficit",
                IF(BT63=TRUNC(BW63/2,0),
                    "-1, no había déficit y dejo la capacidad media",
                    "-2,no había déficit y resultado fue bueno")
            )
        )
    ),
    IF(BU63&lt;0,
        IF(BP63&gt;TRUNC(BW63/2,0),
            IF(BT63=TRUNC(BW63/2,0),
                "-1, Superávit y deje la capacidad media",
                IF(AND(BT63&gt;TRUNC(BW63/2,0), BT63&gt;=BP63),
                    "0, Superávit y no eliminé superávit",
                    IF(AND(BT63&lt;TRUNC(BW63/2,0),BT63&lt;BP63),
                        "1, Superávit y eliminé superávit",
                        "-2, Superávit y resultado fue bueno"
                    )
                )
            ),
            IF(AND(BP63&lt;=TRUNC(BW63/2,0),BP63&gt;=0),
                IF(BT63=TRUNC(BW63/2,0),
                    "-1, no había superávit y deje la capacidad media",
                    IF(AND(BT63&gt;TRUNC(BW63/2,0), BT63&gt;=BP63),
                        "0, no había superávit, y la deje con superávit",
                        IF(AND(BT63&lt;TRUNC(BW63/2,0),BT63&lt;BP63),
                            "1, no había superávit, pero el resultado fue mejor",
                            "-2, no había superávit y resultado fue bueno"
                        )
                    )
                )
            )
        )
    )
)</f>
        <v>-2, no había superávit y resultado fue bueno</v>
      </c>
      <c r="CB63" s="30" t="s">
        <v>214</v>
      </c>
      <c r="CC63" s="30">
        <v>14</v>
      </c>
      <c r="CD63" s="31">
        <v>8.1111111111111107</v>
      </c>
      <c r="CE63" s="29">
        <v>7</v>
      </c>
      <c r="CF63" s="29">
        <v>7</v>
      </c>
      <c r="CG63" s="30">
        <v>3</v>
      </c>
      <c r="CH63" s="30">
        <v>-0.3761105231824623</v>
      </c>
      <c r="CI63" s="26" t="s">
        <v>322</v>
      </c>
      <c r="CJ63" s="30">
        <v>15</v>
      </c>
      <c r="CK63" s="29">
        <f>IF(CE63&gt;=CC63,1,0)</f>
        <v>0</v>
      </c>
      <c r="CL63" s="29">
        <f>CE63-CC63</f>
        <v>-7</v>
      </c>
      <c r="CM63" s="29" t="str">
        <f>IF(CH63&gt;0,
    IF(OR(CC63&lt;=TRUNC(CJ63/2,0),CC63=0),
        IF(CG63=TRUNC(CJ63/2,0),
            "-1, Déficit y dejo la capacidad media",
            IF(AND(CG63&gt;TRUNC(CJ63/2,0), CG63&gt;CC63),
                "1, Déficit y eliminé déficit",
                IF(AND(CG63&lt;TRUNC(CJ63/2,0), CG63&lt;CC63),
                    "0, Déficit y no elimine déficit",
                    "-2, Déficit y resultado fue bueno")
            )
        ),
        IF(AND(CG63&gt;TRUNC(CJ63/2,0), CG63&gt;CC63),
            "1, no había déficit, pero resultado fue mejor",
            IF(AND(CG63&lt;TRUNC(CJ63/2,0),CG63&lt;CC63),
                "0, no había déficit y la dejo con déficit",
                IF(CG63=TRUNC(CJ63/2,0),
                    "-1, no había déficit y dejo la capacidad media",
                    "-2,no había déficit y resultado fue bueno")
            )
        )
    ),
    IF(CH63&lt;0,
        IF(CC63&gt;TRUNC(CJ63/2,0),
            IF(CG63=TRUNC(CJ63/2,0),
                "-1, Superávit y deje la capacidad media",
                IF(AND(CG63&gt;TRUNC(CJ63/2,0), CG63&gt;=CC63),
                    "0, Superávit y no eliminé superávit",
                    IF(AND(CG63&lt;TRUNC(CJ63/2,0),CG63&lt;CC63),
                        "1, Superávit y eliminé superávit",
                        "-2, Superávit y resultado fue bueno"
                    )
                )
            ),
            IF(AND(CC63&lt;=TRUNC(CJ63/2,0),CC63&gt;=0),
                IF(CG63=TRUNC(CJ63/2,0),
                    "-1, no había superávit y deje la capacidad media",
                    IF(AND(CG63&gt;TRUNC(CJ63/2,0), CG63&gt;=CC63),
                        "0, no había superávit, y la deje con superávit",
                        IF(AND(CG63&lt;TRUNC(CJ63/2,0),CG63&lt;CC63),
                            "1, no había superávit, pero el resultado fue mejor",
                            "-2, no había superávit y resultado fue bueno"
                        )
                    )
                )
            )
        )
    )
)</f>
        <v>1, Superávit y eliminé superávit</v>
      </c>
      <c r="CO63" s="30" t="s">
        <v>214</v>
      </c>
      <c r="CP63" s="30">
        <v>10</v>
      </c>
      <c r="CQ63" s="31">
        <v>9.5555555555555554</v>
      </c>
      <c r="CR63" s="29">
        <v>9</v>
      </c>
      <c r="CS63" s="29">
        <v>8</v>
      </c>
      <c r="CT63" s="30">
        <v>10</v>
      </c>
      <c r="CU63" s="30">
        <v>-0.3761105231824623</v>
      </c>
      <c r="CV63" s="26" t="s">
        <v>322</v>
      </c>
      <c r="CW63" s="30">
        <v>15</v>
      </c>
      <c r="CX63" s="29">
        <f>IF(CR63&gt;=CP63,1,0)</f>
        <v>0</v>
      </c>
      <c r="CY63" s="29">
        <f>CR63-CP63</f>
        <v>-1</v>
      </c>
      <c r="CZ63" s="29" t="str">
        <f>IF(CU63&gt;0,
    IF(OR(CP63&lt;=TRUNC(CW63/2,0),CP63=0),
        IF(CT63=TRUNC(CW63/2,0),
            "-1, Déficit y dejo la capacidad media",
            IF(AND(CT63&gt;TRUNC(CW63/2,0), CT63&gt;CP63),
                "1, Déficit y eliminé déficit",
                IF(AND(CT63&lt;TRUNC(CW63/2,0), CT63&lt;CP63),
                    "0, Déficit y no elimine déficit",
                    "-2, Déficit y resultado fue bueno")
            )
        ),
        IF(AND(CT63&gt;TRUNC(CW63/2,0), CT63&gt;CP63),
            "1, no había déficit, pero resultado fue mejor",
            IF(AND(CT63&lt;TRUNC(CW63/2,0),CT63&lt;CP63),
                "0, no había déficit y la dejo con déficit",
                IF(CT63=TRUNC(CW63/2,0),
                    "-1, no había déficit y dejo la capacidad media",
                    "-2,no había déficit y resultado fue bueno")
            )
        )
    ),
    IF(CU63&lt;0,
        IF(CP63&gt;TRUNC(CW63/2,0),
            IF(CT63=TRUNC(CW63/2,0),
                "-1, Superávit y deje la capacidad media",
                IF(AND(CT63&gt;TRUNC(CW63/2,0), CT63&gt;=CP63),
                    "0, Superávit y no eliminé superávit",
                    IF(AND(CT63&lt;TRUNC(CW63/2,0),CT63&lt;CP63),
                        "1, Superávit y eliminé superávit",
                        "-2, Superávit y resultado fue bueno"
                    )
                )
            ),
            IF(AND(CP63&lt;=TRUNC(CW63/2,0),CP63&gt;=0),
                IF(CT63=TRUNC(CW63/2,0),
                    "-1, no había superávit y deje la capacidad media",
                    IF(AND(CT63&gt;TRUNC(CW63/2,0), CT63&gt;=CP63),
                        "0, no había superávit, y la deje con superávit",
                        IF(AND(CT63&lt;TRUNC(CW63/2,0),CT63&lt;CP63),
                            "1, no había superávit, pero el resultado fue mejor",
                            "-2, no había superávit y resultado fue bueno"
                        )
                    )
                )
            )
        )
    )
)</f>
        <v>0, Superávit y no eliminé superávit</v>
      </c>
    </row>
    <row r="64" spans="2:104" ht="14.25" customHeight="1" x14ac:dyDescent="0.3">
      <c r="B64" s="30" t="s">
        <v>211</v>
      </c>
      <c r="C64" s="29">
        <v>11</v>
      </c>
      <c r="D64" s="31">
        <v>12.555555555555555</v>
      </c>
      <c r="E64" s="29">
        <v>11</v>
      </c>
      <c r="F64" s="29">
        <v>11</v>
      </c>
      <c r="G64" s="29">
        <v>11</v>
      </c>
      <c r="H64" s="30">
        <v>-0.61856740376708086</v>
      </c>
      <c r="I64" s="26" t="s">
        <v>321</v>
      </c>
      <c r="J64" s="30">
        <v>15</v>
      </c>
      <c r="K64" s="29">
        <f>IF(E64&gt;=C64,1,0)</f>
        <v>1</v>
      </c>
      <c r="L64" s="29">
        <f>E64-C64</f>
        <v>0</v>
      </c>
      <c r="M64" s="29" t="str">
        <f>IF(H64&gt;0,
    IF(OR(C64&lt;=TRUNC(J64/2,0),C64=0),
        IF(G64=TRUNC(J64/2,0),
            "-1, Déficit y dejo la capacidad media",
            IF(AND(G64&gt;TRUNC(J64/2,0), G64&gt;C64),
                "1, Déficit y eliminé déficit",
                IF(AND(G64&lt;TRUNC(J64/2,0), G64&lt;C64),
                    "0, Déficit y no elimine déficit",
                    "-2, Déficit y resultado fue bueno")
            )
        ),
        IF(AND(G64&gt;TRUNC(J64/2,0), G64&gt;C64),
            "1, no había déficit, pero resultado fue mejor",
            IF(AND(G64&lt;TRUNC(J64/2,0),G64&lt;C64),
                "0, no había déficit y la dejo con déficit",
                IF(G64=TRUNC(J64/2,0),
                    "-1, no había déficit y dejo la capacidad media",
                    "-2,no había déficit y resultado fue bueno")
            )
        )
    ),
    IF(H64&lt;0,
        IF(C64&gt;TRUNC(J64/2,0),
            IF(G64=TRUNC(J64/2,0),
                "-1, Superávit y deje la capacidad media",
                IF(AND(G64&gt;TRUNC(J64/2,0), G64&gt;=C64),
                    "0, Superávit y no eliminé superávit",
                    IF(AND(G64&lt;TRUNC(J64/2,0),G64&lt;C64),
                        "1, Superávit y eliminé superávit",
                        "-2, Superávit y resultado fue bueno"
                    )
                )
            ),
            IF(AND(C64&lt;=TRUNC(J64/2,0),C64&gt;=0),
                IF(G64=TRUNC(J64/2,0),
                    "-1, no había superávit y deje la capacidad media",
                    IF(AND(G64&gt;TRUNC(J64/2,0), G64&gt;=C64),
                        "0, no había superávit, y la deje con superávit",
                        IF(AND(G64&lt;TRUNC(J64/2,0),G64&lt;C64),
                            "1, no había superávit, pero el resultado fue mejor",
                            "-2, no había superávit y resultado fue bueno"
                        )
                    )
                )
            )
        )
    )
)</f>
        <v>0, Superávit y no eliminé superávit</v>
      </c>
      <c r="O64" s="30" t="s">
        <v>211</v>
      </c>
      <c r="P64" s="30">
        <v>8</v>
      </c>
      <c r="Q64" s="31">
        <v>11.888888888888889</v>
      </c>
      <c r="R64" s="29">
        <v>8</v>
      </c>
      <c r="S64" s="29">
        <v>8</v>
      </c>
      <c r="T64" s="30">
        <v>8</v>
      </c>
      <c r="U64" s="30">
        <v>-0.61856740376708086</v>
      </c>
      <c r="V64" s="26" t="s">
        <v>321</v>
      </c>
      <c r="W64" s="30">
        <v>15</v>
      </c>
      <c r="X64" s="29">
        <f>IF(R64&gt;=P64,1,0)</f>
        <v>1</v>
      </c>
      <c r="Y64" s="29">
        <f>R64-P64</f>
        <v>0</v>
      </c>
      <c r="Z64" s="29" t="str">
        <f>IF(U64&gt;0,
    IF(OR(P64&lt;=TRUNC(W64/2,0),P64=0),
        IF(T64=TRUNC(W64/2,0),
            "-1, Déficit y dejo la capacidad media",
            IF(AND(T64&gt;TRUNC(W64/2,0), T64&gt;P64),
                "1, Déficit y eliminé déficit",
                IF(AND(T64&lt;TRUNC(W64/2,0), T64&lt;P64),
                    "0, Déficit y no elimine déficit",
                    "-2, Déficit y resultado fue bueno")
            )
        ),
        IF(AND(T64&gt;TRUNC(W64/2,0), T64&gt;P64),
            "1, no había déficit, pero resultado fue mejor",
            IF(AND(T64&lt;TRUNC(W64/2,0),T64&lt;P64),
                "0, no había déficit y la dejo con déficit",
                IF(T64=TRUNC(W64/2,0),
                    "-1, no había déficit y dejo la capacidad media",
                    "-2,no había déficit y resultado fue bueno")
            )
        )
    ),
    IF(U64&lt;0,
        IF(P64&gt;TRUNC(W64/2,0),
            IF(T64=TRUNC(W64/2,0),
                "-1, Superávit y deje la capacidad media",
                IF(AND(T64&gt;TRUNC(W64/2,0), T64&gt;=P64),
                    "0, Superávit y no eliminé superávit",
                    IF(AND(T64&lt;TRUNC(W64/2,0),T64&lt;P64),
                        "1, Superávit y eliminé superávit",
                        "-2, Superávit y resultado fue bueno"
                    )
                )
            ),
            IF(AND(P64&lt;=TRUNC(W64/2,0),P64&gt;=0),
                IF(T64=TRUNC(W64/2,0),
                    "-1, no había superávit y deje la capacidad media",
                    IF(AND(T64&gt;TRUNC(W64/2,0), T64&gt;=P64),
                        "0, no había superávit, y la deje con superávit",
                        IF(AND(T64&lt;TRUNC(W64/2,0),T64&lt;P64),
                            "1, no había superávit, pero el resultado fue mejor",
                            "-2, no había superávit y resultado fue bueno"
                        )
                    )
                )
            )
        )
    )
)</f>
        <v>0, Superávit y no eliminé superávit</v>
      </c>
      <c r="AB64" s="2" t="s">
        <v>211</v>
      </c>
      <c r="AC64" s="2">
        <v>12</v>
      </c>
      <c r="AD64" s="7">
        <v>9</v>
      </c>
      <c r="AE64" s="3">
        <v>13</v>
      </c>
      <c r="AF64" s="3">
        <v>15</v>
      </c>
      <c r="AG64" s="2">
        <v>12</v>
      </c>
      <c r="AH64" s="11">
        <v>-0.61856740376708086</v>
      </c>
      <c r="AI64" s="26" t="s">
        <v>321</v>
      </c>
      <c r="AJ64" s="22">
        <v>15</v>
      </c>
      <c r="AK64" s="29">
        <f>IF(AE64&gt;=AC64,1,0)</f>
        <v>1</v>
      </c>
      <c r="AL64" s="29">
        <f>AE64-AC64</f>
        <v>1</v>
      </c>
      <c r="AM64" s="29" t="str">
        <f>IF(AH64&gt;0,
    IF(OR(AC64&lt;=TRUNC(AJ64/2,0),AC64=0),
        IF(AG64=TRUNC(AJ64/2,0),
            "-1, Déficit y dejo la capacidad media",
            IF(AND(AG64&gt;TRUNC(AJ64/2,0), AG64&gt;AC64),
                "1, Déficit y eliminé déficit",
                IF(AND(AG64&lt;TRUNC(AJ64/2,0), AG64&lt;AC64),
                    "0, Déficit y no elimine déficit",
                    "-2, Déficit y resultado fue bueno")
            )
        ),
        IF(AND(AG64&gt;TRUNC(AJ64/2,0), AG64&gt;AC64),
            "1, no había déficit, pero resultado fue mejor",
            IF(AND(AG64&lt;TRUNC(AJ64/2,0),AG64&lt;AC64),
                "0, no había déficit y la dejo con déficit",
                IF(AG64=TRUNC(AJ64/2,0),
                    "-1, no había déficit y dejo la capacidad media",
                    "-2,no había déficit y resultado fue bueno")
            )
        )
    ),
    IF(AH64&lt;0,
        IF(AC64&gt;TRUNC(AJ64/2,0),
            IF(AG64=TRUNC(AJ64/2,0),
                "-1, Superávit y deje la capacidad media",
                IF(AND(AG64&gt;TRUNC(AJ64/2,0), AG64&gt;=AC64),
                    "0, Superávit y no eliminé superávit",
                    IF(AND(AG64&lt;TRUNC(AJ64/2,0),AG64&lt;AC64),
                        "1, Superávit y eliminé superávit",
                        "-2, Superávit y resultado fue bueno"
                    )
                )
            ),
            IF(AND(AC64&lt;=TRUNC(AJ64/2,0),AC64&gt;=0),
                IF(AG64=TRUNC(AJ64/2,0),
                    "-1, no había superávit y deje la capacidad media",
                    IF(AND(AG64&gt;TRUNC(AJ64/2,0), AG64&gt;=AC64),
                        "0, no había superávit, y la deje con superávit",
                        IF(AND(AG64&lt;TRUNC(AJ64/2,0),AG64&lt;AC64),
                            "1, no había superávit, pero el resultado fue mejor",
                            "-2, no había superávit y resultado fue bueno"
                        )
                    )
                )
            )
        )
    )
)</f>
        <v>0, Superávit y no eliminé superávit</v>
      </c>
      <c r="AO64" s="30" t="s">
        <v>211</v>
      </c>
      <c r="AP64" s="30">
        <v>14</v>
      </c>
      <c r="AQ64" s="31">
        <v>10</v>
      </c>
      <c r="AR64" s="29">
        <v>2</v>
      </c>
      <c r="AS64" s="29">
        <v>2</v>
      </c>
      <c r="AT64" s="30">
        <v>13</v>
      </c>
      <c r="AU64" s="30">
        <v>-0.61856740376708086</v>
      </c>
      <c r="AV64" s="26" t="s">
        <v>321</v>
      </c>
      <c r="AW64" s="30">
        <v>15</v>
      </c>
      <c r="AX64" s="29">
        <f>IF(AR64&gt;=AP64,1,0)</f>
        <v>0</v>
      </c>
      <c r="AY64" s="29">
        <f>AR64-AP64</f>
        <v>-12</v>
      </c>
      <c r="AZ64" s="29" t="str">
        <f>IF(AU64&gt;0,
    IF(OR(AP64&lt;=TRUNC(AW64/2,0),AP64=0),
        IF(AT64=TRUNC(AW64/2,0),
            "-1, Déficit y dejo la capacidad media",
            IF(AND(AT64&gt;TRUNC(AW64/2,0), AT64&gt;AP64),
                "1, Déficit y eliminé déficit",
                IF(AND(AT64&lt;TRUNC(AW64/2,0), AT64&lt;AP64),
                    "0, Déficit y no elimine déficit",
                    "-2, Déficit y resultado fue bueno")
            )
        ),
        IF(AND(AT64&gt;TRUNC(AW64/2,0), AT64&gt;AP64),
            "1, no había déficit, pero resultado fue mejor",
            IF(AND(AT64&lt;TRUNC(AW64/2,0),AT64&lt;AP64),
                "0, no había déficit y la dejo con déficit",
                IF(AT64=TRUNC(AW64/2,0),
                    "-1, no había déficit y dejo la capacidad media",
                    "-2,no había déficit y resultado fue bueno")
            )
        )
    ),
    IF(AU64&lt;0,
        IF(AP64&gt;TRUNC(AW64/2,0),
            IF(AT64=TRUNC(AW64/2,0),
                "-1, Superávit y deje la capacidad media",
                IF(AND(AT64&gt;TRUNC(AW64/2,0), AT64&gt;=AP64),
                    "0, Superávit y no eliminé superávit",
                    IF(AND(AT64&lt;TRUNC(AW64/2,0),AT64&lt;AP64),
                        "1, Superávit y eliminé superávit",
                        "-2, Superávit y resultado fue bueno"
                    )
                )
            ),
            IF(AND(AP64&lt;=TRUNC(AW64/2,0),AP64&gt;=0),
                IF(AT64=TRUNC(AW64/2,0),
                    "-1, no había superávit y deje la capacidad media",
                    IF(AND(AT64&gt;TRUNC(AW64/2,0), AT64&gt;=AP64),
                        "0, no había superávit, y la deje con superávit",
                        IF(AND(AT64&lt;TRUNC(AW64/2,0),AT64&lt;AP64),
                            "1, no había superávit, pero el resultado fue mejor",
                            "-2, no había superávit y resultado fue bueno"
                        )
                    )
                )
            )
        )
    )
)</f>
        <v>-2, Superávit y resultado fue bueno</v>
      </c>
      <c r="BB64" s="30" t="s">
        <v>211</v>
      </c>
      <c r="BC64" s="30">
        <v>11</v>
      </c>
      <c r="BD64" s="31">
        <v>3.4444444444444446</v>
      </c>
      <c r="BE64" s="29">
        <v>11</v>
      </c>
      <c r="BF64" s="29">
        <v>12</v>
      </c>
      <c r="BG64" s="30">
        <v>11</v>
      </c>
      <c r="BH64" s="30">
        <v>-0.61856740376708086</v>
      </c>
      <c r="BI64" s="26" t="s">
        <v>321</v>
      </c>
      <c r="BJ64" s="30">
        <v>15</v>
      </c>
      <c r="BK64" s="29">
        <f>IF(BE64&gt;=BC64,1,0)</f>
        <v>1</v>
      </c>
      <c r="BL64" s="29">
        <f>BE64-BC64</f>
        <v>0</v>
      </c>
      <c r="BM64" s="29" t="str">
        <f>IF(BH64&gt;0,
    IF(OR(BC64&lt;=TRUNC(BJ64/2,0),BC64=0),
        IF(BG64=TRUNC(BJ64/2,0),
            "-1, Déficit y dejo la capacidad media",
            IF(AND(BG64&gt;TRUNC(BJ64/2,0), BG64&gt;BC64),
                "1, Déficit y eliminé déficit",
                IF(AND(BG64&lt;TRUNC(BJ64/2,0), BG64&lt;BC64),
                    "0, Déficit y no elimine déficit",
                    "-2, Déficit y resultado fue bueno")
            )
        ),
        IF(AND(BG64&gt;TRUNC(BJ64/2,0), BG64&gt;BC64),
            "1, no había déficit, pero resultado fue mejor",
            IF(AND(BG64&lt;TRUNC(BJ64/2,0),BG64&lt;BC64),
                "0, no había déficit y la dejo con déficit",
                IF(BG64=TRUNC(BJ64/2,0),
                    "-1, no había déficit y dejo la capacidad media",
                    "-2,no había déficit y resultado fue bueno")
            )
        )
    ),
    IF(BH64&lt;0,
        IF(BC64&gt;TRUNC(BJ64/2,0),
            IF(BG64=TRUNC(BJ64/2,0),
                "-1, Superávit y deje la capacidad media",
                IF(AND(BG64&gt;TRUNC(BJ64/2,0), BG64&gt;=BC64),
                    "0, Superávit y no eliminé superávit",
                    IF(AND(BG64&lt;TRUNC(BJ64/2,0),BG64&lt;BC64),
                        "1, Superávit y eliminé superávit",
                        "-2, Superávit y resultado fue bueno"
                    )
                )
            ),
            IF(AND(BC64&lt;=TRUNC(BJ64/2,0),BC64&gt;=0),
                IF(BG64=TRUNC(BJ64/2,0),
                    "-1, no había superávit y deje la capacidad media",
                    IF(AND(BG64&gt;TRUNC(BJ64/2,0), BG64&gt;=BC64),
                        "0, no había superávit, y la deje con superávit",
                        IF(AND(BG64&lt;TRUNC(BJ64/2,0),BG64&lt;BC64),
                            "1, no había superávit, pero el resultado fue mejor",
                            "-2, no había superávit y resultado fue bueno"
                        )
                    )
                )
            )
        )
    )
)</f>
        <v>0, Superávit y no eliminé superávit</v>
      </c>
      <c r="BO64" s="30" t="s">
        <v>211</v>
      </c>
      <c r="BP64" s="30">
        <v>12</v>
      </c>
      <c r="BQ64" s="31">
        <v>12.222222222222221</v>
      </c>
      <c r="BR64" s="29">
        <v>13</v>
      </c>
      <c r="BS64" s="29">
        <v>14</v>
      </c>
      <c r="BT64" s="30">
        <v>12</v>
      </c>
      <c r="BU64" s="30">
        <v>-0.61856740376708086</v>
      </c>
      <c r="BV64" s="26" t="s">
        <v>321</v>
      </c>
      <c r="BW64" s="30">
        <v>15</v>
      </c>
      <c r="BX64" s="29">
        <f>IF(BR64&gt;=BP64,1,0)</f>
        <v>1</v>
      </c>
      <c r="BY64" s="29">
        <f>BR64-BP64</f>
        <v>1</v>
      </c>
      <c r="BZ64" s="29" t="str">
        <f>IF(BU64&gt;0,
    IF(OR(BP64&lt;=TRUNC(BW64/2,0),BP64=0),
        IF(BT64=TRUNC(BW64/2,0),
            "-1, Déficit y dejo la capacidad media",
            IF(AND(BT64&gt;TRUNC(BW64/2,0), BT64&gt;BP64),
                "1, Déficit y eliminé déficit",
                IF(AND(BT64&lt;TRUNC(BW64/2,0), BT64&lt;BP64),
                    "0, Déficit y no elimine déficit",
                    "-2, Déficit y resultado fue bueno")
            )
        ),
        IF(AND(BT64&gt;TRUNC(BW64/2,0), BT64&gt;BP64),
            "1, no había déficit, pero resultado fue mejor",
            IF(AND(BT64&lt;TRUNC(BW64/2,0),BT64&lt;BP64),
                "0, no había déficit y la dejo con déficit",
                IF(BT64=TRUNC(BW64/2,0),
                    "-1, no había déficit y dejo la capacidad media",
                    "-2,no había déficit y resultado fue bueno")
            )
        )
    ),
    IF(BU64&lt;0,
        IF(BP64&gt;TRUNC(BW64/2,0),
            IF(BT64=TRUNC(BW64/2,0),
                "-1, Superávit y deje la capacidad media",
                IF(AND(BT64&gt;TRUNC(BW64/2,0), BT64&gt;=BP64),
                    "0, Superávit y no eliminé superávit",
                    IF(AND(BT64&lt;TRUNC(BW64/2,0),BT64&lt;BP64),
                        "1, Superávit y eliminé superávit",
                        "-2, Superávit y resultado fue bueno"
                    )
                )
            ),
            IF(AND(BP64&lt;=TRUNC(BW64/2,0),BP64&gt;=0),
                IF(BT64=TRUNC(BW64/2,0),
                    "-1, no había superávit y deje la capacidad media",
                    IF(AND(BT64&gt;TRUNC(BW64/2,0), BT64&gt;=BP64),
                        "0, no había superávit, y la deje con superávit",
                        IF(AND(BT64&lt;TRUNC(BW64/2,0),BT64&lt;BP64),
                            "1, no había superávit, pero el resultado fue mejor",
                            "-2, no había superávit y resultado fue bueno"
                        )
                    )
                )
            )
        )
    )
)</f>
        <v>0, Superávit y no eliminé superávit</v>
      </c>
      <c r="CB64" s="30" t="s">
        <v>211</v>
      </c>
      <c r="CC64" s="30">
        <v>12</v>
      </c>
      <c r="CD64" s="31">
        <v>11</v>
      </c>
      <c r="CE64" s="29">
        <v>12</v>
      </c>
      <c r="CF64" s="29">
        <v>12</v>
      </c>
      <c r="CG64" s="30">
        <v>5</v>
      </c>
      <c r="CH64" s="30">
        <v>-0.61856740376708086</v>
      </c>
      <c r="CI64" s="26" t="s">
        <v>321</v>
      </c>
      <c r="CJ64" s="30">
        <v>15</v>
      </c>
      <c r="CK64" s="29">
        <f>IF(CE64&gt;=CC64,1,0)</f>
        <v>1</v>
      </c>
      <c r="CL64" s="29">
        <f>CE64-CC64</f>
        <v>0</v>
      </c>
      <c r="CM64" s="29" t="str">
        <f>IF(CH64&gt;0,
    IF(OR(CC64&lt;=TRUNC(CJ64/2,0),CC64=0),
        IF(CG64=TRUNC(CJ64/2,0),
            "-1, Déficit y dejo la capacidad media",
            IF(AND(CG64&gt;TRUNC(CJ64/2,0), CG64&gt;CC64),
                "1, Déficit y eliminé déficit",
                IF(AND(CG64&lt;TRUNC(CJ64/2,0), CG64&lt;CC64),
                    "0, Déficit y no elimine déficit",
                    "-2, Déficit y resultado fue bueno")
            )
        ),
        IF(AND(CG64&gt;TRUNC(CJ64/2,0), CG64&gt;CC64),
            "1, no había déficit, pero resultado fue mejor",
            IF(AND(CG64&lt;TRUNC(CJ64/2,0),CG64&lt;CC64),
                "0, no había déficit y la dejo con déficit",
                IF(CG64=TRUNC(CJ64/2,0),
                    "-1, no había déficit y dejo la capacidad media",
                    "-2,no había déficit y resultado fue bueno")
            )
        )
    ),
    IF(CH64&lt;0,
        IF(CC64&gt;TRUNC(CJ64/2,0),
            IF(CG64=TRUNC(CJ64/2,0),
                "-1, Superávit y deje la capacidad media",
                IF(AND(CG64&gt;TRUNC(CJ64/2,0), CG64&gt;=CC64),
                    "0, Superávit y no eliminé superávit",
                    IF(AND(CG64&lt;TRUNC(CJ64/2,0),CG64&lt;CC64),
                        "1, Superávit y eliminé superávit",
                        "-2, Superávit y resultado fue bueno"
                    )
                )
            ),
            IF(AND(CC64&lt;=TRUNC(CJ64/2,0),CC64&gt;=0),
                IF(CG64=TRUNC(CJ64/2,0),
                    "-1, no había superávit y deje la capacidad media",
                    IF(AND(CG64&gt;TRUNC(CJ64/2,0), CG64&gt;=CC64),
                        "0, no había superávit, y la deje con superávit",
                        IF(AND(CG64&lt;TRUNC(CJ64/2,0),CG64&lt;CC64),
                            "1, no había superávit, pero el resultado fue mejor",
                            "-2, no había superávit y resultado fue bueno"
                        )
                    )
                )
            )
        )
    )
)</f>
        <v>1, Superávit y eliminé superávit</v>
      </c>
      <c r="CO64" s="30" t="s">
        <v>211</v>
      </c>
      <c r="CP64" s="30">
        <v>14</v>
      </c>
      <c r="CQ64" s="31">
        <v>12.555555555555555</v>
      </c>
      <c r="CR64" s="29">
        <v>14</v>
      </c>
      <c r="CS64" s="29">
        <v>14</v>
      </c>
      <c r="CT64" s="30">
        <v>6</v>
      </c>
      <c r="CU64" s="30">
        <v>-0.61856740376708086</v>
      </c>
      <c r="CV64" s="26" t="s">
        <v>321</v>
      </c>
      <c r="CW64" s="30">
        <v>15</v>
      </c>
      <c r="CX64" s="29">
        <f>IF(CR64&gt;=CP64,1,0)</f>
        <v>1</v>
      </c>
      <c r="CY64" s="29">
        <f>CR64-CP64</f>
        <v>0</v>
      </c>
      <c r="CZ64" s="29" t="str">
        <f>IF(CU64&gt;0,
    IF(OR(CP64&lt;=TRUNC(CW64/2,0),CP64=0),
        IF(CT64=TRUNC(CW64/2,0),
            "-1, Déficit y dejo la capacidad media",
            IF(AND(CT64&gt;TRUNC(CW64/2,0), CT64&gt;CP64),
                "1, Déficit y eliminé déficit",
                IF(AND(CT64&lt;TRUNC(CW64/2,0), CT64&lt;CP64),
                    "0, Déficit y no elimine déficit",
                    "-2, Déficit y resultado fue bueno")
            )
        ),
        IF(AND(CT64&gt;TRUNC(CW64/2,0), CT64&gt;CP64),
            "1, no había déficit, pero resultado fue mejor",
            IF(AND(CT64&lt;TRUNC(CW64/2,0),CT64&lt;CP64),
                "0, no había déficit y la dejo con déficit",
                IF(CT64=TRUNC(CW64/2,0),
                    "-1, no había déficit y dejo la capacidad media",
                    "-2,no había déficit y resultado fue bueno")
            )
        )
    ),
    IF(CU64&lt;0,
        IF(CP64&gt;TRUNC(CW64/2,0),
            IF(CT64=TRUNC(CW64/2,0),
                "-1, Superávit y deje la capacidad media",
                IF(AND(CT64&gt;TRUNC(CW64/2,0), CT64&gt;=CP64),
                    "0, Superávit y no eliminé superávit",
                    IF(AND(CT64&lt;TRUNC(CW64/2,0),CT64&lt;CP64),
                        "1, Superávit y eliminé superávit",
                        "-2, Superávit y resultado fue bueno"
                    )
                )
            ),
            IF(AND(CP64&lt;=TRUNC(CW64/2,0),CP64&gt;=0),
                IF(CT64=TRUNC(CW64/2,0),
                    "-1, no había superávit y deje la capacidad media",
                    IF(AND(CT64&gt;TRUNC(CW64/2,0), CT64&gt;=CP64),
                        "0, no había superávit, y la deje con superávit",
                        IF(AND(CT64&lt;TRUNC(CW64/2,0),CT64&lt;CP64),
                            "1, no había superávit, pero el resultado fue mejor",
                            "-2, no había superávit y resultado fue bueno"
                        )
                    )
                )
            )
        )
    )
)</f>
        <v>1, Superávit y eliminé superávit</v>
      </c>
    </row>
    <row r="65" spans="2:104" ht="14.25" customHeight="1" x14ac:dyDescent="0.3">
      <c r="B65" s="30" t="s">
        <v>225</v>
      </c>
      <c r="C65" s="29">
        <v>11</v>
      </c>
      <c r="D65" s="31">
        <v>8.3333333333333339</v>
      </c>
      <c r="E65" s="29">
        <v>11</v>
      </c>
      <c r="F65" s="29">
        <v>11</v>
      </c>
      <c r="G65" s="29">
        <v>2</v>
      </c>
      <c r="H65" s="30">
        <v>-0.76845746918237878</v>
      </c>
      <c r="I65" s="26" t="s">
        <v>323</v>
      </c>
      <c r="J65" s="30">
        <v>11</v>
      </c>
      <c r="K65" s="29">
        <f>IF(E65&gt;=C65,1,0)</f>
        <v>1</v>
      </c>
      <c r="L65" s="29">
        <f>E65-C65</f>
        <v>0</v>
      </c>
      <c r="M65" s="29" t="str">
        <f>IF(H65&gt;0,
    IF(OR(C65&lt;=TRUNC(J65/2,0),C65=0),
        IF(G65=TRUNC(J65/2,0),
            "-1, Déficit y dejo la capacidad media",
            IF(AND(G65&gt;TRUNC(J65/2,0), G65&gt;C65),
                "1, Déficit y eliminé déficit",
                IF(AND(G65&lt;TRUNC(J65/2,0), G65&lt;C65),
                    "0, Déficit y no elimine déficit",
                    "-2, Déficit y resultado fue bueno")
            )
        ),
        IF(AND(G65&gt;TRUNC(J65/2,0), G65&gt;C65),
            "1, no había déficit, pero resultado fue mejor",
            IF(AND(G65&lt;TRUNC(J65/2,0),G65&lt;C65),
                "0, no había déficit y la dejo con déficit",
                IF(G65=TRUNC(J65/2,0),
                    "-1, no había déficit y dejo la capacidad media",
                    "-2,no había déficit y resultado fue bueno")
            )
        )
    ),
    IF(H65&lt;0,
        IF(C65&gt;TRUNC(J65/2,0),
            IF(G65=TRUNC(J65/2,0),
                "-1, Superávit y deje la capacidad media",
                IF(AND(G65&gt;TRUNC(J65/2,0), G65&gt;=C65),
                    "0, Superávit y no eliminé superávit",
                    IF(AND(G65&lt;TRUNC(J65/2,0),G65&lt;C65),
                        "1, Superávit y eliminé superávit",
                        "-2, Superávit y resultado fue bueno"
                    )
                )
            ),
            IF(AND(C65&lt;=TRUNC(J65/2,0),C65&gt;=0),
                IF(G65=TRUNC(J65/2,0),
                    "-1, no había superávit y deje la capacidad media",
                    IF(AND(G65&gt;TRUNC(J65/2,0), G65&gt;=C65),
                        "0, no había superávit, y la deje con superávit",
                        IF(AND(G65&lt;TRUNC(J65/2,0),G65&lt;C65),
                            "1, no había superávit, pero el resultado fue mejor",
                            "-2, no había superávit y resultado fue bueno"
                        )
                    )
                )
            )
        )
    )
)</f>
        <v>1, Superávit y eliminé superávit</v>
      </c>
      <c r="O65" s="30" t="s">
        <v>225</v>
      </c>
      <c r="P65" s="30">
        <v>10</v>
      </c>
      <c r="Q65" s="31">
        <v>8.3333333333333339</v>
      </c>
      <c r="R65" s="29">
        <v>10</v>
      </c>
      <c r="S65" s="29">
        <v>11</v>
      </c>
      <c r="T65" s="30">
        <v>6</v>
      </c>
      <c r="U65" s="30">
        <v>-0.76845746918237878</v>
      </c>
      <c r="V65" s="26" t="s">
        <v>323</v>
      </c>
      <c r="W65" s="30">
        <v>11</v>
      </c>
      <c r="X65" s="29">
        <f>IF(R65&gt;=P65,1,0)</f>
        <v>1</v>
      </c>
      <c r="Y65" s="29">
        <f>R65-P65</f>
        <v>0</v>
      </c>
      <c r="Z65" s="29" t="str">
        <f>IF(U65&gt;0,
    IF(OR(P65&lt;=TRUNC(W65/2,0),P65=0),
        IF(T65=TRUNC(W65/2,0),
            "-1, Déficit y dejo la capacidad media",
            IF(AND(T65&gt;TRUNC(W65/2,0), T65&gt;P65),
                "1, Déficit y eliminé déficit",
                IF(AND(T65&lt;TRUNC(W65/2,0), T65&lt;P65),
                    "0, Déficit y no elimine déficit",
                    "-2, Déficit y resultado fue bueno")
            )
        ),
        IF(AND(T65&gt;TRUNC(W65/2,0), T65&gt;P65),
            "1, no había déficit, pero resultado fue mejor",
            IF(AND(T65&lt;TRUNC(W65/2,0),T65&lt;P65),
                "0, no había déficit y la dejo con déficit",
                IF(T65=TRUNC(W65/2,0),
                    "-1, no había déficit y dejo la capacidad media",
                    "-2,no había déficit y resultado fue bueno")
            )
        )
    ),
    IF(U65&lt;0,
        IF(P65&gt;TRUNC(W65/2,0),
            IF(T65=TRUNC(W65/2,0),
                "-1, Superávit y deje la capacidad media",
                IF(AND(T65&gt;TRUNC(W65/2,0), T65&gt;=P65),
                    "0, Superávit y no eliminé superávit",
                    IF(AND(T65&lt;TRUNC(W65/2,0),T65&lt;P65),
                        "1, Superávit y eliminé superávit",
                        "-2, Superávit y resultado fue bueno"
                    )
                )
            ),
            IF(AND(P65&lt;=TRUNC(W65/2,0),P65&gt;=0),
                IF(T65=TRUNC(W65/2,0),
                    "-1, no había superávit y deje la capacidad media",
                    IF(AND(T65&gt;TRUNC(W65/2,0), T65&gt;=P65),
                        "0, no había superávit, y la deje con superávit",
                        IF(AND(T65&lt;TRUNC(W65/2,0),T65&lt;P65),
                            "1, no había superávit, pero el resultado fue mejor",
                            "-2, no había superávit y resultado fue bueno"
                        )
                    )
                )
            )
        )
    )
)</f>
        <v>-2, Superávit y resultado fue bueno</v>
      </c>
      <c r="AB65" s="2" t="s">
        <v>225</v>
      </c>
      <c r="AC65" s="2">
        <v>10</v>
      </c>
      <c r="AD65" s="7">
        <v>7.333333333333333</v>
      </c>
      <c r="AE65" s="3">
        <v>4</v>
      </c>
      <c r="AF65" s="3">
        <v>5</v>
      </c>
      <c r="AG65" s="2">
        <v>3</v>
      </c>
      <c r="AH65" s="11">
        <v>-0.76845746918237878</v>
      </c>
      <c r="AI65" s="26" t="s">
        <v>323</v>
      </c>
      <c r="AJ65" s="22">
        <v>11</v>
      </c>
      <c r="AK65" s="29">
        <f>IF(AE65&gt;=AC65,1,0)</f>
        <v>0</v>
      </c>
      <c r="AL65" s="29">
        <f>AE65-AC65</f>
        <v>-6</v>
      </c>
      <c r="AM65" s="29" t="str">
        <f>IF(AH65&gt;0,
    IF(OR(AC65&lt;=TRUNC(AJ65/2,0),AC65=0),
        IF(AG65=TRUNC(AJ65/2,0),
            "-1, Déficit y dejo la capacidad media",
            IF(AND(AG65&gt;TRUNC(AJ65/2,0), AG65&gt;AC65),
                "1, Déficit y eliminé déficit",
                IF(AND(AG65&lt;TRUNC(AJ65/2,0), AG65&lt;AC65),
                    "0, Déficit y no elimine déficit",
                    "-2, Déficit y resultado fue bueno")
            )
        ),
        IF(AND(AG65&gt;TRUNC(AJ65/2,0), AG65&gt;AC65),
            "1, no había déficit, pero resultado fue mejor",
            IF(AND(AG65&lt;TRUNC(AJ65/2,0),AG65&lt;AC65),
                "0, no había déficit y la dejo con déficit",
                IF(AG65=TRUNC(AJ65/2,0),
                    "-1, no había déficit y dejo la capacidad media",
                    "-2,no había déficit y resultado fue bueno")
            )
        )
    ),
    IF(AH65&lt;0,
        IF(AC65&gt;TRUNC(AJ65/2,0),
            IF(AG65=TRUNC(AJ65/2,0),
                "-1, Superávit y deje la capacidad media",
                IF(AND(AG65&gt;TRUNC(AJ65/2,0), AG65&gt;=AC65),
                    "0, Superávit y no eliminé superávit",
                    IF(AND(AG65&lt;TRUNC(AJ65/2,0),AG65&lt;AC65),
                        "1, Superávit y eliminé superávit",
                        "-2, Superávit y resultado fue bueno"
                    )
                )
            ),
            IF(AND(AC65&lt;=TRUNC(AJ65/2,0),AC65&gt;=0),
                IF(AG65=TRUNC(AJ65/2,0),
                    "-1, no había superávit y deje la capacidad media",
                    IF(AND(AG65&gt;TRUNC(AJ65/2,0), AG65&gt;=AC65),
                        "0, no había superávit, y la deje con superávit",
                        IF(AND(AG65&lt;TRUNC(AJ65/2,0),AG65&lt;AC65),
                            "1, no había superávit, pero el resultado fue mejor",
                            "-2, no había superávit y resultado fue bueno"
                        )
                    )
                )
            )
        )
    )
)</f>
        <v>1, Superávit y eliminé superávit</v>
      </c>
      <c r="AO65" s="30" t="s">
        <v>225</v>
      </c>
      <c r="AP65" s="30">
        <v>10</v>
      </c>
      <c r="AQ65" s="31">
        <v>7.8888888888888893</v>
      </c>
      <c r="AR65" s="29">
        <v>9</v>
      </c>
      <c r="AS65" s="29">
        <v>9</v>
      </c>
      <c r="AT65" s="30">
        <v>9</v>
      </c>
      <c r="AU65" s="30">
        <v>-0.76845746918237878</v>
      </c>
      <c r="AV65" s="26" t="s">
        <v>323</v>
      </c>
      <c r="AW65" s="30">
        <v>11</v>
      </c>
      <c r="AX65" s="29">
        <f>IF(AR65&gt;=AP65,1,0)</f>
        <v>0</v>
      </c>
      <c r="AY65" s="29">
        <f>AR65-AP65</f>
        <v>-1</v>
      </c>
      <c r="AZ65" s="29" t="str">
        <f>IF(AU65&gt;0,
    IF(OR(AP65&lt;=TRUNC(AW65/2,0),AP65=0),
        IF(AT65=TRUNC(AW65/2,0),
            "-1, Déficit y dejo la capacidad media",
            IF(AND(AT65&gt;TRUNC(AW65/2,0), AT65&gt;AP65),
                "1, Déficit y eliminé déficit",
                IF(AND(AT65&lt;TRUNC(AW65/2,0), AT65&lt;AP65),
                    "0, Déficit y no elimine déficit",
                    "-2, Déficit y resultado fue bueno")
            )
        ),
        IF(AND(AT65&gt;TRUNC(AW65/2,0), AT65&gt;AP65),
            "1, no había déficit, pero resultado fue mejor",
            IF(AND(AT65&lt;TRUNC(AW65/2,0),AT65&lt;AP65),
                "0, no había déficit y la dejo con déficit",
                IF(AT65=TRUNC(AW65/2,0),
                    "-1, no había déficit y dejo la capacidad media",
                    "-2,no había déficit y resultado fue bueno")
            )
        )
    ),
    IF(AU65&lt;0,
        IF(AP65&gt;TRUNC(AW65/2,0),
            IF(AT65=TRUNC(AW65/2,0),
                "-1, Superávit y deje la capacidad media",
                IF(AND(AT65&gt;TRUNC(AW65/2,0), AT65&gt;=AP65),
                    "0, Superávit y no eliminé superávit",
                    IF(AND(AT65&lt;TRUNC(AW65/2,0),AT65&lt;AP65),
                        "1, Superávit y eliminé superávit",
                        "-2, Superávit y resultado fue bueno"
                    )
                )
            ),
            IF(AND(AP65&lt;=TRUNC(AW65/2,0),AP65&gt;=0),
                IF(AT65=TRUNC(AW65/2,0),
                    "-1, no había superávit y deje la capacidad media",
                    IF(AND(AT65&gt;TRUNC(AW65/2,0), AT65&gt;=AP65),
                        "0, no había superávit, y la deje con superávit",
                        IF(AND(AT65&lt;TRUNC(AW65/2,0),AT65&lt;AP65),
                            "1, no había superávit, pero el resultado fue mejor",
                            "-2, no había superávit y resultado fue bueno"
                        )
                    )
                )
            )
        )
    )
)</f>
        <v>-2, Superávit y resultado fue bueno</v>
      </c>
      <c r="BB65" s="30" t="s">
        <v>225</v>
      </c>
      <c r="BC65" s="30">
        <v>8</v>
      </c>
      <c r="BD65" s="31">
        <v>20</v>
      </c>
      <c r="BE65" s="29">
        <v>7</v>
      </c>
      <c r="BF65" s="29">
        <v>8</v>
      </c>
      <c r="BG65" s="30">
        <v>8</v>
      </c>
      <c r="BH65" s="30">
        <v>-0.76845746918237878</v>
      </c>
      <c r="BI65" s="26" t="s">
        <v>323</v>
      </c>
      <c r="BJ65" s="30">
        <v>11</v>
      </c>
      <c r="BK65" s="29">
        <f>IF(BE65&gt;=BC65,1,0)</f>
        <v>0</v>
      </c>
      <c r="BL65" s="29">
        <f>BE65-BC65</f>
        <v>-1</v>
      </c>
      <c r="BM65" s="29" t="str">
        <f>IF(BH65&gt;0,
    IF(OR(BC65&lt;=TRUNC(BJ65/2,0),BC65=0),
        IF(BG65=TRUNC(BJ65/2,0),
            "-1, Déficit y dejo la capacidad media",
            IF(AND(BG65&gt;TRUNC(BJ65/2,0), BG65&gt;BC65),
                "1, Déficit y eliminé déficit",
                IF(AND(BG65&lt;TRUNC(BJ65/2,0), BG65&lt;BC65),
                    "0, Déficit y no elimine déficit",
                    "-2, Déficit y resultado fue bueno")
            )
        ),
        IF(AND(BG65&gt;TRUNC(BJ65/2,0), BG65&gt;BC65),
            "1, no había déficit, pero resultado fue mejor",
            IF(AND(BG65&lt;TRUNC(BJ65/2,0),BG65&lt;BC65),
                "0, no había déficit y la dejo con déficit",
                IF(BG65=TRUNC(BJ65/2,0),
                    "-1, no había déficit y dejo la capacidad media",
                    "-2,no había déficit y resultado fue bueno")
            )
        )
    ),
    IF(BH65&lt;0,
        IF(BC65&gt;TRUNC(BJ65/2,0),
            IF(BG65=TRUNC(BJ65/2,0),
                "-1, Superávit y deje la capacidad media",
                IF(AND(BG65&gt;TRUNC(BJ65/2,0), BG65&gt;=BC65),
                    "0, Superávit y no eliminé superávit",
                    IF(AND(BG65&lt;TRUNC(BJ65/2,0),BG65&lt;BC65),
                        "1, Superávit y eliminé superávit",
                        "-2, Superávit y resultado fue bueno"
                    )
                )
            ),
            IF(AND(BC65&lt;=TRUNC(BJ65/2,0),BC65&gt;=0),
                IF(BG65=TRUNC(BJ65/2,0),
                    "-1, no había superávit y deje la capacidad media",
                    IF(AND(BG65&gt;TRUNC(BJ65/2,0), BG65&gt;=BC65),
                        "0, no había superávit, y la deje con superávit",
                        IF(AND(BG65&lt;TRUNC(BJ65/2,0),BG65&lt;BC65),
                            "1, no había superávit, pero el resultado fue mejor",
                            "-2, no había superávit y resultado fue bueno"
                        )
                    )
                )
            )
        )
    )
)</f>
        <v>0, Superávit y no eliminé superávit</v>
      </c>
      <c r="BO65" s="30" t="s">
        <v>225</v>
      </c>
      <c r="BP65" s="30">
        <v>4</v>
      </c>
      <c r="BQ65" s="31">
        <v>8.2222222222222214</v>
      </c>
      <c r="BR65" s="29">
        <v>3</v>
      </c>
      <c r="BS65" s="29">
        <v>4</v>
      </c>
      <c r="BT65" s="30">
        <v>4</v>
      </c>
      <c r="BU65" s="30">
        <v>-0.76845746918237878</v>
      </c>
      <c r="BV65" s="26" t="s">
        <v>323</v>
      </c>
      <c r="BW65" s="30">
        <v>11</v>
      </c>
      <c r="BX65" s="29">
        <f>IF(BR65&gt;=BP65,1,0)</f>
        <v>0</v>
      </c>
      <c r="BY65" s="29">
        <f>BR65-BP65</f>
        <v>-1</v>
      </c>
      <c r="BZ65" s="29" t="str">
        <f>IF(BU65&gt;0,
    IF(OR(BP65&lt;=TRUNC(BW65/2,0),BP65=0),
        IF(BT65=TRUNC(BW65/2,0),
            "-1, Déficit y dejo la capacidad media",
            IF(AND(BT65&gt;TRUNC(BW65/2,0), BT65&gt;BP65),
                "1, Déficit y eliminé déficit",
                IF(AND(BT65&lt;TRUNC(BW65/2,0), BT65&lt;BP65),
                    "0, Déficit y no elimine déficit",
                    "-2, Déficit y resultado fue bueno")
            )
        ),
        IF(AND(BT65&gt;TRUNC(BW65/2,0), BT65&gt;BP65),
            "1, no había déficit, pero resultado fue mejor",
            IF(AND(BT65&lt;TRUNC(BW65/2,0),BT65&lt;BP65),
                "0, no había déficit y la dejo con déficit",
                IF(BT65=TRUNC(BW65/2,0),
                    "-1, no había déficit y dejo la capacidad media",
                    "-2,no había déficit y resultado fue bueno")
            )
        )
    ),
    IF(BU65&lt;0,
        IF(BP65&gt;TRUNC(BW65/2,0),
            IF(BT65=TRUNC(BW65/2,0),
                "-1, Superávit y deje la capacidad media",
                IF(AND(BT65&gt;TRUNC(BW65/2,0), BT65&gt;=BP65),
                    "0, Superávit y no eliminé superávit",
                    IF(AND(BT65&lt;TRUNC(BW65/2,0),BT65&lt;BP65),
                        "1, Superávit y eliminé superávit",
                        "-2, Superávit y resultado fue bueno"
                    )
                )
            ),
            IF(AND(BP65&lt;=TRUNC(BW65/2,0),BP65&gt;=0),
                IF(BT65=TRUNC(BW65/2,0),
                    "-1, no había superávit y deje la capacidad media",
                    IF(AND(BT65&gt;TRUNC(BW65/2,0), BT65&gt;=BP65),
                        "0, no había superávit, y la deje con superávit",
                        IF(AND(BT65&lt;TRUNC(BW65/2,0),BT65&lt;BP65),
                            "1, no había superávit, pero el resultado fue mejor",
                            "-2, no había superávit y resultado fue bueno"
                        )
                    )
                )
            )
        )
    )
)</f>
        <v>-2, no había superávit y resultado fue bueno</v>
      </c>
      <c r="CB65" s="30" t="s">
        <v>225</v>
      </c>
      <c r="CC65" s="30">
        <v>6</v>
      </c>
      <c r="CD65" s="31">
        <v>6.7777777777777777</v>
      </c>
      <c r="CE65" s="29">
        <v>6</v>
      </c>
      <c r="CF65" s="29">
        <v>6</v>
      </c>
      <c r="CG65" s="30">
        <v>6</v>
      </c>
      <c r="CH65" s="30">
        <v>-0.76845746918237878</v>
      </c>
      <c r="CI65" s="26" t="s">
        <v>323</v>
      </c>
      <c r="CJ65" s="30">
        <v>11</v>
      </c>
      <c r="CK65" s="29">
        <f>IF(CE65&gt;=CC65,1,0)</f>
        <v>1</v>
      </c>
      <c r="CL65" s="29">
        <f>CE65-CC65</f>
        <v>0</v>
      </c>
      <c r="CM65" s="29" t="str">
        <f>IF(CH65&gt;0,
    IF(OR(CC65&lt;=TRUNC(CJ65/2,0),CC65=0),
        IF(CG65=TRUNC(CJ65/2,0),
            "-1, Déficit y dejo la capacidad media",
            IF(AND(CG65&gt;TRUNC(CJ65/2,0), CG65&gt;CC65),
                "1, Déficit y eliminé déficit",
                IF(AND(CG65&lt;TRUNC(CJ65/2,0), CG65&lt;CC65),
                    "0, Déficit y no elimine déficit",
                    "-2, Déficit y resultado fue bueno")
            )
        ),
        IF(AND(CG65&gt;TRUNC(CJ65/2,0), CG65&gt;CC65),
            "1, no había déficit, pero resultado fue mejor",
            IF(AND(CG65&lt;TRUNC(CJ65/2,0),CG65&lt;CC65),
                "0, no había déficit y la dejo con déficit",
                IF(CG65=TRUNC(CJ65/2,0),
                    "-1, no había déficit y dejo la capacidad media",
                    "-2,no había déficit y resultado fue bueno")
            )
        )
    ),
    IF(CH65&lt;0,
        IF(CC65&gt;TRUNC(CJ65/2,0),
            IF(CG65=TRUNC(CJ65/2,0),
                "-1, Superávit y deje la capacidad media",
                IF(AND(CG65&gt;TRUNC(CJ65/2,0), CG65&gt;=CC65),
                    "0, Superávit y no eliminé superávit",
                    IF(AND(CG65&lt;TRUNC(CJ65/2,0),CG65&lt;CC65),
                        "1, Superávit y eliminé superávit",
                        "-2, Superávit y resultado fue bueno"
                    )
                )
            ),
            IF(AND(CC65&lt;=TRUNC(CJ65/2,0),CC65&gt;=0),
                IF(CG65=TRUNC(CJ65/2,0),
                    "-1, no había superávit y deje la capacidad media",
                    IF(AND(CG65&gt;TRUNC(CJ65/2,0), CG65&gt;=CC65),
                        "0, no había superávit, y la deje con superávit",
                        IF(AND(CG65&lt;TRUNC(CJ65/2,0),CG65&lt;CC65),
                            "1, no había superávit, pero el resultado fue mejor",
                            "-2, no había superávit y resultado fue bueno"
                        )
                    )
                )
            )
        )
    )
)</f>
        <v>0, Superávit y no eliminé superávit</v>
      </c>
      <c r="CO65" s="30" t="s">
        <v>225</v>
      </c>
      <c r="CP65" s="30">
        <v>7</v>
      </c>
      <c r="CQ65" s="31">
        <v>8.3333333333333339</v>
      </c>
      <c r="CR65" s="29">
        <v>9</v>
      </c>
      <c r="CS65" s="29">
        <v>9</v>
      </c>
      <c r="CT65" s="30">
        <v>7</v>
      </c>
      <c r="CU65" s="30">
        <v>-0.76845746918237878</v>
      </c>
      <c r="CV65" s="26" t="s">
        <v>323</v>
      </c>
      <c r="CW65" s="30">
        <v>11</v>
      </c>
      <c r="CX65" s="29">
        <f>IF(CR65&gt;=CP65,1,0)</f>
        <v>1</v>
      </c>
      <c r="CY65" s="29">
        <f>CR65-CP65</f>
        <v>2</v>
      </c>
      <c r="CZ65" s="29" t="str">
        <f>IF(CU65&gt;0,
    IF(OR(CP65&lt;=TRUNC(CW65/2,0),CP65=0),
        IF(CT65=TRUNC(CW65/2,0),
            "-1, Déficit y dejo la capacidad media",
            IF(AND(CT65&gt;TRUNC(CW65/2,0), CT65&gt;CP65),
                "1, Déficit y eliminé déficit",
                IF(AND(CT65&lt;TRUNC(CW65/2,0), CT65&lt;CP65),
                    "0, Déficit y no elimine déficit",
                    "-2, Déficit y resultado fue bueno")
            )
        ),
        IF(AND(CT65&gt;TRUNC(CW65/2,0), CT65&gt;CP65),
            "1, no había déficit, pero resultado fue mejor",
            IF(AND(CT65&lt;TRUNC(CW65/2,0),CT65&lt;CP65),
                "0, no había déficit y la dejo con déficit",
                IF(CT65=TRUNC(CW65/2,0),
                    "-1, no había déficit y dejo la capacidad media",
                    "-2,no había déficit y resultado fue bueno")
            )
        )
    ),
    IF(CU65&lt;0,
        IF(CP65&gt;TRUNC(CW65/2,0),
            IF(CT65=TRUNC(CW65/2,0),
                "-1, Superávit y deje la capacidad media",
                IF(AND(CT65&gt;TRUNC(CW65/2,0), CT65&gt;=CP65),
                    "0, Superávit y no eliminé superávit",
                    IF(AND(CT65&lt;TRUNC(CW65/2,0),CT65&lt;CP65),
                        "1, Superávit y eliminé superávit",
                        "-2, Superávit y resultado fue bueno"
                    )
                )
            ),
            IF(AND(CP65&lt;=TRUNC(CW65/2,0),CP65&gt;=0),
                IF(CT65=TRUNC(CW65/2,0),
                    "-1, no había superávit y deje la capacidad media",
                    IF(AND(CT65&gt;TRUNC(CW65/2,0), CT65&gt;=CP65),
                        "0, no había superávit, y la deje con superávit",
                        IF(AND(CT65&lt;TRUNC(CW65/2,0),CT65&lt;CP65),
                            "1, no había superávit, pero el resultado fue mejor",
                            "-2, no había superávit y resultado fue bueno"
                        )
                    )
                )
            )
        )
    )
)</f>
        <v>0, Superávit y no eliminé superávit</v>
      </c>
    </row>
    <row r="66" spans="2:104" ht="14.25" customHeight="1" x14ac:dyDescent="0.3">
      <c r="B66" s="30" t="s">
        <v>228</v>
      </c>
      <c r="C66" s="29">
        <v>19</v>
      </c>
      <c r="D66" s="31">
        <v>16.111111111111111</v>
      </c>
      <c r="E66" s="29">
        <v>21</v>
      </c>
      <c r="F66" s="29">
        <v>21</v>
      </c>
      <c r="G66" s="29">
        <v>21</v>
      </c>
      <c r="H66" s="30">
        <v>-0.82357176289964173</v>
      </c>
      <c r="I66" s="26" t="s">
        <v>331</v>
      </c>
      <c r="J66" s="30">
        <v>23</v>
      </c>
      <c r="K66" s="29">
        <f>IF(E66&gt;=C66,1,0)</f>
        <v>1</v>
      </c>
      <c r="L66" s="29">
        <f>E66-C66</f>
        <v>2</v>
      </c>
      <c r="M66" s="29" t="str">
        <f>IF(H66&gt;0,
    IF(OR(C66&lt;=TRUNC(J66/2,0),C66=0),
        IF(G66=TRUNC(J66/2,0),
            "-1, Déficit y dejo la capacidad media",
            IF(AND(G66&gt;TRUNC(J66/2,0), G66&gt;C66),
                "1, Déficit y eliminé déficit",
                IF(AND(G66&lt;TRUNC(J66/2,0), G66&lt;C66),
                    "0, Déficit y no elimine déficit",
                    "-2, Déficit y resultado fue bueno")
            )
        ),
        IF(AND(G66&gt;TRUNC(J66/2,0), G66&gt;C66),
            "1, no había déficit, pero resultado fue mejor",
            IF(AND(G66&lt;TRUNC(J66/2,0),G66&lt;C66),
                "0, no había déficit y la dejo con déficit",
                IF(G66=TRUNC(J66/2,0),
                    "-1, no había déficit y dejo la capacidad media",
                    "-2,no había déficit y resultado fue bueno")
            )
        )
    ),
    IF(H66&lt;0,
        IF(C66&gt;TRUNC(J66/2,0),
            IF(G66=TRUNC(J66/2,0),
                "-1, Superávit y deje la capacidad media",
                IF(AND(G66&gt;TRUNC(J66/2,0), G66&gt;=C66),
                    "0, Superávit y no eliminé superávit",
                    IF(AND(G66&lt;TRUNC(J66/2,0),G66&lt;C66),
                        "1, Superávit y eliminé superávit",
                        "-2, Superávit y resultado fue bueno"
                    )
                )
            ),
            IF(AND(C66&lt;=TRUNC(J66/2,0),C66&gt;=0),
                IF(G66=TRUNC(J66/2,0),
                    "-1, no había superávit y deje la capacidad media",
                    IF(AND(G66&gt;TRUNC(J66/2,0), G66&gt;=C66),
                        "0, no había superávit, y la deje con superávit",
                        IF(AND(G66&lt;TRUNC(J66/2,0),G66&lt;C66),
                            "1, no había superávit, pero el resultado fue mejor",
                            "-2, no había superávit y resultado fue bueno"
                        )
                    )
                )
            )
        )
    )
)</f>
        <v>0, Superávit y no eliminé superávit</v>
      </c>
      <c r="O66" s="30" t="s">
        <v>228</v>
      </c>
      <c r="P66" s="30">
        <v>21</v>
      </c>
      <c r="Q66" s="31">
        <v>20</v>
      </c>
      <c r="R66" s="29">
        <v>21</v>
      </c>
      <c r="S66" s="29">
        <v>21</v>
      </c>
      <c r="T66" s="30">
        <v>21</v>
      </c>
      <c r="U66" s="30">
        <v>-0.82357176289964173</v>
      </c>
      <c r="V66" s="26" t="s">
        <v>331</v>
      </c>
      <c r="W66" s="30">
        <v>23</v>
      </c>
      <c r="X66" s="29">
        <f>IF(R66&gt;=P66,1,0)</f>
        <v>1</v>
      </c>
      <c r="Y66" s="29">
        <f>R66-P66</f>
        <v>0</v>
      </c>
      <c r="Z66" s="29" t="str">
        <f>IF(U66&gt;0,
    IF(OR(P66&lt;=TRUNC(W66/2,0),P66=0),
        IF(T66=TRUNC(W66/2,0),
            "-1, Déficit y dejo la capacidad media",
            IF(AND(T66&gt;TRUNC(W66/2,0), T66&gt;P66),
                "1, Déficit y eliminé déficit",
                IF(AND(T66&lt;TRUNC(W66/2,0), T66&lt;P66),
                    "0, Déficit y no elimine déficit",
                    "-2, Déficit y resultado fue bueno")
            )
        ),
        IF(AND(T66&gt;TRUNC(W66/2,0), T66&gt;P66),
            "1, no había déficit, pero resultado fue mejor",
            IF(AND(T66&lt;TRUNC(W66/2,0),T66&lt;P66),
                "0, no había déficit y la dejo con déficit",
                IF(T66=TRUNC(W66/2,0),
                    "-1, no había déficit y dejo la capacidad media",
                    "-2,no había déficit y resultado fue bueno")
            )
        )
    ),
    IF(U66&lt;0,
        IF(P66&gt;TRUNC(W66/2,0),
            IF(T66=TRUNC(W66/2,0),
                "-1, Superávit y deje la capacidad media",
                IF(AND(T66&gt;TRUNC(W66/2,0), T66&gt;=P66),
                    "0, Superávit y no eliminé superávit",
                    IF(AND(T66&lt;TRUNC(W66/2,0),T66&lt;P66),
                        "1, Superávit y eliminé superávit",
                        "-2, Superávit y resultado fue bueno"
                    )
                )
            ),
            IF(AND(P66&lt;=TRUNC(W66/2,0),P66&gt;=0),
                IF(T66=TRUNC(W66/2,0),
                    "-1, no había superávit y deje la capacidad media",
                    IF(AND(T66&gt;TRUNC(W66/2,0), T66&gt;=P66),
                        "0, no había superávit, y la deje con superávit",
                        IF(AND(T66&lt;TRUNC(W66/2,0),T66&lt;P66),
                            "1, no había superávit, pero el resultado fue mejor",
                            "-2, no había superávit y resultado fue bueno"
                        )
                    )
                )
            )
        )
    )
)</f>
        <v>0, Superávit y no eliminé superávit</v>
      </c>
      <c r="AB66" s="2" t="s">
        <v>228</v>
      </c>
      <c r="AC66" s="2">
        <v>21</v>
      </c>
      <c r="AD66" s="7">
        <v>19.111111111111111</v>
      </c>
      <c r="AE66" s="3">
        <v>21</v>
      </c>
      <c r="AF66" s="3">
        <v>21</v>
      </c>
      <c r="AG66" s="2">
        <v>21</v>
      </c>
      <c r="AH66" s="11">
        <v>-0.82357176289964173</v>
      </c>
      <c r="AI66" s="26" t="s">
        <v>331</v>
      </c>
      <c r="AJ66" s="22">
        <v>23</v>
      </c>
      <c r="AK66" s="29">
        <f>IF(AE66&gt;=AC66,1,0)</f>
        <v>1</v>
      </c>
      <c r="AL66" s="29">
        <f>AE66-AC66</f>
        <v>0</v>
      </c>
      <c r="AM66" s="29" t="str">
        <f>IF(AH66&gt;0,
    IF(OR(AC66&lt;=TRUNC(AJ66/2,0),AC66=0),
        IF(AG66=TRUNC(AJ66/2,0),
            "-1, Déficit y dejo la capacidad media",
            IF(AND(AG66&gt;TRUNC(AJ66/2,0), AG66&gt;AC66),
                "1, Déficit y eliminé déficit",
                IF(AND(AG66&lt;TRUNC(AJ66/2,0), AG66&lt;AC66),
                    "0, Déficit y no elimine déficit",
                    "-2, Déficit y resultado fue bueno")
            )
        ),
        IF(AND(AG66&gt;TRUNC(AJ66/2,0), AG66&gt;AC66),
            "1, no había déficit, pero resultado fue mejor",
            IF(AND(AG66&lt;TRUNC(AJ66/2,0),AG66&lt;AC66),
                "0, no había déficit y la dejo con déficit",
                IF(AG66=TRUNC(AJ66/2,0),
                    "-1, no había déficit y dejo la capacidad media",
                    "-2,no había déficit y resultado fue bueno")
            )
        )
    ),
    IF(AH66&lt;0,
        IF(AC66&gt;TRUNC(AJ66/2,0),
            IF(AG66=TRUNC(AJ66/2,0),
                "-1, Superávit y deje la capacidad media",
                IF(AND(AG66&gt;TRUNC(AJ66/2,0), AG66&gt;=AC66),
                    "0, Superávit y no eliminé superávit",
                    IF(AND(AG66&lt;TRUNC(AJ66/2,0),AG66&lt;AC66),
                        "1, Superávit y eliminé superávit",
                        "-2, Superávit y resultado fue bueno"
                    )
                )
            ),
            IF(AND(AC66&lt;=TRUNC(AJ66/2,0),AC66&gt;=0),
                IF(AG66=TRUNC(AJ66/2,0),
                    "-1, no había superávit y deje la capacidad media",
                    IF(AND(AG66&gt;TRUNC(AJ66/2,0), AG66&gt;=AC66),
                        "0, no había superávit, y la deje con superávit",
                        IF(AND(AG66&lt;TRUNC(AJ66/2,0),AG66&lt;AC66),
                            "1, no había superávit, pero el resultado fue mejor",
                            "-2, no había superávit y resultado fue bueno"
                        )
                    )
                )
            )
        )
    )
)</f>
        <v>0, Superávit y no eliminé superávit</v>
      </c>
      <c r="AO66" s="30" t="s">
        <v>228</v>
      </c>
      <c r="AP66" s="30">
        <v>20</v>
      </c>
      <c r="AQ66" s="31">
        <v>19</v>
      </c>
      <c r="AR66" s="29">
        <v>20</v>
      </c>
      <c r="AS66" s="29">
        <v>22</v>
      </c>
      <c r="AT66" s="30">
        <v>20</v>
      </c>
      <c r="AU66" s="30">
        <v>-0.82357176289964173</v>
      </c>
      <c r="AV66" s="26" t="s">
        <v>331</v>
      </c>
      <c r="AW66" s="30">
        <v>23</v>
      </c>
      <c r="AX66" s="29">
        <f>IF(AR66&gt;=AP66,1,0)</f>
        <v>1</v>
      </c>
      <c r="AY66" s="29">
        <f>AR66-AP66</f>
        <v>0</v>
      </c>
      <c r="AZ66" s="29" t="str">
        <f>IF(AU66&gt;0,
    IF(OR(AP66&lt;=TRUNC(AW66/2,0),AP66=0),
        IF(AT66=TRUNC(AW66/2,0),
            "-1, Déficit y dejo la capacidad media",
            IF(AND(AT66&gt;TRUNC(AW66/2,0), AT66&gt;AP66),
                "1, Déficit y eliminé déficit",
                IF(AND(AT66&lt;TRUNC(AW66/2,0), AT66&lt;AP66),
                    "0, Déficit y no elimine déficit",
                    "-2, Déficit y resultado fue bueno")
            )
        ),
        IF(AND(AT66&gt;TRUNC(AW66/2,0), AT66&gt;AP66),
            "1, no había déficit, pero resultado fue mejor",
            IF(AND(AT66&lt;TRUNC(AW66/2,0),AT66&lt;AP66),
                "0, no había déficit y la dejo con déficit",
                IF(AT66=TRUNC(AW66/2,0),
                    "-1, no había déficit y dejo la capacidad media",
                    "-2,no había déficit y resultado fue bueno")
            )
        )
    ),
    IF(AU66&lt;0,
        IF(AP66&gt;TRUNC(AW66/2,0),
            IF(AT66=TRUNC(AW66/2,0),
                "-1, Superávit y deje la capacidad media",
                IF(AND(AT66&gt;TRUNC(AW66/2,0), AT66&gt;=AP66),
                    "0, Superávit y no eliminé superávit",
                    IF(AND(AT66&lt;TRUNC(AW66/2,0),AT66&lt;AP66),
                        "1, Superávit y eliminé superávit",
                        "-2, Superávit y resultado fue bueno"
                    )
                )
            ),
            IF(AND(AP66&lt;=TRUNC(AW66/2,0),AP66&gt;=0),
                IF(AT66=TRUNC(AW66/2,0),
                    "-1, no había superávit y deje la capacidad media",
                    IF(AND(AT66&gt;TRUNC(AW66/2,0), AT66&gt;=AP66),
                        "0, no había superávit, y la deje con superávit",
                        IF(AND(AT66&lt;TRUNC(AW66/2,0),AT66&lt;AP66),
                            "1, no había superávit, pero el resultado fue mejor",
                            "-2, no había superávit y resultado fue bueno"
                        )
                    )
                )
            )
        )
    )
)</f>
        <v>0, Superávit y no eliminé superávit</v>
      </c>
      <c r="BB66" s="30" t="s">
        <v>228</v>
      </c>
      <c r="BC66" s="30">
        <v>19</v>
      </c>
      <c r="BD66" s="31">
        <v>6.4444444444444446</v>
      </c>
      <c r="BE66" s="29">
        <v>19</v>
      </c>
      <c r="BF66" s="29">
        <v>19</v>
      </c>
      <c r="BG66" s="30">
        <v>19</v>
      </c>
      <c r="BH66" s="30">
        <v>-0.82357176289964173</v>
      </c>
      <c r="BI66" s="26" t="s">
        <v>331</v>
      </c>
      <c r="BJ66" s="30">
        <v>23</v>
      </c>
      <c r="BK66" s="29">
        <f>IF(BE66&gt;=BC66,1,0)</f>
        <v>1</v>
      </c>
      <c r="BL66" s="29">
        <f>BE66-BC66</f>
        <v>0</v>
      </c>
      <c r="BM66" s="29" t="str">
        <f>IF(BH66&gt;0,
    IF(OR(BC66&lt;=TRUNC(BJ66/2,0),BC66=0),
        IF(BG66=TRUNC(BJ66/2,0),
            "-1, Déficit y dejo la capacidad media",
            IF(AND(BG66&gt;TRUNC(BJ66/2,0), BG66&gt;BC66),
                "1, Déficit y eliminé déficit",
                IF(AND(BG66&lt;TRUNC(BJ66/2,0), BG66&lt;BC66),
                    "0, Déficit y no elimine déficit",
                    "-2, Déficit y resultado fue bueno")
            )
        ),
        IF(AND(BG66&gt;TRUNC(BJ66/2,0), BG66&gt;BC66),
            "1, no había déficit, pero resultado fue mejor",
            IF(AND(BG66&lt;TRUNC(BJ66/2,0),BG66&lt;BC66),
                "0, no había déficit y la dejo con déficit",
                IF(BG66=TRUNC(BJ66/2,0),
                    "-1, no había déficit y dejo la capacidad media",
                    "-2,no había déficit y resultado fue bueno")
            )
        )
    ),
    IF(BH66&lt;0,
        IF(BC66&gt;TRUNC(BJ66/2,0),
            IF(BG66=TRUNC(BJ66/2,0),
                "-1, Superávit y deje la capacidad media",
                IF(AND(BG66&gt;TRUNC(BJ66/2,0), BG66&gt;=BC66),
                    "0, Superávit y no eliminé superávit",
                    IF(AND(BG66&lt;TRUNC(BJ66/2,0),BG66&lt;BC66),
                        "1, Superávit y eliminé superávit",
                        "-2, Superávit y resultado fue bueno"
                    )
                )
            ),
            IF(AND(BC66&lt;=TRUNC(BJ66/2,0),BC66&gt;=0),
                IF(BG66=TRUNC(BJ66/2,0),
                    "-1, no había superávit y deje la capacidad media",
                    IF(AND(BG66&gt;TRUNC(BJ66/2,0), BG66&gt;=BC66),
                        "0, no había superávit, y la deje con superávit",
                        IF(AND(BG66&lt;TRUNC(BJ66/2,0),BG66&lt;BC66),
                            "1, no había superávit, pero el resultado fue mejor",
                            "-2, no había superávit y resultado fue bueno"
                        )
                    )
                )
            )
        )
    )
)</f>
        <v>0, Superávit y no eliminé superávit</v>
      </c>
      <c r="BO66" s="30" t="s">
        <v>228</v>
      </c>
      <c r="BP66" s="30">
        <v>19</v>
      </c>
      <c r="BQ66" s="31">
        <v>18.666666666666668</v>
      </c>
      <c r="BR66" s="29">
        <v>19</v>
      </c>
      <c r="BS66" s="29">
        <v>19</v>
      </c>
      <c r="BT66" s="30">
        <v>19</v>
      </c>
      <c r="BU66" s="30">
        <v>-0.82357176289964173</v>
      </c>
      <c r="BV66" s="26" t="s">
        <v>331</v>
      </c>
      <c r="BW66" s="30">
        <v>23</v>
      </c>
      <c r="BX66" s="29">
        <f>IF(BR66&gt;=BP66,1,0)</f>
        <v>1</v>
      </c>
      <c r="BY66" s="29">
        <f>BR66-BP66</f>
        <v>0</v>
      </c>
      <c r="BZ66" s="29" t="str">
        <f>IF(BU66&gt;0,
    IF(OR(BP66&lt;=TRUNC(BW66/2,0),BP66=0),
        IF(BT66=TRUNC(BW66/2,0),
            "-1, Déficit y dejo la capacidad media",
            IF(AND(BT66&gt;TRUNC(BW66/2,0), BT66&gt;BP66),
                "1, Déficit y eliminé déficit",
                IF(AND(BT66&lt;TRUNC(BW66/2,0), BT66&lt;BP66),
                    "0, Déficit y no elimine déficit",
                    "-2, Déficit y resultado fue bueno")
            )
        ),
        IF(AND(BT66&gt;TRUNC(BW66/2,0), BT66&gt;BP66),
            "1, no había déficit, pero resultado fue mejor",
            IF(AND(BT66&lt;TRUNC(BW66/2,0),BT66&lt;BP66),
                "0, no había déficit y la dejo con déficit",
                IF(BT66=TRUNC(BW66/2,0),
                    "-1, no había déficit y dejo la capacidad media",
                    "-2,no había déficit y resultado fue bueno")
            )
        )
    ),
    IF(BU66&lt;0,
        IF(BP66&gt;TRUNC(BW66/2,0),
            IF(BT66=TRUNC(BW66/2,0),
                "-1, Superávit y deje la capacidad media",
                IF(AND(BT66&gt;TRUNC(BW66/2,0), BT66&gt;=BP66),
                    "0, Superávit y no eliminé superávit",
                    IF(AND(BT66&lt;TRUNC(BW66/2,0),BT66&lt;BP66),
                        "1, Superávit y eliminé superávit",
                        "-2, Superávit y resultado fue bueno"
                    )
                )
            ),
            IF(AND(BP66&lt;=TRUNC(BW66/2,0),BP66&gt;=0),
                IF(BT66=TRUNC(BW66/2,0),
                    "-1, no había superávit y deje la capacidad media",
                    IF(AND(BT66&gt;TRUNC(BW66/2,0), BT66&gt;=BP66),
                        "0, no había superávit, y la deje con superávit",
                        IF(AND(BT66&lt;TRUNC(BW66/2,0),BT66&lt;BP66),
                            "1, no había superávit, pero el resultado fue mejor",
                            "-2, no había superávit y resultado fue bueno"
                        )
                    )
                )
            )
        )
    )
)</f>
        <v>0, Superávit y no eliminé superávit</v>
      </c>
      <c r="CB66" s="30" t="s">
        <v>228</v>
      </c>
      <c r="CC66" s="30">
        <v>23</v>
      </c>
      <c r="CD66" s="31">
        <v>21.222222222222221</v>
      </c>
      <c r="CE66" s="29">
        <v>23</v>
      </c>
      <c r="CF66" s="29">
        <v>23</v>
      </c>
      <c r="CG66" s="30">
        <v>21</v>
      </c>
      <c r="CH66" s="30">
        <v>-0.82357176289964173</v>
      </c>
      <c r="CI66" s="26" t="s">
        <v>331</v>
      </c>
      <c r="CJ66" s="30">
        <v>23</v>
      </c>
      <c r="CK66" s="29">
        <f>IF(CE66&gt;=CC66,1,0)</f>
        <v>1</v>
      </c>
      <c r="CL66" s="29">
        <f>CE66-CC66</f>
        <v>0</v>
      </c>
      <c r="CM66" s="29" t="str">
        <f>IF(CH66&gt;0,
    IF(OR(CC66&lt;=TRUNC(CJ66/2,0),CC66=0),
        IF(CG66=TRUNC(CJ66/2,0),
            "-1, Déficit y dejo la capacidad media",
            IF(AND(CG66&gt;TRUNC(CJ66/2,0), CG66&gt;CC66),
                "1, Déficit y eliminé déficit",
                IF(AND(CG66&lt;TRUNC(CJ66/2,0), CG66&lt;CC66),
                    "0, Déficit y no elimine déficit",
                    "-2, Déficit y resultado fue bueno")
            )
        ),
        IF(AND(CG66&gt;TRUNC(CJ66/2,0), CG66&gt;CC66),
            "1, no había déficit, pero resultado fue mejor",
            IF(AND(CG66&lt;TRUNC(CJ66/2,0),CG66&lt;CC66),
                "0, no había déficit y la dejo con déficit",
                IF(CG66=TRUNC(CJ66/2,0),
                    "-1, no había déficit y dejo la capacidad media",
                    "-2,no había déficit y resultado fue bueno")
            )
        )
    ),
    IF(CH66&lt;0,
        IF(CC66&gt;TRUNC(CJ66/2,0),
            IF(CG66=TRUNC(CJ66/2,0),
                "-1, Superávit y deje la capacidad media",
                IF(AND(CG66&gt;TRUNC(CJ66/2,0), CG66&gt;=CC66),
                    "0, Superávit y no eliminé superávit",
                    IF(AND(CG66&lt;TRUNC(CJ66/2,0),CG66&lt;CC66),
                        "1, Superávit y eliminé superávit",
                        "-2, Superávit y resultado fue bueno"
                    )
                )
            ),
            IF(AND(CC66&lt;=TRUNC(CJ66/2,0),CC66&gt;=0),
                IF(CG66=TRUNC(CJ66/2,0),
                    "-1, no había superávit y deje la capacidad media",
                    IF(AND(CG66&gt;TRUNC(CJ66/2,0), CG66&gt;=CC66),
                        "0, no había superávit, y la deje con superávit",
                        IF(AND(CG66&lt;TRUNC(CJ66/2,0),CG66&lt;CC66),
                            "1, no había superávit, pero el resultado fue mejor",
                            "-2, no había superávit y resultado fue bueno"
                        )
                    )
                )
            )
        )
    )
)</f>
        <v>-2, Superávit y resultado fue bueno</v>
      </c>
      <c r="CO66" s="30" t="s">
        <v>228</v>
      </c>
      <c r="CP66" s="30">
        <v>18</v>
      </c>
      <c r="CQ66" s="31">
        <v>16.111111111111111</v>
      </c>
      <c r="CR66" s="29">
        <v>18</v>
      </c>
      <c r="CS66" s="29">
        <v>18</v>
      </c>
      <c r="CT66" s="30">
        <v>18</v>
      </c>
      <c r="CU66" s="30">
        <v>-0.82357176289964173</v>
      </c>
      <c r="CV66" s="26" t="s">
        <v>331</v>
      </c>
      <c r="CW66" s="30">
        <v>23</v>
      </c>
      <c r="CX66" s="29">
        <f>IF(CR66&gt;=CP66,1,0)</f>
        <v>1</v>
      </c>
      <c r="CY66" s="29">
        <f>CR66-CP66</f>
        <v>0</v>
      </c>
      <c r="CZ66" s="29" t="str">
        <f>IF(CU66&gt;0,
    IF(OR(CP66&lt;=TRUNC(CW66/2,0),CP66=0),
        IF(CT66=TRUNC(CW66/2,0),
            "-1, Déficit y dejo la capacidad media",
            IF(AND(CT66&gt;TRUNC(CW66/2,0), CT66&gt;CP66),
                "1, Déficit y eliminé déficit",
                IF(AND(CT66&lt;TRUNC(CW66/2,0), CT66&lt;CP66),
                    "0, Déficit y no elimine déficit",
                    "-2, Déficit y resultado fue bueno")
            )
        ),
        IF(AND(CT66&gt;TRUNC(CW66/2,0), CT66&gt;CP66),
            "1, no había déficit, pero resultado fue mejor",
            IF(AND(CT66&lt;TRUNC(CW66/2,0),CT66&lt;CP66),
                "0, no había déficit y la dejo con déficit",
                IF(CT66=TRUNC(CW66/2,0),
                    "-1, no había déficit y dejo la capacidad media",
                    "-2,no había déficit y resultado fue bueno")
            )
        )
    ),
    IF(CU66&lt;0,
        IF(CP66&gt;TRUNC(CW66/2,0),
            IF(CT66=TRUNC(CW66/2,0),
                "-1, Superávit y deje la capacidad media",
                IF(AND(CT66&gt;TRUNC(CW66/2,0), CT66&gt;=CP66),
                    "0, Superávit y no eliminé superávit",
                    IF(AND(CT66&lt;TRUNC(CW66/2,0),CT66&lt;CP66),
                        "1, Superávit y eliminé superávit",
                        "-2, Superávit y resultado fue bueno"
                    )
                )
            ),
            IF(AND(CP66&lt;=TRUNC(CW66/2,0),CP66&gt;=0),
                IF(CT66=TRUNC(CW66/2,0),
                    "-1, no había superávit y deje la capacidad media",
                    IF(AND(CT66&gt;TRUNC(CW66/2,0), CT66&gt;=CP66),
                        "0, no había superávit, y la deje con superávit",
                        IF(AND(CT66&lt;TRUNC(CW66/2,0),CT66&lt;CP66),
                            "1, no había superávit, pero el resultado fue mejor",
                            "-2, no había superávit y resultado fue bueno"
                        )
                    )
                )
            )
        )
    )
)</f>
        <v>0, Superávit y no eliminé superávit</v>
      </c>
    </row>
    <row r="67" spans="2:104" ht="14.25" customHeight="1" x14ac:dyDescent="0.3">
      <c r="B67" s="30" t="s">
        <v>217</v>
      </c>
      <c r="C67" s="29">
        <v>11</v>
      </c>
      <c r="D67" s="31">
        <v>8</v>
      </c>
      <c r="E67" s="29">
        <v>10</v>
      </c>
      <c r="F67" s="29">
        <v>11</v>
      </c>
      <c r="G67" s="29">
        <v>9</v>
      </c>
      <c r="H67" s="30">
        <v>-0.83166677317607873</v>
      </c>
      <c r="I67" s="26" t="s">
        <v>323</v>
      </c>
      <c r="J67" s="30">
        <v>11</v>
      </c>
      <c r="K67" s="29">
        <f>IF(E67&gt;=C67,1,0)</f>
        <v>0</v>
      </c>
      <c r="L67" s="29">
        <f>E67-C67</f>
        <v>-1</v>
      </c>
      <c r="M67" s="29" t="str">
        <f>IF(H67&gt;0,
    IF(OR(C67&lt;=TRUNC(J67/2,0),C67=0),
        IF(G67=TRUNC(J67/2,0),
            "-1, Déficit y dejo la capacidad media",
            IF(AND(G67&gt;TRUNC(J67/2,0), G67&gt;C67),
                "1, Déficit y eliminé déficit",
                IF(AND(G67&lt;TRUNC(J67/2,0), G67&lt;C67),
                    "0, Déficit y no elimine déficit",
                    "-2, Déficit y resultado fue bueno")
            )
        ),
        IF(AND(G67&gt;TRUNC(J67/2,0), G67&gt;C67),
            "1, no había déficit, pero resultado fue mejor",
            IF(AND(G67&lt;TRUNC(J67/2,0),G67&lt;C67),
                "0, no había déficit y la dejo con déficit",
                IF(G67=TRUNC(J67/2,0),
                    "-1, no había déficit y dejo la capacidad media",
                    "-2,no había déficit y resultado fue bueno")
            )
        )
    ),
    IF(H67&lt;0,
        IF(C67&gt;TRUNC(J67/2,0),
            IF(G67=TRUNC(J67/2,0),
                "-1, Superávit y deje la capacidad media",
                IF(AND(G67&gt;TRUNC(J67/2,0), G67&gt;=C67),
                    "0, Superávit y no eliminé superávit",
                    IF(AND(G67&lt;TRUNC(J67/2,0),G67&lt;C67),
                        "1, Superávit y eliminé superávit",
                        "-2, Superávit y resultado fue bueno"
                    )
                )
            ),
            IF(AND(C67&lt;=TRUNC(J67/2,0),C67&gt;=0),
                IF(G67=TRUNC(J67/2,0),
                    "-1, no había superávit y deje la capacidad media",
                    IF(AND(G67&gt;TRUNC(J67/2,0), G67&gt;=C67),
                        "0, no había superávit, y la deje con superávit",
                        IF(AND(G67&lt;TRUNC(J67/2,0),G67&lt;C67),
                            "1, no había superávit, pero el resultado fue mejor",
                            "-2, no había superávit y resultado fue bueno"
                        )
                    )
                )
            )
        )
    )
)</f>
        <v>-2, Superávit y resultado fue bueno</v>
      </c>
      <c r="O67" s="30" t="s">
        <v>217</v>
      </c>
      <c r="P67" s="30">
        <v>11</v>
      </c>
      <c r="Q67" s="31">
        <v>7.8888888888888893</v>
      </c>
      <c r="R67" s="29">
        <v>11</v>
      </c>
      <c r="S67" s="29">
        <v>11</v>
      </c>
      <c r="T67" s="30">
        <v>5</v>
      </c>
      <c r="U67" s="30">
        <v>-0.83166677317607873</v>
      </c>
      <c r="V67" s="26" t="s">
        <v>323</v>
      </c>
      <c r="W67" s="30">
        <v>11</v>
      </c>
      <c r="X67" s="29">
        <f>IF(R67&gt;=P67,1,0)</f>
        <v>1</v>
      </c>
      <c r="Y67" s="29">
        <f>R67-P67</f>
        <v>0</v>
      </c>
      <c r="Z67" s="29" t="str">
        <f>IF(U67&gt;0,
    IF(OR(P67&lt;=TRUNC(W67/2,0),P67=0),
        IF(T67=TRUNC(W67/2,0),
            "-1, Déficit y dejo la capacidad media",
            IF(AND(T67&gt;TRUNC(W67/2,0), T67&gt;P67),
                "1, Déficit y eliminé déficit",
                IF(AND(T67&lt;TRUNC(W67/2,0), T67&lt;P67),
                    "0, Déficit y no elimine déficit",
                    "-2, Déficit y resultado fue bueno")
            )
        ),
        IF(AND(T67&gt;TRUNC(W67/2,0), T67&gt;P67),
            "1, no había déficit, pero resultado fue mejor",
            IF(AND(T67&lt;TRUNC(W67/2,0),T67&lt;P67),
                "0, no había déficit y la dejo con déficit",
                IF(T67=TRUNC(W67/2,0),
                    "-1, no había déficit y dejo la capacidad media",
                    "-2,no había déficit y resultado fue bueno")
            )
        )
    ),
    IF(U67&lt;0,
        IF(P67&gt;TRUNC(W67/2,0),
            IF(T67=TRUNC(W67/2,0),
                "-1, Superávit y deje la capacidad media",
                IF(AND(T67&gt;TRUNC(W67/2,0), T67&gt;=P67),
                    "0, Superávit y no eliminé superávit",
                    IF(AND(T67&lt;TRUNC(W67/2,0),T67&lt;P67),
                        "1, Superávit y eliminé superávit",
                        "-2, Superávit y resultado fue bueno"
                    )
                )
            ),
            IF(AND(P67&lt;=TRUNC(W67/2,0),P67&gt;=0),
                IF(T67=TRUNC(W67/2,0),
                    "-1, no había superávit y deje la capacidad media",
                    IF(AND(T67&gt;TRUNC(W67/2,0), T67&gt;=P67),
                        "0, no había superávit, y la deje con superávit",
                        IF(AND(T67&lt;TRUNC(W67/2,0),T67&lt;P67),
                            "1, no había superávit, pero el resultado fue mejor",
                            "-2, no había superávit y resultado fue bueno"
                        )
                    )
                )
            )
        )
    )
)</f>
        <v>-1, Superávit y deje la capacidad media</v>
      </c>
      <c r="AB67" s="2" t="s">
        <v>217</v>
      </c>
      <c r="AC67" s="2">
        <v>9</v>
      </c>
      <c r="AD67" s="7">
        <v>7.7777777777777777</v>
      </c>
      <c r="AE67" s="3">
        <v>7</v>
      </c>
      <c r="AF67" s="3">
        <v>8</v>
      </c>
      <c r="AG67" s="2">
        <v>9</v>
      </c>
      <c r="AH67" s="11">
        <v>-0.83166677317607873</v>
      </c>
      <c r="AI67" s="26" t="s">
        <v>323</v>
      </c>
      <c r="AJ67" s="22">
        <v>11</v>
      </c>
      <c r="AK67" s="29">
        <f>IF(AE67&gt;=AC67,1,0)</f>
        <v>0</v>
      </c>
      <c r="AL67" s="29">
        <f>AE67-AC67</f>
        <v>-2</v>
      </c>
      <c r="AM67" s="29" t="str">
        <f>IF(AH67&gt;0,
    IF(OR(AC67&lt;=TRUNC(AJ67/2,0),AC67=0),
        IF(AG67=TRUNC(AJ67/2,0),
            "-1, Déficit y dejo la capacidad media",
            IF(AND(AG67&gt;TRUNC(AJ67/2,0), AG67&gt;AC67),
                "1, Déficit y eliminé déficit",
                IF(AND(AG67&lt;TRUNC(AJ67/2,0), AG67&lt;AC67),
                    "0, Déficit y no elimine déficit",
                    "-2, Déficit y resultado fue bueno")
            )
        ),
        IF(AND(AG67&gt;TRUNC(AJ67/2,0), AG67&gt;AC67),
            "1, no había déficit, pero resultado fue mejor",
            IF(AND(AG67&lt;TRUNC(AJ67/2,0),AG67&lt;AC67),
                "0, no había déficit y la dejo con déficit",
                IF(AG67=TRUNC(AJ67/2,0),
                    "-1, no había déficit y dejo la capacidad media",
                    "-2,no había déficit y resultado fue bueno")
            )
        )
    ),
    IF(AH67&lt;0,
        IF(AC67&gt;TRUNC(AJ67/2,0),
            IF(AG67=TRUNC(AJ67/2,0),
                "-1, Superávit y deje la capacidad media",
                IF(AND(AG67&gt;TRUNC(AJ67/2,0), AG67&gt;=AC67),
                    "0, Superávit y no eliminé superávit",
                    IF(AND(AG67&lt;TRUNC(AJ67/2,0),AG67&lt;AC67),
                        "1, Superávit y eliminé superávit",
                        "-2, Superávit y resultado fue bueno"
                    )
                )
            ),
            IF(AND(AC67&lt;=TRUNC(AJ67/2,0),AC67&gt;=0),
                IF(AG67=TRUNC(AJ67/2,0),
                    "-1, no había superávit y deje la capacidad media",
                    IF(AND(AG67&gt;TRUNC(AJ67/2,0), AG67&gt;=AC67),
                        "0, no había superávit, y la deje con superávit",
                        IF(AND(AG67&lt;TRUNC(AJ67/2,0),AG67&lt;AC67),
                            "1, no había superávit, pero el resultado fue mejor",
                            "-2, no había superávit y resultado fue bueno"
                        )
                    )
                )
            )
        )
    )
)</f>
        <v>0, Superávit y no eliminé superávit</v>
      </c>
      <c r="AO67" s="30" t="s">
        <v>217</v>
      </c>
      <c r="AP67" s="30">
        <v>7</v>
      </c>
      <c r="AQ67" s="31">
        <v>8.4444444444444446</v>
      </c>
      <c r="AR67" s="29">
        <v>5</v>
      </c>
      <c r="AS67" s="29">
        <v>6</v>
      </c>
      <c r="AT67" s="30">
        <v>9</v>
      </c>
      <c r="AU67" s="30">
        <v>-0.83166677317607873</v>
      </c>
      <c r="AV67" s="26" t="s">
        <v>323</v>
      </c>
      <c r="AW67" s="30">
        <v>11</v>
      </c>
      <c r="AX67" s="29">
        <f>IF(AR67&gt;=AP67,1,0)</f>
        <v>0</v>
      </c>
      <c r="AY67" s="29">
        <f>AR67-AP67</f>
        <v>-2</v>
      </c>
      <c r="AZ67" s="29" t="str">
        <f>IF(AU67&gt;0,
    IF(OR(AP67&lt;=TRUNC(AW67/2,0),AP67=0),
        IF(AT67=TRUNC(AW67/2,0),
            "-1, Déficit y dejo la capacidad media",
            IF(AND(AT67&gt;TRUNC(AW67/2,0), AT67&gt;AP67),
                "1, Déficit y eliminé déficit",
                IF(AND(AT67&lt;TRUNC(AW67/2,0), AT67&lt;AP67),
                    "0, Déficit y no elimine déficit",
                    "-2, Déficit y resultado fue bueno")
            )
        ),
        IF(AND(AT67&gt;TRUNC(AW67/2,0), AT67&gt;AP67),
            "1, no había déficit, pero resultado fue mejor",
            IF(AND(AT67&lt;TRUNC(AW67/2,0),AT67&lt;AP67),
                "0, no había déficit y la dejo con déficit",
                IF(AT67=TRUNC(AW67/2,0),
                    "-1, no había déficit y dejo la capacidad media",
                    "-2,no había déficit y resultado fue bueno")
            )
        )
    ),
    IF(AU67&lt;0,
        IF(AP67&gt;TRUNC(AW67/2,0),
            IF(AT67=TRUNC(AW67/2,0),
                "-1, Superávit y deje la capacidad media",
                IF(AND(AT67&gt;TRUNC(AW67/2,0), AT67&gt;=AP67),
                    "0, Superávit y no eliminé superávit",
                    IF(AND(AT67&lt;TRUNC(AW67/2,0),AT67&lt;AP67),
                        "1, Superávit y eliminé superávit",
                        "-2, Superávit y resultado fue bueno"
                    )
                )
            ),
            IF(AND(AP67&lt;=TRUNC(AW67/2,0),AP67&gt;=0),
                IF(AT67=TRUNC(AW67/2,0),
                    "-1, no había superávit y deje la capacidad media",
                    IF(AND(AT67&gt;TRUNC(AW67/2,0), AT67&gt;=AP67),
                        "0, no había superávit, y la deje con superávit",
                        IF(AND(AT67&lt;TRUNC(AW67/2,0),AT67&lt;AP67),
                            "1, no había superávit, pero el resultado fue mejor",
                            "-2, no había superávit y resultado fue bueno"
                        )
                    )
                )
            )
        )
    )
)</f>
        <v>0, Superávit y no eliminé superávit</v>
      </c>
      <c r="BB67" s="30" t="s">
        <v>217</v>
      </c>
      <c r="BC67" s="30">
        <v>10</v>
      </c>
      <c r="BD67" s="31">
        <v>9.3333333333333339</v>
      </c>
      <c r="BE67" s="29">
        <v>10</v>
      </c>
      <c r="BF67" s="29">
        <v>11</v>
      </c>
      <c r="BG67" s="30">
        <v>2</v>
      </c>
      <c r="BH67" s="30">
        <v>-0.83166677317607873</v>
      </c>
      <c r="BI67" s="26" t="s">
        <v>323</v>
      </c>
      <c r="BJ67" s="30">
        <v>11</v>
      </c>
      <c r="BK67" s="29">
        <f>IF(BE67&gt;=BC67,1,0)</f>
        <v>1</v>
      </c>
      <c r="BL67" s="29">
        <f>BE67-BC67</f>
        <v>0</v>
      </c>
      <c r="BM67" s="29" t="str">
        <f>IF(BH67&gt;0,
    IF(OR(BC67&lt;=TRUNC(BJ67/2,0),BC67=0),
        IF(BG67=TRUNC(BJ67/2,0),
            "-1, Déficit y dejo la capacidad media",
            IF(AND(BG67&gt;TRUNC(BJ67/2,0), BG67&gt;BC67),
                "1, Déficit y eliminé déficit",
                IF(AND(BG67&lt;TRUNC(BJ67/2,0), BG67&lt;BC67),
                    "0, Déficit y no elimine déficit",
                    "-2, Déficit y resultado fue bueno")
            )
        ),
        IF(AND(BG67&gt;TRUNC(BJ67/2,0), BG67&gt;BC67),
            "1, no había déficit, pero resultado fue mejor",
            IF(AND(BG67&lt;TRUNC(BJ67/2,0),BG67&lt;BC67),
                "0, no había déficit y la dejo con déficit",
                IF(BG67=TRUNC(BJ67/2,0),
                    "-1, no había déficit y dejo la capacidad media",
                    "-2,no había déficit y resultado fue bueno")
            )
        )
    ),
    IF(BH67&lt;0,
        IF(BC67&gt;TRUNC(BJ67/2,0),
            IF(BG67=TRUNC(BJ67/2,0),
                "-1, Superávit y deje la capacidad media",
                IF(AND(BG67&gt;TRUNC(BJ67/2,0), BG67&gt;=BC67),
                    "0, Superávit y no eliminé superávit",
                    IF(AND(BG67&lt;TRUNC(BJ67/2,0),BG67&lt;BC67),
                        "1, Superávit y eliminé superávit",
                        "-2, Superávit y resultado fue bueno"
                    )
                )
            ),
            IF(AND(BC67&lt;=TRUNC(BJ67/2,0),BC67&gt;=0),
                IF(BG67=TRUNC(BJ67/2,0),
                    "-1, no había superávit y deje la capacidad media",
                    IF(AND(BG67&gt;TRUNC(BJ67/2,0), BG67&gt;=BC67),
                        "0, no había superávit, y la deje con superávit",
                        IF(AND(BG67&lt;TRUNC(BJ67/2,0),BG67&lt;BC67),
                            "1, no había superávit, pero el resultado fue mejor",
                            "-2, no había superávit y resultado fue bueno"
                        )
                    )
                )
            )
        )
    )
)</f>
        <v>1, Superávit y eliminé superávit</v>
      </c>
      <c r="BO67" s="30" t="s">
        <v>217</v>
      </c>
      <c r="BP67" s="30">
        <v>7</v>
      </c>
      <c r="BQ67" s="31">
        <v>8.3333333333333339</v>
      </c>
      <c r="BR67" s="29">
        <v>7</v>
      </c>
      <c r="BS67" s="29">
        <v>8</v>
      </c>
      <c r="BT67" s="30">
        <v>7</v>
      </c>
      <c r="BU67" s="30">
        <v>-0.83166677317607873</v>
      </c>
      <c r="BV67" s="26" t="s">
        <v>323</v>
      </c>
      <c r="BW67" s="30">
        <v>11</v>
      </c>
      <c r="BX67" s="29">
        <f>IF(BR67&gt;=BP67,1,0)</f>
        <v>1</v>
      </c>
      <c r="BY67" s="29">
        <f>BR67-BP67</f>
        <v>0</v>
      </c>
      <c r="BZ67" s="29" t="str">
        <f>IF(BU67&gt;0,
    IF(OR(BP67&lt;=TRUNC(BW67/2,0),BP67=0),
        IF(BT67=TRUNC(BW67/2,0),
            "-1, Déficit y dejo la capacidad media",
            IF(AND(BT67&gt;TRUNC(BW67/2,0), BT67&gt;BP67),
                "1, Déficit y eliminé déficit",
                IF(AND(BT67&lt;TRUNC(BW67/2,0), BT67&lt;BP67),
                    "0, Déficit y no elimine déficit",
                    "-2, Déficit y resultado fue bueno")
            )
        ),
        IF(AND(BT67&gt;TRUNC(BW67/2,0), BT67&gt;BP67),
            "1, no había déficit, pero resultado fue mejor",
            IF(AND(BT67&lt;TRUNC(BW67/2,0),BT67&lt;BP67),
                "0, no había déficit y la dejo con déficit",
                IF(BT67=TRUNC(BW67/2,0),
                    "-1, no había déficit y dejo la capacidad media",
                    "-2,no había déficit y resultado fue bueno")
            )
        )
    ),
    IF(BU67&lt;0,
        IF(BP67&gt;TRUNC(BW67/2,0),
            IF(BT67=TRUNC(BW67/2,0),
                "-1, Superávit y deje la capacidad media",
                IF(AND(BT67&gt;TRUNC(BW67/2,0), BT67&gt;=BP67),
                    "0, Superávit y no eliminé superávit",
                    IF(AND(BT67&lt;TRUNC(BW67/2,0),BT67&lt;BP67),
                        "1, Superávit y eliminé superávit",
                        "-2, Superávit y resultado fue bueno"
                    )
                )
            ),
            IF(AND(BP67&lt;=TRUNC(BW67/2,0),BP67&gt;=0),
                IF(BT67=TRUNC(BW67/2,0),
                    "-1, no había superávit y deje la capacidad media",
                    IF(AND(BT67&gt;TRUNC(BW67/2,0), BT67&gt;=BP67),
                        "0, no había superávit, y la deje con superávit",
                        IF(AND(BT67&lt;TRUNC(BW67/2,0),BT67&lt;BP67),
                            "1, no había superávit, pero el resultado fue mejor",
                            "-2, no había superávit y resultado fue bueno"
                        )
                    )
                )
            )
        )
    )
)</f>
        <v>0, Superávit y no eliminé superávit</v>
      </c>
      <c r="CB67" s="30" t="s">
        <v>217</v>
      </c>
      <c r="CC67" s="30">
        <v>9</v>
      </c>
      <c r="CD67" s="31">
        <v>7.4444444444444446</v>
      </c>
      <c r="CE67" s="29">
        <v>10</v>
      </c>
      <c r="CF67" s="29">
        <v>9</v>
      </c>
      <c r="CG67" s="30">
        <v>3</v>
      </c>
      <c r="CH67" s="30">
        <v>-0.83166677317607873</v>
      </c>
      <c r="CI67" s="26" t="s">
        <v>323</v>
      </c>
      <c r="CJ67" s="30">
        <v>11</v>
      </c>
      <c r="CK67" s="29">
        <f>IF(CE67&gt;=CC67,1,0)</f>
        <v>1</v>
      </c>
      <c r="CL67" s="29">
        <f>CE67-CC67</f>
        <v>1</v>
      </c>
      <c r="CM67" s="29" t="str">
        <f>IF(CH67&gt;0,
    IF(OR(CC67&lt;=TRUNC(CJ67/2,0),CC67=0),
        IF(CG67=TRUNC(CJ67/2,0),
            "-1, Déficit y dejo la capacidad media",
            IF(AND(CG67&gt;TRUNC(CJ67/2,0), CG67&gt;CC67),
                "1, Déficit y eliminé déficit",
                IF(AND(CG67&lt;TRUNC(CJ67/2,0), CG67&lt;CC67),
                    "0, Déficit y no elimine déficit",
                    "-2, Déficit y resultado fue bueno")
            )
        ),
        IF(AND(CG67&gt;TRUNC(CJ67/2,0), CG67&gt;CC67),
            "1, no había déficit, pero resultado fue mejor",
            IF(AND(CG67&lt;TRUNC(CJ67/2,0),CG67&lt;CC67),
                "0, no había déficit y la dejo con déficit",
                IF(CG67=TRUNC(CJ67/2,0),
                    "-1, no había déficit y dejo la capacidad media",
                    "-2,no había déficit y resultado fue bueno")
            )
        )
    ),
    IF(CH67&lt;0,
        IF(CC67&gt;TRUNC(CJ67/2,0),
            IF(CG67=TRUNC(CJ67/2,0),
                "-1, Superávit y deje la capacidad media",
                IF(AND(CG67&gt;TRUNC(CJ67/2,0), CG67&gt;=CC67),
                    "0, Superávit y no eliminé superávit",
                    IF(AND(CG67&lt;TRUNC(CJ67/2,0),CG67&lt;CC67),
                        "1, Superávit y eliminé superávit",
                        "-2, Superávit y resultado fue bueno"
                    )
                )
            ),
            IF(AND(CC67&lt;=TRUNC(CJ67/2,0),CC67&gt;=0),
                IF(CG67=TRUNC(CJ67/2,0),
                    "-1, no había superávit y deje la capacidad media",
                    IF(AND(CG67&gt;TRUNC(CJ67/2,0), CG67&gt;=CC67),
                        "0, no había superávit, y la deje con superávit",
                        IF(AND(CG67&lt;TRUNC(CJ67/2,0),CG67&lt;CC67),
                            "1, no había superávit, pero el resultado fue mejor",
                            "-2, no había superávit y resultado fue bueno"
                        )
                    )
                )
            )
        )
    )
)</f>
        <v>1, Superávit y eliminé superávit</v>
      </c>
      <c r="CO67" s="30" t="s">
        <v>217</v>
      </c>
      <c r="CP67" s="30">
        <v>5</v>
      </c>
      <c r="CQ67" s="31">
        <v>8</v>
      </c>
      <c r="CR67" s="29">
        <v>4</v>
      </c>
      <c r="CS67" s="29">
        <v>6</v>
      </c>
      <c r="CT67" s="30">
        <v>5</v>
      </c>
      <c r="CU67" s="30">
        <v>-0.83166677317607873</v>
      </c>
      <c r="CV67" s="26" t="s">
        <v>323</v>
      </c>
      <c r="CW67" s="30">
        <v>11</v>
      </c>
      <c r="CX67" s="29">
        <f>IF(CR67&gt;=CP67,1,0)</f>
        <v>0</v>
      </c>
      <c r="CY67" s="29">
        <f>CR67-CP67</f>
        <v>-1</v>
      </c>
      <c r="CZ67" s="29" t="str">
        <f>IF(CU67&gt;0,
    IF(OR(CP67&lt;=TRUNC(CW67/2,0),CP67=0),
        IF(CT67=TRUNC(CW67/2,0),
            "-1, Déficit y dejo la capacidad media",
            IF(AND(CT67&gt;TRUNC(CW67/2,0), CT67&gt;CP67),
                "1, Déficit y eliminé déficit",
                IF(AND(CT67&lt;TRUNC(CW67/2,0), CT67&lt;CP67),
                    "0, Déficit y no elimine déficit",
                    "-2, Déficit y resultado fue bueno")
            )
        ),
        IF(AND(CT67&gt;TRUNC(CW67/2,0), CT67&gt;CP67),
            "1, no había déficit, pero resultado fue mejor",
            IF(AND(CT67&lt;TRUNC(CW67/2,0),CT67&lt;CP67),
                "0, no había déficit y la dejo con déficit",
                IF(CT67=TRUNC(CW67/2,0),
                    "-1, no había déficit y dejo la capacidad media",
                    "-2,no había déficit y resultado fue bueno")
            )
        )
    ),
    IF(CU67&lt;0,
        IF(CP67&gt;TRUNC(CW67/2,0),
            IF(CT67=TRUNC(CW67/2,0),
                "-1, Superávit y deje la capacidad media",
                IF(AND(CT67&gt;TRUNC(CW67/2,0), CT67&gt;=CP67),
                    "0, Superávit y no eliminé superávit",
                    IF(AND(CT67&lt;TRUNC(CW67/2,0),CT67&lt;CP67),
                        "1, Superávit y eliminé superávit",
                        "-2, Superávit y resultado fue bueno"
                    )
                )
            ),
            IF(AND(CP67&lt;=TRUNC(CW67/2,0),CP67&gt;=0),
                IF(CT67=TRUNC(CW67/2,0),
                    "-1, no había superávit y deje la capacidad media",
                    IF(AND(CT67&gt;TRUNC(CW67/2,0), CT67&gt;=CP67),
                        "0, no había superávit, y la deje con superávit",
                        IF(AND(CT67&lt;TRUNC(CW67/2,0),CT67&lt;CP67),
                            "1, no había superávit, pero el resultado fue mejor",
                            "-2, no había superávit y resultado fue bueno"
                        )
                    )
                )
            )
        )
    )
)</f>
        <v>-1, no había superávit y deje la capacidad media</v>
      </c>
    </row>
    <row r="68" spans="2:104" ht="14.25" customHeight="1" x14ac:dyDescent="0.3">
      <c r="B68" s="30" t="s">
        <v>227</v>
      </c>
      <c r="C68" s="29">
        <v>14</v>
      </c>
      <c r="D68" s="31">
        <v>12.888888888888889</v>
      </c>
      <c r="E68" s="29">
        <v>17</v>
      </c>
      <c r="F68" s="29">
        <v>17</v>
      </c>
      <c r="G68" s="29">
        <v>14</v>
      </c>
      <c r="H68" s="30">
        <v>-0.99035075718315457</v>
      </c>
      <c r="I68" s="26" t="s">
        <v>328</v>
      </c>
      <c r="J68" s="30">
        <v>17</v>
      </c>
      <c r="K68" s="29">
        <f>IF(E68&gt;=C68,1,0)</f>
        <v>1</v>
      </c>
      <c r="L68" s="29">
        <f>E68-C68</f>
        <v>3</v>
      </c>
      <c r="M68" s="29" t="str">
        <f>IF(H68&gt;0,
    IF(OR(C68&lt;=TRUNC(J68/2,0),C68=0),
        IF(G68=TRUNC(J68/2,0),
            "-1, Déficit y dejo la capacidad media",
            IF(AND(G68&gt;TRUNC(J68/2,0), G68&gt;C68),
                "1, Déficit y eliminé déficit",
                IF(AND(G68&lt;TRUNC(J68/2,0), G68&lt;C68),
                    "0, Déficit y no elimine déficit",
                    "-2, Déficit y resultado fue bueno")
            )
        ),
        IF(AND(G68&gt;TRUNC(J68/2,0), G68&gt;C68),
            "1, no había déficit, pero resultado fue mejor",
            IF(AND(G68&lt;TRUNC(J68/2,0),G68&lt;C68),
                "0, no había déficit y la dejo con déficit",
                IF(G68=TRUNC(J68/2,0),
                    "-1, no había déficit y dejo la capacidad media",
                    "-2,no había déficit y resultado fue bueno")
            )
        )
    ),
    IF(H68&lt;0,
        IF(C68&gt;TRUNC(J68/2,0),
            IF(G68=TRUNC(J68/2,0),
                "-1, Superávit y deje la capacidad media",
                IF(AND(G68&gt;TRUNC(J68/2,0), G68&gt;=C68),
                    "0, Superávit y no eliminé superávit",
                    IF(AND(G68&lt;TRUNC(J68/2,0),G68&lt;C68),
                        "1, Superávit y eliminé superávit",
                        "-2, Superávit y resultado fue bueno"
                    )
                )
            ),
            IF(AND(C68&lt;=TRUNC(J68/2,0),C68&gt;=0),
                IF(G68=TRUNC(J68/2,0),
                    "-1, no había superávit y deje la capacidad media",
                    IF(AND(G68&gt;TRUNC(J68/2,0), G68&gt;=C68),
                        "0, no había superávit, y la deje con superávit",
                        IF(AND(G68&lt;TRUNC(J68/2,0),G68&lt;C68),
                            "1, no había superávit, pero el resultado fue mejor",
                            "-2, no había superávit y resultado fue bueno"
                        )
                    )
                )
            )
        )
    )
)</f>
        <v>0, Superávit y no eliminé superávit</v>
      </c>
      <c r="O68" s="30" t="s">
        <v>227</v>
      </c>
      <c r="P68" s="30">
        <v>17</v>
      </c>
      <c r="Q68" s="31">
        <v>15.222222222222221</v>
      </c>
      <c r="R68" s="29">
        <v>16</v>
      </c>
      <c r="S68" s="29">
        <v>16</v>
      </c>
      <c r="T68" s="30">
        <v>2</v>
      </c>
      <c r="U68" s="30">
        <v>-0.99035075718315457</v>
      </c>
      <c r="V68" s="26" t="s">
        <v>328</v>
      </c>
      <c r="W68" s="30">
        <v>17</v>
      </c>
      <c r="X68" s="29">
        <f>IF(R68&gt;=P68,1,0)</f>
        <v>0</v>
      </c>
      <c r="Y68" s="29">
        <f>R68-P68</f>
        <v>-1</v>
      </c>
      <c r="Z68" s="29" t="str">
        <f>IF(U68&gt;0,
    IF(OR(P68&lt;=TRUNC(W68/2,0),P68=0),
        IF(T68=TRUNC(W68/2,0),
            "-1, Déficit y dejo la capacidad media",
            IF(AND(T68&gt;TRUNC(W68/2,0), T68&gt;P68),
                "1, Déficit y eliminé déficit",
                IF(AND(T68&lt;TRUNC(W68/2,0), T68&lt;P68),
                    "0, Déficit y no elimine déficit",
                    "-2, Déficit y resultado fue bueno")
            )
        ),
        IF(AND(T68&gt;TRUNC(W68/2,0), T68&gt;P68),
            "1, no había déficit, pero resultado fue mejor",
            IF(AND(T68&lt;TRUNC(W68/2,0),T68&lt;P68),
                "0, no había déficit y la dejo con déficit",
                IF(T68=TRUNC(W68/2,0),
                    "-1, no había déficit y dejo la capacidad media",
                    "-2,no había déficit y resultado fue bueno")
            )
        )
    ),
    IF(U68&lt;0,
        IF(P68&gt;TRUNC(W68/2,0),
            IF(T68=TRUNC(W68/2,0),
                "-1, Superávit y deje la capacidad media",
                IF(AND(T68&gt;TRUNC(W68/2,0), T68&gt;=P68),
                    "0, Superávit y no eliminé superávit",
                    IF(AND(T68&lt;TRUNC(W68/2,0),T68&lt;P68),
                        "1, Superávit y eliminé superávit",
                        "-2, Superávit y resultado fue bueno"
                    )
                )
            ),
            IF(AND(P68&lt;=TRUNC(W68/2,0),P68&gt;=0),
                IF(T68=TRUNC(W68/2,0),
                    "-1, no había superávit y deje la capacidad media",
                    IF(AND(T68&gt;TRUNC(W68/2,0), T68&gt;=P68),
                        "0, no había superávit, y la deje con superávit",
                        IF(AND(T68&lt;TRUNC(W68/2,0),T68&lt;P68),
                            "1, no había superávit, pero el resultado fue mejor",
                            "-2, no había superávit y resultado fue bueno"
                        )
                    )
                )
            )
        )
    )
)</f>
        <v>1, Superávit y eliminé superávit</v>
      </c>
      <c r="AB68" s="2" t="s">
        <v>227</v>
      </c>
      <c r="AC68" s="2">
        <v>17</v>
      </c>
      <c r="AD68" s="7">
        <v>11</v>
      </c>
      <c r="AE68" s="3">
        <v>17</v>
      </c>
      <c r="AF68" s="3">
        <v>16</v>
      </c>
      <c r="AG68" s="2">
        <v>4</v>
      </c>
      <c r="AH68" s="11">
        <v>-0.99035075718315457</v>
      </c>
      <c r="AI68" s="26" t="s">
        <v>328</v>
      </c>
      <c r="AJ68" s="22">
        <v>17</v>
      </c>
      <c r="AK68" s="29">
        <f>IF(AE68&gt;=AC68,1,0)</f>
        <v>1</v>
      </c>
      <c r="AL68" s="29">
        <f>AE68-AC68</f>
        <v>0</v>
      </c>
      <c r="AM68" s="29" t="str">
        <f>IF(AH68&gt;0,
    IF(OR(AC68&lt;=TRUNC(AJ68/2,0),AC68=0),
        IF(AG68=TRUNC(AJ68/2,0),
            "-1, Déficit y dejo la capacidad media",
            IF(AND(AG68&gt;TRUNC(AJ68/2,0), AG68&gt;AC68),
                "1, Déficit y eliminé déficit",
                IF(AND(AG68&lt;TRUNC(AJ68/2,0), AG68&lt;AC68),
                    "0, Déficit y no elimine déficit",
                    "-2, Déficit y resultado fue bueno")
            )
        ),
        IF(AND(AG68&gt;TRUNC(AJ68/2,0), AG68&gt;AC68),
            "1, no había déficit, pero resultado fue mejor",
            IF(AND(AG68&lt;TRUNC(AJ68/2,0),AG68&lt;AC68),
                "0, no había déficit y la dejo con déficit",
                IF(AG68=TRUNC(AJ68/2,0),
                    "-1, no había déficit y dejo la capacidad media",
                    "-2,no había déficit y resultado fue bueno")
            )
        )
    ),
    IF(AH68&lt;0,
        IF(AC68&gt;TRUNC(AJ68/2,0),
            IF(AG68=TRUNC(AJ68/2,0),
                "-1, Superávit y deje la capacidad media",
                IF(AND(AG68&gt;TRUNC(AJ68/2,0), AG68&gt;=AC68),
                    "0, Superávit y no eliminé superávit",
                    IF(AND(AG68&lt;TRUNC(AJ68/2,0),AG68&lt;AC68),
                        "1, Superávit y eliminé superávit",
                        "-2, Superávit y resultado fue bueno"
                    )
                )
            ),
            IF(AND(AC68&lt;=TRUNC(AJ68/2,0),AC68&gt;=0),
                IF(AG68=TRUNC(AJ68/2,0),
                    "-1, no había superávit y deje la capacidad media",
                    IF(AND(AG68&gt;TRUNC(AJ68/2,0), AG68&gt;=AC68),
                        "0, no había superávit, y la deje con superávit",
                        IF(AND(AG68&lt;TRUNC(AJ68/2,0),AG68&lt;AC68),
                            "1, no había superávit, pero el resultado fue mejor",
                            "-2, no había superávit y resultado fue bueno"
                        )
                    )
                )
            )
        )
    )
)</f>
        <v>1, Superávit y eliminé superávit</v>
      </c>
      <c r="AO68" s="30" t="s">
        <v>227</v>
      </c>
      <c r="AP68" s="30">
        <v>10</v>
      </c>
      <c r="AQ68" s="31">
        <v>10</v>
      </c>
      <c r="AR68" s="29">
        <v>11</v>
      </c>
      <c r="AS68" s="29">
        <v>10</v>
      </c>
      <c r="AT68" s="30">
        <v>10</v>
      </c>
      <c r="AU68" s="30">
        <v>-0.99035075718315457</v>
      </c>
      <c r="AV68" s="26" t="s">
        <v>328</v>
      </c>
      <c r="AW68" s="30">
        <v>17</v>
      </c>
      <c r="AX68" s="29">
        <f>IF(AR68&gt;=AP68,1,0)</f>
        <v>1</v>
      </c>
      <c r="AY68" s="29">
        <f>AR68-AP68</f>
        <v>1</v>
      </c>
      <c r="AZ68" s="29" t="str">
        <f>IF(AU68&gt;0,
    IF(OR(AP68&lt;=TRUNC(AW68/2,0),AP68=0),
        IF(AT68=TRUNC(AW68/2,0),
            "-1, Déficit y dejo la capacidad media",
            IF(AND(AT68&gt;TRUNC(AW68/2,0), AT68&gt;AP68),
                "1, Déficit y eliminé déficit",
                IF(AND(AT68&lt;TRUNC(AW68/2,0), AT68&lt;AP68),
                    "0, Déficit y no elimine déficit",
                    "-2, Déficit y resultado fue bueno")
            )
        ),
        IF(AND(AT68&gt;TRUNC(AW68/2,0), AT68&gt;AP68),
            "1, no había déficit, pero resultado fue mejor",
            IF(AND(AT68&lt;TRUNC(AW68/2,0),AT68&lt;AP68),
                "0, no había déficit y la dejo con déficit",
                IF(AT68=TRUNC(AW68/2,0),
                    "-1, no había déficit y dejo la capacidad media",
                    "-2,no había déficit y resultado fue bueno")
            )
        )
    ),
    IF(AU68&lt;0,
        IF(AP68&gt;TRUNC(AW68/2,0),
            IF(AT68=TRUNC(AW68/2,0),
                "-1, Superávit y deje la capacidad media",
                IF(AND(AT68&gt;TRUNC(AW68/2,0), AT68&gt;=AP68),
                    "0, Superávit y no eliminé superávit",
                    IF(AND(AT68&lt;TRUNC(AW68/2,0),AT68&lt;AP68),
                        "1, Superávit y eliminé superávit",
                        "-2, Superávit y resultado fue bueno"
                    )
                )
            ),
            IF(AND(AP68&lt;=TRUNC(AW68/2,0),AP68&gt;=0),
                IF(AT68=TRUNC(AW68/2,0),
                    "-1, no había superávit y deje la capacidad media",
                    IF(AND(AT68&gt;TRUNC(AW68/2,0), AT68&gt;=AP68),
                        "0, no había superávit, y la deje con superávit",
                        IF(AND(AT68&lt;TRUNC(AW68/2,0),AT68&lt;AP68),
                            "1, no había superávit, pero el resultado fue mejor",
                            "-2, no había superávit y resultado fue bueno"
                        )
                    )
                )
            )
        )
    )
)</f>
        <v>0, Superávit y no eliminé superávit</v>
      </c>
      <c r="BB68" s="30" t="s">
        <v>227</v>
      </c>
      <c r="BC68" s="30">
        <v>12</v>
      </c>
      <c r="BD68" s="31">
        <v>6.8888888888888893</v>
      </c>
      <c r="BE68" s="29">
        <v>12</v>
      </c>
      <c r="BF68" s="29">
        <v>13</v>
      </c>
      <c r="BG68" s="30">
        <v>12</v>
      </c>
      <c r="BH68" s="30">
        <v>-0.99035075718315457</v>
      </c>
      <c r="BI68" s="26" t="s">
        <v>328</v>
      </c>
      <c r="BJ68" s="30">
        <v>17</v>
      </c>
      <c r="BK68" s="29">
        <f>IF(BE68&gt;=BC68,1,0)</f>
        <v>1</v>
      </c>
      <c r="BL68" s="29">
        <f>BE68-BC68</f>
        <v>0</v>
      </c>
      <c r="BM68" s="29" t="str">
        <f>IF(BH68&gt;0,
    IF(OR(BC68&lt;=TRUNC(BJ68/2,0),BC68=0),
        IF(BG68=TRUNC(BJ68/2,0),
            "-1, Déficit y dejo la capacidad media",
            IF(AND(BG68&gt;TRUNC(BJ68/2,0), BG68&gt;BC68),
                "1, Déficit y eliminé déficit",
                IF(AND(BG68&lt;TRUNC(BJ68/2,0), BG68&lt;BC68),
                    "0, Déficit y no elimine déficit",
                    "-2, Déficit y resultado fue bueno")
            )
        ),
        IF(AND(BG68&gt;TRUNC(BJ68/2,0), BG68&gt;BC68),
            "1, no había déficit, pero resultado fue mejor",
            IF(AND(BG68&lt;TRUNC(BJ68/2,0),BG68&lt;BC68),
                "0, no había déficit y la dejo con déficit",
                IF(BG68=TRUNC(BJ68/2,0),
                    "-1, no había déficit y dejo la capacidad media",
                    "-2,no había déficit y resultado fue bueno")
            )
        )
    ),
    IF(BH68&lt;0,
        IF(BC68&gt;TRUNC(BJ68/2,0),
            IF(BG68=TRUNC(BJ68/2,0),
                "-1, Superávit y deje la capacidad media",
                IF(AND(BG68&gt;TRUNC(BJ68/2,0), BG68&gt;=BC68),
                    "0, Superávit y no eliminé superávit",
                    IF(AND(BG68&lt;TRUNC(BJ68/2,0),BG68&lt;BC68),
                        "1, Superávit y eliminé superávit",
                        "-2, Superávit y resultado fue bueno"
                    )
                )
            ),
            IF(AND(BC68&lt;=TRUNC(BJ68/2,0),BC68&gt;=0),
                IF(BG68=TRUNC(BJ68/2,0),
                    "-1, no había superávit y deje la capacidad media",
                    IF(AND(BG68&gt;TRUNC(BJ68/2,0), BG68&gt;=BC68),
                        "0, no había superávit, y la deje con superávit",
                        IF(AND(BG68&lt;TRUNC(BJ68/2,0),BG68&lt;BC68),
                            "1, no había superávit, pero el resultado fue mejor",
                            "-2, no había superávit y resultado fue bueno"
                        )
                    )
                )
            )
        )
    )
)</f>
        <v>0, Superávit y no eliminé superávit</v>
      </c>
      <c r="BO68" s="30" t="s">
        <v>227</v>
      </c>
      <c r="BP68" s="30">
        <v>15</v>
      </c>
      <c r="BQ68" s="31">
        <v>12.777777777777779</v>
      </c>
      <c r="BR68" s="29">
        <v>14</v>
      </c>
      <c r="BS68" s="29">
        <v>16</v>
      </c>
      <c r="BT68" s="30">
        <v>5</v>
      </c>
      <c r="BU68" s="30">
        <v>-0.99035075718315457</v>
      </c>
      <c r="BV68" s="26" t="s">
        <v>328</v>
      </c>
      <c r="BW68" s="30">
        <v>17</v>
      </c>
      <c r="BX68" s="29">
        <f>IF(BR68&gt;=BP68,1,0)</f>
        <v>0</v>
      </c>
      <c r="BY68" s="29">
        <f>BR68-BP68</f>
        <v>-1</v>
      </c>
      <c r="BZ68" s="29" t="str">
        <f>IF(BU68&gt;0,
    IF(OR(BP68&lt;=TRUNC(BW68/2,0),BP68=0),
        IF(BT68=TRUNC(BW68/2,0),
            "-1, Déficit y dejo la capacidad media",
            IF(AND(BT68&gt;TRUNC(BW68/2,0), BT68&gt;BP68),
                "1, Déficit y eliminé déficit",
                IF(AND(BT68&lt;TRUNC(BW68/2,0), BT68&lt;BP68),
                    "0, Déficit y no elimine déficit",
                    "-2, Déficit y resultado fue bueno")
            )
        ),
        IF(AND(BT68&gt;TRUNC(BW68/2,0), BT68&gt;BP68),
            "1, no había déficit, pero resultado fue mejor",
            IF(AND(BT68&lt;TRUNC(BW68/2,0),BT68&lt;BP68),
                "0, no había déficit y la dejo con déficit",
                IF(BT68=TRUNC(BW68/2,0),
                    "-1, no había déficit y dejo la capacidad media",
                    "-2,no había déficit y resultado fue bueno")
            )
        )
    ),
    IF(BU68&lt;0,
        IF(BP68&gt;TRUNC(BW68/2,0),
            IF(BT68=TRUNC(BW68/2,0),
                "-1, Superávit y deje la capacidad media",
                IF(AND(BT68&gt;TRUNC(BW68/2,0), BT68&gt;=BP68),
                    "0, Superávit y no eliminé superávit",
                    IF(AND(BT68&lt;TRUNC(BW68/2,0),BT68&lt;BP68),
                        "1, Superávit y eliminé superávit",
                        "-2, Superávit y resultado fue bueno"
                    )
                )
            ),
            IF(AND(BP68&lt;=TRUNC(BW68/2,0),BP68&gt;=0),
                IF(BT68=TRUNC(BW68/2,0),
                    "-1, no había superávit y deje la capacidad media",
                    IF(AND(BT68&gt;TRUNC(BW68/2,0), BT68&gt;=BP68),
                        "0, no había superávit, y la deje con superávit",
                        IF(AND(BT68&lt;TRUNC(BW68/2,0),BT68&lt;BP68),
                            "1, no había superávit, pero el resultado fue mejor",
                            "-2, no había superávit y resultado fue bueno"
                        )
                    )
                )
            )
        )
    )
)</f>
        <v>1, Superávit y eliminé superávit</v>
      </c>
      <c r="CB68" s="30" t="s">
        <v>227</v>
      </c>
      <c r="CC68" s="30">
        <v>14</v>
      </c>
      <c r="CD68" s="31">
        <v>11.222222222222221</v>
      </c>
      <c r="CE68" s="29">
        <v>13</v>
      </c>
      <c r="CF68" s="29">
        <v>13</v>
      </c>
      <c r="CG68" s="30">
        <v>14</v>
      </c>
      <c r="CH68" s="30">
        <v>-0.99035075718315457</v>
      </c>
      <c r="CI68" s="26" t="s">
        <v>328</v>
      </c>
      <c r="CJ68" s="30">
        <v>17</v>
      </c>
      <c r="CK68" s="29">
        <f>IF(CE68&gt;=CC68,1,0)</f>
        <v>0</v>
      </c>
      <c r="CL68" s="29">
        <f>CE68-CC68</f>
        <v>-1</v>
      </c>
      <c r="CM68" s="29" t="str">
        <f>IF(CH68&gt;0,
    IF(OR(CC68&lt;=TRUNC(CJ68/2,0),CC68=0),
        IF(CG68=TRUNC(CJ68/2,0),
            "-1, Déficit y dejo la capacidad media",
            IF(AND(CG68&gt;TRUNC(CJ68/2,0), CG68&gt;CC68),
                "1, Déficit y eliminé déficit",
                IF(AND(CG68&lt;TRUNC(CJ68/2,0), CG68&lt;CC68),
                    "0, Déficit y no elimine déficit",
                    "-2, Déficit y resultado fue bueno")
            )
        ),
        IF(AND(CG68&gt;TRUNC(CJ68/2,0), CG68&gt;CC68),
            "1, no había déficit, pero resultado fue mejor",
            IF(AND(CG68&lt;TRUNC(CJ68/2,0),CG68&lt;CC68),
                "0, no había déficit y la dejo con déficit",
                IF(CG68=TRUNC(CJ68/2,0),
                    "-1, no había déficit y dejo la capacidad media",
                    "-2,no había déficit y resultado fue bueno")
            )
        )
    ),
    IF(CH68&lt;0,
        IF(CC68&gt;TRUNC(CJ68/2,0),
            IF(CG68=TRUNC(CJ68/2,0),
                "-1, Superávit y deje la capacidad media",
                IF(AND(CG68&gt;TRUNC(CJ68/2,0), CG68&gt;=CC68),
                    "0, Superávit y no eliminé superávit",
                    IF(AND(CG68&lt;TRUNC(CJ68/2,0),CG68&lt;CC68),
                        "1, Superávit y eliminé superávit",
                        "-2, Superávit y resultado fue bueno"
                    )
                )
            ),
            IF(AND(CC68&lt;=TRUNC(CJ68/2,0),CC68&gt;=0),
                IF(CG68=TRUNC(CJ68/2,0),
                    "-1, no había superávit y deje la capacidad media",
                    IF(AND(CG68&gt;TRUNC(CJ68/2,0), CG68&gt;=CC68),
                        "0, no había superávit, y la deje con superávit",
                        IF(AND(CG68&lt;TRUNC(CJ68/2,0),CG68&lt;CC68),
                            "1, no había superávit, pero el resultado fue mejor",
                            "-2, no había superávit y resultado fue bueno"
                        )
                    )
                )
            )
        )
    )
)</f>
        <v>0, Superávit y no eliminé superávit</v>
      </c>
      <c r="CO68" s="30" t="s">
        <v>227</v>
      </c>
      <c r="CP68" s="30">
        <v>17</v>
      </c>
      <c r="CQ68" s="31">
        <v>12.888888888888889</v>
      </c>
      <c r="CR68" s="29">
        <v>17</v>
      </c>
      <c r="CS68" s="29">
        <v>17</v>
      </c>
      <c r="CT68" s="30">
        <v>15</v>
      </c>
      <c r="CU68" s="30">
        <v>-0.99035075718315457</v>
      </c>
      <c r="CV68" s="26" t="s">
        <v>328</v>
      </c>
      <c r="CW68" s="30">
        <v>17</v>
      </c>
      <c r="CX68" s="29">
        <f>IF(CR68&gt;=CP68,1,0)</f>
        <v>1</v>
      </c>
      <c r="CY68" s="29">
        <f>CR68-CP68</f>
        <v>0</v>
      </c>
      <c r="CZ68" s="29" t="str">
        <f>IF(CU68&gt;0,
    IF(OR(CP68&lt;=TRUNC(CW68/2,0),CP68=0),
        IF(CT68=TRUNC(CW68/2,0),
            "-1, Déficit y dejo la capacidad media",
            IF(AND(CT68&gt;TRUNC(CW68/2,0), CT68&gt;CP68),
                "1, Déficit y eliminé déficit",
                IF(AND(CT68&lt;TRUNC(CW68/2,0), CT68&lt;CP68),
                    "0, Déficit y no elimine déficit",
                    "-2, Déficit y resultado fue bueno")
            )
        ),
        IF(AND(CT68&gt;TRUNC(CW68/2,0), CT68&gt;CP68),
            "1, no había déficit, pero resultado fue mejor",
            IF(AND(CT68&lt;TRUNC(CW68/2,0),CT68&lt;CP68),
                "0, no había déficit y la dejo con déficit",
                IF(CT68=TRUNC(CW68/2,0),
                    "-1, no había déficit y dejo la capacidad media",
                    "-2,no había déficit y resultado fue bueno")
            )
        )
    ),
    IF(CU68&lt;0,
        IF(CP68&gt;TRUNC(CW68/2,0),
            IF(CT68=TRUNC(CW68/2,0),
                "-1, Superávit y deje la capacidad media",
                IF(AND(CT68&gt;TRUNC(CW68/2,0), CT68&gt;=CP68),
                    "0, Superávit y no eliminé superávit",
                    IF(AND(CT68&lt;TRUNC(CW68/2,0),CT68&lt;CP68),
                        "1, Superávit y eliminé superávit",
                        "-2, Superávit y resultado fue bueno"
                    )
                )
            ),
            IF(AND(CP68&lt;=TRUNC(CW68/2,0),CP68&gt;=0),
                IF(CT68=TRUNC(CW68/2,0),
                    "-1, no había superávit y deje la capacidad media",
                    IF(AND(CT68&gt;TRUNC(CW68/2,0), CT68&gt;=CP68),
                        "0, no había superávit, y la deje con superávit",
                        IF(AND(CT68&lt;TRUNC(CW68/2,0),CT68&lt;CP68),
                            "1, no había superávit, pero el resultado fue mejor",
                            "-2, no había superávit y resultado fue bueno"
                        )
                    )
                )
            )
        )
    )
)</f>
        <v>-2, Superávit y resultado fue bueno</v>
      </c>
    </row>
    <row r="69" spans="2:104" ht="14.25" customHeight="1" x14ac:dyDescent="0.3">
      <c r="B69" s="30" t="s">
        <v>221</v>
      </c>
      <c r="C69" s="29">
        <v>14</v>
      </c>
      <c r="D69" s="31">
        <v>12.111111111111111</v>
      </c>
      <c r="E69" s="29">
        <v>16</v>
      </c>
      <c r="F69" s="29">
        <v>16</v>
      </c>
      <c r="G69" s="29">
        <v>14</v>
      </c>
      <c r="H69" s="30">
        <v>-1.072806810743151</v>
      </c>
      <c r="I69" s="26" t="s">
        <v>329</v>
      </c>
      <c r="J69" s="30">
        <v>19</v>
      </c>
      <c r="K69" s="29">
        <f>IF(E69&gt;=C69,1,0)</f>
        <v>1</v>
      </c>
      <c r="L69" s="29">
        <f>E69-C69</f>
        <v>2</v>
      </c>
      <c r="M69" s="29" t="str">
        <f>IF(H69&gt;0,
    IF(OR(C69&lt;=TRUNC(J69/2,0),C69=0),
        IF(G69=TRUNC(J69/2,0),
            "-1, Déficit y dejo la capacidad media",
            IF(AND(G69&gt;TRUNC(J69/2,0), G69&gt;C69),
                "1, Déficit y eliminé déficit",
                IF(AND(G69&lt;TRUNC(J69/2,0), G69&lt;C69),
                    "0, Déficit y no elimine déficit",
                    "-2, Déficit y resultado fue bueno")
            )
        ),
        IF(AND(G69&gt;TRUNC(J69/2,0), G69&gt;C69),
            "1, no había déficit, pero resultado fue mejor",
            IF(AND(G69&lt;TRUNC(J69/2,0),G69&lt;C69),
                "0, no había déficit y la dejo con déficit",
                IF(G69=TRUNC(J69/2,0),
                    "-1, no había déficit y dejo la capacidad media",
                    "-2,no había déficit y resultado fue bueno")
            )
        )
    ),
    IF(H69&lt;0,
        IF(C69&gt;TRUNC(J69/2,0),
            IF(G69=TRUNC(J69/2,0),
                "-1, Superávit y deje la capacidad media",
                IF(AND(G69&gt;TRUNC(J69/2,0), G69&gt;=C69),
                    "0, Superávit y no eliminé superávit",
                    IF(AND(G69&lt;TRUNC(J69/2,0),G69&lt;C69),
                        "1, Superávit y eliminé superávit",
                        "-2, Superávit y resultado fue bueno"
                    )
                )
            ),
            IF(AND(C69&lt;=TRUNC(J69/2,0),C69&gt;=0),
                IF(G69=TRUNC(J69/2,0),
                    "-1, no había superávit y deje la capacidad media",
                    IF(AND(G69&gt;TRUNC(J69/2,0), G69&gt;=C69),
                        "0, no había superávit, y la deje con superávit",
                        IF(AND(G69&lt;TRUNC(J69/2,0),G69&lt;C69),
                            "1, no había superávit, pero el resultado fue mejor",
                            "-2, no había superávit y resultado fue bueno"
                        )
                    )
                )
            )
        )
    )
)</f>
        <v>0, Superávit y no eliminé superávit</v>
      </c>
      <c r="O69" s="30" t="s">
        <v>221</v>
      </c>
      <c r="P69" s="30">
        <v>18</v>
      </c>
      <c r="Q69" s="31">
        <v>13.222222222222221</v>
      </c>
      <c r="R69" s="29">
        <v>19</v>
      </c>
      <c r="S69" s="29">
        <v>19</v>
      </c>
      <c r="T69" s="30">
        <v>10</v>
      </c>
      <c r="U69" s="30">
        <v>-1.072806810743151</v>
      </c>
      <c r="V69" s="26" t="s">
        <v>329</v>
      </c>
      <c r="W69" s="30">
        <v>19</v>
      </c>
      <c r="X69" s="29">
        <f>IF(R69&gt;=P69,1,0)</f>
        <v>1</v>
      </c>
      <c r="Y69" s="29">
        <f>R69-P69</f>
        <v>1</v>
      </c>
      <c r="Z69" s="29" t="str">
        <f>IF(U69&gt;0,
    IF(OR(P69&lt;=TRUNC(W69/2,0),P69=0),
        IF(T69=TRUNC(W69/2,0),
            "-1, Déficit y dejo la capacidad media",
            IF(AND(T69&gt;TRUNC(W69/2,0), T69&gt;P69),
                "1, Déficit y eliminé déficit",
                IF(AND(T69&lt;TRUNC(W69/2,0), T69&lt;P69),
                    "0, Déficit y no elimine déficit",
                    "-2, Déficit y resultado fue bueno")
            )
        ),
        IF(AND(T69&gt;TRUNC(W69/2,0), T69&gt;P69),
            "1, no había déficit, pero resultado fue mejor",
            IF(AND(T69&lt;TRUNC(W69/2,0),T69&lt;P69),
                "0, no había déficit y la dejo con déficit",
                IF(T69=TRUNC(W69/2,0),
                    "-1, no había déficit y dejo la capacidad media",
                    "-2,no había déficit y resultado fue bueno")
            )
        )
    ),
    IF(U69&lt;0,
        IF(P69&gt;TRUNC(W69/2,0),
            IF(T69=TRUNC(W69/2,0),
                "-1, Superávit y deje la capacidad media",
                IF(AND(T69&gt;TRUNC(W69/2,0), T69&gt;=P69),
                    "0, Superávit y no eliminé superávit",
                    IF(AND(T69&lt;TRUNC(W69/2,0),T69&lt;P69),
                        "1, Superávit y eliminé superávit",
                        "-2, Superávit y resultado fue bueno"
                    )
                )
            ),
            IF(AND(P69&lt;=TRUNC(W69/2,0),P69&gt;=0),
                IF(T69=TRUNC(W69/2,0),
                    "-1, no había superávit y deje la capacidad media",
                    IF(AND(T69&gt;TRUNC(W69/2,0), T69&gt;=P69),
                        "0, no había superávit, y la deje con superávit",
                        IF(AND(T69&lt;TRUNC(W69/2,0),T69&lt;P69),
                            "1, no había superávit, pero el resultado fue mejor",
                            "-2, no había superávit y resultado fue bueno"
                        )
                    )
                )
            )
        )
    )
)</f>
        <v>-2, Superávit y resultado fue bueno</v>
      </c>
      <c r="AB69" s="2" t="s">
        <v>221</v>
      </c>
      <c r="AC69" s="2">
        <v>18</v>
      </c>
      <c r="AD69" s="7">
        <v>13.555555555555555</v>
      </c>
      <c r="AE69" s="3">
        <v>15</v>
      </c>
      <c r="AF69" s="3">
        <v>12</v>
      </c>
      <c r="AG69" s="2">
        <v>13</v>
      </c>
      <c r="AH69" s="11">
        <v>-1.072806810743151</v>
      </c>
      <c r="AI69" s="26" t="s">
        <v>329</v>
      </c>
      <c r="AJ69" s="22">
        <v>19</v>
      </c>
      <c r="AK69" s="29">
        <f>IF(AE69&gt;=AC69,1,0)</f>
        <v>0</v>
      </c>
      <c r="AL69" s="29">
        <f>AE69-AC69</f>
        <v>-3</v>
      </c>
      <c r="AM69" s="29" t="str">
        <f>IF(AH69&gt;0,
    IF(OR(AC69&lt;=TRUNC(AJ69/2,0),AC69=0),
        IF(AG69=TRUNC(AJ69/2,0),
            "-1, Déficit y dejo la capacidad media",
            IF(AND(AG69&gt;TRUNC(AJ69/2,0), AG69&gt;AC69),
                "1, Déficit y eliminé déficit",
                IF(AND(AG69&lt;TRUNC(AJ69/2,0), AG69&lt;AC69),
                    "0, Déficit y no elimine déficit",
                    "-2, Déficit y resultado fue bueno")
            )
        ),
        IF(AND(AG69&gt;TRUNC(AJ69/2,0), AG69&gt;AC69),
            "1, no había déficit, pero resultado fue mejor",
            IF(AND(AG69&lt;TRUNC(AJ69/2,0),AG69&lt;AC69),
                "0, no había déficit y la dejo con déficit",
                IF(AG69=TRUNC(AJ69/2,0),
                    "-1, no había déficit y dejo la capacidad media",
                    "-2,no había déficit y resultado fue bueno")
            )
        )
    ),
    IF(AH69&lt;0,
        IF(AC69&gt;TRUNC(AJ69/2,0),
            IF(AG69=TRUNC(AJ69/2,0),
                "-1, Superávit y deje la capacidad media",
                IF(AND(AG69&gt;TRUNC(AJ69/2,0), AG69&gt;=AC69),
                    "0, Superávit y no eliminé superávit",
                    IF(AND(AG69&lt;TRUNC(AJ69/2,0),AG69&lt;AC69),
                        "1, Superávit y eliminé superávit",
                        "-2, Superávit y resultado fue bueno"
                    )
                )
            ),
            IF(AND(AC69&lt;=TRUNC(AJ69/2,0),AC69&gt;=0),
                IF(AG69=TRUNC(AJ69/2,0),
                    "-1, no había superávit y deje la capacidad media",
                    IF(AND(AG69&gt;TRUNC(AJ69/2,0), AG69&gt;=AC69),
                        "0, no había superávit, y la deje con superávit",
                        IF(AND(AG69&lt;TRUNC(AJ69/2,0),AG69&lt;AC69),
                            "1, no había superávit, pero el resultado fue mejor",
                            "-2, no había superávit y resultado fue bueno"
                        )
                    )
                )
            )
        )
    )
)</f>
        <v>-2, Superávit y resultado fue bueno</v>
      </c>
      <c r="AO69" s="30" t="s">
        <v>221</v>
      </c>
      <c r="AP69" s="30">
        <v>19</v>
      </c>
      <c r="AQ69" s="31">
        <v>15</v>
      </c>
      <c r="AR69" s="29">
        <v>19</v>
      </c>
      <c r="AS69" s="29">
        <v>19</v>
      </c>
      <c r="AT69" s="30">
        <v>13</v>
      </c>
      <c r="AU69" s="30">
        <v>-1.072806810743151</v>
      </c>
      <c r="AV69" s="26" t="s">
        <v>329</v>
      </c>
      <c r="AW69" s="30">
        <v>19</v>
      </c>
      <c r="AX69" s="29">
        <f>IF(AR69&gt;=AP69,1,0)</f>
        <v>1</v>
      </c>
      <c r="AY69" s="29">
        <f>AR69-AP69</f>
        <v>0</v>
      </c>
      <c r="AZ69" s="29" t="str">
        <f>IF(AU69&gt;0,
    IF(OR(AP69&lt;=TRUNC(AW69/2,0),AP69=0),
        IF(AT69=TRUNC(AW69/2,0),
            "-1, Déficit y dejo la capacidad media",
            IF(AND(AT69&gt;TRUNC(AW69/2,0), AT69&gt;AP69),
                "1, Déficit y eliminé déficit",
                IF(AND(AT69&lt;TRUNC(AW69/2,0), AT69&lt;AP69),
                    "0, Déficit y no elimine déficit",
                    "-2, Déficit y resultado fue bueno")
            )
        ),
        IF(AND(AT69&gt;TRUNC(AW69/2,0), AT69&gt;AP69),
            "1, no había déficit, pero resultado fue mejor",
            IF(AND(AT69&lt;TRUNC(AW69/2,0),AT69&lt;AP69),
                "0, no había déficit y la dejo con déficit",
                IF(AT69=TRUNC(AW69/2,0),
                    "-1, no había déficit y dejo la capacidad media",
                    "-2,no había déficit y resultado fue bueno")
            )
        )
    ),
    IF(AU69&lt;0,
        IF(AP69&gt;TRUNC(AW69/2,0),
            IF(AT69=TRUNC(AW69/2,0),
                "-1, Superávit y deje la capacidad media",
                IF(AND(AT69&gt;TRUNC(AW69/2,0), AT69&gt;=AP69),
                    "0, Superávit y no eliminé superávit",
                    IF(AND(AT69&lt;TRUNC(AW69/2,0),AT69&lt;AP69),
                        "1, Superávit y eliminé superávit",
                        "-2, Superávit y resultado fue bueno"
                    )
                )
            ),
            IF(AND(AP69&lt;=TRUNC(AW69/2,0),AP69&gt;=0),
                IF(AT69=TRUNC(AW69/2,0),
                    "-1, no había superávit y deje la capacidad media",
                    IF(AND(AT69&gt;TRUNC(AW69/2,0), AT69&gt;=AP69),
                        "0, no había superávit, y la deje con superávit",
                        IF(AND(AT69&lt;TRUNC(AW69/2,0),AT69&lt;AP69),
                            "1, no había superávit, pero el resultado fue mejor",
                            "-2, no había superávit y resultado fue bueno"
                        )
                    )
                )
            )
        )
    )
)</f>
        <v>-2, Superávit y resultado fue bueno</v>
      </c>
      <c r="BB69" s="30" t="s">
        <v>221</v>
      </c>
      <c r="BC69" s="30">
        <v>16</v>
      </c>
      <c r="BD69" s="31">
        <v>6.333333333333333</v>
      </c>
      <c r="BE69" s="29">
        <v>18</v>
      </c>
      <c r="BF69" s="29">
        <v>18</v>
      </c>
      <c r="BG69" s="30">
        <v>16</v>
      </c>
      <c r="BH69" s="30">
        <v>-1.072806810743151</v>
      </c>
      <c r="BI69" s="26" t="s">
        <v>329</v>
      </c>
      <c r="BJ69" s="30">
        <v>19</v>
      </c>
      <c r="BK69" s="29">
        <f>IF(BE69&gt;=BC69,1,0)</f>
        <v>1</v>
      </c>
      <c r="BL69" s="29">
        <f>BE69-BC69</f>
        <v>2</v>
      </c>
      <c r="BM69" s="29" t="str">
        <f>IF(BH69&gt;0,
    IF(OR(BC69&lt;=TRUNC(BJ69/2,0),BC69=0),
        IF(BG69=TRUNC(BJ69/2,0),
            "-1, Déficit y dejo la capacidad media",
            IF(AND(BG69&gt;TRUNC(BJ69/2,0), BG69&gt;BC69),
                "1, Déficit y eliminé déficit",
                IF(AND(BG69&lt;TRUNC(BJ69/2,0), BG69&lt;BC69),
                    "0, Déficit y no elimine déficit",
                    "-2, Déficit y resultado fue bueno")
            )
        ),
        IF(AND(BG69&gt;TRUNC(BJ69/2,0), BG69&gt;BC69),
            "1, no había déficit, pero resultado fue mejor",
            IF(AND(BG69&lt;TRUNC(BJ69/2,0),BG69&lt;BC69),
                "0, no había déficit y la dejo con déficit",
                IF(BG69=TRUNC(BJ69/2,0),
                    "-1, no había déficit y dejo la capacidad media",
                    "-2,no había déficit y resultado fue bueno")
            )
        )
    ),
    IF(BH69&lt;0,
        IF(BC69&gt;TRUNC(BJ69/2,0),
            IF(BG69=TRUNC(BJ69/2,0),
                "-1, Superávit y deje la capacidad media",
                IF(AND(BG69&gt;TRUNC(BJ69/2,0), BG69&gt;=BC69),
                    "0, Superávit y no eliminé superávit",
                    IF(AND(BG69&lt;TRUNC(BJ69/2,0),BG69&lt;BC69),
                        "1, Superávit y eliminé superávit",
                        "-2, Superávit y resultado fue bueno"
                    )
                )
            ),
            IF(AND(BC69&lt;=TRUNC(BJ69/2,0),BC69&gt;=0),
                IF(BG69=TRUNC(BJ69/2,0),
                    "-1, no había superávit y deje la capacidad media",
                    IF(AND(BG69&gt;TRUNC(BJ69/2,0), BG69&gt;=BC69),
                        "0, no había superávit, y la deje con superávit",
                        IF(AND(BG69&lt;TRUNC(BJ69/2,0),BG69&lt;BC69),
                            "1, no había superávit, pero el resultado fue mejor",
                            "-2, no había superávit y resultado fue bueno"
                        )
                    )
                )
            )
        )
    )
)</f>
        <v>0, Superávit y no eliminé superávit</v>
      </c>
      <c r="BO69" s="30" t="s">
        <v>221</v>
      </c>
      <c r="BP69" s="30">
        <v>16</v>
      </c>
      <c r="BQ69" s="31">
        <v>14.222222222222221</v>
      </c>
      <c r="BR69" s="29">
        <v>15</v>
      </c>
      <c r="BS69" s="29">
        <v>15</v>
      </c>
      <c r="BT69" s="30">
        <v>16</v>
      </c>
      <c r="BU69" s="30">
        <v>-1.072806810743151</v>
      </c>
      <c r="BV69" s="26" t="s">
        <v>329</v>
      </c>
      <c r="BW69" s="30">
        <v>19</v>
      </c>
      <c r="BX69" s="29">
        <f>IF(BR69&gt;=BP69,1,0)</f>
        <v>0</v>
      </c>
      <c r="BY69" s="29">
        <f>BR69-BP69</f>
        <v>-1</v>
      </c>
      <c r="BZ69" s="29" t="str">
        <f>IF(BU69&gt;0,
    IF(OR(BP69&lt;=TRUNC(BW69/2,0),BP69=0),
        IF(BT69=TRUNC(BW69/2,0),
            "-1, Déficit y dejo la capacidad media",
            IF(AND(BT69&gt;TRUNC(BW69/2,0), BT69&gt;BP69),
                "1, Déficit y eliminé déficit",
                IF(AND(BT69&lt;TRUNC(BW69/2,0), BT69&lt;BP69),
                    "0, Déficit y no elimine déficit",
                    "-2, Déficit y resultado fue bueno")
            )
        ),
        IF(AND(BT69&gt;TRUNC(BW69/2,0), BT69&gt;BP69),
            "1, no había déficit, pero resultado fue mejor",
            IF(AND(BT69&lt;TRUNC(BW69/2,0),BT69&lt;BP69),
                "0, no había déficit y la dejo con déficit",
                IF(BT69=TRUNC(BW69/2,0),
                    "-1, no había déficit y dejo la capacidad media",
                    "-2,no había déficit y resultado fue bueno")
            )
        )
    ),
    IF(BU69&lt;0,
        IF(BP69&gt;TRUNC(BW69/2,0),
            IF(BT69=TRUNC(BW69/2,0),
                "-1, Superávit y deje la capacidad media",
                IF(AND(BT69&gt;TRUNC(BW69/2,0), BT69&gt;=BP69),
                    "0, Superávit y no eliminé superávit",
                    IF(AND(BT69&lt;TRUNC(BW69/2,0),BT69&lt;BP69),
                        "1, Superávit y eliminé superávit",
                        "-2, Superávit y resultado fue bueno"
                    )
                )
            ),
            IF(AND(BP69&lt;=TRUNC(BW69/2,0),BP69&gt;=0),
                IF(BT69=TRUNC(BW69/2,0),
                    "-1, no había superávit y deje la capacidad media",
                    IF(AND(BT69&gt;TRUNC(BW69/2,0), BT69&gt;=BP69),
                        "0, no había superávit, y la deje con superávit",
                        IF(AND(BT69&lt;TRUNC(BW69/2,0),BT69&lt;BP69),
                            "1, no había superávit, pero el resultado fue mejor",
                            "-2, no había superávit y resultado fue bueno"
                        )
                    )
                )
            )
        )
    )
)</f>
        <v>0, Superávit y no eliminé superávit</v>
      </c>
      <c r="CB69" s="30" t="s">
        <v>221</v>
      </c>
      <c r="CC69" s="30">
        <v>9</v>
      </c>
      <c r="CD69" s="31">
        <v>12.555555555555555</v>
      </c>
      <c r="CE69" s="29">
        <v>11</v>
      </c>
      <c r="CF69" s="29">
        <v>13</v>
      </c>
      <c r="CG69" s="30">
        <v>16</v>
      </c>
      <c r="CH69" s="30">
        <v>-1.072806810743151</v>
      </c>
      <c r="CI69" s="26" t="s">
        <v>329</v>
      </c>
      <c r="CJ69" s="30">
        <v>19</v>
      </c>
      <c r="CK69" s="29">
        <f>IF(CE69&gt;=CC69,1,0)</f>
        <v>1</v>
      </c>
      <c r="CL69" s="29">
        <f>CE69-CC69</f>
        <v>2</v>
      </c>
      <c r="CM69" s="29" t="str">
        <f>IF(CH69&gt;0,
    IF(OR(CC69&lt;=TRUNC(CJ69/2,0),CC69=0),
        IF(CG69=TRUNC(CJ69/2,0),
            "-1, Déficit y dejo la capacidad media",
            IF(AND(CG69&gt;TRUNC(CJ69/2,0), CG69&gt;CC69),
                "1, Déficit y eliminé déficit",
                IF(AND(CG69&lt;TRUNC(CJ69/2,0), CG69&lt;CC69),
                    "0, Déficit y no elimine déficit",
                    "-2, Déficit y resultado fue bueno")
            )
        ),
        IF(AND(CG69&gt;TRUNC(CJ69/2,0), CG69&gt;CC69),
            "1, no había déficit, pero resultado fue mejor",
            IF(AND(CG69&lt;TRUNC(CJ69/2,0),CG69&lt;CC69),
                "0, no había déficit y la dejo con déficit",
                IF(CG69=TRUNC(CJ69/2,0),
                    "-1, no había déficit y dejo la capacidad media",
                    "-2,no había déficit y resultado fue bueno")
            )
        )
    ),
    IF(CH69&lt;0,
        IF(CC69&gt;TRUNC(CJ69/2,0),
            IF(CG69=TRUNC(CJ69/2,0),
                "-1, Superávit y deje la capacidad media",
                IF(AND(CG69&gt;TRUNC(CJ69/2,0), CG69&gt;=CC69),
                    "0, Superávit y no eliminé superávit",
                    IF(AND(CG69&lt;TRUNC(CJ69/2,0),CG69&lt;CC69),
                        "1, Superávit y eliminé superávit",
                        "-2, Superávit y resultado fue bueno"
                    )
                )
            ),
            IF(AND(CC69&lt;=TRUNC(CJ69/2,0),CC69&gt;=0),
                IF(CG69=TRUNC(CJ69/2,0),
                    "-1, no había superávit y deje la capacidad media",
                    IF(AND(CG69&gt;TRUNC(CJ69/2,0), CG69&gt;=CC69),
                        "0, no había superávit, y la deje con superávit",
                        IF(AND(CG69&lt;TRUNC(CJ69/2,0),CG69&lt;CC69),
                            "1, no había superávit, pero el resultado fue mejor",
                            "-2, no había superávit y resultado fue bueno"
                        )
                    )
                )
            )
        )
    )
)</f>
        <v>0, no había superávit, y la deje con superávit</v>
      </c>
      <c r="CO69" s="30" t="s">
        <v>221</v>
      </c>
      <c r="CP69" s="30">
        <v>10</v>
      </c>
      <c r="CQ69" s="31">
        <v>12.111111111111111</v>
      </c>
      <c r="CR69" s="29">
        <v>8</v>
      </c>
      <c r="CS69" s="29">
        <v>8</v>
      </c>
      <c r="CT69" s="30">
        <v>16</v>
      </c>
      <c r="CU69" s="30">
        <v>-1.072806810743151</v>
      </c>
      <c r="CV69" s="26" t="s">
        <v>329</v>
      </c>
      <c r="CW69" s="30">
        <v>19</v>
      </c>
      <c r="CX69" s="29">
        <f>IF(CR69&gt;=CP69,1,0)</f>
        <v>0</v>
      </c>
      <c r="CY69" s="29">
        <f>CR69-CP69</f>
        <v>-2</v>
      </c>
      <c r="CZ69" s="29" t="str">
        <f>IF(CU69&gt;0,
    IF(OR(CP69&lt;=TRUNC(CW69/2,0),CP69=0),
        IF(CT69=TRUNC(CW69/2,0),
            "-1, Déficit y dejo la capacidad media",
            IF(AND(CT69&gt;TRUNC(CW69/2,0), CT69&gt;CP69),
                "1, Déficit y eliminé déficit",
                IF(AND(CT69&lt;TRUNC(CW69/2,0), CT69&lt;CP69),
                    "0, Déficit y no elimine déficit",
                    "-2, Déficit y resultado fue bueno")
            )
        ),
        IF(AND(CT69&gt;TRUNC(CW69/2,0), CT69&gt;CP69),
            "1, no había déficit, pero resultado fue mejor",
            IF(AND(CT69&lt;TRUNC(CW69/2,0),CT69&lt;CP69),
                "0, no había déficit y la dejo con déficit",
                IF(CT69=TRUNC(CW69/2,0),
                    "-1, no había déficit y dejo la capacidad media",
                    "-2,no había déficit y resultado fue bueno")
            )
        )
    ),
    IF(CU69&lt;0,
        IF(CP69&gt;TRUNC(CW69/2,0),
            IF(CT69=TRUNC(CW69/2,0),
                "-1, Superávit y deje la capacidad media",
                IF(AND(CT69&gt;TRUNC(CW69/2,0), CT69&gt;=CP69),
                    "0, Superávit y no eliminé superávit",
                    IF(AND(CT69&lt;TRUNC(CW69/2,0),CT69&lt;CP69),
                        "1, Superávit y eliminé superávit",
                        "-2, Superávit y resultado fue bueno"
                    )
                )
            ),
            IF(AND(CP69&lt;=TRUNC(CW69/2,0),CP69&gt;=0),
                IF(CT69=TRUNC(CW69/2,0),
                    "-1, no había superávit y deje la capacidad media",
                    IF(AND(CT69&gt;TRUNC(CW69/2,0), CT69&gt;=CP69),
                        "0, no había superávit, y la deje con superávit",
                        IF(AND(CT69&lt;TRUNC(CW69/2,0),CT69&lt;CP69),
                            "1, no había superávit, pero el resultado fue mejor",
                            "-2, no había superávit y resultado fue bueno"
                        )
                    )
                )
            )
        )
    )
)</f>
        <v>0, Superávit y no eliminé superávit</v>
      </c>
    </row>
    <row r="70" spans="2:104" ht="14.25" customHeight="1" x14ac:dyDescent="0.3">
      <c r="B70" s="30" t="s">
        <v>224</v>
      </c>
      <c r="C70" s="29">
        <v>11</v>
      </c>
      <c r="D70" s="31">
        <v>12.111111111111111</v>
      </c>
      <c r="E70" s="29">
        <v>13</v>
      </c>
      <c r="F70" s="29">
        <v>13</v>
      </c>
      <c r="G70" s="29">
        <v>11</v>
      </c>
      <c r="H70" s="30">
        <v>-1.1339562965442611</v>
      </c>
      <c r="I70" s="26" t="s">
        <v>321</v>
      </c>
      <c r="J70" s="30">
        <v>15</v>
      </c>
      <c r="K70" s="29">
        <f>IF(E70&gt;=C70,1,0)</f>
        <v>1</v>
      </c>
      <c r="L70" s="29">
        <f>E70-C70</f>
        <v>2</v>
      </c>
      <c r="M70" s="29" t="str">
        <f>IF(H70&gt;0,
    IF(OR(C70&lt;=TRUNC(J70/2,0),C70=0),
        IF(G70=TRUNC(J70/2,0),
            "-1, Déficit y dejo la capacidad media",
            IF(AND(G70&gt;TRUNC(J70/2,0), G70&gt;C70),
                "1, Déficit y eliminé déficit",
                IF(AND(G70&lt;TRUNC(J70/2,0), G70&lt;C70),
                    "0, Déficit y no elimine déficit",
                    "-2, Déficit y resultado fue bueno")
            )
        ),
        IF(AND(G70&gt;TRUNC(J70/2,0), G70&gt;C70),
            "1, no había déficit, pero resultado fue mejor",
            IF(AND(G70&lt;TRUNC(J70/2,0),G70&lt;C70),
                "0, no había déficit y la dejo con déficit",
                IF(G70=TRUNC(J70/2,0),
                    "-1, no había déficit y dejo la capacidad media",
                    "-2,no había déficit y resultado fue bueno")
            )
        )
    ),
    IF(H70&lt;0,
        IF(C70&gt;TRUNC(J70/2,0),
            IF(G70=TRUNC(J70/2,0),
                "-1, Superávit y deje la capacidad media",
                IF(AND(G70&gt;TRUNC(J70/2,0), G70&gt;=C70),
                    "0, Superávit y no eliminé superávit",
                    IF(AND(G70&lt;TRUNC(J70/2,0),G70&lt;C70),
                        "1, Superávit y eliminé superávit",
                        "-2, Superávit y resultado fue bueno"
                    )
                )
            ),
            IF(AND(C70&lt;=TRUNC(J70/2,0),C70&gt;=0),
                IF(G70=TRUNC(J70/2,0),
                    "-1, no había superávit y deje la capacidad media",
                    IF(AND(G70&gt;TRUNC(J70/2,0), G70&gt;=C70),
                        "0, no había superávit, y la deje con superávit",
                        IF(AND(G70&lt;TRUNC(J70/2,0),G70&lt;C70),
                            "1, no había superávit, pero el resultado fue mejor",
                            "-2, no había superávit y resultado fue bueno"
                        )
                    )
                )
            )
        )
    )
)</f>
        <v>0, Superávit y no eliminé superávit</v>
      </c>
      <c r="O70" s="30" t="s">
        <v>224</v>
      </c>
      <c r="P70" s="30">
        <v>13</v>
      </c>
      <c r="Q70" s="31">
        <v>13</v>
      </c>
      <c r="R70" s="29">
        <v>14</v>
      </c>
      <c r="S70" s="29">
        <v>15</v>
      </c>
      <c r="T70" s="30">
        <v>13</v>
      </c>
      <c r="U70" s="30">
        <v>-1.1339562965442611</v>
      </c>
      <c r="V70" s="26" t="s">
        <v>321</v>
      </c>
      <c r="W70" s="30">
        <v>15</v>
      </c>
      <c r="X70" s="29">
        <f>IF(R70&gt;=P70,1,0)</f>
        <v>1</v>
      </c>
      <c r="Y70" s="29">
        <f>R70-P70</f>
        <v>1</v>
      </c>
      <c r="Z70" s="29" t="str">
        <f>IF(U70&gt;0,
    IF(OR(P70&lt;=TRUNC(W70/2,0),P70=0),
        IF(T70=TRUNC(W70/2,0),
            "-1, Déficit y dejo la capacidad media",
            IF(AND(T70&gt;TRUNC(W70/2,0), T70&gt;P70),
                "1, Déficit y eliminé déficit",
                IF(AND(T70&lt;TRUNC(W70/2,0), T70&lt;P70),
                    "0, Déficit y no elimine déficit",
                    "-2, Déficit y resultado fue bueno")
            )
        ),
        IF(AND(T70&gt;TRUNC(W70/2,0), T70&gt;P70),
            "1, no había déficit, pero resultado fue mejor",
            IF(AND(T70&lt;TRUNC(W70/2,0),T70&lt;P70),
                "0, no había déficit y la dejo con déficit",
                IF(T70=TRUNC(W70/2,0),
                    "-1, no había déficit y dejo la capacidad media",
                    "-2,no había déficit y resultado fue bueno")
            )
        )
    ),
    IF(U70&lt;0,
        IF(P70&gt;TRUNC(W70/2,0),
            IF(T70=TRUNC(W70/2,0),
                "-1, Superávit y deje la capacidad media",
                IF(AND(T70&gt;TRUNC(W70/2,0), T70&gt;=P70),
                    "0, Superávit y no eliminé superávit",
                    IF(AND(T70&lt;TRUNC(W70/2,0),T70&lt;P70),
                        "1, Superávit y eliminé superávit",
                        "-2, Superávit y resultado fue bueno"
                    )
                )
            ),
            IF(AND(P70&lt;=TRUNC(W70/2,0),P70&gt;=0),
                IF(T70=TRUNC(W70/2,0),
                    "-1, no había superávit y deje la capacidad media",
                    IF(AND(T70&gt;TRUNC(W70/2,0), T70&gt;=P70),
                        "0, no había superávit, y la deje con superávit",
                        IF(AND(T70&lt;TRUNC(W70/2,0),T70&lt;P70),
                            "1, no había superávit, pero el resultado fue mejor",
                            "-2, no había superávit y resultado fue bueno"
                        )
                    )
                )
            )
        )
    )
)</f>
        <v>0, Superávit y no eliminé superávit</v>
      </c>
      <c r="AB70" s="2" t="s">
        <v>224</v>
      </c>
      <c r="AC70" s="2">
        <v>15</v>
      </c>
      <c r="AD70" s="7">
        <v>11.777777777777779</v>
      </c>
      <c r="AE70" s="3">
        <v>9</v>
      </c>
      <c r="AF70" s="3">
        <v>12</v>
      </c>
      <c r="AG70" s="2">
        <v>13</v>
      </c>
      <c r="AH70" s="11">
        <v>-1.1339562965442611</v>
      </c>
      <c r="AI70" s="26" t="s">
        <v>321</v>
      </c>
      <c r="AJ70" s="22">
        <v>15</v>
      </c>
      <c r="AK70" s="29">
        <f>IF(AE70&gt;=AC70,1,0)</f>
        <v>0</v>
      </c>
      <c r="AL70" s="29">
        <f>AE70-AC70</f>
        <v>-6</v>
      </c>
      <c r="AM70" s="29" t="str">
        <f>IF(AH70&gt;0,
    IF(OR(AC70&lt;=TRUNC(AJ70/2,0),AC70=0),
        IF(AG70=TRUNC(AJ70/2,0),
            "-1, Déficit y dejo la capacidad media",
            IF(AND(AG70&gt;TRUNC(AJ70/2,0), AG70&gt;AC70),
                "1, Déficit y eliminé déficit",
                IF(AND(AG70&lt;TRUNC(AJ70/2,0), AG70&lt;AC70),
                    "0, Déficit y no elimine déficit",
                    "-2, Déficit y resultado fue bueno")
            )
        ),
        IF(AND(AG70&gt;TRUNC(AJ70/2,0), AG70&gt;AC70),
            "1, no había déficit, pero resultado fue mejor",
            IF(AND(AG70&lt;TRUNC(AJ70/2,0),AG70&lt;AC70),
                "0, no había déficit y la dejo con déficit",
                IF(AG70=TRUNC(AJ70/2,0),
                    "-1, no había déficit y dejo la capacidad media",
                    "-2,no había déficit y resultado fue bueno")
            )
        )
    ),
    IF(AH70&lt;0,
        IF(AC70&gt;TRUNC(AJ70/2,0),
            IF(AG70=TRUNC(AJ70/2,0),
                "-1, Superávit y deje la capacidad media",
                IF(AND(AG70&gt;TRUNC(AJ70/2,0), AG70&gt;=AC70),
                    "0, Superávit y no eliminé superávit",
                    IF(AND(AG70&lt;TRUNC(AJ70/2,0),AG70&lt;AC70),
                        "1, Superávit y eliminé superávit",
                        "-2, Superávit y resultado fue bueno"
                    )
                )
            ),
            IF(AND(AC70&lt;=TRUNC(AJ70/2,0),AC70&gt;=0),
                IF(AG70=TRUNC(AJ70/2,0),
                    "-1, no había superávit y deje la capacidad media",
                    IF(AND(AG70&gt;TRUNC(AJ70/2,0), AG70&gt;=AC70),
                        "0, no había superávit, y la deje con superávit",
                        IF(AND(AG70&lt;TRUNC(AJ70/2,0),AG70&lt;AC70),
                            "1, no había superávit, pero el resultado fue mejor",
                            "-2, no había superávit y resultado fue bueno"
                        )
                    )
                )
            )
        )
    )
)</f>
        <v>-2, Superávit y resultado fue bueno</v>
      </c>
      <c r="AO70" s="30" t="s">
        <v>224</v>
      </c>
      <c r="AP70" s="30">
        <v>3</v>
      </c>
      <c r="AQ70" s="31">
        <v>9.3333333333333339</v>
      </c>
      <c r="AR70" s="29">
        <v>5</v>
      </c>
      <c r="AS70" s="29">
        <v>6</v>
      </c>
      <c r="AT70" s="30">
        <v>13</v>
      </c>
      <c r="AU70" s="30">
        <v>-1.1339562965442611</v>
      </c>
      <c r="AV70" s="26" t="s">
        <v>321</v>
      </c>
      <c r="AW70" s="30">
        <v>15</v>
      </c>
      <c r="AX70" s="29">
        <f>IF(AR70&gt;=AP70,1,0)</f>
        <v>1</v>
      </c>
      <c r="AY70" s="29">
        <f>AR70-AP70</f>
        <v>2</v>
      </c>
      <c r="AZ70" s="29" t="str">
        <f>IF(AU70&gt;0,
    IF(OR(AP70&lt;=TRUNC(AW70/2,0),AP70=0),
        IF(AT70=TRUNC(AW70/2,0),
            "-1, Déficit y dejo la capacidad media",
            IF(AND(AT70&gt;TRUNC(AW70/2,0), AT70&gt;AP70),
                "1, Déficit y eliminé déficit",
                IF(AND(AT70&lt;TRUNC(AW70/2,0), AT70&lt;AP70),
                    "0, Déficit y no elimine déficit",
                    "-2, Déficit y resultado fue bueno")
            )
        ),
        IF(AND(AT70&gt;TRUNC(AW70/2,0), AT70&gt;AP70),
            "1, no había déficit, pero resultado fue mejor",
            IF(AND(AT70&lt;TRUNC(AW70/2,0),AT70&lt;AP70),
                "0, no había déficit y la dejo con déficit",
                IF(AT70=TRUNC(AW70/2,0),
                    "-1, no había déficit y dejo la capacidad media",
                    "-2,no había déficit y resultado fue bueno")
            )
        )
    ),
    IF(AU70&lt;0,
        IF(AP70&gt;TRUNC(AW70/2,0),
            IF(AT70=TRUNC(AW70/2,0),
                "-1, Superávit y deje la capacidad media",
                IF(AND(AT70&gt;TRUNC(AW70/2,0), AT70&gt;=AP70),
                    "0, Superávit y no eliminé superávit",
                    IF(AND(AT70&lt;TRUNC(AW70/2,0),AT70&lt;AP70),
                        "1, Superávit y eliminé superávit",
                        "-2, Superávit y resultado fue bueno"
                    )
                )
            ),
            IF(AND(AP70&lt;=TRUNC(AW70/2,0),AP70&gt;=0),
                IF(AT70=TRUNC(AW70/2,0),
                    "-1, no había superávit y deje la capacidad media",
                    IF(AND(AT70&gt;TRUNC(AW70/2,0), AT70&gt;=AP70),
                        "0, no había superávit, y la deje con superávit",
                        IF(AND(AT70&lt;TRUNC(AW70/2,0),AT70&lt;AP70),
                            "1, no había superávit, pero el resultado fue mejor",
                            "-2, no había superávit y resultado fue bueno"
                        )
                    )
                )
            )
        )
    )
)</f>
        <v>0, no había superávit, y la deje con superávit</v>
      </c>
      <c r="BB70" s="30" t="s">
        <v>224</v>
      </c>
      <c r="BC70" s="30">
        <v>4</v>
      </c>
      <c r="BD70" s="31">
        <v>9</v>
      </c>
      <c r="BE70" s="29">
        <v>7</v>
      </c>
      <c r="BF70" s="29">
        <v>7</v>
      </c>
      <c r="BG70" s="30">
        <v>8</v>
      </c>
      <c r="BH70" s="30">
        <v>-1.1339562965442611</v>
      </c>
      <c r="BI70" s="26" t="s">
        <v>321</v>
      </c>
      <c r="BJ70" s="30">
        <v>15</v>
      </c>
      <c r="BK70" s="29">
        <f>IF(BE70&gt;=BC70,1,0)</f>
        <v>1</v>
      </c>
      <c r="BL70" s="29">
        <f>BE70-BC70</f>
        <v>3</v>
      </c>
      <c r="BM70" s="29" t="str">
        <f>IF(BH70&gt;0,
    IF(OR(BC70&lt;=TRUNC(BJ70/2,0),BC70=0),
        IF(BG70=TRUNC(BJ70/2,0),
            "-1, Déficit y dejo la capacidad media",
            IF(AND(BG70&gt;TRUNC(BJ70/2,0), BG70&gt;BC70),
                "1, Déficit y eliminé déficit",
                IF(AND(BG70&lt;TRUNC(BJ70/2,0), BG70&lt;BC70),
                    "0, Déficit y no elimine déficit",
                    "-2, Déficit y resultado fue bueno")
            )
        ),
        IF(AND(BG70&gt;TRUNC(BJ70/2,0), BG70&gt;BC70),
            "1, no había déficit, pero resultado fue mejor",
            IF(AND(BG70&lt;TRUNC(BJ70/2,0),BG70&lt;BC70),
                "0, no había déficit y la dejo con déficit",
                IF(BG70=TRUNC(BJ70/2,0),
                    "-1, no había déficit y dejo la capacidad media",
                    "-2,no había déficit y resultado fue bueno")
            )
        )
    ),
    IF(BH70&lt;0,
        IF(BC70&gt;TRUNC(BJ70/2,0),
            IF(BG70=TRUNC(BJ70/2,0),
                "-1, Superávit y deje la capacidad media",
                IF(AND(BG70&gt;TRUNC(BJ70/2,0), BG70&gt;=BC70),
                    "0, Superávit y no eliminé superávit",
                    IF(AND(BG70&lt;TRUNC(BJ70/2,0),BG70&lt;BC70),
                        "1, Superávit y eliminé superávit",
                        "-2, Superávit y resultado fue bueno"
                    )
                )
            ),
            IF(AND(BC70&lt;=TRUNC(BJ70/2,0),BC70&gt;=0),
                IF(BG70=TRUNC(BJ70/2,0),
                    "-1, no había superávit y deje la capacidad media",
                    IF(AND(BG70&gt;TRUNC(BJ70/2,0), BG70&gt;=BC70),
                        "0, no había superávit, y la deje con superávit",
                        IF(AND(BG70&lt;TRUNC(BJ70/2,0),BG70&lt;BC70),
                            "1, no había superávit, pero el resultado fue mejor",
                            "-2, no había superávit y resultado fue bueno"
                        )
                    )
                )
            )
        )
    )
)</f>
        <v>0, no había superávit, y la deje con superávit</v>
      </c>
      <c r="BO70" s="30" t="s">
        <v>224</v>
      </c>
      <c r="BP70" s="30">
        <v>3</v>
      </c>
      <c r="BQ70" s="31">
        <v>10.555555555555555</v>
      </c>
      <c r="BR70" s="29">
        <v>4</v>
      </c>
      <c r="BS70" s="29">
        <v>5</v>
      </c>
      <c r="BT70" s="30">
        <v>3</v>
      </c>
      <c r="BU70" s="30">
        <v>-1.1339562965442611</v>
      </c>
      <c r="BV70" s="26" t="s">
        <v>321</v>
      </c>
      <c r="BW70" s="30">
        <v>15</v>
      </c>
      <c r="BX70" s="29">
        <f>IF(BR70&gt;=BP70,1,0)</f>
        <v>1</v>
      </c>
      <c r="BY70" s="29">
        <f>BR70-BP70</f>
        <v>1</v>
      </c>
      <c r="BZ70" s="29" t="str">
        <f>IF(BU70&gt;0,
    IF(OR(BP70&lt;=TRUNC(BW70/2,0),BP70=0),
        IF(BT70=TRUNC(BW70/2,0),
            "-1, Déficit y dejo la capacidad media",
            IF(AND(BT70&gt;TRUNC(BW70/2,0), BT70&gt;BP70),
                "1, Déficit y eliminé déficit",
                IF(AND(BT70&lt;TRUNC(BW70/2,0), BT70&lt;BP70),
                    "0, Déficit y no elimine déficit",
                    "-2, Déficit y resultado fue bueno")
            )
        ),
        IF(AND(BT70&gt;TRUNC(BW70/2,0), BT70&gt;BP70),
            "1, no había déficit, pero resultado fue mejor",
            IF(AND(BT70&lt;TRUNC(BW70/2,0),BT70&lt;BP70),
                "0, no había déficit y la dejo con déficit",
                IF(BT70=TRUNC(BW70/2,0),
                    "-1, no había déficit y dejo la capacidad media",
                    "-2,no había déficit y resultado fue bueno")
            )
        )
    ),
    IF(BU70&lt;0,
        IF(BP70&gt;TRUNC(BW70/2,0),
            IF(BT70=TRUNC(BW70/2,0),
                "-1, Superávit y deje la capacidad media",
                IF(AND(BT70&gt;TRUNC(BW70/2,0), BT70&gt;=BP70),
                    "0, Superávit y no eliminé superávit",
                    IF(AND(BT70&lt;TRUNC(BW70/2,0),BT70&lt;BP70),
                        "1, Superávit y eliminé superávit",
                        "-2, Superávit y resultado fue bueno"
                    )
                )
            ),
            IF(AND(BP70&lt;=TRUNC(BW70/2,0),BP70&gt;=0),
                IF(BT70=TRUNC(BW70/2,0),
                    "-1, no había superávit y deje la capacidad media",
                    IF(AND(BT70&gt;TRUNC(BW70/2,0), BT70&gt;=BP70),
                        "0, no había superávit, y la deje con superávit",
                        IF(AND(BT70&lt;TRUNC(BW70/2,0),BT70&lt;BP70),
                            "1, no había superávit, pero el resultado fue mejor",
                            "-2, no había superávit y resultado fue bueno"
                        )
                    )
                )
            )
        )
    )
)</f>
        <v>-2, no había superávit y resultado fue bueno</v>
      </c>
      <c r="CB70" s="30" t="s">
        <v>224</v>
      </c>
      <c r="CC70" s="30">
        <v>12</v>
      </c>
      <c r="CD70" s="31">
        <v>8.2222222222222214</v>
      </c>
      <c r="CE70" s="29">
        <v>12</v>
      </c>
      <c r="CF70" s="29">
        <v>14</v>
      </c>
      <c r="CG70" s="30">
        <v>12</v>
      </c>
      <c r="CH70" s="30">
        <v>-1.1339562965442611</v>
      </c>
      <c r="CI70" s="26" t="s">
        <v>321</v>
      </c>
      <c r="CJ70" s="30">
        <v>15</v>
      </c>
      <c r="CK70" s="29">
        <f>IF(CE70&gt;=CC70,1,0)</f>
        <v>1</v>
      </c>
      <c r="CL70" s="29">
        <f>CE70-CC70</f>
        <v>0</v>
      </c>
      <c r="CM70" s="29" t="str">
        <f>IF(CH70&gt;0,
    IF(OR(CC70&lt;=TRUNC(CJ70/2,0),CC70=0),
        IF(CG70=TRUNC(CJ70/2,0),
            "-1, Déficit y dejo la capacidad media",
            IF(AND(CG70&gt;TRUNC(CJ70/2,0), CG70&gt;CC70),
                "1, Déficit y eliminé déficit",
                IF(AND(CG70&lt;TRUNC(CJ70/2,0), CG70&lt;CC70),
                    "0, Déficit y no elimine déficit",
                    "-2, Déficit y resultado fue bueno")
            )
        ),
        IF(AND(CG70&gt;TRUNC(CJ70/2,0), CG70&gt;CC70),
            "1, no había déficit, pero resultado fue mejor",
            IF(AND(CG70&lt;TRUNC(CJ70/2,0),CG70&lt;CC70),
                "0, no había déficit y la dejo con déficit",
                IF(CG70=TRUNC(CJ70/2,0),
                    "-1, no había déficit y dejo la capacidad media",
                    "-2,no había déficit y resultado fue bueno")
            )
        )
    ),
    IF(CH70&lt;0,
        IF(CC70&gt;TRUNC(CJ70/2,0),
            IF(CG70=TRUNC(CJ70/2,0),
                "-1, Superávit y deje la capacidad media",
                IF(AND(CG70&gt;TRUNC(CJ70/2,0), CG70&gt;=CC70),
                    "0, Superávit y no eliminé superávit",
                    IF(AND(CG70&lt;TRUNC(CJ70/2,0),CG70&lt;CC70),
                        "1, Superávit y eliminé superávit",
                        "-2, Superávit y resultado fue bueno"
                    )
                )
            ),
            IF(AND(CC70&lt;=TRUNC(CJ70/2,0),CC70&gt;=0),
                IF(CG70=TRUNC(CJ70/2,0),
                    "-1, no había superávit y deje la capacidad media",
                    IF(AND(CG70&gt;TRUNC(CJ70/2,0), CG70&gt;=CC70),
                        "0, no había superávit, y la deje con superávit",
                        IF(AND(CG70&lt;TRUNC(CJ70/2,0),CG70&lt;CC70),
                            "1, no había superávit, pero el resultado fue mejor",
                            "-2, no había superávit y resultado fue bueno"
                        )
                    )
                )
            )
        )
    )
)</f>
        <v>0, Superávit y no eliminé superávit</v>
      </c>
      <c r="CO70" s="30" t="s">
        <v>224</v>
      </c>
      <c r="CP70" s="30">
        <v>8</v>
      </c>
      <c r="CQ70" s="31">
        <v>12.111111111111111</v>
      </c>
      <c r="CR70" s="29">
        <v>9</v>
      </c>
      <c r="CS70" s="29">
        <v>9</v>
      </c>
      <c r="CT70" s="30">
        <v>10</v>
      </c>
      <c r="CU70" s="30">
        <v>-1.1339562965442611</v>
      </c>
      <c r="CV70" s="26" t="s">
        <v>321</v>
      </c>
      <c r="CW70" s="30">
        <v>15</v>
      </c>
      <c r="CX70" s="29">
        <f>IF(CR70&gt;=CP70,1,0)</f>
        <v>1</v>
      </c>
      <c r="CY70" s="29">
        <f>CR70-CP70</f>
        <v>1</v>
      </c>
      <c r="CZ70" s="29" t="str">
        <f>IF(CU70&gt;0,
    IF(OR(CP70&lt;=TRUNC(CW70/2,0),CP70=0),
        IF(CT70=TRUNC(CW70/2,0),
            "-1, Déficit y dejo la capacidad media",
            IF(AND(CT70&gt;TRUNC(CW70/2,0), CT70&gt;CP70),
                "1, Déficit y eliminé déficit",
                IF(AND(CT70&lt;TRUNC(CW70/2,0), CT70&lt;CP70),
                    "0, Déficit y no elimine déficit",
                    "-2, Déficit y resultado fue bueno")
            )
        ),
        IF(AND(CT70&gt;TRUNC(CW70/2,0), CT70&gt;CP70),
            "1, no había déficit, pero resultado fue mejor",
            IF(AND(CT70&lt;TRUNC(CW70/2,0),CT70&lt;CP70),
                "0, no había déficit y la dejo con déficit",
                IF(CT70=TRUNC(CW70/2,0),
                    "-1, no había déficit y dejo la capacidad media",
                    "-2,no había déficit y resultado fue bueno")
            )
        )
    ),
    IF(CU70&lt;0,
        IF(CP70&gt;TRUNC(CW70/2,0),
            IF(CT70=TRUNC(CW70/2,0),
                "-1, Superávit y deje la capacidad media",
                IF(AND(CT70&gt;TRUNC(CW70/2,0), CT70&gt;=CP70),
                    "0, Superávit y no eliminé superávit",
                    IF(AND(CT70&lt;TRUNC(CW70/2,0),CT70&lt;CP70),
                        "1, Superávit y eliminé superávit",
                        "-2, Superávit y resultado fue bueno"
                    )
                )
            ),
            IF(AND(CP70&lt;=TRUNC(CW70/2,0),CP70&gt;=0),
                IF(CT70=TRUNC(CW70/2,0),
                    "-1, no había superávit y deje la capacidad media",
                    IF(AND(CT70&gt;TRUNC(CW70/2,0), CT70&gt;=CP70),
                        "0, no había superávit, y la deje con superávit",
                        IF(AND(CT70&lt;TRUNC(CW70/2,0),CT70&lt;CP70),
                            "1, no había superávit, pero el resultado fue mejor",
                            "-2, no había superávit y resultado fue bueno"
                        )
                    )
                )
            )
        )
    )
)</f>
        <v>0, Superávit y no eliminé superávit</v>
      </c>
    </row>
    <row r="71" spans="2:104" ht="14.25" customHeight="1" x14ac:dyDescent="0.3">
      <c r="B71" s="30" t="s">
        <v>207</v>
      </c>
      <c r="C71" s="29">
        <v>6</v>
      </c>
      <c r="D71" s="31">
        <v>15.666666666666666</v>
      </c>
      <c r="E71" s="29">
        <v>6</v>
      </c>
      <c r="F71" s="29">
        <v>7</v>
      </c>
      <c r="G71" s="29">
        <v>6</v>
      </c>
      <c r="H71" s="30">
        <v>-1.196962071035268</v>
      </c>
      <c r="I71" s="26" t="s">
        <v>329</v>
      </c>
      <c r="J71" s="30">
        <v>19</v>
      </c>
      <c r="K71" s="29">
        <f>IF(E71&gt;=C71,1,0)</f>
        <v>1</v>
      </c>
      <c r="L71" s="29">
        <f>E71-C71</f>
        <v>0</v>
      </c>
      <c r="M71" s="29" t="str">
        <f>IF(H71&gt;0,
    IF(OR(C71&lt;=TRUNC(J71/2,0),C71=0),
        IF(G71=TRUNC(J71/2,0),
            "-1, Déficit y dejo la capacidad media",
            IF(AND(G71&gt;TRUNC(J71/2,0), G71&gt;C71),
                "1, Déficit y eliminé déficit",
                IF(AND(G71&lt;TRUNC(J71/2,0), G71&lt;C71),
                    "0, Déficit y no elimine déficit",
                    "-2, Déficit y resultado fue bueno")
            )
        ),
        IF(AND(G71&gt;TRUNC(J71/2,0), G71&gt;C71),
            "1, no había déficit, pero resultado fue mejor",
            IF(AND(G71&lt;TRUNC(J71/2,0),G71&lt;C71),
                "0, no había déficit y la dejo con déficit",
                IF(G71=TRUNC(J71/2,0),
                    "-1, no había déficit y dejo la capacidad media",
                    "-2,no había déficit y resultado fue bueno")
            )
        )
    ),
    IF(H71&lt;0,
        IF(C71&gt;TRUNC(J71/2,0),
            IF(G71=TRUNC(J71/2,0),
                "-1, Superávit y deje la capacidad media",
                IF(AND(G71&gt;TRUNC(J71/2,0), G71&gt;=C71),
                    "0, Superávit y no eliminé superávit",
                    IF(AND(G71&lt;TRUNC(J71/2,0),G71&lt;C71),
                        "1, Superávit y eliminé superávit",
                        "-2, Superávit y resultado fue bueno"
                    )
                )
            ),
            IF(AND(C71&lt;=TRUNC(J71/2,0),C71&gt;=0),
                IF(G71=TRUNC(J71/2,0),
                    "-1, no había superávit y deje la capacidad media",
                    IF(AND(G71&gt;TRUNC(J71/2,0), G71&gt;=C71),
                        "0, no había superávit, y la deje con superávit",
                        IF(AND(G71&lt;TRUNC(J71/2,0),G71&lt;C71),
                            "1, no había superávit, pero el resultado fue mejor",
                            "-2, no había superávit y resultado fue bueno"
                        )
                    )
                )
            )
        )
    )
)</f>
        <v>-2, no había superávit y resultado fue bueno</v>
      </c>
      <c r="O71" s="30" t="s">
        <v>207</v>
      </c>
      <c r="P71" s="30">
        <v>10</v>
      </c>
      <c r="Q71" s="31">
        <v>14.777777777777779</v>
      </c>
      <c r="R71" s="29">
        <v>10</v>
      </c>
      <c r="S71" s="29">
        <v>10</v>
      </c>
      <c r="T71" s="30">
        <v>10</v>
      </c>
      <c r="U71" s="30">
        <v>-1.196962071035268</v>
      </c>
      <c r="V71" s="26" t="s">
        <v>329</v>
      </c>
      <c r="W71" s="30">
        <v>19</v>
      </c>
      <c r="X71" s="29">
        <f>IF(R71&gt;=P71,1,0)</f>
        <v>1</v>
      </c>
      <c r="Y71" s="29">
        <f>R71-P71</f>
        <v>0</v>
      </c>
      <c r="Z71" s="29" t="str">
        <f>IF(U71&gt;0,
    IF(OR(P71&lt;=TRUNC(W71/2,0),P71=0),
        IF(T71=TRUNC(W71/2,0),
            "-1, Déficit y dejo la capacidad media",
            IF(AND(T71&gt;TRUNC(W71/2,0), T71&gt;P71),
                "1, Déficit y eliminé déficit",
                IF(AND(T71&lt;TRUNC(W71/2,0), T71&lt;P71),
                    "0, Déficit y no elimine déficit",
                    "-2, Déficit y resultado fue bueno")
            )
        ),
        IF(AND(T71&gt;TRUNC(W71/2,0), T71&gt;P71),
            "1, no había déficit, pero resultado fue mejor",
            IF(AND(T71&lt;TRUNC(W71/2,0),T71&lt;P71),
                "0, no había déficit y la dejo con déficit",
                IF(T71=TRUNC(W71/2,0),
                    "-1, no había déficit y dejo la capacidad media",
                    "-2,no había déficit y resultado fue bueno")
            )
        )
    ),
    IF(U71&lt;0,
        IF(P71&gt;TRUNC(W71/2,0),
            IF(T71=TRUNC(W71/2,0),
                "-1, Superávit y deje la capacidad media",
                IF(AND(T71&gt;TRUNC(W71/2,0), T71&gt;=P71),
                    "0, Superávit y no eliminé superávit",
                    IF(AND(T71&lt;TRUNC(W71/2,0),T71&lt;P71),
                        "1, Superávit y eliminé superávit",
                        "-2, Superávit y resultado fue bueno"
                    )
                )
            ),
            IF(AND(P71&lt;=TRUNC(W71/2,0),P71&gt;=0),
                IF(T71=TRUNC(W71/2,0),
                    "-1, no había superávit y deje la capacidad media",
                    IF(AND(T71&gt;TRUNC(W71/2,0), T71&gt;=P71),
                        "0, no había superávit, y la deje con superávit",
                        IF(AND(T71&lt;TRUNC(W71/2,0),T71&lt;P71),
                            "1, no había superávit, pero el resultado fue mejor",
                            "-2, no había superávit y resultado fue bueno"
                        )
                    )
                )
            )
        )
    )
)</f>
        <v>0, Superávit y no eliminé superávit</v>
      </c>
      <c r="AB71" s="2" t="s">
        <v>207</v>
      </c>
      <c r="AC71" s="2">
        <v>12</v>
      </c>
      <c r="AD71" s="7">
        <v>13.111111111111111</v>
      </c>
      <c r="AE71" s="3">
        <v>14</v>
      </c>
      <c r="AF71" s="3">
        <v>15</v>
      </c>
      <c r="AG71" s="2">
        <v>12</v>
      </c>
      <c r="AH71" s="11">
        <v>-1.196962071035268</v>
      </c>
      <c r="AI71" s="26" t="s">
        <v>329</v>
      </c>
      <c r="AJ71" s="22">
        <v>19</v>
      </c>
      <c r="AK71" s="29">
        <f>IF(AE71&gt;=AC71,1,0)</f>
        <v>1</v>
      </c>
      <c r="AL71" s="29">
        <f>AE71-AC71</f>
        <v>2</v>
      </c>
      <c r="AM71" s="29" t="str">
        <f>IF(AH71&gt;0,
    IF(OR(AC71&lt;=TRUNC(AJ71/2,0),AC71=0),
        IF(AG71=TRUNC(AJ71/2,0),
            "-1, Déficit y dejo la capacidad media",
            IF(AND(AG71&gt;TRUNC(AJ71/2,0), AG71&gt;AC71),
                "1, Déficit y eliminé déficit",
                IF(AND(AG71&lt;TRUNC(AJ71/2,0), AG71&lt;AC71),
                    "0, Déficit y no elimine déficit",
                    "-2, Déficit y resultado fue bueno")
            )
        ),
        IF(AND(AG71&gt;TRUNC(AJ71/2,0), AG71&gt;AC71),
            "1, no había déficit, pero resultado fue mejor",
            IF(AND(AG71&lt;TRUNC(AJ71/2,0),AG71&lt;AC71),
                "0, no había déficit y la dejo con déficit",
                IF(AG71=TRUNC(AJ71/2,0),
                    "-1, no había déficit y dejo la capacidad media",
                    "-2,no había déficit y resultado fue bueno")
            )
        )
    ),
    IF(AH71&lt;0,
        IF(AC71&gt;TRUNC(AJ71/2,0),
            IF(AG71=TRUNC(AJ71/2,0),
                "-1, Superávit y deje la capacidad media",
                IF(AND(AG71&gt;TRUNC(AJ71/2,0), AG71&gt;=AC71),
                    "0, Superávit y no eliminé superávit",
                    IF(AND(AG71&lt;TRUNC(AJ71/2,0),AG71&lt;AC71),
                        "1, Superávit y eliminé superávit",
                        "-2, Superávit y resultado fue bueno"
                    )
                )
            ),
            IF(AND(AC71&lt;=TRUNC(AJ71/2,0),AC71&gt;=0),
                IF(AG71=TRUNC(AJ71/2,0),
                    "-1, no había superávit y deje la capacidad media",
                    IF(AND(AG71&gt;TRUNC(AJ71/2,0), AG71&gt;=AC71),
                        "0, no había superávit, y la deje con superávit",
                        IF(AND(AG71&lt;TRUNC(AJ71/2,0),AG71&lt;AC71),
                            "1, no había superávit, pero el resultado fue mejor",
                            "-2, no había superávit y resultado fue bueno"
                        )
                    )
                )
            )
        )
    )
)</f>
        <v>0, Superávit y no eliminé superávit</v>
      </c>
      <c r="AO71" s="30" t="s">
        <v>207</v>
      </c>
      <c r="AP71" s="30">
        <v>18</v>
      </c>
      <c r="AQ71" s="31">
        <v>9.2222222222222214</v>
      </c>
      <c r="AR71" s="29">
        <v>19</v>
      </c>
      <c r="AS71" s="29">
        <v>19</v>
      </c>
      <c r="AT71" s="30">
        <v>16</v>
      </c>
      <c r="AU71" s="30">
        <v>-1.196962071035268</v>
      </c>
      <c r="AV71" s="26" t="s">
        <v>329</v>
      </c>
      <c r="AW71" s="30">
        <v>19</v>
      </c>
      <c r="AX71" s="29">
        <f>IF(AR71&gt;=AP71,1,0)</f>
        <v>1</v>
      </c>
      <c r="AY71" s="29">
        <f>AR71-AP71</f>
        <v>1</v>
      </c>
      <c r="AZ71" s="29" t="str">
        <f>IF(AU71&gt;0,
    IF(OR(AP71&lt;=TRUNC(AW71/2,0),AP71=0),
        IF(AT71=TRUNC(AW71/2,0),
            "-1, Déficit y dejo la capacidad media",
            IF(AND(AT71&gt;TRUNC(AW71/2,0), AT71&gt;AP71),
                "1, Déficit y eliminé déficit",
                IF(AND(AT71&lt;TRUNC(AW71/2,0), AT71&lt;AP71),
                    "0, Déficit y no elimine déficit",
                    "-2, Déficit y resultado fue bueno")
            )
        ),
        IF(AND(AT71&gt;TRUNC(AW71/2,0), AT71&gt;AP71),
            "1, no había déficit, pero resultado fue mejor",
            IF(AND(AT71&lt;TRUNC(AW71/2,0),AT71&lt;AP71),
                "0, no había déficit y la dejo con déficit",
                IF(AT71=TRUNC(AW71/2,0),
                    "-1, no había déficit y dejo la capacidad media",
                    "-2,no había déficit y resultado fue bueno")
            )
        )
    ),
    IF(AU71&lt;0,
        IF(AP71&gt;TRUNC(AW71/2,0),
            IF(AT71=TRUNC(AW71/2,0),
                "-1, Superávit y deje la capacidad media",
                IF(AND(AT71&gt;TRUNC(AW71/2,0), AT71&gt;=AP71),
                    "0, Superávit y no eliminé superávit",
                    IF(AND(AT71&lt;TRUNC(AW71/2,0),AT71&lt;AP71),
                        "1, Superávit y eliminé superávit",
                        "-2, Superávit y resultado fue bueno"
                    )
                )
            ),
            IF(AND(AP71&lt;=TRUNC(AW71/2,0),AP71&gt;=0),
                IF(AT71=TRUNC(AW71/2,0),
                    "-1, no había superávit y deje la capacidad media",
                    IF(AND(AT71&gt;TRUNC(AW71/2,0), AT71&gt;=AP71),
                        "0, no había superávit, y la deje con superávit",
                        IF(AND(AT71&lt;TRUNC(AW71/2,0),AT71&lt;AP71),
                            "1, no había superávit, pero el resultado fue mejor",
                            "-2, no había superávit y resultado fue bueno"
                        )
                    )
                )
            )
        )
    )
)</f>
        <v>-2, Superávit y resultado fue bueno</v>
      </c>
      <c r="BB71" s="30" t="s">
        <v>207</v>
      </c>
      <c r="BC71" s="30">
        <v>17</v>
      </c>
      <c r="BD71" s="31">
        <v>12.555555555555555</v>
      </c>
      <c r="BE71" s="29">
        <v>19</v>
      </c>
      <c r="BF71" s="29">
        <v>19</v>
      </c>
      <c r="BG71" s="30">
        <v>16</v>
      </c>
      <c r="BH71" s="30">
        <v>-1.196962071035268</v>
      </c>
      <c r="BI71" s="26" t="s">
        <v>329</v>
      </c>
      <c r="BJ71" s="30">
        <v>19</v>
      </c>
      <c r="BK71" s="29">
        <f>IF(BE71&gt;=BC71,1,0)</f>
        <v>1</v>
      </c>
      <c r="BL71" s="29">
        <f>BE71-BC71</f>
        <v>2</v>
      </c>
      <c r="BM71" s="29" t="str">
        <f>IF(BH71&gt;0,
    IF(OR(BC71&lt;=TRUNC(BJ71/2,0),BC71=0),
        IF(BG71=TRUNC(BJ71/2,0),
            "-1, Déficit y dejo la capacidad media",
            IF(AND(BG71&gt;TRUNC(BJ71/2,0), BG71&gt;BC71),
                "1, Déficit y eliminé déficit",
                IF(AND(BG71&lt;TRUNC(BJ71/2,0), BG71&lt;BC71),
                    "0, Déficit y no elimine déficit",
                    "-2, Déficit y resultado fue bueno")
            )
        ),
        IF(AND(BG71&gt;TRUNC(BJ71/2,0), BG71&gt;BC71),
            "1, no había déficit, pero resultado fue mejor",
            IF(AND(BG71&lt;TRUNC(BJ71/2,0),BG71&lt;BC71),
                "0, no había déficit y la dejo con déficit",
                IF(BG71=TRUNC(BJ71/2,0),
                    "-1, no había déficit y dejo la capacidad media",
                    "-2,no había déficit y resultado fue bueno")
            )
        )
    ),
    IF(BH71&lt;0,
        IF(BC71&gt;TRUNC(BJ71/2,0),
            IF(BG71=TRUNC(BJ71/2,0),
                "-1, Superávit y deje la capacidad media",
                IF(AND(BG71&gt;TRUNC(BJ71/2,0), BG71&gt;=BC71),
                    "0, Superávit y no eliminé superávit",
                    IF(AND(BG71&lt;TRUNC(BJ71/2,0),BG71&lt;BC71),
                        "1, Superávit y eliminé superávit",
                        "-2, Superávit y resultado fue bueno"
                    )
                )
            ),
            IF(AND(BC71&lt;=TRUNC(BJ71/2,0),BC71&gt;=0),
                IF(BG71=TRUNC(BJ71/2,0),
                    "-1, no había superávit y deje la capacidad media",
                    IF(AND(BG71&gt;TRUNC(BJ71/2,0), BG71&gt;=BC71),
                        "0, no había superávit, y la deje con superávit",
                        IF(AND(BG71&lt;TRUNC(BJ71/2,0),BG71&lt;BC71),
                            "1, no había superávit, pero el resultado fue mejor",
                            "-2, no había superávit y resultado fue bueno"
                        )
                    )
                )
            )
        )
    )
)</f>
        <v>-2, Superávit y resultado fue bueno</v>
      </c>
      <c r="BO71" s="30" t="s">
        <v>207</v>
      </c>
      <c r="BP71" s="30">
        <v>15</v>
      </c>
      <c r="BQ71" s="31">
        <v>12.666666666666666</v>
      </c>
      <c r="BR71" s="29">
        <v>19</v>
      </c>
      <c r="BS71" s="29">
        <v>18</v>
      </c>
      <c r="BT71" s="30">
        <v>15</v>
      </c>
      <c r="BU71" s="30">
        <v>-1.196962071035268</v>
      </c>
      <c r="BV71" s="26" t="s">
        <v>329</v>
      </c>
      <c r="BW71" s="30">
        <v>19</v>
      </c>
      <c r="BX71" s="29">
        <f>IF(BR71&gt;=BP71,1,0)</f>
        <v>1</v>
      </c>
      <c r="BY71" s="29">
        <f>BR71-BP71</f>
        <v>4</v>
      </c>
      <c r="BZ71" s="29" t="str">
        <f>IF(BU71&gt;0,
    IF(OR(BP71&lt;=TRUNC(BW71/2,0),BP71=0),
        IF(BT71=TRUNC(BW71/2,0),
            "-1, Déficit y dejo la capacidad media",
            IF(AND(BT71&gt;TRUNC(BW71/2,0), BT71&gt;BP71),
                "1, Déficit y eliminé déficit",
                IF(AND(BT71&lt;TRUNC(BW71/2,0), BT71&lt;BP71),
                    "0, Déficit y no elimine déficit",
                    "-2, Déficit y resultado fue bueno")
            )
        ),
        IF(AND(BT71&gt;TRUNC(BW71/2,0), BT71&gt;BP71),
            "1, no había déficit, pero resultado fue mejor",
            IF(AND(BT71&lt;TRUNC(BW71/2,0),BT71&lt;BP71),
                "0, no había déficit y la dejo con déficit",
                IF(BT71=TRUNC(BW71/2,0),
                    "-1, no había déficit y dejo la capacidad media",
                    "-2,no había déficit y resultado fue bueno")
            )
        )
    ),
    IF(BU71&lt;0,
        IF(BP71&gt;TRUNC(BW71/2,0),
            IF(BT71=TRUNC(BW71/2,0),
                "-1, Superávit y deje la capacidad media",
                IF(AND(BT71&gt;TRUNC(BW71/2,0), BT71&gt;=BP71),
                    "0, Superávit y no eliminé superávit",
                    IF(AND(BT71&lt;TRUNC(BW71/2,0),BT71&lt;BP71),
                        "1, Superávit y eliminé superávit",
                        "-2, Superávit y resultado fue bueno"
                    )
                )
            ),
            IF(AND(BP71&lt;=TRUNC(BW71/2,0),BP71&gt;=0),
                IF(BT71=TRUNC(BW71/2,0),
                    "-1, no había superávit y deje la capacidad media",
                    IF(AND(BT71&gt;TRUNC(BW71/2,0), BT71&gt;=BP71),
                        "0, no había superávit, y la deje con superávit",
                        IF(AND(BT71&lt;TRUNC(BW71/2,0),BT71&lt;BP71),
                            "1, no había superávit, pero el resultado fue mejor",
                            "-2, no había superávit y resultado fue bueno"
                        )
                    )
                )
            )
        )
    )
)</f>
        <v>0, Superávit y no eliminé superávit</v>
      </c>
      <c r="CB71" s="30" t="s">
        <v>207</v>
      </c>
      <c r="CC71" s="30">
        <v>19</v>
      </c>
      <c r="CD71" s="31">
        <v>13.222222222222221</v>
      </c>
      <c r="CE71" s="29">
        <v>19</v>
      </c>
      <c r="CF71" s="29">
        <v>19</v>
      </c>
      <c r="CG71" s="30">
        <v>12</v>
      </c>
      <c r="CH71" s="30">
        <v>-1.196962071035268</v>
      </c>
      <c r="CI71" s="26" t="s">
        <v>329</v>
      </c>
      <c r="CJ71" s="30">
        <v>19</v>
      </c>
      <c r="CK71" s="29">
        <f>IF(CE71&gt;=CC71,1,0)</f>
        <v>1</v>
      </c>
      <c r="CL71" s="29">
        <f>CE71-CC71</f>
        <v>0</v>
      </c>
      <c r="CM71" s="29" t="str">
        <f>IF(CH71&gt;0,
    IF(OR(CC71&lt;=TRUNC(CJ71/2,0),CC71=0),
        IF(CG71=TRUNC(CJ71/2,0),
            "-1, Déficit y dejo la capacidad media",
            IF(AND(CG71&gt;TRUNC(CJ71/2,0), CG71&gt;CC71),
                "1, Déficit y eliminé déficit",
                IF(AND(CG71&lt;TRUNC(CJ71/2,0), CG71&lt;CC71),
                    "0, Déficit y no elimine déficit",
                    "-2, Déficit y resultado fue bueno")
            )
        ),
        IF(AND(CG71&gt;TRUNC(CJ71/2,0), CG71&gt;CC71),
            "1, no había déficit, pero resultado fue mejor",
            IF(AND(CG71&lt;TRUNC(CJ71/2,0),CG71&lt;CC71),
                "0, no había déficit y la dejo con déficit",
                IF(CG71=TRUNC(CJ71/2,0),
                    "-1, no había déficit y dejo la capacidad media",
                    "-2,no había déficit y resultado fue bueno")
            )
        )
    ),
    IF(CH71&lt;0,
        IF(CC71&gt;TRUNC(CJ71/2,0),
            IF(CG71=TRUNC(CJ71/2,0),
                "-1, Superávit y deje la capacidad media",
                IF(AND(CG71&gt;TRUNC(CJ71/2,0), CG71&gt;=CC71),
                    "0, Superávit y no eliminé superávit",
                    IF(AND(CG71&lt;TRUNC(CJ71/2,0),CG71&lt;CC71),
                        "1, Superávit y eliminé superávit",
                        "-2, Superávit y resultado fue bueno"
                    )
                )
            ),
            IF(AND(CC71&lt;=TRUNC(CJ71/2,0),CC71&gt;=0),
                IF(CG71=TRUNC(CJ71/2,0),
                    "-1, no había superávit y deje la capacidad media",
                    IF(AND(CG71&gt;TRUNC(CJ71/2,0), CG71&gt;=CC71),
                        "0, no había superávit, y la deje con superávit",
                        IF(AND(CG71&lt;TRUNC(CJ71/2,0),CG71&lt;CC71),
                            "1, no había superávit, pero el resultado fue mejor",
                            "-2, no había superávit y resultado fue bueno"
                        )
                    )
                )
            )
        )
    )
)</f>
        <v>-2, Superávit y resultado fue bueno</v>
      </c>
      <c r="CO71" s="30" t="s">
        <v>207</v>
      </c>
      <c r="CP71" s="30">
        <v>19</v>
      </c>
      <c r="CQ71" s="31">
        <v>15.666666666666666</v>
      </c>
      <c r="CR71" s="29">
        <v>18</v>
      </c>
      <c r="CS71" s="29">
        <v>18</v>
      </c>
      <c r="CT71" s="30">
        <v>13</v>
      </c>
      <c r="CU71" s="30">
        <v>-1.196962071035268</v>
      </c>
      <c r="CV71" s="26" t="s">
        <v>329</v>
      </c>
      <c r="CW71" s="30">
        <v>19</v>
      </c>
      <c r="CX71" s="29">
        <f>IF(CR71&gt;=CP71,1,0)</f>
        <v>0</v>
      </c>
      <c r="CY71" s="29">
        <f>CR71-CP71</f>
        <v>-1</v>
      </c>
      <c r="CZ71" s="29" t="str">
        <f>IF(CU71&gt;0,
    IF(OR(CP71&lt;=TRUNC(CW71/2,0),CP71=0),
        IF(CT71=TRUNC(CW71/2,0),
            "-1, Déficit y dejo la capacidad media",
            IF(AND(CT71&gt;TRUNC(CW71/2,0), CT71&gt;CP71),
                "1, Déficit y eliminé déficit",
                IF(AND(CT71&lt;TRUNC(CW71/2,0), CT71&lt;CP71),
                    "0, Déficit y no elimine déficit",
                    "-2, Déficit y resultado fue bueno")
            )
        ),
        IF(AND(CT71&gt;TRUNC(CW71/2,0), CT71&gt;CP71),
            "1, no había déficit, pero resultado fue mejor",
            IF(AND(CT71&lt;TRUNC(CW71/2,0),CT71&lt;CP71),
                "0, no había déficit y la dejo con déficit",
                IF(CT71=TRUNC(CW71/2,0),
                    "-1, no había déficit y dejo la capacidad media",
                    "-2,no había déficit y resultado fue bueno")
            )
        )
    ),
    IF(CU71&lt;0,
        IF(CP71&gt;TRUNC(CW71/2,0),
            IF(CT71=TRUNC(CW71/2,0),
                "-1, Superávit y deje la capacidad media",
                IF(AND(CT71&gt;TRUNC(CW71/2,0), CT71&gt;=CP71),
                    "0, Superávit y no eliminé superávit",
                    IF(AND(CT71&lt;TRUNC(CW71/2,0),CT71&lt;CP71),
                        "1, Superávit y eliminé superávit",
                        "-2, Superávit y resultado fue bueno"
                    )
                )
            ),
            IF(AND(CP71&lt;=TRUNC(CW71/2,0),CP71&gt;=0),
                IF(CT71=TRUNC(CW71/2,0),
                    "-1, no había superávit y deje la capacidad media",
                    IF(AND(CT71&gt;TRUNC(CW71/2,0), CT71&gt;=CP71),
                        "0, no había superávit, y la deje con superávit",
                        IF(AND(CT71&lt;TRUNC(CW71/2,0),CT71&lt;CP71),
                            "1, no había superávit, pero el resultado fue mejor",
                            "-2, no había superávit y resultado fue bueno"
                        )
                    )
                )
            )
        )
    )
)</f>
        <v>-2, Superávit y resultado fue bueno</v>
      </c>
    </row>
    <row r="72" spans="2:104" ht="14.25" customHeight="1" x14ac:dyDescent="0.3">
      <c r="B72" s="30" t="s">
        <v>222</v>
      </c>
      <c r="C72" s="29">
        <v>26</v>
      </c>
      <c r="D72" s="31">
        <v>18.777777777777779</v>
      </c>
      <c r="E72" s="29">
        <v>22</v>
      </c>
      <c r="F72" s="29">
        <v>22</v>
      </c>
      <c r="G72" s="29">
        <v>24</v>
      </c>
      <c r="H72" s="30">
        <v>-1.679865001322572</v>
      </c>
      <c r="I72" s="26" t="s">
        <v>330</v>
      </c>
      <c r="J72" s="30">
        <v>27</v>
      </c>
      <c r="K72" s="29">
        <f>IF(E72&gt;=C72,1,0)</f>
        <v>0</v>
      </c>
      <c r="L72" s="29">
        <f>E72-C72</f>
        <v>-4</v>
      </c>
      <c r="M72" s="29" t="str">
        <f>IF(H72&gt;0,
    IF(OR(C72&lt;=TRUNC(J72/2,0),C72=0),
        IF(G72=TRUNC(J72/2,0),
            "-1, Déficit y dejo la capacidad media",
            IF(AND(G72&gt;TRUNC(J72/2,0), G72&gt;C72),
                "1, Déficit y eliminé déficit",
                IF(AND(G72&lt;TRUNC(J72/2,0), G72&lt;C72),
                    "0, Déficit y no elimine déficit",
                    "-2, Déficit y resultado fue bueno")
            )
        ),
        IF(AND(G72&gt;TRUNC(J72/2,0), G72&gt;C72),
            "1, no había déficit, pero resultado fue mejor",
            IF(AND(G72&lt;TRUNC(J72/2,0),G72&lt;C72),
                "0, no había déficit y la dejo con déficit",
                IF(G72=TRUNC(J72/2,0),
                    "-1, no había déficit y dejo la capacidad media",
                    "-2,no había déficit y resultado fue bueno")
            )
        )
    ),
    IF(H72&lt;0,
        IF(C72&gt;TRUNC(J72/2,0),
            IF(G72=TRUNC(J72/2,0),
                "-1, Superávit y deje la capacidad media",
                IF(AND(G72&gt;TRUNC(J72/2,0), G72&gt;=C72),
                    "0, Superávit y no eliminé superávit",
                    IF(AND(G72&lt;TRUNC(J72/2,0),G72&lt;C72),
                        "1, Superávit y eliminé superávit",
                        "-2, Superávit y resultado fue bueno"
                    )
                )
            ),
            IF(AND(C72&lt;=TRUNC(J72/2,0),C72&gt;=0),
                IF(G72=TRUNC(J72/2,0),
                    "-1, no había superávit y deje la capacidad media",
                    IF(AND(G72&gt;TRUNC(J72/2,0), G72&gt;=C72),
                        "0, no había superávit, y la deje con superávit",
                        IF(AND(G72&lt;TRUNC(J72/2,0),G72&lt;C72),
                            "1, no había superávit, pero el resultado fue mejor",
                            "-2, no había superávit y resultado fue bueno"
                        )
                    )
                )
            )
        )
    )
)</f>
        <v>-2, Superávit y resultado fue bueno</v>
      </c>
      <c r="O72" s="30" t="s">
        <v>222</v>
      </c>
      <c r="P72" s="30">
        <v>20</v>
      </c>
      <c r="Q72" s="31">
        <v>21.333333333333332</v>
      </c>
      <c r="R72" s="29">
        <v>23</v>
      </c>
      <c r="S72" s="29">
        <v>23</v>
      </c>
      <c r="T72" s="30">
        <v>20</v>
      </c>
      <c r="U72" s="30">
        <v>-1.679865001322572</v>
      </c>
      <c r="V72" s="26" t="s">
        <v>330</v>
      </c>
      <c r="W72" s="30">
        <v>27</v>
      </c>
      <c r="X72" s="29">
        <f>IF(R72&gt;=P72,1,0)</f>
        <v>1</v>
      </c>
      <c r="Y72" s="29">
        <f>R72-P72</f>
        <v>3</v>
      </c>
      <c r="Z72" s="29" t="str">
        <f>IF(U72&gt;0,
    IF(OR(P72&lt;=TRUNC(W72/2,0),P72=0),
        IF(T72=TRUNC(W72/2,0),
            "-1, Déficit y dejo la capacidad media",
            IF(AND(T72&gt;TRUNC(W72/2,0), T72&gt;P72),
                "1, Déficit y eliminé déficit",
                IF(AND(T72&lt;TRUNC(W72/2,0), T72&lt;P72),
                    "0, Déficit y no elimine déficit",
                    "-2, Déficit y resultado fue bueno")
            )
        ),
        IF(AND(T72&gt;TRUNC(W72/2,0), T72&gt;P72),
            "1, no había déficit, pero resultado fue mejor",
            IF(AND(T72&lt;TRUNC(W72/2,0),T72&lt;P72),
                "0, no había déficit y la dejo con déficit",
                IF(T72=TRUNC(W72/2,0),
                    "-1, no había déficit y dejo la capacidad media",
                    "-2,no había déficit y resultado fue bueno")
            )
        )
    ),
    IF(U72&lt;0,
        IF(P72&gt;TRUNC(W72/2,0),
            IF(T72=TRUNC(W72/2,0),
                "-1, Superávit y deje la capacidad media",
                IF(AND(T72&gt;TRUNC(W72/2,0), T72&gt;=P72),
                    "0, Superávit y no eliminé superávit",
                    IF(AND(T72&lt;TRUNC(W72/2,0),T72&lt;P72),
                        "1, Superávit y eliminé superávit",
                        "-2, Superávit y resultado fue bueno"
                    )
                )
            ),
            IF(AND(P72&lt;=TRUNC(W72/2,0),P72&gt;=0),
                IF(T72=TRUNC(W72/2,0),
                    "-1, no había superávit y deje la capacidad media",
                    IF(AND(T72&gt;TRUNC(W72/2,0), T72&gt;=P72),
                        "0, no había superávit, y la deje con superávit",
                        IF(AND(T72&lt;TRUNC(W72/2,0),T72&lt;P72),
                            "1, no había superávit, pero el resultado fue mejor",
                            "-2, no había superávit y resultado fue bueno"
                        )
                    )
                )
            )
        )
    )
)</f>
        <v>0, Superávit y no eliminé superávit</v>
      </c>
      <c r="AB72" s="2" t="s">
        <v>222</v>
      </c>
      <c r="AC72" s="2">
        <v>27</v>
      </c>
      <c r="AD72" s="7">
        <v>23.111111111111111</v>
      </c>
      <c r="AE72" s="3">
        <v>27</v>
      </c>
      <c r="AF72" s="3">
        <v>26</v>
      </c>
      <c r="AG72" s="2">
        <v>21</v>
      </c>
      <c r="AH72" s="11">
        <v>-1.679865001322572</v>
      </c>
      <c r="AI72" s="26" t="s">
        <v>330</v>
      </c>
      <c r="AJ72" s="22">
        <v>27</v>
      </c>
      <c r="AK72" s="29">
        <f>IF(AE72&gt;=AC72,1,0)</f>
        <v>1</v>
      </c>
      <c r="AL72" s="29">
        <f>AE72-AC72</f>
        <v>0</v>
      </c>
      <c r="AM72" s="29" t="str">
        <f>IF(AH72&gt;0,
    IF(OR(AC72&lt;=TRUNC(AJ72/2,0),AC72=0),
        IF(AG72=TRUNC(AJ72/2,0),
            "-1, Déficit y dejo la capacidad media",
            IF(AND(AG72&gt;TRUNC(AJ72/2,0), AG72&gt;AC72),
                "1, Déficit y eliminé déficit",
                IF(AND(AG72&lt;TRUNC(AJ72/2,0), AG72&lt;AC72),
                    "0, Déficit y no elimine déficit",
                    "-2, Déficit y resultado fue bueno")
            )
        ),
        IF(AND(AG72&gt;TRUNC(AJ72/2,0), AG72&gt;AC72),
            "1, no había déficit, pero resultado fue mejor",
            IF(AND(AG72&lt;TRUNC(AJ72/2,0),AG72&lt;AC72),
                "0, no había déficit y la dejo con déficit",
                IF(AG72=TRUNC(AJ72/2,0),
                    "-1, no había déficit y dejo la capacidad media",
                    "-2,no había déficit y resultado fue bueno")
            )
        )
    ),
    IF(AH72&lt;0,
        IF(AC72&gt;TRUNC(AJ72/2,0),
            IF(AG72=TRUNC(AJ72/2,0),
                "-1, Superávit y deje la capacidad media",
                IF(AND(AG72&gt;TRUNC(AJ72/2,0), AG72&gt;=AC72),
                    "0, Superávit y no eliminé superávit",
                    IF(AND(AG72&lt;TRUNC(AJ72/2,0),AG72&lt;AC72),
                        "1, Superávit y eliminé superávit",
                        "-2, Superávit y resultado fue bueno"
                    )
                )
            ),
            IF(AND(AC72&lt;=TRUNC(AJ72/2,0),AC72&gt;=0),
                IF(AG72=TRUNC(AJ72/2,0),
                    "-1, no había superávit y deje la capacidad media",
                    IF(AND(AG72&gt;TRUNC(AJ72/2,0), AG72&gt;=AC72),
                        "0, no había superávit, y la deje con superávit",
                        IF(AND(AG72&lt;TRUNC(AJ72/2,0),AG72&lt;AC72),
                            "1, no había superávit, pero el resultado fue mejor",
                            "-2, no había superávit y resultado fue bueno"
                        )
                    )
                )
            )
        )
    )
)</f>
        <v>-2, Superávit y resultado fue bueno</v>
      </c>
      <c r="AO72" s="30" t="s">
        <v>222</v>
      </c>
      <c r="AP72" s="30">
        <v>26</v>
      </c>
      <c r="AQ72" s="31">
        <v>23.888888888888889</v>
      </c>
      <c r="AR72" s="29">
        <v>27</v>
      </c>
      <c r="AS72" s="29">
        <v>27</v>
      </c>
      <c r="AT72" s="30">
        <v>24</v>
      </c>
      <c r="AU72" s="30">
        <v>-1.679865001322572</v>
      </c>
      <c r="AV72" s="26" t="s">
        <v>330</v>
      </c>
      <c r="AW72" s="30">
        <v>27</v>
      </c>
      <c r="AX72" s="29">
        <f>IF(AR72&gt;=AP72,1,0)</f>
        <v>1</v>
      </c>
      <c r="AY72" s="29">
        <f>AR72-AP72</f>
        <v>1</v>
      </c>
      <c r="AZ72" s="29" t="str">
        <f>IF(AU72&gt;0,
    IF(OR(AP72&lt;=TRUNC(AW72/2,0),AP72=0),
        IF(AT72=TRUNC(AW72/2,0),
            "-1, Déficit y dejo la capacidad media",
            IF(AND(AT72&gt;TRUNC(AW72/2,0), AT72&gt;AP72),
                "1, Déficit y eliminé déficit",
                IF(AND(AT72&lt;TRUNC(AW72/2,0), AT72&lt;AP72),
                    "0, Déficit y no elimine déficit",
                    "-2, Déficit y resultado fue bueno")
            )
        ),
        IF(AND(AT72&gt;TRUNC(AW72/2,0), AT72&gt;AP72),
            "1, no había déficit, pero resultado fue mejor",
            IF(AND(AT72&lt;TRUNC(AW72/2,0),AT72&lt;AP72),
                "0, no había déficit y la dejo con déficit",
                IF(AT72=TRUNC(AW72/2,0),
                    "-1, no había déficit y dejo la capacidad media",
                    "-2,no había déficit y resultado fue bueno")
            )
        )
    ),
    IF(AU72&lt;0,
        IF(AP72&gt;TRUNC(AW72/2,0),
            IF(AT72=TRUNC(AW72/2,0),
                "-1, Superávit y deje la capacidad media",
                IF(AND(AT72&gt;TRUNC(AW72/2,0), AT72&gt;=AP72),
                    "0, Superávit y no eliminé superávit",
                    IF(AND(AT72&lt;TRUNC(AW72/2,0),AT72&lt;AP72),
                        "1, Superávit y eliminé superávit",
                        "-2, Superávit y resultado fue bueno"
                    )
                )
            ),
            IF(AND(AP72&lt;=TRUNC(AW72/2,0),AP72&gt;=0),
                IF(AT72=TRUNC(AW72/2,0),
                    "-1, no había superávit y deje la capacidad media",
                    IF(AND(AT72&gt;TRUNC(AW72/2,0), AT72&gt;=AP72),
                        "0, no había superávit, y la deje con superávit",
                        IF(AND(AT72&lt;TRUNC(AW72/2,0),AT72&lt;AP72),
                            "1, no había superávit, pero el resultado fue mejor",
                            "-2, no había superávit y resultado fue bueno"
                        )
                    )
                )
            )
        )
    )
)</f>
        <v>-2, Superávit y resultado fue bueno</v>
      </c>
      <c r="BB72" s="30" t="s">
        <v>222</v>
      </c>
      <c r="BC72" s="30">
        <v>27</v>
      </c>
      <c r="BD72" s="31">
        <v>11.111111111111111</v>
      </c>
      <c r="BE72" s="29">
        <v>27</v>
      </c>
      <c r="BF72" s="29">
        <v>27</v>
      </c>
      <c r="BG72" s="30">
        <v>24</v>
      </c>
      <c r="BH72" s="30">
        <v>-1.679865001322572</v>
      </c>
      <c r="BI72" s="26" t="s">
        <v>330</v>
      </c>
      <c r="BJ72" s="30">
        <v>27</v>
      </c>
      <c r="BK72" s="29">
        <f>IF(BE72&gt;=BC72,1,0)</f>
        <v>1</v>
      </c>
      <c r="BL72" s="29">
        <f>BE72-BC72</f>
        <v>0</v>
      </c>
      <c r="BM72" s="29" t="str">
        <f>IF(BH72&gt;0,
    IF(OR(BC72&lt;=TRUNC(BJ72/2,0),BC72=0),
        IF(BG72=TRUNC(BJ72/2,0),
            "-1, Déficit y dejo la capacidad media",
            IF(AND(BG72&gt;TRUNC(BJ72/2,0), BG72&gt;BC72),
                "1, Déficit y eliminé déficit",
                IF(AND(BG72&lt;TRUNC(BJ72/2,0), BG72&lt;BC72),
                    "0, Déficit y no elimine déficit",
                    "-2, Déficit y resultado fue bueno")
            )
        ),
        IF(AND(BG72&gt;TRUNC(BJ72/2,0), BG72&gt;BC72),
            "1, no había déficit, pero resultado fue mejor",
            IF(AND(BG72&lt;TRUNC(BJ72/2,0),BG72&lt;BC72),
                "0, no había déficit y la dejo con déficit",
                IF(BG72=TRUNC(BJ72/2,0),
                    "-1, no había déficit y dejo la capacidad media",
                    "-2,no había déficit y resultado fue bueno")
            )
        )
    ),
    IF(BH72&lt;0,
        IF(BC72&gt;TRUNC(BJ72/2,0),
            IF(BG72=TRUNC(BJ72/2,0),
                "-1, Superávit y deje la capacidad media",
                IF(AND(BG72&gt;TRUNC(BJ72/2,0), BG72&gt;=BC72),
                    "0, Superávit y no eliminé superávit",
                    IF(AND(BG72&lt;TRUNC(BJ72/2,0),BG72&lt;BC72),
                        "1, Superávit y eliminé superávit",
                        "-2, Superávit y resultado fue bueno"
                    )
                )
            ),
            IF(AND(BC72&lt;=TRUNC(BJ72/2,0),BC72&gt;=0),
                IF(BG72=TRUNC(BJ72/2,0),
                    "-1, no había superávit y deje la capacidad media",
                    IF(AND(BG72&gt;TRUNC(BJ72/2,0), BG72&gt;=BC72),
                        "0, no había superávit, y la deje con superávit",
                        IF(AND(BG72&lt;TRUNC(BJ72/2,0),BG72&lt;BC72),
                            "1, no había superávit, pero el resultado fue mejor",
                            "-2, no había superávit y resultado fue bueno"
                        )
                    )
                )
            )
        )
    )
)</f>
        <v>-2, Superávit y resultado fue bueno</v>
      </c>
      <c r="BO72" s="30" t="s">
        <v>222</v>
      </c>
      <c r="BP72" s="30">
        <v>23</v>
      </c>
      <c r="BQ72" s="31">
        <v>24</v>
      </c>
      <c r="BR72" s="29">
        <v>25</v>
      </c>
      <c r="BS72" s="29">
        <v>26</v>
      </c>
      <c r="BT72" s="30">
        <v>23</v>
      </c>
      <c r="BU72" s="30">
        <v>-1.679865001322572</v>
      </c>
      <c r="BV72" s="26" t="s">
        <v>330</v>
      </c>
      <c r="BW72" s="30">
        <v>27</v>
      </c>
      <c r="BX72" s="29">
        <f>IF(BR72&gt;=BP72,1,0)</f>
        <v>1</v>
      </c>
      <c r="BY72" s="29">
        <f>BR72-BP72</f>
        <v>2</v>
      </c>
      <c r="BZ72" s="29" t="str">
        <f>IF(BU72&gt;0,
    IF(OR(BP72&lt;=TRUNC(BW72/2,0),BP72=0),
        IF(BT72=TRUNC(BW72/2,0),
            "-1, Déficit y dejo la capacidad media",
            IF(AND(BT72&gt;TRUNC(BW72/2,0), BT72&gt;BP72),
                "1, Déficit y eliminé déficit",
                IF(AND(BT72&lt;TRUNC(BW72/2,0), BT72&lt;BP72),
                    "0, Déficit y no elimine déficit",
                    "-2, Déficit y resultado fue bueno")
            )
        ),
        IF(AND(BT72&gt;TRUNC(BW72/2,0), BT72&gt;BP72),
            "1, no había déficit, pero resultado fue mejor",
            IF(AND(BT72&lt;TRUNC(BW72/2,0),BT72&lt;BP72),
                "0, no había déficit y la dejo con déficit",
                IF(BT72=TRUNC(BW72/2,0),
                    "-1, no había déficit y dejo la capacidad media",
                    "-2,no había déficit y resultado fue bueno")
            )
        )
    ),
    IF(BU72&lt;0,
        IF(BP72&gt;TRUNC(BW72/2,0),
            IF(BT72=TRUNC(BW72/2,0),
                "-1, Superávit y deje la capacidad media",
                IF(AND(BT72&gt;TRUNC(BW72/2,0), BT72&gt;=BP72),
                    "0, Superávit y no eliminé superávit",
                    IF(AND(BT72&lt;TRUNC(BW72/2,0),BT72&lt;BP72),
                        "1, Superávit y eliminé superávit",
                        "-2, Superávit y resultado fue bueno"
                    )
                )
            ),
            IF(AND(BP72&lt;=TRUNC(BW72/2,0),BP72&gt;=0),
                IF(BT72=TRUNC(BW72/2,0),
                    "-1, no había superávit y deje la capacidad media",
                    IF(AND(BT72&gt;TRUNC(BW72/2,0), BT72&gt;=BP72),
                        "0, no había superávit, y la deje con superávit",
                        IF(AND(BT72&lt;TRUNC(BW72/2,0),BT72&lt;BP72),
                            "1, no había superávit, pero el resultado fue mejor",
                            "-2, no había superávit y resultado fue bueno"
                        )
                    )
                )
            )
        )
    )
)</f>
        <v>0, Superávit y no eliminé superávit</v>
      </c>
      <c r="CB72" s="30" t="s">
        <v>222</v>
      </c>
      <c r="CC72" s="30">
        <v>27</v>
      </c>
      <c r="CD72" s="31">
        <v>24.777777777777779</v>
      </c>
      <c r="CE72" s="29">
        <v>27</v>
      </c>
      <c r="CF72" s="29">
        <v>27</v>
      </c>
      <c r="CG72" s="30">
        <v>14</v>
      </c>
      <c r="CH72" s="30">
        <v>-1.679865001322572</v>
      </c>
      <c r="CI72" s="26" t="s">
        <v>330</v>
      </c>
      <c r="CJ72" s="30">
        <v>27</v>
      </c>
      <c r="CK72" s="29">
        <f>IF(CE72&gt;=CC72,1,0)</f>
        <v>1</v>
      </c>
      <c r="CL72" s="29">
        <f>CE72-CC72</f>
        <v>0</v>
      </c>
      <c r="CM72" s="29" t="str">
        <f>IF(CH72&gt;0,
    IF(OR(CC72&lt;=TRUNC(CJ72/2,0),CC72=0),
        IF(CG72=TRUNC(CJ72/2,0),
            "-1, Déficit y dejo la capacidad media",
            IF(AND(CG72&gt;TRUNC(CJ72/2,0), CG72&gt;CC72),
                "1, Déficit y eliminé déficit",
                IF(AND(CG72&lt;TRUNC(CJ72/2,0), CG72&lt;CC72),
                    "0, Déficit y no elimine déficit",
                    "-2, Déficit y resultado fue bueno")
            )
        ),
        IF(AND(CG72&gt;TRUNC(CJ72/2,0), CG72&gt;CC72),
            "1, no había déficit, pero resultado fue mejor",
            IF(AND(CG72&lt;TRUNC(CJ72/2,0),CG72&lt;CC72),
                "0, no había déficit y la dejo con déficit",
                IF(CG72=TRUNC(CJ72/2,0),
                    "-1, no había déficit y dejo la capacidad media",
                    "-2,no había déficit y resultado fue bueno")
            )
        )
    ),
    IF(CH72&lt;0,
        IF(CC72&gt;TRUNC(CJ72/2,0),
            IF(CG72=TRUNC(CJ72/2,0),
                "-1, Superávit y deje la capacidad media",
                IF(AND(CG72&gt;TRUNC(CJ72/2,0), CG72&gt;=CC72),
                    "0, Superávit y no eliminé superávit",
                    IF(AND(CG72&lt;TRUNC(CJ72/2,0),CG72&lt;CC72),
                        "1, Superávit y eliminé superávit",
                        "-2, Superávit y resultado fue bueno"
                    )
                )
            ),
            IF(AND(CC72&lt;=TRUNC(CJ72/2,0),CC72&gt;=0),
                IF(CG72=TRUNC(CJ72/2,0),
                    "-1, no había superávit y deje la capacidad media",
                    IF(AND(CG72&gt;TRUNC(CJ72/2,0), CG72&gt;=CC72),
                        "0, no había superávit, y la deje con superávit",
                        IF(AND(CG72&lt;TRUNC(CJ72/2,0),CG72&lt;CC72),
                            "1, no había superávit, pero el resultado fue mejor",
                            "-2, no había superávit y resultado fue bueno"
                        )
                    )
                )
            )
        )
    )
)</f>
        <v>-2, Superávit y resultado fue bueno</v>
      </c>
      <c r="CO72" s="30" t="s">
        <v>222</v>
      </c>
      <c r="CP72" s="30">
        <v>21</v>
      </c>
      <c r="CQ72" s="31">
        <v>18.777777777777779</v>
      </c>
      <c r="CR72" s="29">
        <v>20</v>
      </c>
      <c r="CS72" s="29">
        <v>20</v>
      </c>
      <c r="CT72" s="30">
        <v>21</v>
      </c>
      <c r="CU72" s="30">
        <v>-1.679865001322572</v>
      </c>
      <c r="CV72" s="26" t="s">
        <v>330</v>
      </c>
      <c r="CW72" s="30">
        <v>27</v>
      </c>
      <c r="CX72" s="29">
        <f>IF(CR72&gt;=CP72,1,0)</f>
        <v>0</v>
      </c>
      <c r="CY72" s="29">
        <f>CR72-CP72</f>
        <v>-1</v>
      </c>
      <c r="CZ72" s="29" t="str">
        <f>IF(CU72&gt;0,
    IF(OR(CP72&lt;=TRUNC(CW72/2,0),CP72=0),
        IF(CT72=TRUNC(CW72/2,0),
            "-1, Déficit y dejo la capacidad media",
            IF(AND(CT72&gt;TRUNC(CW72/2,0), CT72&gt;CP72),
                "1, Déficit y eliminé déficit",
                IF(AND(CT72&lt;TRUNC(CW72/2,0), CT72&lt;CP72),
                    "0, Déficit y no elimine déficit",
                    "-2, Déficit y resultado fue bueno")
            )
        ),
        IF(AND(CT72&gt;TRUNC(CW72/2,0), CT72&gt;CP72),
            "1, no había déficit, pero resultado fue mejor",
            IF(AND(CT72&lt;TRUNC(CW72/2,0),CT72&lt;CP72),
                "0, no había déficit y la dejo con déficit",
                IF(CT72=TRUNC(CW72/2,0),
                    "-1, no había déficit y dejo la capacidad media",
                    "-2,no había déficit y resultado fue bueno")
            )
        )
    ),
    IF(CU72&lt;0,
        IF(CP72&gt;TRUNC(CW72/2,0),
            IF(CT72=TRUNC(CW72/2,0),
                "-1, Superávit y deje la capacidad media",
                IF(AND(CT72&gt;TRUNC(CW72/2,0), CT72&gt;=CP72),
                    "0, Superávit y no eliminé superávit",
                    IF(AND(CT72&lt;TRUNC(CW72/2,0),CT72&lt;CP72),
                        "1, Superávit y eliminé superávit",
                        "-2, Superávit y resultado fue bueno"
                    )
                )
            ),
            IF(AND(CP72&lt;=TRUNC(CW72/2,0),CP72&gt;=0),
                IF(CT72=TRUNC(CW72/2,0),
                    "-1, no había superávit y deje la capacidad media",
                    IF(AND(CT72&gt;TRUNC(CW72/2,0), CT72&gt;=CP72),
                        "0, no había superávit, y la deje con superávit",
                        IF(AND(CT72&lt;TRUNC(CW72/2,0),CT72&lt;CP72),
                            "1, no había superávit, pero el resultado fue mejor",
                            "-2, no había superávit y resultado fue bueno"
                        )
                    )
                )
            )
        )
    )
)</f>
        <v>0, Superávit y no eliminé superávit</v>
      </c>
    </row>
    <row r="73" spans="2:104" ht="14.25" customHeight="1" x14ac:dyDescent="0.3">
      <c r="B73" s="28" t="s">
        <v>261</v>
      </c>
      <c r="C73" s="28">
        <f t="shared" ref="C73:G73" si="3">AVERAGE(C53:C62)</f>
        <v>5.2</v>
      </c>
      <c r="D73" s="33">
        <f t="shared" si="3"/>
        <v>5.4666666666666668</v>
      </c>
      <c r="E73" s="28">
        <f t="shared" si="3"/>
        <v>4.9000000000000004</v>
      </c>
      <c r="F73" s="28">
        <f t="shared" si="3"/>
        <v>4.9000000000000004</v>
      </c>
      <c r="G73" s="28">
        <f t="shared" si="3"/>
        <v>7.2</v>
      </c>
      <c r="H73" s="24"/>
      <c r="I73" s="24"/>
      <c r="J73" s="24"/>
      <c r="K73" s="24"/>
      <c r="L73" s="21"/>
      <c r="M73" s="24"/>
      <c r="O73" s="28" t="s">
        <v>261</v>
      </c>
      <c r="P73" s="28">
        <f>AVERAGE(P53:P62)</f>
        <v>2.2000000000000002</v>
      </c>
      <c r="Q73" s="33">
        <f>AVERAGE(Q53:Q62)</f>
        <v>4.2333333333333325</v>
      </c>
      <c r="R73" s="28">
        <f>AVERAGE(R53:R62)</f>
        <v>2.4</v>
      </c>
      <c r="S73" s="28"/>
      <c r="T73" s="28">
        <f>AVERAGE(T53:T62)</f>
        <v>6.4</v>
      </c>
      <c r="U73" s="24"/>
      <c r="V73" s="24"/>
      <c r="W73" s="24"/>
      <c r="X73" s="24"/>
      <c r="Y73" s="24"/>
      <c r="Z73" s="24"/>
      <c r="AB73" s="2" t="s">
        <v>261</v>
      </c>
      <c r="AC73" s="2">
        <f>AVERAGE(AC53:AC62)</f>
        <v>2.2000000000000002</v>
      </c>
      <c r="AD73" s="7">
        <f>AVERAGE(AD53:AD62)</f>
        <v>6.3111111111111109</v>
      </c>
      <c r="AE73" s="2">
        <f>AVERAGE(AE53:AE62)</f>
        <v>1.2</v>
      </c>
      <c r="AF73" s="2">
        <f>AVERAGE(AF53:AF62)</f>
        <v>1</v>
      </c>
      <c r="AG73" s="2">
        <f>AVERAGE(AG53:AG62)</f>
        <v>6.4</v>
      </c>
      <c r="AO73" s="28" t="s">
        <v>261</v>
      </c>
      <c r="AP73" s="28">
        <f>AVERAGE(AP53:AP62)</f>
        <v>6.7</v>
      </c>
      <c r="AQ73" s="33">
        <f>AVERAGE(AQ53:AQ62)</f>
        <v>6.1999999999999984</v>
      </c>
      <c r="AR73" s="28">
        <f>AVERAGE(AR53:AR62)</f>
        <v>3.1</v>
      </c>
      <c r="AS73" s="28">
        <f>AVERAGE(AS53:AS62)</f>
        <v>2.7</v>
      </c>
      <c r="AT73" s="28">
        <f>AVERAGE(AT53:AT62)</f>
        <v>6.7</v>
      </c>
      <c r="AU73" s="24"/>
      <c r="AV73" s="24"/>
      <c r="AW73" s="24"/>
      <c r="AX73" s="24"/>
      <c r="AY73" s="24"/>
      <c r="AZ73" s="24"/>
      <c r="BB73" s="28" t="s">
        <v>261</v>
      </c>
      <c r="BC73" s="28">
        <f>AVERAGE(BC53:BC62)</f>
        <v>6.1</v>
      </c>
      <c r="BD73" s="33">
        <f>AVERAGE(BD53:BD62)</f>
        <v>9.2999999999999989</v>
      </c>
      <c r="BE73" s="28">
        <f>AVERAGE(BE53:BE62)</f>
        <v>5.2</v>
      </c>
      <c r="BF73" s="28">
        <f>AVERAGE(BF53:BF62)</f>
        <v>4.5999999999999996</v>
      </c>
      <c r="BG73" s="28">
        <f>AVERAGE(BG53:BG62)</f>
        <v>6.9</v>
      </c>
      <c r="BH73" s="24"/>
      <c r="BI73" s="24"/>
      <c r="BJ73" s="24"/>
      <c r="BK73" s="24"/>
      <c r="BL73" s="24"/>
      <c r="BM73" s="24"/>
      <c r="BO73" s="28" t="s">
        <v>261</v>
      </c>
      <c r="BP73" s="28">
        <f>AVERAGE(BP53:BP62)</f>
        <v>5.5</v>
      </c>
      <c r="BQ73" s="33">
        <f>AVERAGE(BQ53:BQ62)</f>
        <v>6</v>
      </c>
      <c r="BR73" s="28">
        <f>AVERAGE(BR53:BR62)</f>
        <v>3.2</v>
      </c>
      <c r="BS73" s="28">
        <f>AVERAGE(BS53:BS62)</f>
        <v>2.6</v>
      </c>
      <c r="BT73" s="28">
        <f>AVERAGE(BT53:BT62)</f>
        <v>6.5</v>
      </c>
      <c r="BU73" s="24"/>
      <c r="BV73" s="24"/>
      <c r="BW73" s="24"/>
      <c r="BX73" s="24"/>
      <c r="BY73" s="24"/>
      <c r="BZ73" s="24"/>
      <c r="CB73" s="28" t="s">
        <v>261</v>
      </c>
      <c r="CC73" s="21">
        <f>AVERAGE(CC53:CC62)</f>
        <v>2.7</v>
      </c>
      <c r="CD73" s="20">
        <f>AVERAGE(CD53:CD62)</f>
        <v>5.4888888888888889</v>
      </c>
      <c r="CE73" s="21">
        <f>AVERAGE(CE53:CE62)</f>
        <v>2</v>
      </c>
      <c r="CF73" s="21">
        <f>AVERAGE(CF53:CF62)</f>
        <v>3.2</v>
      </c>
      <c r="CG73" s="21">
        <f>AVERAGE(CG53:CG62)</f>
        <v>6.6</v>
      </c>
      <c r="CH73" s="24"/>
      <c r="CI73" s="24"/>
      <c r="CJ73" s="24"/>
      <c r="CK73" s="24"/>
      <c r="CL73" s="24"/>
      <c r="CM73" s="24"/>
      <c r="CO73" s="28" t="s">
        <v>261</v>
      </c>
      <c r="CP73" s="28">
        <f>AVERAGE(CP53:CP62)</f>
        <v>5.7</v>
      </c>
      <c r="CQ73" s="33">
        <f>AVERAGE(CQ53:CQ62)</f>
        <v>5.4666666666666668</v>
      </c>
      <c r="CR73" s="28">
        <f>AVERAGE(CR53:CR62)</f>
        <v>5.6</v>
      </c>
      <c r="CS73" s="28">
        <f>AVERAGE(CS53:CS62)</f>
        <v>6.1</v>
      </c>
      <c r="CT73" s="28">
        <f>AVERAGE(CT53:CT62)</f>
        <v>6.5</v>
      </c>
      <c r="CU73" s="24"/>
      <c r="CV73" s="24"/>
      <c r="CW73" s="24"/>
      <c r="CX73" s="24"/>
      <c r="CY73" s="24"/>
      <c r="CZ73" s="24"/>
    </row>
    <row r="74" spans="2:104" ht="14.25" customHeight="1" x14ac:dyDescent="0.3">
      <c r="B74" s="2" t="s">
        <v>264</v>
      </c>
      <c r="C74" s="2">
        <f t="shared" ref="C74:G74" si="4">AVERAGE(C63:C72)</f>
        <v>13.8</v>
      </c>
      <c r="D74" s="7">
        <f t="shared" si="4"/>
        <v>12.611111111111111</v>
      </c>
      <c r="E74" s="2">
        <f t="shared" si="4"/>
        <v>14.2</v>
      </c>
      <c r="F74" s="2">
        <f t="shared" si="4"/>
        <v>14.4</v>
      </c>
      <c r="G74" s="2">
        <f t="shared" si="4"/>
        <v>11.8</v>
      </c>
      <c r="O74" s="2" t="s">
        <v>264</v>
      </c>
      <c r="P74" s="2">
        <f>AVERAGE(P63:P72)</f>
        <v>14.1</v>
      </c>
      <c r="Q74" s="7">
        <f>AVERAGE(Q63:Q72)</f>
        <v>13.622222222222224</v>
      </c>
      <c r="R74" s="2">
        <f>AVERAGE(R63:R72)</f>
        <v>14.7</v>
      </c>
      <c r="S74" s="2"/>
      <c r="T74" s="2">
        <f>AVERAGE(T63:T72)</f>
        <v>9.9</v>
      </c>
      <c r="AB74" s="2" t="s">
        <v>264</v>
      </c>
      <c r="AC74" s="2">
        <f>AVERAGE(AC63:AC72)</f>
        <v>15.6</v>
      </c>
      <c r="AD74" s="7">
        <f>AVERAGE(AD63:AD72)</f>
        <v>12.5</v>
      </c>
      <c r="AE74" s="2">
        <f>AVERAGE(AE63:AE72)</f>
        <v>14.2</v>
      </c>
      <c r="AF74" s="2">
        <f>AVERAGE(AF63:AF72)</f>
        <v>14.5</v>
      </c>
      <c r="AG74" s="2">
        <f>AVERAGE(AG63:AG72)</f>
        <v>11.4</v>
      </c>
      <c r="AO74" s="2" t="s">
        <v>264</v>
      </c>
      <c r="AP74" s="15">
        <f>AVERAGE(AP63:AP72)</f>
        <v>13.3</v>
      </c>
      <c r="AQ74" s="15">
        <f>AVERAGE(AQ63:AQ72)</f>
        <v>12.155555555555555</v>
      </c>
      <c r="AR74" s="15">
        <f>AVERAGE(AR63:AR72)</f>
        <v>12.2</v>
      </c>
      <c r="AS74" s="15">
        <f>AVERAGE(AS63:AS72)</f>
        <v>12.6</v>
      </c>
      <c r="AT74" s="15">
        <f>AVERAGE(AT63:AT72)</f>
        <v>13.3</v>
      </c>
      <c r="BB74" s="2" t="s">
        <v>264</v>
      </c>
      <c r="BC74" s="2">
        <f>AVERAGE(BC63:BC72)</f>
        <v>13.4</v>
      </c>
      <c r="BD74" s="7">
        <f>AVERAGE(BD63:BD72)</f>
        <v>8.6666666666666679</v>
      </c>
      <c r="BE74" s="2">
        <f>AVERAGE(BE63:BE72)</f>
        <v>13.9</v>
      </c>
      <c r="BF74" s="2">
        <f>AVERAGE(BF63:BF72)</f>
        <v>14.3</v>
      </c>
      <c r="BG74" s="2">
        <f>AVERAGE(BG63:BG72)</f>
        <v>12.6</v>
      </c>
      <c r="BO74" s="2" t="s">
        <v>264</v>
      </c>
      <c r="BP74" s="2">
        <f>AVERAGE(BP63:BP72)</f>
        <v>12</v>
      </c>
      <c r="BQ74" s="7">
        <f>AVERAGE(BQ63:BQ72)</f>
        <v>13.155555555555557</v>
      </c>
      <c r="BR74" s="2">
        <f>AVERAGE(BR63:BR72)</f>
        <v>12.4</v>
      </c>
      <c r="BS74" s="2">
        <f>AVERAGE(BS63:BS72)</f>
        <v>13.2</v>
      </c>
      <c r="BT74" s="2">
        <f>AVERAGE(BT63:BT72)</f>
        <v>11</v>
      </c>
      <c r="CB74" s="2" t="s">
        <v>264</v>
      </c>
      <c r="CC74" s="2">
        <f>AVERAGE(CC63:CC72)</f>
        <v>14.5</v>
      </c>
      <c r="CD74" s="7">
        <f>AVERAGE(CD63:CD72)</f>
        <v>12.455555555555554</v>
      </c>
      <c r="CE74" s="2">
        <f>AVERAGE(CE63:CE72)</f>
        <v>14</v>
      </c>
      <c r="CF74" s="2">
        <f>AVERAGE(CF63:CF72)</f>
        <v>14.3</v>
      </c>
      <c r="CG74" s="2">
        <f>AVERAGE(CG63:CG72)</f>
        <v>10.6</v>
      </c>
      <c r="CO74" s="2" t="s">
        <v>264</v>
      </c>
      <c r="CP74" s="2">
        <f>AVERAGE(CP63:CP72)</f>
        <v>12.9</v>
      </c>
      <c r="CQ74" s="7">
        <f>AVERAGE(CQ63:CQ72)</f>
        <v>12.611111111111111</v>
      </c>
      <c r="CR74" s="2">
        <f>AVERAGE(CR63:CR72)</f>
        <v>12.6</v>
      </c>
      <c r="CS74" s="2">
        <f>AVERAGE(CS63:CS72)</f>
        <v>12.7</v>
      </c>
      <c r="CT74" s="2">
        <f>AVERAGE(CT63:CT72)</f>
        <v>12.1</v>
      </c>
    </row>
    <row r="75" spans="2:104" ht="14.25" customHeight="1" x14ac:dyDescent="0.3">
      <c r="B75" s="2" t="s">
        <v>267</v>
      </c>
      <c r="C75" s="2">
        <f>_xlfn.SKEW.P(C53:C62)</f>
        <v>2.5105077288049045</v>
      </c>
      <c r="D75" s="2"/>
      <c r="E75" s="2"/>
      <c r="F75" s="2"/>
      <c r="G75" s="2">
        <f>_xlfn.SKEW.P(G53:G62)</f>
        <v>1.0192712340758487</v>
      </c>
      <c r="O75" s="2" t="s">
        <v>267</v>
      </c>
      <c r="P75" s="2">
        <f>_xlfn.SKEW.P(P53:P62)</f>
        <v>0.24653883276552402</v>
      </c>
      <c r="Q75" s="2"/>
      <c r="R75" s="2">
        <f>_xlfn.SKEW.P(T53:T62)</f>
        <v>1.439539308611987</v>
      </c>
      <c r="AB75" s="2" t="s">
        <v>267</v>
      </c>
      <c r="AC75" s="2">
        <f>_xlfn.SKEW.P(AC53:AC62)</f>
        <v>0.40824829046386252</v>
      </c>
      <c r="AD75" s="2"/>
      <c r="AE75" s="2"/>
      <c r="AF75" s="2"/>
      <c r="AG75" s="2">
        <f>_xlfn.SKEW.P(AG53:AG62)</f>
        <v>1.439539308611987</v>
      </c>
      <c r="AO75" s="2" t="s">
        <v>267</v>
      </c>
      <c r="AP75" s="2">
        <f>_xlfn.SKEW.P(AP53:AP62)</f>
        <v>1.0229409015734583</v>
      </c>
      <c r="AQ75" s="2"/>
      <c r="AR75" s="2"/>
      <c r="AS75" s="2"/>
      <c r="AT75" s="2">
        <f>_xlfn.SKEW.P(AT53:AT62)</f>
        <v>1.3565388563345311</v>
      </c>
      <c r="BB75" s="2" t="s">
        <v>267</v>
      </c>
      <c r="BC75" s="2">
        <f>_xlfn.SKEW.P(BC53:BC62)</f>
        <v>1.9715232787903592</v>
      </c>
      <c r="BD75" s="2"/>
      <c r="BE75" s="2"/>
      <c r="BF75" s="2"/>
      <c r="BG75" s="2">
        <f>_xlfn.SKEW.P(BG53:BG62)</f>
        <v>1.1027140330477248</v>
      </c>
      <c r="BO75" s="2" t="s">
        <v>267</v>
      </c>
      <c r="BP75" s="2">
        <f>_xlfn.SKEW.P(BP53:BP62)</f>
        <v>0.79343633191822061</v>
      </c>
      <c r="BQ75" s="2"/>
      <c r="BR75" s="2"/>
      <c r="BS75" s="2"/>
      <c r="BT75" s="2">
        <f>_xlfn.SKEW.P(BT53:BT62)</f>
        <v>1.3237812769537065</v>
      </c>
      <c r="CB75" s="2" t="s">
        <v>267</v>
      </c>
      <c r="CC75" s="2">
        <f>_xlfn.SKEW.P(CC53:CC62)</f>
        <v>1.4170809999052423</v>
      </c>
      <c r="CD75" s="2"/>
      <c r="CE75" s="2"/>
      <c r="CF75" s="2"/>
      <c r="CG75" s="2">
        <f>_xlfn.SKEW.P(CG53:CG62)</f>
        <v>1.2171081682680802</v>
      </c>
      <c r="CO75" s="2" t="s">
        <v>267</v>
      </c>
      <c r="CP75" s="2">
        <f>_xlfn.SKEW.P(CP53:CP62)</f>
        <v>1.0474455898579982</v>
      </c>
      <c r="CQ75" s="2"/>
      <c r="CR75" s="2"/>
      <c r="CS75" s="2"/>
      <c r="CT75" s="2">
        <f>_xlfn.SKEW.P(CT53:CT62)</f>
        <v>1.5354500289785034</v>
      </c>
    </row>
    <row r="76" spans="2:104" ht="14.25" customHeight="1" x14ac:dyDescent="0.3">
      <c r="B76" s="2" t="s">
        <v>268</v>
      </c>
      <c r="C76" s="2">
        <f>_xlfn.SKEW.P(C63:C72)</f>
        <v>0.99713924130403808</v>
      </c>
      <c r="D76" s="2"/>
      <c r="E76" s="2"/>
      <c r="F76" s="2"/>
      <c r="G76" s="2">
        <f>_xlfn.SKEW.P(G63:G72)</f>
        <v>0.47081825128285698</v>
      </c>
      <c r="O76" s="2" t="s">
        <v>268</v>
      </c>
      <c r="P76" s="2">
        <f>_xlfn.SKEW.P(P63:P72)</f>
        <v>0.26835271036894032</v>
      </c>
      <c r="Q76" s="2"/>
      <c r="R76" s="2">
        <f>_xlfn.SKEW.P(T63:T72)</f>
        <v>0.67327149645304007</v>
      </c>
      <c r="AB76" s="2" t="s">
        <v>268</v>
      </c>
      <c r="AC76" s="2">
        <f>_xlfn.SKEW.P(AC63:AC72)</f>
        <v>0.79015676517483635</v>
      </c>
      <c r="AD76" s="2"/>
      <c r="AE76" s="2"/>
      <c r="AF76" s="2"/>
      <c r="AG76" s="2">
        <f>_xlfn.SKEW.P(AG63:AG72)</f>
        <v>0.293552350856078</v>
      </c>
      <c r="AO76" s="2" t="s">
        <v>268</v>
      </c>
      <c r="AP76" s="2">
        <f>_xlfn.SKEW.P(AP63:AP72)</f>
        <v>0.24940063343675284</v>
      </c>
      <c r="AQ76" s="2"/>
      <c r="AR76" s="2"/>
      <c r="AS76" s="2"/>
      <c r="AT76" s="2">
        <f>_xlfn.SKEW.P(AT63:AT72)</f>
        <v>0.69259119450135642</v>
      </c>
      <c r="BB76" s="2" t="s">
        <v>268</v>
      </c>
      <c r="BC76" s="2">
        <f>_xlfn.SKEW.P(BC63:BC72)</f>
        <v>0.70158772783726597</v>
      </c>
      <c r="BD76" s="2"/>
      <c r="BE76" s="2"/>
      <c r="BF76" s="2"/>
      <c r="BG76" s="2">
        <f>_xlfn.SKEW.P(BG63:BG72)</f>
        <v>0.19328714816880721</v>
      </c>
      <c r="BO76" s="2" t="s">
        <v>268</v>
      </c>
      <c r="BP76" s="2">
        <f>_xlfn.SKEW.P(BP63:BP72)</f>
        <v>7.9991439016115162E-2</v>
      </c>
      <c r="BQ76" s="2"/>
      <c r="BR76" s="2"/>
      <c r="BS76" s="2"/>
      <c r="BT76" s="2">
        <f>_xlfn.SKEW.P(BT63:BT72)</f>
        <v>0.40087303767725402</v>
      </c>
      <c r="CB76" s="2" t="s">
        <v>268</v>
      </c>
      <c r="CC76" s="2">
        <f>_xlfn.SKEW.P(CC63:CC72)</f>
        <v>0.67801417001393749</v>
      </c>
      <c r="CD76" s="2"/>
      <c r="CE76" s="2"/>
      <c r="CF76" s="2"/>
      <c r="CG76" s="2">
        <f>_xlfn.SKEW.P(CG63:CG72)</f>
        <v>0.11245947602817583</v>
      </c>
      <c r="CO76" s="2" t="s">
        <v>268</v>
      </c>
      <c r="CP76" s="2">
        <f>_xlfn.SKEW.P(CP63:CP72)</f>
        <v>6.3445178112784051E-2</v>
      </c>
      <c r="CQ76" s="2"/>
      <c r="CR76" s="2"/>
      <c r="CS76" s="2"/>
      <c r="CT76" s="2">
        <f>_xlfn.SKEW.P(CT63:CT72)</f>
        <v>0.19414172490464759</v>
      </c>
    </row>
    <row r="77" spans="2:104" ht="14.25" customHeight="1" x14ac:dyDescent="0.3">
      <c r="B77" s="2" t="s">
        <v>269</v>
      </c>
      <c r="C77" s="3">
        <v>12.282983388419909</v>
      </c>
      <c r="O77" s="2" t="s">
        <v>269</v>
      </c>
      <c r="P77" s="3">
        <v>27.47235034777016</v>
      </c>
      <c r="AB77" s="2" t="s">
        <v>269</v>
      </c>
      <c r="AC77" s="3">
        <v>29.68770954126353</v>
      </c>
      <c r="AO77" s="2" t="s">
        <v>269</v>
      </c>
      <c r="AP77" s="3">
        <v>14.170850796831919</v>
      </c>
      <c r="BB77" s="2" t="s">
        <v>269</v>
      </c>
      <c r="BC77" s="3">
        <v>14.052379669636769</v>
      </c>
      <c r="BO77" s="2" t="s">
        <v>269</v>
      </c>
      <c r="BP77" s="3">
        <v>12.299630695884581</v>
      </c>
      <c r="CB77" s="2" t="s">
        <v>269</v>
      </c>
      <c r="CC77" s="3">
        <v>24.8479254156005</v>
      </c>
      <c r="CO77" s="2" t="s">
        <v>269</v>
      </c>
      <c r="CP77" s="3">
        <v>15.81889194012083</v>
      </c>
    </row>
    <row r="78" spans="2:104" ht="14.25" customHeight="1" x14ac:dyDescent="0.3">
      <c r="B78" s="2" t="s">
        <v>270</v>
      </c>
      <c r="C78" s="2">
        <v>9</v>
      </c>
      <c r="O78" s="2" t="s">
        <v>270</v>
      </c>
      <c r="P78" s="2">
        <v>11</v>
      </c>
      <c r="AB78" s="2" t="s">
        <v>270</v>
      </c>
      <c r="AC78" s="2">
        <v>12</v>
      </c>
      <c r="AO78" s="2" t="s">
        <v>270</v>
      </c>
      <c r="AP78" s="2">
        <v>10</v>
      </c>
      <c r="BB78" s="2" t="s">
        <v>270</v>
      </c>
      <c r="BC78" s="2">
        <v>7</v>
      </c>
      <c r="BO78" s="2" t="s">
        <v>270</v>
      </c>
      <c r="BP78" s="2">
        <v>7</v>
      </c>
      <c r="CB78" s="2" t="s">
        <v>270</v>
      </c>
      <c r="CC78" s="2">
        <v>11</v>
      </c>
      <c r="CO78" s="2" t="s">
        <v>270</v>
      </c>
      <c r="CP78" s="2">
        <v>9</v>
      </c>
    </row>
    <row r="79" spans="2:104" ht="14.25" customHeight="1" x14ac:dyDescent="0.3">
      <c r="B79" s="17" t="s">
        <v>271</v>
      </c>
      <c r="C79" s="2">
        <f>C78*2</f>
        <v>18</v>
      </c>
      <c r="O79" s="17" t="s">
        <v>271</v>
      </c>
      <c r="P79" s="2">
        <f>P78*2</f>
        <v>22</v>
      </c>
      <c r="AB79" s="17" t="s">
        <v>271</v>
      </c>
      <c r="AC79" s="2">
        <f>AC78*2</f>
        <v>24</v>
      </c>
      <c r="AO79" s="17" t="s">
        <v>271</v>
      </c>
      <c r="AP79" s="2">
        <f>AP78*2</f>
        <v>20</v>
      </c>
      <c r="BB79" s="17" t="s">
        <v>271</v>
      </c>
      <c r="BC79" s="2">
        <f>BC78*2</f>
        <v>14</v>
      </c>
      <c r="BO79" s="17" t="s">
        <v>271</v>
      </c>
      <c r="BP79" s="2">
        <f>BP78*2</f>
        <v>14</v>
      </c>
      <c r="CB79" s="17" t="s">
        <v>271</v>
      </c>
      <c r="CC79" s="2">
        <f>CC78*2</f>
        <v>22</v>
      </c>
      <c r="CO79" s="17" t="s">
        <v>271</v>
      </c>
      <c r="CP79" s="2">
        <f>CP78*2</f>
        <v>18</v>
      </c>
    </row>
    <row r="80" spans="2:104" ht="14.25" customHeight="1" x14ac:dyDescent="0.3"/>
    <row r="81" spans="2:104" ht="14.25" customHeight="1" x14ac:dyDescent="0.3"/>
    <row r="82" spans="2:104" ht="14.25" customHeight="1" x14ac:dyDescent="0.3"/>
    <row r="83" spans="2:104" ht="14.25" customHeight="1" x14ac:dyDescent="0.3"/>
    <row r="84" spans="2:104" ht="14.25" customHeight="1" x14ac:dyDescent="0.3">
      <c r="B84" s="24"/>
      <c r="C84" s="27" t="s">
        <v>280</v>
      </c>
      <c r="D84" s="27"/>
      <c r="E84" s="27"/>
      <c r="F84" s="27"/>
      <c r="G84" s="27"/>
      <c r="H84" s="24"/>
      <c r="I84" s="24"/>
      <c r="J84" s="24"/>
      <c r="K84" s="24"/>
      <c r="L84" s="24"/>
      <c r="M84" s="24"/>
      <c r="O84" s="24"/>
      <c r="P84" s="27" t="s">
        <v>281</v>
      </c>
      <c r="Q84" s="27"/>
      <c r="R84" s="27"/>
      <c r="S84" s="24"/>
      <c r="T84" s="24"/>
      <c r="U84" s="24"/>
      <c r="V84" s="24"/>
      <c r="W84" s="24"/>
      <c r="X84" s="24"/>
      <c r="Y84" s="24"/>
      <c r="Z84" s="24"/>
      <c r="AB84" s="24"/>
      <c r="AC84" s="27" t="s">
        <v>282</v>
      </c>
      <c r="AD84" s="27"/>
      <c r="AE84" s="27"/>
      <c r="AF84" s="27"/>
      <c r="AG84" s="27"/>
      <c r="AH84" s="24"/>
      <c r="AI84" s="24"/>
      <c r="AJ84" s="24"/>
      <c r="AK84" s="24"/>
      <c r="AL84" s="24"/>
      <c r="AM84" s="24"/>
      <c r="AO84" s="24"/>
      <c r="AP84" s="27" t="s">
        <v>283</v>
      </c>
      <c r="AQ84" s="27"/>
      <c r="AR84" s="27"/>
      <c r="AS84" s="27"/>
      <c r="AT84" s="27"/>
      <c r="AU84" s="24"/>
      <c r="AV84" s="24"/>
      <c r="AW84" s="24"/>
      <c r="AX84" s="24"/>
      <c r="AY84" s="24"/>
      <c r="AZ84" s="24"/>
      <c r="BB84" s="24"/>
      <c r="BC84" s="27" t="s">
        <v>284</v>
      </c>
      <c r="BD84" s="27"/>
      <c r="BE84" s="27"/>
      <c r="BF84" s="27"/>
      <c r="BG84" s="27"/>
      <c r="BH84" s="24"/>
      <c r="BI84" s="24"/>
      <c r="BJ84" s="24"/>
      <c r="BK84" s="24"/>
      <c r="BL84" s="24"/>
      <c r="BM84" s="24"/>
      <c r="BO84" s="24"/>
      <c r="BP84" s="27" t="s">
        <v>285</v>
      </c>
      <c r="BQ84" s="27"/>
      <c r="BR84" s="27"/>
      <c r="BS84" s="27"/>
      <c r="BT84" s="27"/>
      <c r="BU84" s="24"/>
      <c r="BV84" s="24"/>
      <c r="BW84" s="24"/>
      <c r="BX84" s="24"/>
      <c r="BY84" s="24"/>
      <c r="BZ84" s="24"/>
      <c r="CB84" s="24"/>
      <c r="CC84" s="27" t="s">
        <v>286</v>
      </c>
      <c r="CD84" s="27"/>
      <c r="CE84" s="27"/>
      <c r="CF84" s="27"/>
      <c r="CG84" s="27"/>
      <c r="CH84" s="24"/>
      <c r="CI84" s="24"/>
      <c r="CJ84" s="24"/>
      <c r="CK84" s="24"/>
      <c r="CL84" s="24"/>
      <c r="CM84" s="24"/>
      <c r="CO84" s="24"/>
      <c r="CP84" s="27" t="s">
        <v>287</v>
      </c>
      <c r="CQ84" s="27"/>
      <c r="CR84" s="27"/>
      <c r="CS84" s="27"/>
      <c r="CT84" s="27"/>
      <c r="CU84" s="24"/>
      <c r="CV84" s="24"/>
      <c r="CW84" s="24"/>
      <c r="CX84" s="24"/>
      <c r="CY84" s="24"/>
      <c r="CZ84" s="24"/>
    </row>
    <row r="85" spans="2:104" ht="14.25" customHeight="1" x14ac:dyDescent="0.3">
      <c r="B85" s="30" t="s">
        <v>180</v>
      </c>
      <c r="C85" s="30" t="s">
        <v>5</v>
      </c>
      <c r="D85" s="30" t="s">
        <v>245</v>
      </c>
      <c r="E85" s="35" t="s">
        <v>255</v>
      </c>
      <c r="F85" s="35" t="s">
        <v>256</v>
      </c>
      <c r="G85" s="30" t="s">
        <v>257</v>
      </c>
      <c r="H85" s="30" t="s">
        <v>258</v>
      </c>
      <c r="I85" s="26" t="s">
        <v>334</v>
      </c>
      <c r="J85" s="30" t="s">
        <v>12</v>
      </c>
      <c r="K85" s="30" t="s">
        <v>259</v>
      </c>
      <c r="L85" s="30" t="s">
        <v>260</v>
      </c>
      <c r="M85" s="30" t="s">
        <v>333</v>
      </c>
      <c r="O85" s="30" t="s">
        <v>180</v>
      </c>
      <c r="P85" s="30" t="s">
        <v>5</v>
      </c>
      <c r="Q85" s="30" t="s">
        <v>190</v>
      </c>
      <c r="R85" s="30" t="s">
        <v>255</v>
      </c>
      <c r="S85" s="35" t="s">
        <v>256</v>
      </c>
      <c r="T85" s="35" t="s">
        <v>257</v>
      </c>
      <c r="U85" s="30" t="s">
        <v>258</v>
      </c>
      <c r="V85" s="26" t="s">
        <v>334</v>
      </c>
      <c r="W85" s="30" t="s">
        <v>12</v>
      </c>
      <c r="X85" s="30" t="s">
        <v>259</v>
      </c>
      <c r="Y85" s="30" t="s">
        <v>260</v>
      </c>
      <c r="Z85" s="30" t="s">
        <v>333</v>
      </c>
      <c r="AB85" s="30" t="s">
        <v>180</v>
      </c>
      <c r="AC85" s="30" t="s">
        <v>5</v>
      </c>
      <c r="AD85" s="30" t="s">
        <v>231</v>
      </c>
      <c r="AE85" s="35" t="s">
        <v>255</v>
      </c>
      <c r="AF85" s="35" t="s">
        <v>256</v>
      </c>
      <c r="AG85" s="30" t="s">
        <v>257</v>
      </c>
      <c r="AH85" s="30" t="s">
        <v>258</v>
      </c>
      <c r="AI85" s="26" t="s">
        <v>334</v>
      </c>
      <c r="AJ85" s="30" t="s">
        <v>12</v>
      </c>
      <c r="AK85" s="30" t="s">
        <v>259</v>
      </c>
      <c r="AL85" s="30" t="s">
        <v>260</v>
      </c>
      <c r="AM85" s="30" t="s">
        <v>333</v>
      </c>
      <c r="AO85" s="30" t="s">
        <v>180</v>
      </c>
      <c r="AP85" s="30" t="s">
        <v>5</v>
      </c>
      <c r="AQ85" s="30" t="s">
        <v>233</v>
      </c>
      <c r="AR85" s="35" t="s">
        <v>255</v>
      </c>
      <c r="AS85" s="35" t="s">
        <v>256</v>
      </c>
      <c r="AT85" s="30" t="s">
        <v>257</v>
      </c>
      <c r="AU85" s="30" t="s">
        <v>258</v>
      </c>
      <c r="AV85" s="26" t="s">
        <v>334</v>
      </c>
      <c r="AW85" s="30" t="s">
        <v>12</v>
      </c>
      <c r="AX85" s="30" t="s">
        <v>259</v>
      </c>
      <c r="AY85" s="30" t="s">
        <v>260</v>
      </c>
      <c r="AZ85" s="30" t="s">
        <v>333</v>
      </c>
      <c r="BB85" s="30" t="s">
        <v>180</v>
      </c>
      <c r="BC85" s="30" t="s">
        <v>5</v>
      </c>
      <c r="BD85" s="30" t="s">
        <v>235</v>
      </c>
      <c r="BE85" s="35" t="s">
        <v>255</v>
      </c>
      <c r="BF85" s="35" t="s">
        <v>256</v>
      </c>
      <c r="BG85" s="30" t="s">
        <v>257</v>
      </c>
      <c r="BH85" s="30" t="s">
        <v>258</v>
      </c>
      <c r="BI85" s="26" t="s">
        <v>334</v>
      </c>
      <c r="BJ85" s="30" t="s">
        <v>12</v>
      </c>
      <c r="BK85" s="30" t="s">
        <v>259</v>
      </c>
      <c r="BL85" s="30" t="s">
        <v>260</v>
      </c>
      <c r="BM85" s="30" t="s">
        <v>333</v>
      </c>
      <c r="BO85" s="30" t="s">
        <v>180</v>
      </c>
      <c r="BP85" s="30" t="s">
        <v>5</v>
      </c>
      <c r="BQ85" s="30" t="s">
        <v>238</v>
      </c>
      <c r="BR85" s="35" t="s">
        <v>255</v>
      </c>
      <c r="BS85" s="35" t="s">
        <v>256</v>
      </c>
      <c r="BT85" s="30" t="s">
        <v>257</v>
      </c>
      <c r="BU85" s="30" t="s">
        <v>258</v>
      </c>
      <c r="BV85" s="26" t="s">
        <v>334</v>
      </c>
      <c r="BW85" s="30" t="s">
        <v>12</v>
      </c>
      <c r="BX85" s="30" t="s">
        <v>259</v>
      </c>
      <c r="BY85" s="30" t="s">
        <v>260</v>
      </c>
      <c r="BZ85" s="30" t="s">
        <v>333</v>
      </c>
      <c r="CB85" s="30" t="s">
        <v>180</v>
      </c>
      <c r="CC85" s="30" t="s">
        <v>5</v>
      </c>
      <c r="CD85" s="30" t="s">
        <v>240</v>
      </c>
      <c r="CE85" s="35" t="s">
        <v>255</v>
      </c>
      <c r="CF85" s="35" t="s">
        <v>256</v>
      </c>
      <c r="CG85" s="30" t="s">
        <v>257</v>
      </c>
      <c r="CH85" s="30" t="s">
        <v>258</v>
      </c>
      <c r="CI85" s="26" t="s">
        <v>334</v>
      </c>
      <c r="CJ85" s="30" t="s">
        <v>12</v>
      </c>
      <c r="CK85" s="30" t="s">
        <v>259</v>
      </c>
      <c r="CL85" s="30" t="s">
        <v>260</v>
      </c>
      <c r="CM85" s="30" t="s">
        <v>333</v>
      </c>
      <c r="CO85" s="30" t="s">
        <v>180</v>
      </c>
      <c r="CP85" s="30" t="s">
        <v>5</v>
      </c>
      <c r="CQ85" s="30" t="s">
        <v>245</v>
      </c>
      <c r="CR85" s="35" t="s">
        <v>255</v>
      </c>
      <c r="CS85" s="35" t="s">
        <v>256</v>
      </c>
      <c r="CT85" s="30" t="s">
        <v>257</v>
      </c>
      <c r="CU85" s="30" t="s">
        <v>258</v>
      </c>
      <c r="CV85" s="26" t="s">
        <v>334</v>
      </c>
      <c r="CW85" s="30" t="s">
        <v>12</v>
      </c>
      <c r="CX85" s="30" t="s">
        <v>259</v>
      </c>
      <c r="CY85" s="30" t="s">
        <v>260</v>
      </c>
      <c r="CZ85" s="30" t="s">
        <v>333</v>
      </c>
    </row>
    <row r="86" spans="2:104" ht="14.25" customHeight="1" x14ac:dyDescent="0.3">
      <c r="B86" s="30" t="s">
        <v>195</v>
      </c>
      <c r="C86" s="30">
        <v>6</v>
      </c>
      <c r="D86" s="31">
        <v>3</v>
      </c>
      <c r="E86" s="29">
        <v>3</v>
      </c>
      <c r="F86" s="29">
        <v>3</v>
      </c>
      <c r="G86" s="30">
        <v>7</v>
      </c>
      <c r="H86" s="30">
        <v>0.9957863323050703</v>
      </c>
      <c r="I86" s="26" t="s">
        <v>325</v>
      </c>
      <c r="J86" s="30">
        <v>15</v>
      </c>
      <c r="K86" s="29">
        <f>IF(E86&lt;=C86,1,0)</f>
        <v>1</v>
      </c>
      <c r="L86" s="29">
        <f>E86-C86</f>
        <v>-3</v>
      </c>
      <c r="M86" s="29" t="str">
        <f>IF(H86&gt;0,
    IF(OR(C86&lt;=TRUNC(J86/2,0),C86=0),
        IF(G86=TRUNC(J86/2,0),
            "-1, Déficit y dejo la capacidad media",
            IF(AND(G86&gt;TRUNC(J86/2,0), G86&gt;C86),
                "1, Déficit y eliminé déficit",
                IF(AND(G86&lt;TRUNC(J86/2,0), G86&lt;C86),
                    "0, Déficit y no elimine déficit",
                    "-2, Déficit y resultado fue bueno")
            )
        ),
        IF(AND(G86&gt;TRUNC(J86/2,0), G86&gt;C86),
            "1, no había déficit, pero resultado fue mejor",
            IF(AND(G86&lt;TRUNC(J86/2,0),G86&lt;C86),
                "0, no había déficit y la dejo con déficit",
                IF(G86=TRUNC(J86/2,0),
                    "-1, no había déficit y dejo la capacidad media",
                    "-2,no había déficit y resultado fue bueno")
            )
        )
    ),
    IF(H86&lt;0,
        IF(C86&gt;TRUNC(J86/2,0),
            IF(G86=TRUNC(J86/2,0),
                "-1, Superávit y deje la capacidad media",
                IF(AND(G86&gt;TRUNC(J86/2,0), G86&gt;=C86),
                    "0, Superávit y no eliminé superávit",
                    IF(AND(G86&lt;TRUNC(J86/2,0),G86&lt;C86),
                        "1, Superávit y eliminé superávit",
                        "-2, Superávit y resultado fue bueno"
                    )
                )
            ),
            IF(AND(C86&lt;=TRUNC(J86/2,0),C86&gt;=0),
                IF(G86=TRUNC(J86/2,0),
                    "-1, no había superávit y deje la capacidad media",
                    IF(AND(G86&gt;TRUNC(J86/2,0), G86&gt;=C86),
                        "0, no había superávit, y la deje con superávit",
                        IF(AND(G86&lt;TRUNC(J86/2,0),G86&lt;C86),
                            "1, no había superávit, pero el resultado fue mejor",
                            "-2, no había superávit y resultado fue bueno"
                        )
                    )
                )
            )
        )
    )
)</f>
        <v>-1, Déficit y dejo la capacidad media</v>
      </c>
      <c r="O86" s="30" t="s">
        <v>195</v>
      </c>
      <c r="P86" s="29">
        <v>13</v>
      </c>
      <c r="Q86" s="31">
        <v>6.7777777777777777</v>
      </c>
      <c r="R86" s="29">
        <v>10</v>
      </c>
      <c r="S86" s="29">
        <v>8</v>
      </c>
      <c r="T86" s="29">
        <v>8</v>
      </c>
      <c r="U86" s="30">
        <v>0.9957863323050703</v>
      </c>
      <c r="V86" s="26" t="s">
        <v>325</v>
      </c>
      <c r="W86" s="30">
        <v>15</v>
      </c>
      <c r="X86" s="29">
        <f>IF(R86&lt;=P86,1,0)</f>
        <v>1</v>
      </c>
      <c r="Y86" s="29">
        <f>R86-P86</f>
        <v>-3</v>
      </c>
      <c r="Z86" s="29" t="str">
        <f>IF(U86&gt;0,
    IF(OR(P86&lt;=TRUNC(W86/2,0),P86=0),
        IF(T86=TRUNC(W86/2,0),
            "-1, Déficit y dejo la capacidad media",
            IF(AND(T86&gt;TRUNC(W86/2,0), T86&gt;P86),
                "1, Déficit y eliminé déficit",
                IF(AND(T86&lt;TRUNC(W86/2,0), T86&lt;P86),
                    "0, Déficit y no elimine déficit",
                    "-2, Déficit y resultado fue bueno")
            )
        ),
        IF(AND(T86&gt;TRUNC(W86/2,0), T86&gt;P86),
            "1, no había déficit, pero resultado fue mejor",
            IF(AND(T86&lt;TRUNC(W86/2,0),T86&lt;P86),
                "0, no había déficit y la dejo con déficit",
                IF(T86=TRUNC(W86/2,0),
                    "-1, no había déficit y dejo la capacidad media",
                    "-2,no había déficit y resultado fue bueno")
            )
        )
    ),
    IF(U86&lt;0,
        IF(P86&gt;TRUNC(W86/2,0),
            IF(T86=TRUNC(W86/2,0),
                "-1, Superávit y deje la capacidad media",
                IF(AND(T86&gt;TRUNC(W86/2,0), T86&gt;=P86),
                    "0, Superávit y no eliminé superávit",
                    IF(AND(T86&lt;TRUNC(W86/2,0),T86&lt;P86),
                        "1, Superávit y eliminé superávit",
                        "-2, Superávit y resultado fue bueno"
                    )
                )
            ),
            IF(AND(P86&lt;=TRUNC(W86/2,0),P86&gt;=0),
                IF(T86=TRUNC(W86/2,0),
                    "-1, no había superávit y deje la capacidad media",
                    IF(AND(T86&gt;TRUNC(W86/2,0), T86&gt;=P86),
                        "0, no había superávit, y la deje con superávit",
                        IF(AND(T86&lt;TRUNC(W86/2,0),T86&lt;P86),
                            "1, no había superávit, pero el resultado fue mejor",
                            "-2, no había superávit y resultado fue bueno"
                        )
                    )
                )
            )
        )
    )
)</f>
        <v>-2,no había déficit y resultado fue bueno</v>
      </c>
      <c r="AB86" s="30" t="s">
        <v>195</v>
      </c>
      <c r="AC86" s="29">
        <v>9</v>
      </c>
      <c r="AD86" s="31">
        <v>6.2222222222222223</v>
      </c>
      <c r="AE86" s="29">
        <v>4</v>
      </c>
      <c r="AF86" s="29">
        <v>5</v>
      </c>
      <c r="AG86" s="29">
        <v>9</v>
      </c>
      <c r="AH86" s="30">
        <v>0.9957863323050703</v>
      </c>
      <c r="AI86" s="26" t="s">
        <v>325</v>
      </c>
      <c r="AJ86" s="30">
        <v>15</v>
      </c>
      <c r="AK86" s="29">
        <f>IF(AE86&lt;=AC86,1,0)</f>
        <v>1</v>
      </c>
      <c r="AL86" s="29">
        <f>AE86-AC86</f>
        <v>-5</v>
      </c>
      <c r="AM86" s="29" t="str">
        <f>IF(AH86&gt;0,
    IF(OR(AC86&lt;=TRUNC(AJ86/2,0),AC86=0),
        IF(AG86=TRUNC(AJ86/2,0),
            "-1, Déficit y dejo la capacidad media",
            IF(AND(AG86&gt;TRUNC(AJ86/2,0), AG86&gt;AC86),
                "1, Déficit y eliminé déficit",
                IF(AND(AG86&lt;TRUNC(AJ86/2,0), AG86&lt;AC86),
                    "0, Déficit y no elimine déficit",
                    "-2, Déficit y resultado fue bueno")
            )
        ),
        IF(AND(AG86&gt;TRUNC(AJ86/2,0), AG86&gt;AC86),
            "1, no había déficit, pero resultado fue mejor",
            IF(AND(AG86&lt;TRUNC(AJ86/2,0),AG86&lt;AC86),
                "0, no había déficit y la dejo con déficit",
                IF(AG86=TRUNC(AJ86/2,0),
                    "-1, no había déficit y dejo la capacidad media",
                    "-2,no había déficit y resultado fue bueno")
            )
        )
    ),
    IF(AH86&lt;0,
        IF(AC86&gt;TRUNC(AJ86/2,0),
            IF(AG86=TRUNC(AJ86/2,0),
                "-1, Superávit y deje la capacidad media",
                IF(AND(AG86&gt;TRUNC(AJ86/2,0), AG86&gt;=AC86),
                    "0, Superávit y no eliminé superávit",
                    IF(AND(AG86&lt;TRUNC(AJ86/2,0),AG86&lt;AC86),
                        "1, Superávit y eliminé superávit",
                        "-2, Superávit y resultado fue bueno"
                    )
                )
            ),
            IF(AND(AC86&lt;=TRUNC(AJ86/2,0),AC86&gt;=0),
                IF(AG86=TRUNC(AJ86/2,0),
                    "-1, no había superávit y deje la capacidad media",
                    IF(AND(AG86&gt;TRUNC(AJ86/2,0), AG86&gt;=AC86),
                        "0, no había superávit, y la deje con superávit",
                        IF(AND(AG86&lt;TRUNC(AJ86/2,0),AG86&lt;AC86),
                            "1, no había superávit, pero el resultado fue mejor",
                            "-2, no había superávit y resultado fue bueno"
                        )
                    )
                )
            )
        )
    )
)</f>
        <v>-2,no había déficit y resultado fue bueno</v>
      </c>
      <c r="AO86" s="30" t="s">
        <v>195</v>
      </c>
      <c r="AP86" s="30">
        <v>9</v>
      </c>
      <c r="AQ86" s="31">
        <v>9</v>
      </c>
      <c r="AR86" s="29">
        <v>11</v>
      </c>
      <c r="AS86" s="29">
        <v>11</v>
      </c>
      <c r="AT86" s="30">
        <v>7</v>
      </c>
      <c r="AU86" s="30">
        <v>0.9957863323050703</v>
      </c>
      <c r="AV86" s="26" t="s">
        <v>325</v>
      </c>
      <c r="AW86" s="30">
        <v>15</v>
      </c>
      <c r="AX86" s="29">
        <f>IF(AR86&lt;=AP86,1,0)</f>
        <v>0</v>
      </c>
      <c r="AY86" s="29">
        <f>AR86-AP86</f>
        <v>2</v>
      </c>
      <c r="AZ86" s="29" t="str">
        <f>IF(AU86&gt;0,
    IF(OR(AP86&lt;=TRUNC(AW86/2,0),AP86=0),
        IF(AT86=TRUNC(AW86/2,0),
            "-1, Déficit y dejo la capacidad media",
            IF(AND(AT86&gt;TRUNC(AW86/2,0), AT86&gt;AP86),
                "1, Déficit y eliminé déficit",
                IF(AND(AT86&lt;TRUNC(AW86/2,0), AT86&lt;AP86),
                    "0, Déficit y no elimine déficit",
                    "-2, Déficit y resultado fue bueno")
            )
        ),
        IF(AND(AT86&gt;TRUNC(AW86/2,0), AT86&gt;AP86),
            "1, no había déficit, pero resultado fue mejor",
            IF(AND(AT86&lt;TRUNC(AW86/2,0),AT86&lt;AP86),
                "0, no había déficit y la dejo con déficit",
                IF(AT86=TRUNC(AW86/2,0),
                    "-1, no había déficit y dejo la capacidad media",
                    "-2,no había déficit y resultado fue bueno")
            )
        )
    ),
    IF(AU86&lt;0,
        IF(AP86&gt;TRUNC(AW86/2,0),
            IF(AT86=TRUNC(AW86/2,0),
                "-1, Superávit y deje la capacidad media",
                IF(AND(AT86&gt;TRUNC(AW86/2,0), AT86&gt;=AP86),
                    "0, Superávit y no eliminé superávit",
                    IF(AND(AT86&lt;TRUNC(AW86/2,0),AT86&lt;AP86),
                        "1, Superávit y eliminé superávit",
                        "-2, Superávit y resultado fue bueno"
                    )
                )
            ),
            IF(AND(AP86&lt;=TRUNC(AW86/2,0),AP86&gt;=0),
                IF(AT86=TRUNC(AW86/2,0),
                    "-1, no había superávit y deje la capacidad media",
                    IF(AND(AT86&gt;TRUNC(AW86/2,0), AT86&gt;=AP86),
                        "0, no había superávit, y la deje con superávit",
                        IF(AND(AT86&lt;TRUNC(AW86/2,0),AT86&lt;AP86),
                            "1, no había superávit, pero el resultado fue mejor",
                            "-2, no había superávit y resultado fue bueno"
                        )
                    )
                )
            )
        )
    )
)</f>
        <v>-1, no había déficit y dejo la capacidad media</v>
      </c>
      <c r="BB86" s="30" t="s">
        <v>195</v>
      </c>
      <c r="BC86" s="30">
        <v>5</v>
      </c>
      <c r="BD86" s="31">
        <v>7.8888888888888893</v>
      </c>
      <c r="BE86" s="29">
        <v>5</v>
      </c>
      <c r="BF86" s="29">
        <v>3</v>
      </c>
      <c r="BG86" s="30">
        <v>7</v>
      </c>
      <c r="BH86" s="30">
        <v>0.9957863323050703</v>
      </c>
      <c r="BI86" s="26" t="s">
        <v>325</v>
      </c>
      <c r="BJ86" s="30">
        <v>15</v>
      </c>
      <c r="BK86" s="29">
        <f>IF(BE86&lt;=BC86,1,0)</f>
        <v>1</v>
      </c>
      <c r="BL86" s="29">
        <f>BE86-BC86</f>
        <v>0</v>
      </c>
      <c r="BM86" s="29" t="str">
        <f>IF(BH86&gt;0,
    IF(OR(BC86&lt;=TRUNC(BJ86/2,0),BC86=0),
        IF(BG86=TRUNC(BJ86/2,0),
            "-1, Déficit y dejo la capacidad media",
            IF(AND(BG86&gt;TRUNC(BJ86/2,0), BG86&gt;BC86),
                "1, Déficit y eliminé déficit",
                IF(AND(BG86&lt;TRUNC(BJ86/2,0), BG86&lt;BC86),
                    "0, Déficit y no elimine déficit",
                    "-2, Déficit y resultado fue bueno")
            )
        ),
        IF(AND(BG86&gt;TRUNC(BJ86/2,0), BG86&gt;BC86),
            "1, no había déficit, pero resultado fue mejor",
            IF(AND(BG86&lt;TRUNC(BJ86/2,0),BG86&lt;BC86),
                "0, no había déficit y la dejo con déficit",
                IF(BG86=TRUNC(BJ86/2,0),
                    "-1, no había déficit y dejo la capacidad media",
                    "-2,no había déficit y resultado fue bueno")
            )
        )
    ),
    IF(BH86&lt;0,
        IF(BC86&gt;TRUNC(BJ86/2,0),
            IF(BG86=TRUNC(BJ86/2,0),
                "-1, Superávit y deje la capacidad media",
                IF(AND(BG86&gt;TRUNC(BJ86/2,0), BG86&gt;=BC86),
                    "0, Superávit y no eliminé superávit",
                    IF(AND(BG86&lt;TRUNC(BJ86/2,0),BG86&lt;BC86),
                        "1, Superávit y eliminé superávit",
                        "-2, Superávit y resultado fue bueno"
                    )
                )
            ),
            IF(AND(BC86&lt;=TRUNC(BJ86/2,0),BC86&gt;=0),
                IF(BG86=TRUNC(BJ86/2,0),
                    "-1, no había superávit y deje la capacidad media",
                    IF(AND(BG86&gt;TRUNC(BJ86/2,0), BG86&gt;=BC86),
                        "0, no había superávit, y la deje con superávit",
                        IF(AND(BG86&lt;TRUNC(BJ86/2,0),BG86&lt;BC86),
                            "1, no había superávit, pero el resultado fue mejor",
                            "-2, no había superávit y resultado fue bueno"
                        )
                    )
                )
            )
        )
    )
)</f>
        <v>-1, Déficit y dejo la capacidad media</v>
      </c>
      <c r="BO86" s="30" t="s">
        <v>195</v>
      </c>
      <c r="BP86" s="30">
        <v>13</v>
      </c>
      <c r="BQ86" s="31">
        <v>6.1111111111111107</v>
      </c>
      <c r="BR86" s="29">
        <v>12</v>
      </c>
      <c r="BS86" s="29">
        <v>12</v>
      </c>
      <c r="BT86" s="30">
        <v>7</v>
      </c>
      <c r="BU86" s="30">
        <v>0.9957863323050703</v>
      </c>
      <c r="BV86" s="26" t="s">
        <v>325</v>
      </c>
      <c r="BW86" s="30">
        <v>15</v>
      </c>
      <c r="BX86" s="29">
        <f>IF(BR86&lt;=BP86,1,0)</f>
        <v>1</v>
      </c>
      <c r="BY86" s="29">
        <f>BR86-BP86</f>
        <v>-1</v>
      </c>
      <c r="BZ86" s="29" t="str">
        <f>IF(BU86&gt;0,
    IF(OR(BP86&lt;=TRUNC(BW86/2,0),BP86=0),
        IF(BT86=TRUNC(BW86/2,0),
            "-1, Déficit y dejo la capacidad media",
            IF(AND(BT86&gt;TRUNC(BW86/2,0), BT86&gt;BP86),
                "1, Déficit y eliminé déficit",
                IF(AND(BT86&lt;TRUNC(BW86/2,0), BT86&lt;BP86),
                    "0, Déficit y no elimine déficit",
                    "-2, Déficit y resultado fue bueno")
            )
        ),
        IF(AND(BT86&gt;TRUNC(BW86/2,0), BT86&gt;BP86),
            "1, no había déficit, pero resultado fue mejor",
            IF(AND(BT86&lt;TRUNC(BW86/2,0),BT86&lt;BP86),
                "0, no había déficit y la dejo con déficit",
                IF(BT86=TRUNC(BW86/2,0),
                    "-1, no había déficit y dejo la capacidad media",
                    "-2,no había déficit y resultado fue bueno")
            )
        )
    ),
    IF(BU86&lt;0,
        IF(BP86&gt;TRUNC(BW86/2,0),
            IF(BT86=TRUNC(BW86/2,0),
                "-1, Superávit y deje la capacidad media",
                IF(AND(BT86&gt;TRUNC(BW86/2,0), BT86&gt;=BP86),
                    "0, Superávit y no eliminé superávit",
                    IF(AND(BT86&lt;TRUNC(BW86/2,0),BT86&lt;BP86),
                        "1, Superávit y eliminé superávit",
                        "-2, Superávit y resultado fue bueno"
                    )
                )
            ),
            IF(AND(BP86&lt;=TRUNC(BW86/2,0),BP86&gt;=0),
                IF(BT86=TRUNC(BW86/2,0),
                    "-1, no había superávit y deje la capacidad media",
                    IF(AND(BT86&gt;TRUNC(BW86/2,0), BT86&gt;=BP86),
                        "0, no había superávit, y la deje con superávit",
                        IF(AND(BT86&lt;TRUNC(BW86/2,0),BT86&lt;BP86),
                            "1, no había superávit, pero el resultado fue mejor",
                            "-2, no había superávit y resultado fue bueno"
                        )
                    )
                )
            )
        )
    )
)</f>
        <v>-1, no había déficit y dejo la capacidad media</v>
      </c>
      <c r="CB86" s="30" t="s">
        <v>195</v>
      </c>
      <c r="CC86" s="30">
        <v>12</v>
      </c>
      <c r="CD86" s="31">
        <v>4.4444444444444446</v>
      </c>
      <c r="CE86" s="31">
        <v>10</v>
      </c>
      <c r="CF86" s="29">
        <v>10</v>
      </c>
      <c r="CG86" s="30">
        <v>7</v>
      </c>
      <c r="CH86" s="30">
        <v>0.9957863323050703</v>
      </c>
      <c r="CI86" s="26" t="s">
        <v>325</v>
      </c>
      <c r="CJ86" s="30">
        <v>15</v>
      </c>
      <c r="CK86" s="29">
        <f>IF(CE86&lt;=CC86,1,0)</f>
        <v>1</v>
      </c>
      <c r="CL86" s="32">
        <f>CE86-CC86</f>
        <v>-2</v>
      </c>
      <c r="CM86" s="32" t="str">
        <f>IF(CH86&gt;0,
    IF(OR(CC86&lt;=TRUNC(CJ86/2,0),CC86=0),
        IF(CG86=TRUNC(CJ86/2,0),
            "-1, Déficit y dejo la capacidad media",
            IF(AND(CG86&gt;TRUNC(CJ86/2,0), CG86&gt;CC86),
                "1, Déficit y eliminé déficit",
                IF(AND(CG86&lt;TRUNC(CJ86/2,0), CG86&lt;CC86),
                    "0, Déficit y no elimine déficit",
                    "-2, Déficit y resultado fue bueno")
            )
        ),
        IF(AND(CG86&gt;TRUNC(CJ86/2,0), CG86&gt;CC86),
            "1, no había déficit, pero resultado fue mejor",
            IF(AND(CG86&lt;TRUNC(CJ86/2,0),CG86&lt;CC86),
                "0, no había déficit y la dejo con déficit",
                IF(CG86=TRUNC(CJ86/2,0),
                    "-1, no había déficit y dejo la capacidad media",
                    "-2,no había déficit y resultado fue bueno")
            )
        )
    ),
    IF(CH86&lt;0,
        IF(CC86&gt;TRUNC(CJ86/2,0),
            IF(CG86=TRUNC(CJ86/2,0),
                "-1, Superávit y deje la capacidad media",
                IF(AND(CG86&gt;TRUNC(CJ86/2,0), CG86&gt;=CC86),
                    "0, Superávit y no eliminé superávit",
                    IF(AND(CG86&lt;TRUNC(CJ86/2,0),CG86&lt;CC86),
                        "1, Superávit y eliminé superávit",
                        "-2, Superávit y resultado fue bueno"
                    )
                )
            ),
            IF(AND(CC86&lt;=TRUNC(CJ86/2,0),CC86&gt;=0),
                IF(CG86=TRUNC(CJ86/2,0),
                    "-1, no había superávit y deje la capacidad media",
                    IF(AND(CG86&gt;TRUNC(CJ86/2,0), CG86&gt;=CC86),
                        "0, no había superávit, y la deje con superávit",
                        IF(AND(CG86&lt;TRUNC(CJ86/2,0),CG86&lt;CC86),
                            "1, no había superávit, pero el resultado fue mejor",
                            "-2, no había superávit y resultado fue bueno"
                        )
                    )
                )
            )
        )
    )
)</f>
        <v>-1, no había déficit y dejo la capacidad media</v>
      </c>
      <c r="CO86" s="30" t="s">
        <v>195</v>
      </c>
      <c r="CP86" s="30">
        <v>5</v>
      </c>
      <c r="CQ86" s="31">
        <v>3</v>
      </c>
      <c r="CR86" s="31">
        <v>4</v>
      </c>
      <c r="CS86" s="29">
        <v>4</v>
      </c>
      <c r="CT86" s="30">
        <v>7</v>
      </c>
      <c r="CU86" s="30">
        <v>0.9957863323050703</v>
      </c>
      <c r="CV86" s="26" t="s">
        <v>325</v>
      </c>
      <c r="CW86" s="30">
        <v>15</v>
      </c>
      <c r="CX86" s="29">
        <f>IF(CR86&lt;=CP86,1,0)</f>
        <v>1</v>
      </c>
      <c r="CY86" s="32">
        <f>CR86-CP86</f>
        <v>-1</v>
      </c>
      <c r="CZ86" s="32" t="str">
        <f>IF(CU86&gt;0,
    IF(OR(CP86&lt;=TRUNC(CW86/2,0),CP86=0),
        IF(CT86=TRUNC(CW86/2,0),
            "-1, Déficit y dejo la capacidad media",
            IF(AND(CT86&gt;TRUNC(CW86/2,0), CT86&gt;CP86),
                "1, Déficit y eliminé déficit",
                IF(AND(CT86&lt;TRUNC(CW86/2,0), CT86&lt;CP86),
                    "0, Déficit y no elimine déficit",
                    "-2, Déficit y resultado fue bueno")
            )
        ),
        IF(AND(CT86&gt;TRUNC(CW86/2,0), CT86&gt;CP86),
            "1, no había déficit, pero resultado fue mejor",
            IF(AND(CT86&lt;TRUNC(CW86/2,0),CT86&lt;CP86),
                "0, no había déficit y la dejo con déficit",
                IF(CT86=TRUNC(CW86/2,0),
                    "-1, no había déficit y dejo la capacidad media",
                    "-2,no había déficit y resultado fue bueno")
            )
        )
    ),
    IF(CU86&lt;0,
        IF(CP86&gt;TRUNC(CW86/2,0),
            IF(CT86=TRUNC(CW86/2,0),
                "-1, Superávit y deje la capacidad media",
                IF(AND(CT86&gt;TRUNC(CW86/2,0), CT86&gt;=CP86),
                    "0, Superávit y no eliminé superávit",
                    IF(AND(CT86&lt;TRUNC(CW86/2,0),CT86&lt;CP86),
                        "1, Superávit y eliminé superávit",
                        "-2, Superávit y resultado fue bueno"
                    )
                )
            ),
            IF(AND(CP86&lt;=TRUNC(CW86/2,0),CP86&gt;=0),
                IF(CT86=TRUNC(CW86/2,0),
                    "-1, no había superávit y deje la capacidad media",
                    IF(AND(CT86&gt;TRUNC(CW86/2,0), CT86&gt;=CP86),
                        "0, no había superávit, y la deje con superávit",
                        IF(AND(CT86&lt;TRUNC(CW86/2,0),CT86&lt;CP86),
                            "1, no había superávit, pero el resultado fue mejor",
                            "-2, no había superávit y resultado fue bueno"
                        )
                    )
                )
            )
        )
    )
)</f>
        <v>-1, Déficit y dejo la capacidad media</v>
      </c>
    </row>
    <row r="87" spans="2:104" ht="14.25" customHeight="1" x14ac:dyDescent="0.3">
      <c r="B87" s="30" t="s">
        <v>199</v>
      </c>
      <c r="C87" s="30">
        <v>3</v>
      </c>
      <c r="D87" s="31">
        <v>1.8888888888888888</v>
      </c>
      <c r="E87" s="29">
        <v>3</v>
      </c>
      <c r="F87" s="29">
        <v>3</v>
      </c>
      <c r="G87" s="30">
        <v>5</v>
      </c>
      <c r="H87" s="30">
        <v>0.98995442105744402</v>
      </c>
      <c r="I87" s="26" t="s">
        <v>332</v>
      </c>
      <c r="J87" s="30">
        <v>11</v>
      </c>
      <c r="K87" s="29">
        <f>IF(E87&lt;=C87,1,0)</f>
        <v>1</v>
      </c>
      <c r="L87" s="29">
        <f>E87-C87</f>
        <v>0</v>
      </c>
      <c r="M87" s="29" t="str">
        <f>IF(H87&gt;0,
    IF(OR(C87&lt;=TRUNC(J87/2,0),C87=0),
        IF(G87=TRUNC(J87/2,0),
            "-1, Déficit y dejo la capacidad media",
            IF(AND(G87&gt;TRUNC(J87/2,0), G87&gt;C87),
                "1, Déficit y eliminé déficit",
                IF(AND(G87&lt;TRUNC(J87/2,0), G87&lt;C87),
                    "0, Déficit y no elimine déficit",
                    "-2, Déficit y resultado fue bueno")
            )
        ),
        IF(AND(G87&gt;TRUNC(J87/2,0), G87&gt;C87),
            "1, no había déficit, pero resultado fue mejor",
            IF(AND(G87&lt;TRUNC(J87/2,0),G87&lt;C87),
                "0, no había déficit y la dejo con déficit",
                IF(G87=TRUNC(J87/2,0),
                    "-1, no había déficit y dejo la capacidad media",
                    "-2,no había déficit y resultado fue bueno")
            )
        )
    ),
    IF(H87&lt;0,
        IF(C87&gt;TRUNC(J87/2,0),
            IF(G87=TRUNC(J87/2,0),
                "-1, Superávit y deje la capacidad media",
                IF(AND(G87&gt;TRUNC(J87/2,0), G87&gt;=C87),
                    "0, Superávit y no eliminé superávit",
                    IF(AND(G87&lt;TRUNC(J87/2,0),G87&lt;C87),
                        "1, Superávit y eliminé superávit",
                        "-2, Superávit y resultado fue bueno"
                    )
                )
            ),
            IF(AND(C87&lt;=TRUNC(J87/2,0),C87&gt;=0),
                IF(G87=TRUNC(J87/2,0),
                    "-1, no había superávit y deje la capacidad media",
                    IF(AND(G87&gt;TRUNC(J87/2,0), G87&gt;=C87),
                        "0, no había superávit, y la deje con superávit",
                        IF(AND(G87&lt;TRUNC(J87/2,0),G87&lt;C87),
                            "1, no había superávit, pero el resultado fue mejor",
                            "-2, no había superávit y resultado fue bueno"
                        )
                    )
                )
            )
        )
    )
)</f>
        <v>-1, Déficit y dejo la capacidad media</v>
      </c>
      <c r="O87" s="30" t="s">
        <v>199</v>
      </c>
      <c r="P87" s="29">
        <v>1</v>
      </c>
      <c r="Q87" s="31">
        <v>1.8888888888888888</v>
      </c>
      <c r="R87" s="29">
        <v>0</v>
      </c>
      <c r="S87" s="29">
        <v>0</v>
      </c>
      <c r="T87" s="29">
        <v>5</v>
      </c>
      <c r="U87" s="30">
        <v>0.98995442105744402</v>
      </c>
      <c r="V87" s="26" t="s">
        <v>332</v>
      </c>
      <c r="W87" s="30">
        <v>11</v>
      </c>
      <c r="X87" s="29">
        <f>IF(R87&lt;=P87,1,0)</f>
        <v>1</v>
      </c>
      <c r="Y87" s="29">
        <f>R87-P87</f>
        <v>-1</v>
      </c>
      <c r="Z87" s="29" t="str">
        <f>IF(U87&gt;0,
    IF(OR(P87&lt;=TRUNC(W87/2,0),P87=0),
        IF(T87=TRUNC(W87/2,0),
            "-1, Déficit y dejo la capacidad media",
            IF(AND(T87&gt;TRUNC(W87/2,0), T87&gt;P87),
                "1, Déficit y eliminé déficit",
                IF(AND(T87&lt;TRUNC(W87/2,0), T87&lt;P87),
                    "0, Déficit y no elimine déficit",
                    "-2, Déficit y resultado fue bueno")
            )
        ),
        IF(AND(T87&gt;TRUNC(W87/2,0), T87&gt;P87),
            "1, no había déficit, pero resultado fue mejor",
            IF(AND(T87&lt;TRUNC(W87/2,0),T87&lt;P87),
                "0, no había déficit y la dejo con déficit",
                IF(T87=TRUNC(W87/2,0),
                    "-1, no había déficit y dejo la capacidad media",
                    "-2,no había déficit y resultado fue bueno")
            )
        )
    ),
    IF(U87&lt;0,
        IF(P87&gt;TRUNC(W87/2,0),
            IF(T87=TRUNC(W87/2,0),
                "-1, Superávit y deje la capacidad media",
                IF(AND(T87&gt;TRUNC(W87/2,0), T87&gt;=P87),
                    "0, Superávit y no eliminé superávit",
                    IF(AND(T87&lt;TRUNC(W87/2,0),T87&lt;P87),
                        "1, Superávit y eliminé superávit",
                        "-2, Superávit y resultado fue bueno"
                    )
                )
            ),
            IF(AND(P87&lt;=TRUNC(W87/2,0),P87&gt;=0),
                IF(T87=TRUNC(W87/2,0),
                    "-1, no había superávit y deje la capacidad media",
                    IF(AND(T87&gt;TRUNC(W87/2,0), T87&gt;=P87),
                        "0, no había superávit, y la deje con superávit",
                        IF(AND(T87&lt;TRUNC(W87/2,0),T87&lt;P87),
                            "1, no había superávit, pero el resultado fue mejor",
                            "-2, no había superávit y resultado fue bueno"
                        )
                    )
                )
            )
        )
    )
)</f>
        <v>-1, Déficit y dejo la capacidad media</v>
      </c>
      <c r="AB87" s="30" t="s">
        <v>199</v>
      </c>
      <c r="AC87" s="29">
        <v>3</v>
      </c>
      <c r="AD87" s="31">
        <v>1.5555555555555556</v>
      </c>
      <c r="AE87" s="29">
        <v>3</v>
      </c>
      <c r="AF87" s="29">
        <v>2</v>
      </c>
      <c r="AG87" s="29">
        <v>7</v>
      </c>
      <c r="AH87" s="30">
        <v>0.98995442105744402</v>
      </c>
      <c r="AI87" s="26" t="s">
        <v>332</v>
      </c>
      <c r="AJ87" s="30">
        <v>11</v>
      </c>
      <c r="AK87" s="29">
        <f>IF(AE87&lt;=AC87,1,0)</f>
        <v>1</v>
      </c>
      <c r="AL87" s="29">
        <f>AE87-AC87</f>
        <v>0</v>
      </c>
      <c r="AM87" s="29" t="str">
        <f>IF(AH87&gt;0,
    IF(OR(AC87&lt;=TRUNC(AJ87/2,0),AC87=0),
        IF(AG87=TRUNC(AJ87/2,0),
            "-1, Déficit y dejo la capacidad media",
            IF(AND(AG87&gt;TRUNC(AJ87/2,0), AG87&gt;AC87),
                "1, Déficit y eliminé déficit",
                IF(AND(AG87&lt;TRUNC(AJ87/2,0), AG87&lt;AC87),
                    "0, Déficit y no elimine déficit",
                    "-2, Déficit y resultado fue bueno")
            )
        ),
        IF(AND(AG87&gt;TRUNC(AJ87/2,0), AG87&gt;AC87),
            "1, no había déficit, pero resultado fue mejor",
            IF(AND(AG87&lt;TRUNC(AJ87/2,0),AG87&lt;AC87),
                "0, no había déficit y la dejo con déficit",
                IF(AG87=TRUNC(AJ87/2,0),
                    "-1, no había déficit y dejo la capacidad media",
                    "-2,no había déficit y resultado fue bueno")
            )
        )
    ),
    IF(AH87&lt;0,
        IF(AC87&gt;TRUNC(AJ87/2,0),
            IF(AG87=TRUNC(AJ87/2,0),
                "-1, Superávit y deje la capacidad media",
                IF(AND(AG87&gt;TRUNC(AJ87/2,0), AG87&gt;=AC87),
                    "0, Superávit y no eliminé superávit",
                    IF(AND(AG87&lt;TRUNC(AJ87/2,0),AG87&lt;AC87),
                        "1, Superávit y eliminé superávit",
                        "-2, Superávit y resultado fue bueno"
                    )
                )
            ),
            IF(AND(AC87&lt;=TRUNC(AJ87/2,0),AC87&gt;=0),
                IF(AG87=TRUNC(AJ87/2,0),
                    "-1, no había superávit y deje la capacidad media",
                    IF(AND(AG87&gt;TRUNC(AJ87/2,0), AG87&gt;=AC87),
                        "0, no había superávit, y la deje con superávit",
                        IF(AND(AG87&lt;TRUNC(AJ87/2,0),AG87&lt;AC87),
                            "1, no había superávit, pero el resultado fue mejor",
                            "-2, no había superávit y resultado fue bueno"
                        )
                    )
                )
            )
        )
    )
)</f>
        <v>1, Déficit y eliminé déficit</v>
      </c>
      <c r="AO87" s="30" t="s">
        <v>199</v>
      </c>
      <c r="AP87" s="30">
        <v>2</v>
      </c>
      <c r="AQ87" s="31">
        <v>0.88888888888888884</v>
      </c>
      <c r="AR87" s="29">
        <v>1</v>
      </c>
      <c r="AS87" s="29">
        <v>1</v>
      </c>
      <c r="AT87" s="30">
        <v>5</v>
      </c>
      <c r="AU87" s="30">
        <v>0.98995442105744402</v>
      </c>
      <c r="AV87" s="26" t="s">
        <v>332</v>
      </c>
      <c r="AW87" s="30">
        <v>11</v>
      </c>
      <c r="AX87" s="29">
        <f>IF(AR87&lt;=AP87,1,0)</f>
        <v>1</v>
      </c>
      <c r="AY87" s="29">
        <f>AR87-AP87</f>
        <v>-1</v>
      </c>
      <c r="AZ87" s="29" t="str">
        <f>IF(AU87&gt;0,
    IF(OR(AP87&lt;=TRUNC(AW87/2,0),AP87=0),
        IF(AT87=TRUNC(AW87/2,0),
            "-1, Déficit y dejo la capacidad media",
            IF(AND(AT87&gt;TRUNC(AW87/2,0), AT87&gt;AP87),
                "1, Déficit y eliminé déficit",
                IF(AND(AT87&lt;TRUNC(AW87/2,0), AT87&lt;AP87),
                    "0, Déficit y no elimine déficit",
                    "-2, Déficit y resultado fue bueno")
            )
        ),
        IF(AND(AT87&gt;TRUNC(AW87/2,0), AT87&gt;AP87),
            "1, no había déficit, pero resultado fue mejor",
            IF(AND(AT87&lt;TRUNC(AW87/2,0),AT87&lt;AP87),
                "0, no había déficit y la dejo con déficit",
                IF(AT87=TRUNC(AW87/2,0),
                    "-1, no había déficit y dejo la capacidad media",
                    "-2,no había déficit y resultado fue bueno")
            )
        )
    ),
    IF(AU87&lt;0,
        IF(AP87&gt;TRUNC(AW87/2,0),
            IF(AT87=TRUNC(AW87/2,0),
                "-1, Superávit y deje la capacidad media",
                IF(AND(AT87&gt;TRUNC(AW87/2,0), AT87&gt;=AP87),
                    "0, Superávit y no eliminé superávit",
                    IF(AND(AT87&lt;TRUNC(AW87/2,0),AT87&lt;AP87),
                        "1, Superávit y eliminé superávit",
                        "-2, Superávit y resultado fue bueno"
                    )
                )
            ),
            IF(AND(AP87&lt;=TRUNC(AW87/2,0),AP87&gt;=0),
                IF(AT87=TRUNC(AW87/2,0),
                    "-1, no había superávit y deje la capacidad media",
                    IF(AND(AT87&gt;TRUNC(AW87/2,0), AT87&gt;=AP87),
                        "0, no había superávit, y la deje con superávit",
                        IF(AND(AT87&lt;TRUNC(AW87/2,0),AT87&lt;AP87),
                            "1, no había superávit, pero el resultado fue mejor",
                            "-2, no había superávit y resultado fue bueno"
                        )
                    )
                )
            )
        )
    )
)</f>
        <v>-1, Déficit y dejo la capacidad media</v>
      </c>
      <c r="BB87" s="30" t="s">
        <v>199</v>
      </c>
      <c r="BC87" s="30">
        <v>4</v>
      </c>
      <c r="BD87" s="31">
        <v>3.1111111111111112</v>
      </c>
      <c r="BE87" s="29">
        <v>3</v>
      </c>
      <c r="BF87" s="29">
        <v>3</v>
      </c>
      <c r="BG87" s="30">
        <v>5</v>
      </c>
      <c r="BH87" s="30">
        <v>0.98995442105744402</v>
      </c>
      <c r="BI87" s="26" t="s">
        <v>332</v>
      </c>
      <c r="BJ87" s="30">
        <v>11</v>
      </c>
      <c r="BK87" s="29">
        <f>IF(BE87&lt;=BC87,1,0)</f>
        <v>1</v>
      </c>
      <c r="BL87" s="29">
        <f>BE87-BC87</f>
        <v>-1</v>
      </c>
      <c r="BM87" s="29" t="str">
        <f>IF(BH87&gt;0,
    IF(OR(BC87&lt;=TRUNC(BJ87/2,0),BC87=0),
        IF(BG87=TRUNC(BJ87/2,0),
            "-1, Déficit y dejo la capacidad media",
            IF(AND(BG87&gt;TRUNC(BJ87/2,0), BG87&gt;BC87),
                "1, Déficit y eliminé déficit",
                IF(AND(BG87&lt;TRUNC(BJ87/2,0), BG87&lt;BC87),
                    "0, Déficit y no elimine déficit",
                    "-2, Déficit y resultado fue bueno")
            )
        ),
        IF(AND(BG87&gt;TRUNC(BJ87/2,0), BG87&gt;BC87),
            "1, no había déficit, pero resultado fue mejor",
            IF(AND(BG87&lt;TRUNC(BJ87/2,0),BG87&lt;BC87),
                "0, no había déficit y la dejo con déficit",
                IF(BG87=TRUNC(BJ87/2,0),
                    "-1, no había déficit y dejo la capacidad media",
                    "-2,no había déficit y resultado fue bueno")
            )
        )
    ),
    IF(BH87&lt;0,
        IF(BC87&gt;TRUNC(BJ87/2,0),
            IF(BG87=TRUNC(BJ87/2,0),
                "-1, Superávit y deje la capacidad media",
                IF(AND(BG87&gt;TRUNC(BJ87/2,0), BG87&gt;=BC87),
                    "0, Superávit y no eliminé superávit",
                    IF(AND(BG87&lt;TRUNC(BJ87/2,0),BG87&lt;BC87),
                        "1, Superávit y eliminé superávit",
                        "-2, Superávit y resultado fue bueno"
                    )
                )
            ),
            IF(AND(BC87&lt;=TRUNC(BJ87/2,0),BC87&gt;=0),
                IF(BG87=TRUNC(BJ87/2,0),
                    "-1, no había superávit y deje la capacidad media",
                    IF(AND(BG87&gt;TRUNC(BJ87/2,0), BG87&gt;=BC87),
                        "0, no había superávit, y la deje con superávit",
                        IF(AND(BG87&lt;TRUNC(BJ87/2,0),BG87&lt;BC87),
                            "1, no había superávit, pero el resultado fue mejor",
                            "-2, no había superávit y resultado fue bueno"
                        )
                    )
                )
            )
        )
    )
)</f>
        <v>-1, Déficit y dejo la capacidad media</v>
      </c>
      <c r="BO87" s="30" t="s">
        <v>199</v>
      </c>
      <c r="BP87" s="30">
        <v>7</v>
      </c>
      <c r="BQ87" s="31">
        <v>3.2222222222222223</v>
      </c>
      <c r="BR87" s="29">
        <v>4</v>
      </c>
      <c r="BS87" s="29">
        <v>4</v>
      </c>
      <c r="BT87" s="30">
        <v>5</v>
      </c>
      <c r="BU87" s="30">
        <v>0.98995442105744402</v>
      </c>
      <c r="BV87" s="26" t="s">
        <v>332</v>
      </c>
      <c r="BW87" s="30">
        <v>11</v>
      </c>
      <c r="BX87" s="29">
        <f>IF(BR87&lt;=BP87,1,0)</f>
        <v>1</v>
      </c>
      <c r="BY87" s="29">
        <f>BR87-BP87</f>
        <v>-3</v>
      </c>
      <c r="BZ87" s="29" t="str">
        <f>IF(BU87&gt;0,
    IF(OR(BP87&lt;=TRUNC(BW87/2,0),BP87=0),
        IF(BT87=TRUNC(BW87/2,0),
            "-1, Déficit y dejo la capacidad media",
            IF(AND(BT87&gt;TRUNC(BW87/2,0), BT87&gt;BP87),
                "1, Déficit y eliminé déficit",
                IF(AND(BT87&lt;TRUNC(BW87/2,0), BT87&lt;BP87),
                    "0, Déficit y no elimine déficit",
                    "-2, Déficit y resultado fue bueno")
            )
        ),
        IF(AND(BT87&gt;TRUNC(BW87/2,0), BT87&gt;BP87),
            "1, no había déficit, pero resultado fue mejor",
            IF(AND(BT87&lt;TRUNC(BW87/2,0),BT87&lt;BP87),
                "0, no había déficit y la dejo con déficit",
                IF(BT87=TRUNC(BW87/2,0),
                    "-1, no había déficit y dejo la capacidad media",
                    "-2,no había déficit y resultado fue bueno")
            )
        )
    ),
    IF(BU87&lt;0,
        IF(BP87&gt;TRUNC(BW87/2,0),
            IF(BT87=TRUNC(BW87/2,0),
                "-1, Superávit y deje la capacidad media",
                IF(AND(BT87&gt;TRUNC(BW87/2,0), BT87&gt;=BP87),
                    "0, Superávit y no eliminé superávit",
                    IF(AND(BT87&lt;TRUNC(BW87/2,0),BT87&lt;BP87),
                        "1, Superávit y eliminé superávit",
                        "-2, Superávit y resultado fue bueno"
                    )
                )
            ),
            IF(AND(BP87&lt;=TRUNC(BW87/2,0),BP87&gt;=0),
                IF(BT87=TRUNC(BW87/2,0),
                    "-1, no había superávit y deje la capacidad media",
                    IF(AND(BT87&gt;TRUNC(BW87/2,0), BT87&gt;=BP87),
                        "0, no había superávit, y la deje con superávit",
                        IF(AND(BT87&lt;TRUNC(BW87/2,0),BT87&lt;BP87),
                            "1, no había superávit, pero el resultado fue mejor",
                            "-2, no había superávit y resultado fue bueno"
                        )
                    )
                )
            )
        )
    )
)</f>
        <v>-1, no había déficit y dejo la capacidad media</v>
      </c>
      <c r="CB87" s="30" t="s">
        <v>199</v>
      </c>
      <c r="CC87" s="30">
        <v>5</v>
      </c>
      <c r="CD87" s="31">
        <v>3.7777777777777777</v>
      </c>
      <c r="CE87" s="31">
        <v>2</v>
      </c>
      <c r="CF87" s="29">
        <v>1</v>
      </c>
      <c r="CG87" s="30">
        <v>5</v>
      </c>
      <c r="CH87" s="30">
        <v>0.98995442105744402</v>
      </c>
      <c r="CI87" s="26" t="s">
        <v>332</v>
      </c>
      <c r="CJ87" s="30">
        <v>11</v>
      </c>
      <c r="CK87" s="29">
        <f>IF(CE87&lt;=CC87,1,0)</f>
        <v>1</v>
      </c>
      <c r="CL87" s="32">
        <f>CE87-CC87</f>
        <v>-3</v>
      </c>
      <c r="CM87" s="32" t="str">
        <f>IF(CH87&gt;0,
    IF(OR(CC87&lt;=TRUNC(CJ87/2,0),CC87=0),
        IF(CG87=TRUNC(CJ87/2,0),
            "-1, Déficit y dejo la capacidad media",
            IF(AND(CG87&gt;TRUNC(CJ87/2,0), CG87&gt;CC87),
                "1, Déficit y eliminé déficit",
                IF(AND(CG87&lt;TRUNC(CJ87/2,0), CG87&lt;CC87),
                    "0, Déficit y no elimine déficit",
                    "-2, Déficit y resultado fue bueno")
            )
        ),
        IF(AND(CG87&gt;TRUNC(CJ87/2,0), CG87&gt;CC87),
            "1, no había déficit, pero resultado fue mejor",
            IF(AND(CG87&lt;TRUNC(CJ87/2,0),CG87&lt;CC87),
                "0, no había déficit y la dejo con déficit",
                IF(CG87=TRUNC(CJ87/2,0),
                    "-1, no había déficit y dejo la capacidad media",
                    "-2,no había déficit y resultado fue bueno")
            )
        )
    ),
    IF(CH87&lt;0,
        IF(CC87&gt;TRUNC(CJ87/2,0),
            IF(CG87=TRUNC(CJ87/2,0),
                "-1, Superávit y deje la capacidad media",
                IF(AND(CG87&gt;TRUNC(CJ87/2,0), CG87&gt;=CC87),
                    "0, Superávit y no eliminé superávit",
                    IF(AND(CG87&lt;TRUNC(CJ87/2,0),CG87&lt;CC87),
                        "1, Superávit y eliminé superávit",
                        "-2, Superávit y resultado fue bueno"
                    )
                )
            ),
            IF(AND(CC87&lt;=TRUNC(CJ87/2,0),CC87&gt;=0),
                IF(CG87=TRUNC(CJ87/2,0),
                    "-1, no había superávit y deje la capacidad media",
                    IF(AND(CG87&gt;TRUNC(CJ87/2,0), CG87&gt;=CC87),
                        "0, no había superávit, y la deje con superávit",
                        IF(AND(CG87&lt;TRUNC(CJ87/2,0),CG87&lt;CC87),
                            "1, no había superávit, pero el resultado fue mejor",
                            "-2, no había superávit y resultado fue bueno"
                        )
                    )
                )
            )
        )
    )
)</f>
        <v>-1, Déficit y dejo la capacidad media</v>
      </c>
      <c r="CO87" s="30" t="s">
        <v>199</v>
      </c>
      <c r="CP87" s="37">
        <v>0</v>
      </c>
      <c r="CQ87" s="38">
        <v>1.8888888888888888</v>
      </c>
      <c r="CR87" s="38">
        <v>0</v>
      </c>
      <c r="CS87" s="37">
        <v>0</v>
      </c>
      <c r="CT87" s="30">
        <v>5</v>
      </c>
      <c r="CU87" s="30">
        <v>0.98995442105744402</v>
      </c>
      <c r="CV87" s="26" t="s">
        <v>332</v>
      </c>
      <c r="CW87" s="30">
        <v>11</v>
      </c>
      <c r="CX87" s="29">
        <f>IF(CR87&lt;=CP87,1,0)</f>
        <v>1</v>
      </c>
      <c r="CY87" s="32">
        <f>CR87-CP87</f>
        <v>0</v>
      </c>
      <c r="CZ87" s="32" t="str">
        <f>IF(CU87&gt;0,
    IF(OR(CP87&lt;=TRUNC(CW87/2,0),CP87=0),
        IF(CT87=TRUNC(CW87/2,0),
            "-1, Déficit y dejo la capacidad media",
            IF(AND(CT87&gt;TRUNC(CW87/2,0), CT87&gt;CP87),
                "1, Déficit y eliminé déficit",
                IF(AND(CT87&lt;TRUNC(CW87/2,0), CT87&lt;CP87),
                    "0, Déficit y no elimine déficit",
                    "-2, Déficit y resultado fue bueno")
            )
        ),
        IF(AND(CT87&gt;TRUNC(CW87/2,0), CT87&gt;CP87),
            "1, no había déficit, pero resultado fue mejor",
            IF(AND(CT87&lt;TRUNC(CW87/2,0),CT87&lt;CP87),
                "0, no había déficit y la dejo con déficit",
                IF(CT87=TRUNC(CW87/2,0),
                    "-1, no había déficit y dejo la capacidad media",
                    "-2,no había déficit y resultado fue bueno")
            )
        )
    ),
    IF(CU87&lt;0,
        IF(CP87&gt;TRUNC(CW87/2,0),
            IF(CT87=TRUNC(CW87/2,0),
                "-1, Superávit y deje la capacidad media",
                IF(AND(CT87&gt;TRUNC(CW87/2,0), CT87&gt;=CP87),
                    "0, Superávit y no eliminé superávit",
                    IF(AND(CT87&lt;TRUNC(CW87/2,0),CT87&lt;CP87),
                        "1, Superávit y eliminé superávit",
                        "-2, Superávit y resultado fue bueno"
                    )
                )
            ),
            IF(AND(CP87&lt;=TRUNC(CW87/2,0),CP87&gt;=0),
                IF(CT87=TRUNC(CW87/2,0),
                    "-1, no había superávit y deje la capacidad media",
                    IF(AND(CT87&gt;TRUNC(CW87/2,0), CT87&gt;=CP87),
                        "0, no había superávit, y la deje con superávit",
                        IF(AND(CT87&lt;TRUNC(CW87/2,0),CT87&lt;CP87),
                            "1, no había superávit, pero el resultado fue mejor",
                            "-2, no había superávit y resultado fue bueno"
                        )
                    )
                )
            )
        )
    )
)</f>
        <v>-1, Déficit y dejo la capacidad media</v>
      </c>
    </row>
    <row r="88" spans="2:104" ht="14.25" customHeight="1" x14ac:dyDescent="0.3">
      <c r="B88" s="30" t="s">
        <v>203</v>
      </c>
      <c r="C88" s="30">
        <v>1</v>
      </c>
      <c r="D88" s="31">
        <v>2</v>
      </c>
      <c r="E88" s="29">
        <v>1</v>
      </c>
      <c r="F88" s="29">
        <v>1</v>
      </c>
      <c r="G88" s="30">
        <v>5</v>
      </c>
      <c r="H88" s="30">
        <v>0.8031838310216366</v>
      </c>
      <c r="I88" s="26" t="s">
        <v>332</v>
      </c>
      <c r="J88" s="30">
        <v>11</v>
      </c>
      <c r="K88" s="29">
        <f>IF(E88&lt;=C88,1,0)</f>
        <v>1</v>
      </c>
      <c r="L88" s="29">
        <f>E88-C88</f>
        <v>0</v>
      </c>
      <c r="M88" s="29" t="str">
        <f>IF(H88&gt;0,
    IF(OR(C88&lt;=TRUNC(J88/2,0),C88=0),
        IF(G88=TRUNC(J88/2,0),
            "-1, Déficit y dejo la capacidad media",
            IF(AND(G88&gt;TRUNC(J88/2,0), G88&gt;C88),
                "1, Déficit y eliminé déficit",
                IF(AND(G88&lt;TRUNC(J88/2,0), G88&lt;C88),
                    "0, Déficit y no elimine déficit",
                    "-2, Déficit y resultado fue bueno")
            )
        ),
        IF(AND(G88&gt;TRUNC(J88/2,0), G88&gt;C88),
            "1, no había déficit, pero resultado fue mejor",
            IF(AND(G88&lt;TRUNC(J88/2,0),G88&lt;C88),
                "0, no había déficit y la dejo con déficit",
                IF(G88=TRUNC(J88/2,0),
                    "-1, no había déficit y dejo la capacidad media",
                    "-2,no había déficit y resultado fue bueno")
            )
        )
    ),
    IF(H88&lt;0,
        IF(C88&gt;TRUNC(J88/2,0),
            IF(G88=TRUNC(J88/2,0),
                "-1, Superávit y deje la capacidad media",
                IF(AND(G88&gt;TRUNC(J88/2,0), G88&gt;=C88),
                    "0, Superávit y no eliminé superávit",
                    IF(AND(G88&lt;TRUNC(J88/2,0),G88&lt;C88),
                        "1, Superávit y eliminé superávit",
                        "-2, Superávit y resultado fue bueno"
                    )
                )
            ),
            IF(AND(C88&lt;=TRUNC(J88/2,0),C88&gt;=0),
                IF(G88=TRUNC(J88/2,0),
                    "-1, no había superávit y deje la capacidad media",
                    IF(AND(G88&gt;TRUNC(J88/2,0), G88&gt;=C88),
                        "0, no había superávit, y la deje con superávit",
                        IF(AND(G88&lt;TRUNC(J88/2,0),G88&lt;C88),
                            "1, no había superávit, pero el resultado fue mejor",
                            "-2, no había superávit y resultado fue bueno"
                        )
                    )
                )
            )
        )
    )
)</f>
        <v>-1, Déficit y dejo la capacidad media</v>
      </c>
      <c r="O88" s="30" t="s">
        <v>203</v>
      </c>
      <c r="P88" s="29">
        <v>3</v>
      </c>
      <c r="Q88" s="31">
        <v>4.7777777777777777</v>
      </c>
      <c r="R88" s="29">
        <v>1</v>
      </c>
      <c r="S88" s="29">
        <v>1</v>
      </c>
      <c r="T88" s="29">
        <v>5</v>
      </c>
      <c r="U88" s="30">
        <v>0.8031838310216366</v>
      </c>
      <c r="V88" s="26" t="s">
        <v>332</v>
      </c>
      <c r="W88" s="30">
        <v>11</v>
      </c>
      <c r="X88" s="29">
        <f>IF(R88&lt;=P88,1,0)</f>
        <v>1</v>
      </c>
      <c r="Y88" s="29">
        <f>R88-P88</f>
        <v>-2</v>
      </c>
      <c r="Z88" s="29" t="str">
        <f>IF(U88&gt;0,
    IF(OR(P88&lt;=TRUNC(W88/2,0),P88=0),
        IF(T88=TRUNC(W88/2,0),
            "-1, Déficit y dejo la capacidad media",
            IF(AND(T88&gt;TRUNC(W88/2,0), T88&gt;P88),
                "1, Déficit y eliminé déficit",
                IF(AND(T88&lt;TRUNC(W88/2,0), T88&lt;P88),
                    "0, Déficit y no elimine déficit",
                    "-2, Déficit y resultado fue bueno")
            )
        ),
        IF(AND(T88&gt;TRUNC(W88/2,0), T88&gt;P88),
            "1, no había déficit, pero resultado fue mejor",
            IF(AND(T88&lt;TRUNC(W88/2,0),T88&lt;P88),
                "0, no había déficit y la dejo con déficit",
                IF(T88=TRUNC(W88/2,0),
                    "-1, no había déficit y dejo la capacidad media",
                    "-2,no había déficit y resultado fue bueno")
            )
        )
    ),
    IF(U88&lt;0,
        IF(P88&gt;TRUNC(W88/2,0),
            IF(T88=TRUNC(W88/2,0),
                "-1, Superávit y deje la capacidad media",
                IF(AND(T88&gt;TRUNC(W88/2,0), T88&gt;=P88),
                    "0, Superávit y no eliminé superávit",
                    IF(AND(T88&lt;TRUNC(W88/2,0),T88&lt;P88),
                        "1, Superávit y eliminé superávit",
                        "-2, Superávit y resultado fue bueno"
                    )
                )
            ),
            IF(AND(P88&lt;=TRUNC(W88/2,0),P88&gt;=0),
                IF(T88=TRUNC(W88/2,0),
                    "-1, no había superávit y deje la capacidad media",
                    IF(AND(T88&gt;TRUNC(W88/2,0), T88&gt;=P88),
                        "0, no había superávit, y la deje con superávit",
                        IF(AND(T88&lt;TRUNC(W88/2,0),T88&lt;P88),
                            "1, no había superávit, pero el resultado fue mejor",
                            "-2, no había superávit y resultado fue bueno"
                        )
                    )
                )
            )
        )
    )
)</f>
        <v>-1, Déficit y dejo la capacidad media</v>
      </c>
      <c r="AB88" s="30" t="s">
        <v>203</v>
      </c>
      <c r="AC88" s="29">
        <v>7</v>
      </c>
      <c r="AD88" s="31">
        <v>4.333333333333333</v>
      </c>
      <c r="AE88" s="29">
        <v>3</v>
      </c>
      <c r="AF88" s="29">
        <v>5</v>
      </c>
      <c r="AG88" s="29">
        <v>7</v>
      </c>
      <c r="AH88" s="30">
        <v>0.8031838310216366</v>
      </c>
      <c r="AI88" s="26" t="s">
        <v>332</v>
      </c>
      <c r="AJ88" s="30">
        <v>11</v>
      </c>
      <c r="AK88" s="29">
        <f>IF(AE88&lt;=AC88,1,0)</f>
        <v>1</v>
      </c>
      <c r="AL88" s="29">
        <f>AE88-AC88</f>
        <v>-4</v>
      </c>
      <c r="AM88" s="29" t="str">
        <f>IF(AH88&gt;0,
    IF(OR(AC88&lt;=TRUNC(AJ88/2,0),AC88=0),
        IF(AG88=TRUNC(AJ88/2,0),
            "-1, Déficit y dejo la capacidad media",
            IF(AND(AG88&gt;TRUNC(AJ88/2,0), AG88&gt;AC88),
                "1, Déficit y eliminé déficit",
                IF(AND(AG88&lt;TRUNC(AJ88/2,0), AG88&lt;AC88),
                    "0, Déficit y no elimine déficit",
                    "-2, Déficit y resultado fue bueno")
            )
        ),
        IF(AND(AG88&gt;TRUNC(AJ88/2,0), AG88&gt;AC88),
            "1, no había déficit, pero resultado fue mejor",
            IF(AND(AG88&lt;TRUNC(AJ88/2,0),AG88&lt;AC88),
                "0, no había déficit y la dejo con déficit",
                IF(AG88=TRUNC(AJ88/2,0),
                    "-1, no había déficit y dejo la capacidad media",
                    "-2,no había déficit y resultado fue bueno")
            )
        )
    ),
    IF(AH88&lt;0,
        IF(AC88&gt;TRUNC(AJ88/2,0),
            IF(AG88=TRUNC(AJ88/2,0),
                "-1, Superávit y deje la capacidad media",
                IF(AND(AG88&gt;TRUNC(AJ88/2,0), AG88&gt;=AC88),
                    "0, Superávit y no eliminé superávit",
                    IF(AND(AG88&lt;TRUNC(AJ88/2,0),AG88&lt;AC88),
                        "1, Superávit y eliminé superávit",
                        "-2, Superávit y resultado fue bueno"
                    )
                )
            ),
            IF(AND(AC88&lt;=TRUNC(AJ88/2,0),AC88&gt;=0),
                IF(AG88=TRUNC(AJ88/2,0),
                    "-1, no había superávit y deje la capacidad media",
                    IF(AND(AG88&gt;TRUNC(AJ88/2,0), AG88&gt;=AC88),
                        "0, no había superávit, y la deje con superávit",
                        IF(AND(AG88&lt;TRUNC(AJ88/2,0),AG88&lt;AC88),
                            "1, no había superávit, pero el resultado fue mejor",
                            "-2, no había superávit y resultado fue bueno"
                        )
                    )
                )
            )
        )
    )
)</f>
        <v>-2,no había déficit y resultado fue bueno</v>
      </c>
      <c r="AO88" s="30" t="s">
        <v>203</v>
      </c>
      <c r="AP88" s="30">
        <v>3</v>
      </c>
      <c r="AQ88" s="31">
        <v>3.5555555555555554</v>
      </c>
      <c r="AR88" s="29">
        <v>2</v>
      </c>
      <c r="AS88" s="29">
        <v>2</v>
      </c>
      <c r="AT88" s="30">
        <v>6</v>
      </c>
      <c r="AU88" s="30">
        <v>0.8031838310216366</v>
      </c>
      <c r="AV88" s="26" t="s">
        <v>332</v>
      </c>
      <c r="AW88" s="30">
        <v>11</v>
      </c>
      <c r="AX88" s="29">
        <f>IF(AR88&lt;=AP88,1,0)</f>
        <v>1</v>
      </c>
      <c r="AY88" s="29">
        <f>AR88-AP88</f>
        <v>-1</v>
      </c>
      <c r="AZ88" s="29" t="str">
        <f>IF(AU88&gt;0,
    IF(OR(AP88&lt;=TRUNC(AW88/2,0),AP88=0),
        IF(AT88=TRUNC(AW88/2,0),
            "-1, Déficit y dejo la capacidad media",
            IF(AND(AT88&gt;TRUNC(AW88/2,0), AT88&gt;AP88),
                "1, Déficit y eliminé déficit",
                IF(AND(AT88&lt;TRUNC(AW88/2,0), AT88&lt;AP88),
                    "0, Déficit y no elimine déficit",
                    "-2, Déficit y resultado fue bueno")
            )
        ),
        IF(AND(AT88&gt;TRUNC(AW88/2,0), AT88&gt;AP88),
            "1, no había déficit, pero resultado fue mejor",
            IF(AND(AT88&lt;TRUNC(AW88/2,0),AT88&lt;AP88),
                "0, no había déficit y la dejo con déficit",
                IF(AT88=TRUNC(AW88/2,0),
                    "-1, no había déficit y dejo la capacidad media",
                    "-2,no había déficit y resultado fue bueno")
            )
        )
    ),
    IF(AU88&lt;0,
        IF(AP88&gt;TRUNC(AW88/2,0),
            IF(AT88=TRUNC(AW88/2,0),
                "-1, Superávit y deje la capacidad media",
                IF(AND(AT88&gt;TRUNC(AW88/2,0), AT88&gt;=AP88),
                    "0, Superávit y no eliminé superávit",
                    IF(AND(AT88&lt;TRUNC(AW88/2,0),AT88&lt;AP88),
                        "1, Superávit y eliminé superávit",
                        "-2, Superávit y resultado fue bueno"
                    )
                )
            ),
            IF(AND(AP88&lt;=TRUNC(AW88/2,0),AP88&gt;=0),
                IF(AT88=TRUNC(AW88/2,0),
                    "-1, no había superávit y deje la capacidad media",
                    IF(AND(AT88&gt;TRUNC(AW88/2,0), AT88&gt;=AP88),
                        "0, no había superávit, y la deje con superávit",
                        IF(AND(AT88&lt;TRUNC(AW88/2,0),AT88&lt;AP88),
                            "1, no había superávit, pero el resultado fue mejor",
                            "-2, no había superávit y resultado fue bueno"
                        )
                    )
                )
            )
        )
    )
)</f>
        <v>1, Déficit y eliminé déficit</v>
      </c>
      <c r="BB88" s="30" t="s">
        <v>203</v>
      </c>
      <c r="BC88" s="30">
        <v>1</v>
      </c>
      <c r="BD88" s="31">
        <v>2.5555555555555554</v>
      </c>
      <c r="BE88" s="29">
        <v>1</v>
      </c>
      <c r="BF88" s="29">
        <v>1</v>
      </c>
      <c r="BG88" s="30">
        <v>5</v>
      </c>
      <c r="BH88" s="30">
        <v>0.8031838310216366</v>
      </c>
      <c r="BI88" s="26" t="s">
        <v>332</v>
      </c>
      <c r="BJ88" s="30">
        <v>11</v>
      </c>
      <c r="BK88" s="29">
        <f>IF(BE88&lt;=BC88,1,0)</f>
        <v>1</v>
      </c>
      <c r="BL88" s="29">
        <f>BE88-BC88</f>
        <v>0</v>
      </c>
      <c r="BM88" s="29" t="str">
        <f>IF(BH88&gt;0,
    IF(OR(BC88&lt;=TRUNC(BJ88/2,0),BC88=0),
        IF(BG88=TRUNC(BJ88/2,0),
            "-1, Déficit y dejo la capacidad media",
            IF(AND(BG88&gt;TRUNC(BJ88/2,0), BG88&gt;BC88),
                "1, Déficit y eliminé déficit",
                IF(AND(BG88&lt;TRUNC(BJ88/2,0), BG88&lt;BC88),
                    "0, Déficit y no elimine déficit",
                    "-2, Déficit y resultado fue bueno")
            )
        ),
        IF(AND(BG88&gt;TRUNC(BJ88/2,0), BG88&gt;BC88),
            "1, no había déficit, pero resultado fue mejor",
            IF(AND(BG88&lt;TRUNC(BJ88/2,0),BG88&lt;BC88),
                "0, no había déficit y la dejo con déficit",
                IF(BG88=TRUNC(BJ88/2,0),
                    "-1, no había déficit y dejo la capacidad media",
                    "-2,no había déficit y resultado fue bueno")
            )
        )
    ),
    IF(BH88&lt;0,
        IF(BC88&gt;TRUNC(BJ88/2,0),
            IF(BG88=TRUNC(BJ88/2,0),
                "-1, Superávit y deje la capacidad media",
                IF(AND(BG88&gt;TRUNC(BJ88/2,0), BG88&gt;=BC88),
                    "0, Superávit y no eliminé superávit",
                    IF(AND(BG88&lt;TRUNC(BJ88/2,0),BG88&lt;BC88),
                        "1, Superávit y eliminé superávit",
                        "-2, Superávit y resultado fue bueno"
                    )
                )
            ),
            IF(AND(BC88&lt;=TRUNC(BJ88/2,0),BC88&gt;=0),
                IF(BG88=TRUNC(BJ88/2,0),
                    "-1, no había superávit y deje la capacidad media",
                    IF(AND(BG88&gt;TRUNC(BJ88/2,0), BG88&gt;=BC88),
                        "0, no había superávit, y la deje con superávit",
                        IF(AND(BG88&lt;TRUNC(BJ88/2,0),BG88&lt;BC88),
                            "1, no había superávit, pero el resultado fue mejor",
                            "-2, no había superávit y resultado fue bueno"
                        )
                    )
                )
            )
        )
    )
)</f>
        <v>-1, Déficit y dejo la capacidad media</v>
      </c>
      <c r="BO88" s="30" t="s">
        <v>203</v>
      </c>
      <c r="BP88" s="30">
        <v>3</v>
      </c>
      <c r="BQ88" s="31">
        <v>3.8888888888888888</v>
      </c>
      <c r="BR88" s="29">
        <v>1</v>
      </c>
      <c r="BS88" s="29">
        <v>0</v>
      </c>
      <c r="BT88" s="30">
        <v>5</v>
      </c>
      <c r="BU88" s="30">
        <v>0.8031838310216366</v>
      </c>
      <c r="BV88" s="26" t="s">
        <v>332</v>
      </c>
      <c r="BW88" s="30">
        <v>11</v>
      </c>
      <c r="BX88" s="29">
        <f>IF(BR88&lt;=BP88,1,0)</f>
        <v>1</v>
      </c>
      <c r="BY88" s="29">
        <f>BR88-BP88</f>
        <v>-2</v>
      </c>
      <c r="BZ88" s="29" t="str">
        <f>IF(BU88&gt;0,
    IF(OR(BP88&lt;=TRUNC(BW88/2,0),BP88=0),
        IF(BT88=TRUNC(BW88/2,0),
            "-1, Déficit y dejo la capacidad media",
            IF(AND(BT88&gt;TRUNC(BW88/2,0), BT88&gt;BP88),
                "1, Déficit y eliminé déficit",
                IF(AND(BT88&lt;TRUNC(BW88/2,0), BT88&lt;BP88),
                    "0, Déficit y no elimine déficit",
                    "-2, Déficit y resultado fue bueno")
            )
        ),
        IF(AND(BT88&gt;TRUNC(BW88/2,0), BT88&gt;BP88),
            "1, no había déficit, pero resultado fue mejor",
            IF(AND(BT88&lt;TRUNC(BW88/2,0),BT88&lt;BP88),
                "0, no había déficit y la dejo con déficit",
                IF(BT88=TRUNC(BW88/2,0),
                    "-1, no había déficit y dejo la capacidad media",
                    "-2,no había déficit y resultado fue bueno")
            )
        )
    ),
    IF(BU88&lt;0,
        IF(BP88&gt;TRUNC(BW88/2,0),
            IF(BT88=TRUNC(BW88/2,0),
                "-1, Superávit y deje la capacidad media",
                IF(AND(BT88&gt;TRUNC(BW88/2,0), BT88&gt;=BP88),
                    "0, Superávit y no eliminé superávit",
                    IF(AND(BT88&lt;TRUNC(BW88/2,0),BT88&lt;BP88),
                        "1, Superávit y eliminé superávit",
                        "-2, Superávit y resultado fue bueno"
                    )
                )
            ),
            IF(AND(BP88&lt;=TRUNC(BW88/2,0),BP88&gt;=0),
                IF(BT88=TRUNC(BW88/2,0),
                    "-1, no había superávit y deje la capacidad media",
                    IF(AND(BT88&gt;TRUNC(BW88/2,0), BT88&gt;=BP88),
                        "0, no había superávit, y la deje con superávit",
                        IF(AND(BT88&lt;TRUNC(BW88/2,0),BT88&lt;BP88),
                            "1, no había superávit, pero el resultado fue mejor",
                            "-2, no había superávit y resultado fue bueno"
                        )
                    )
                )
            )
        )
    )
)</f>
        <v>-1, Déficit y dejo la capacidad media</v>
      </c>
      <c r="CB88" s="30" t="s">
        <v>203</v>
      </c>
      <c r="CC88" s="30">
        <v>3</v>
      </c>
      <c r="CD88" s="31">
        <v>3.3333333333333335</v>
      </c>
      <c r="CE88" s="31">
        <v>3</v>
      </c>
      <c r="CF88" s="29">
        <v>3</v>
      </c>
      <c r="CG88" s="30">
        <v>5</v>
      </c>
      <c r="CH88" s="30">
        <v>0.8031838310216366</v>
      </c>
      <c r="CI88" s="26" t="s">
        <v>332</v>
      </c>
      <c r="CJ88" s="30">
        <v>11</v>
      </c>
      <c r="CK88" s="29">
        <f>IF(CE88&lt;=CC88,1,0)</f>
        <v>1</v>
      </c>
      <c r="CL88" s="32">
        <f>CE88-CC88</f>
        <v>0</v>
      </c>
      <c r="CM88" s="32" t="str">
        <f>IF(CH88&gt;0,
    IF(OR(CC88&lt;=TRUNC(CJ88/2,0),CC88=0),
        IF(CG88=TRUNC(CJ88/2,0),
            "-1, Déficit y dejo la capacidad media",
            IF(AND(CG88&gt;TRUNC(CJ88/2,0), CG88&gt;CC88),
                "1, Déficit y eliminé déficit",
                IF(AND(CG88&lt;TRUNC(CJ88/2,0), CG88&lt;CC88),
                    "0, Déficit y no elimine déficit",
                    "-2, Déficit y resultado fue bueno")
            )
        ),
        IF(AND(CG88&gt;TRUNC(CJ88/2,0), CG88&gt;CC88),
            "1, no había déficit, pero resultado fue mejor",
            IF(AND(CG88&lt;TRUNC(CJ88/2,0),CG88&lt;CC88),
                "0, no había déficit y la dejo con déficit",
                IF(CG88=TRUNC(CJ88/2,0),
                    "-1, no había déficit y dejo la capacidad media",
                    "-2,no había déficit y resultado fue bueno")
            )
        )
    ),
    IF(CH88&lt;0,
        IF(CC88&gt;TRUNC(CJ88/2,0),
            IF(CG88=TRUNC(CJ88/2,0),
                "-1, Superávit y deje la capacidad media",
                IF(AND(CG88&gt;TRUNC(CJ88/2,0), CG88&gt;=CC88),
                    "0, Superávit y no eliminé superávit",
                    IF(AND(CG88&lt;TRUNC(CJ88/2,0),CG88&lt;CC88),
                        "1, Superávit y eliminé superávit",
                        "-2, Superávit y resultado fue bueno"
                    )
                )
            ),
            IF(AND(CC88&lt;=TRUNC(CJ88/2,0),CC88&gt;=0),
                IF(CG88=TRUNC(CJ88/2,0),
                    "-1, no había superávit y deje la capacidad media",
                    IF(AND(CG88&gt;TRUNC(CJ88/2,0), CG88&gt;=CC88),
                        "0, no había superávit, y la deje con superávit",
                        IF(AND(CG88&lt;TRUNC(CJ88/2,0),CG88&lt;CC88),
                            "1, no había superávit, pero el resultado fue mejor",
                            "-2, no había superávit y resultado fue bueno"
                        )
                    )
                )
            )
        )
    )
)</f>
        <v>-1, Déficit y dejo la capacidad media</v>
      </c>
      <c r="CO88" s="30" t="s">
        <v>203</v>
      </c>
      <c r="CP88" s="30">
        <v>4</v>
      </c>
      <c r="CQ88" s="31">
        <v>2</v>
      </c>
      <c r="CR88" s="31">
        <v>3</v>
      </c>
      <c r="CS88" s="29">
        <v>3</v>
      </c>
      <c r="CT88" s="30">
        <v>5</v>
      </c>
      <c r="CU88" s="30">
        <v>0.8031838310216366</v>
      </c>
      <c r="CV88" s="26" t="s">
        <v>332</v>
      </c>
      <c r="CW88" s="30">
        <v>11</v>
      </c>
      <c r="CX88" s="29">
        <f>IF(CR88&lt;=CP88,1,0)</f>
        <v>1</v>
      </c>
      <c r="CY88" s="32">
        <f>CR88-CP88</f>
        <v>-1</v>
      </c>
      <c r="CZ88" s="32" t="str">
        <f>IF(CU88&gt;0,
    IF(OR(CP88&lt;=TRUNC(CW88/2,0),CP88=0),
        IF(CT88=TRUNC(CW88/2,0),
            "-1, Déficit y dejo la capacidad media",
            IF(AND(CT88&gt;TRUNC(CW88/2,0), CT88&gt;CP88),
                "1, Déficit y eliminé déficit",
                IF(AND(CT88&lt;TRUNC(CW88/2,0), CT88&lt;CP88),
                    "0, Déficit y no elimine déficit",
                    "-2, Déficit y resultado fue bueno")
            )
        ),
        IF(AND(CT88&gt;TRUNC(CW88/2,0), CT88&gt;CP88),
            "1, no había déficit, pero resultado fue mejor",
            IF(AND(CT88&lt;TRUNC(CW88/2,0),CT88&lt;CP88),
                "0, no había déficit y la dejo con déficit",
                IF(CT88=TRUNC(CW88/2,0),
                    "-1, no había déficit y dejo la capacidad media",
                    "-2,no había déficit y resultado fue bueno")
            )
        )
    ),
    IF(CU88&lt;0,
        IF(CP88&gt;TRUNC(CW88/2,0),
            IF(CT88=TRUNC(CW88/2,0),
                "-1, Superávit y deje la capacidad media",
                IF(AND(CT88&gt;TRUNC(CW88/2,0), CT88&gt;=CP88),
                    "0, Superávit y no eliminé superávit",
                    IF(AND(CT88&lt;TRUNC(CW88/2,0),CT88&lt;CP88),
                        "1, Superávit y eliminé superávit",
                        "-2, Superávit y resultado fue bueno"
                    )
                )
            ),
            IF(AND(CP88&lt;=TRUNC(CW88/2,0),CP88&gt;=0),
                IF(CT88=TRUNC(CW88/2,0),
                    "-1, no había superávit y deje la capacidad media",
                    IF(AND(CT88&gt;TRUNC(CW88/2,0), CT88&gt;=CP88),
                        "0, no había superávit, y la deje con superávit",
                        IF(AND(CT88&lt;TRUNC(CW88/2,0),CT88&lt;CP88),
                            "1, no había superávit, pero el resultado fue mejor",
                            "-2, no había superávit y resultado fue bueno"
                        )
                    )
                )
            )
        )
    )
)</f>
        <v>-1, Déficit y dejo la capacidad media</v>
      </c>
    </row>
    <row r="89" spans="2:104" ht="14.25" customHeight="1" x14ac:dyDescent="0.3">
      <c r="B89" s="30" t="s">
        <v>206</v>
      </c>
      <c r="C89" s="30">
        <v>1</v>
      </c>
      <c r="D89" s="31">
        <v>12.222222222222221</v>
      </c>
      <c r="E89" s="29">
        <v>5</v>
      </c>
      <c r="F89" s="29">
        <v>4</v>
      </c>
      <c r="G89" s="30">
        <v>16</v>
      </c>
      <c r="H89" s="30">
        <v>0.7952330657044463</v>
      </c>
      <c r="I89" s="26" t="s">
        <v>324</v>
      </c>
      <c r="J89" s="30">
        <v>41</v>
      </c>
      <c r="K89" s="29">
        <f>IF(E89&lt;=C89,1,0)</f>
        <v>0</v>
      </c>
      <c r="L89" s="29">
        <f>E89-C89</f>
        <v>4</v>
      </c>
      <c r="M89" s="29" t="str">
        <f>IF(H89&gt;0,
    IF(OR(C89&lt;=TRUNC(J89/2,0),C89=0),
        IF(G89=TRUNC(J89/2,0),
            "-1, Déficit y dejo la capacidad media",
            IF(AND(G89&gt;TRUNC(J89/2,0), G89&gt;C89),
                "1, Déficit y eliminé déficit",
                IF(AND(G89&lt;TRUNC(J89/2,0), G89&lt;C89),
                    "0, Déficit y no elimine déficit",
                    "-2, Déficit y resultado fue bueno")
            )
        ),
        IF(AND(G89&gt;TRUNC(J89/2,0), G89&gt;C89),
            "1, no había déficit, pero resultado fue mejor",
            IF(AND(G89&lt;TRUNC(J89/2,0),G89&lt;C89),
                "0, no había déficit y la dejo con déficit",
                IF(G89=TRUNC(J89/2,0),
                    "-1, no había déficit y dejo la capacidad media",
                    "-2,no había déficit y resultado fue bueno")
            )
        )
    ),
    IF(H89&lt;0,
        IF(C89&gt;TRUNC(J89/2,0),
            IF(G89=TRUNC(J89/2,0),
                "-1, Superávit y deje la capacidad media",
                IF(AND(G89&gt;TRUNC(J89/2,0), G89&gt;=C89),
                    "0, Superávit y no eliminé superávit",
                    IF(AND(G89&lt;TRUNC(J89/2,0),G89&lt;C89),
                        "1, Superávit y eliminé superávit",
                        "-2, Superávit y resultado fue bueno"
                    )
                )
            ),
            IF(AND(C89&lt;=TRUNC(J89/2,0),C89&gt;=0),
                IF(G89=TRUNC(J89/2,0),
                    "-1, no había superávit y deje la capacidad media",
                    IF(AND(G89&gt;TRUNC(J89/2,0), G89&gt;=C89),
                        "0, no había superávit, y la deje con superávit",
                        IF(AND(G89&lt;TRUNC(J89/2,0),G89&lt;C89),
                            "1, no había superávit, pero el resultado fue mejor",
                            "-2, no había superávit y resultado fue bueno"
                        )
                    )
                )
            )
        )
    )
)</f>
        <v>-2, Déficit y resultado fue bueno</v>
      </c>
      <c r="O89" s="30" t="s">
        <v>206</v>
      </c>
      <c r="P89" s="29">
        <v>25</v>
      </c>
      <c r="Q89" s="31">
        <v>17.333333333333332</v>
      </c>
      <c r="R89" s="29">
        <v>9</v>
      </c>
      <c r="S89" s="29">
        <v>6</v>
      </c>
      <c r="T89" s="29">
        <v>21</v>
      </c>
      <c r="U89" s="30">
        <v>0.7952330657044463</v>
      </c>
      <c r="V89" s="26" t="s">
        <v>324</v>
      </c>
      <c r="W89" s="30">
        <v>41</v>
      </c>
      <c r="X89" s="29">
        <f>IF(R89&lt;=P89,1,0)</f>
        <v>1</v>
      </c>
      <c r="Y89" s="29">
        <f>R89-P89</f>
        <v>-16</v>
      </c>
      <c r="Z89" s="29" t="str">
        <f>IF(U89&gt;0,
    IF(OR(P89&lt;=TRUNC(W89/2,0),P89=0),
        IF(T89=TRUNC(W89/2,0),
            "-1, Déficit y dejo la capacidad media",
            IF(AND(T89&gt;TRUNC(W89/2,0), T89&gt;P89),
                "1, Déficit y eliminé déficit",
                IF(AND(T89&lt;TRUNC(W89/2,0), T89&lt;P89),
                    "0, Déficit y no elimine déficit",
                    "-2, Déficit y resultado fue bueno")
            )
        ),
        IF(AND(T89&gt;TRUNC(W89/2,0), T89&gt;P89),
            "1, no había déficit, pero resultado fue mejor",
            IF(AND(T89&lt;TRUNC(W89/2,0),T89&lt;P89),
                "0, no había déficit y la dejo con déficit",
                IF(T89=TRUNC(W89/2,0),
                    "-1, no había déficit y dejo la capacidad media",
                    "-2,no había déficit y resultado fue bueno")
            )
        )
    ),
    IF(U89&lt;0,
        IF(P89&gt;TRUNC(W89/2,0),
            IF(T89=TRUNC(W89/2,0),
                "-1, Superávit y deje la capacidad media",
                IF(AND(T89&gt;TRUNC(W89/2,0), T89&gt;=P89),
                    "0, Superávit y no eliminé superávit",
                    IF(AND(T89&lt;TRUNC(W89/2,0),T89&lt;P89),
                        "1, Superávit y eliminé superávit",
                        "-2, Superávit y resultado fue bueno"
                    )
                )
            ),
            IF(AND(P89&lt;=TRUNC(W89/2,0),P89&gt;=0),
                IF(T89=TRUNC(W89/2,0),
                    "-1, no había superávit y deje la capacidad media",
                    IF(AND(T89&gt;TRUNC(W89/2,0), T89&gt;=P89),
                        "0, no había superávit, y la deje con superávit",
                        IF(AND(T89&lt;TRUNC(W89/2,0),T89&lt;P89),
                            "1, no había superávit, pero el resultado fue mejor",
                            "-2, no había superávit y resultado fue bueno"
                        )
                    )
                )
            )
        )
    )
)</f>
        <v>-2,no había déficit y resultado fue bueno</v>
      </c>
      <c r="AB89" s="30" t="s">
        <v>206</v>
      </c>
      <c r="AC89" s="29">
        <v>20</v>
      </c>
      <c r="AD89" s="31">
        <v>18.222222222222221</v>
      </c>
      <c r="AE89" s="29">
        <v>14</v>
      </c>
      <c r="AF89" s="29">
        <v>12</v>
      </c>
      <c r="AG89" s="29">
        <v>15</v>
      </c>
      <c r="AH89" s="30">
        <v>0.7952330657044463</v>
      </c>
      <c r="AI89" s="26" t="s">
        <v>324</v>
      </c>
      <c r="AJ89" s="30">
        <v>41</v>
      </c>
      <c r="AK89" s="29">
        <f>IF(AE89&lt;=AC89,1,0)</f>
        <v>1</v>
      </c>
      <c r="AL89" s="29">
        <f>AE89-AC89</f>
        <v>-6</v>
      </c>
      <c r="AM89" s="29" t="str">
        <f>IF(AH89&gt;0,
    IF(OR(AC89&lt;=TRUNC(AJ89/2,0),AC89=0),
        IF(AG89=TRUNC(AJ89/2,0),
            "-1, Déficit y dejo la capacidad media",
            IF(AND(AG89&gt;TRUNC(AJ89/2,0), AG89&gt;AC89),
                "1, Déficit y eliminé déficit",
                IF(AND(AG89&lt;TRUNC(AJ89/2,0), AG89&lt;AC89),
                    "0, Déficit y no elimine déficit",
                    "-2, Déficit y resultado fue bueno")
            )
        ),
        IF(AND(AG89&gt;TRUNC(AJ89/2,0), AG89&gt;AC89),
            "1, no había déficit, pero resultado fue mejor",
            IF(AND(AG89&lt;TRUNC(AJ89/2,0),AG89&lt;AC89),
                "0, no había déficit y la dejo con déficit",
                IF(AG89=TRUNC(AJ89/2,0),
                    "-1, no había déficit y dejo la capacidad media",
                    "-2,no había déficit y resultado fue bueno")
            )
        )
    ),
    IF(AH89&lt;0,
        IF(AC89&gt;TRUNC(AJ89/2,0),
            IF(AG89=TRUNC(AJ89/2,0),
                "-1, Superávit y deje la capacidad media",
                IF(AND(AG89&gt;TRUNC(AJ89/2,0), AG89&gt;=AC89),
                    "0, Superávit y no eliminé superávit",
                    IF(AND(AG89&lt;TRUNC(AJ89/2,0),AG89&lt;AC89),
                        "1, Superávit y eliminé superávit",
                        "-2, Superávit y resultado fue bueno"
                    )
                )
            ),
            IF(AND(AC89&lt;=TRUNC(AJ89/2,0),AC89&gt;=0),
                IF(AG89=TRUNC(AJ89/2,0),
                    "-1, no había superávit y deje la capacidad media",
                    IF(AND(AG89&gt;TRUNC(AJ89/2,0), AG89&gt;=AC89),
                        "0, no había superávit, y la deje con superávit",
                        IF(AND(AG89&lt;TRUNC(AJ89/2,0),AG89&lt;AC89),
                            "1, no había superávit, pero el resultado fue mejor",
                            "-2, no había superávit y resultado fue bueno"
                        )
                    )
                )
            )
        )
    )
)</f>
        <v>0, Déficit y no elimine déficit</v>
      </c>
      <c r="AO89" s="30" t="s">
        <v>206</v>
      </c>
      <c r="AP89" s="30">
        <v>14</v>
      </c>
      <c r="AQ89" s="31">
        <v>19.444444444444443</v>
      </c>
      <c r="AR89" s="29">
        <v>11</v>
      </c>
      <c r="AS89" s="29">
        <v>9</v>
      </c>
      <c r="AT89" s="30">
        <v>15</v>
      </c>
      <c r="AU89" s="30">
        <v>0.7952330657044463</v>
      </c>
      <c r="AV89" s="26" t="s">
        <v>324</v>
      </c>
      <c r="AW89" s="30">
        <v>41</v>
      </c>
      <c r="AX89" s="29">
        <f>IF(AR89&lt;=AP89,1,0)</f>
        <v>1</v>
      </c>
      <c r="AY89" s="29">
        <f>AR89-AP89</f>
        <v>-3</v>
      </c>
      <c r="AZ89" s="29" t="str">
        <f>IF(AU89&gt;0,
    IF(OR(AP89&lt;=TRUNC(AW89/2,0),AP89=0),
        IF(AT89=TRUNC(AW89/2,0),
            "-1, Déficit y dejo la capacidad media",
            IF(AND(AT89&gt;TRUNC(AW89/2,0), AT89&gt;AP89),
                "1, Déficit y eliminé déficit",
                IF(AND(AT89&lt;TRUNC(AW89/2,0), AT89&lt;AP89),
                    "0, Déficit y no elimine déficit",
                    "-2, Déficit y resultado fue bueno")
            )
        ),
        IF(AND(AT89&gt;TRUNC(AW89/2,0), AT89&gt;AP89),
            "1, no había déficit, pero resultado fue mejor",
            IF(AND(AT89&lt;TRUNC(AW89/2,0),AT89&lt;AP89),
                "0, no había déficit y la dejo con déficit",
                IF(AT89=TRUNC(AW89/2,0),
                    "-1, no había déficit y dejo la capacidad media",
                    "-2,no había déficit y resultado fue bueno")
            )
        )
    ),
    IF(AU89&lt;0,
        IF(AP89&gt;TRUNC(AW89/2,0),
            IF(AT89=TRUNC(AW89/2,0),
                "-1, Superávit y deje la capacidad media",
                IF(AND(AT89&gt;TRUNC(AW89/2,0), AT89&gt;=AP89),
                    "0, Superávit y no eliminé superávit",
                    IF(AND(AT89&lt;TRUNC(AW89/2,0),AT89&lt;AP89),
                        "1, Superávit y eliminé superávit",
                        "-2, Superávit y resultado fue bueno"
                    )
                )
            ),
            IF(AND(AP89&lt;=TRUNC(AW89/2,0),AP89&gt;=0),
                IF(AT89=TRUNC(AW89/2,0),
                    "-1, no había superávit y deje la capacidad media",
                    IF(AND(AT89&gt;TRUNC(AW89/2,0), AT89&gt;=AP89),
                        "0, no había superávit, y la deje con superávit",
                        IF(AND(AT89&lt;TRUNC(AW89/2,0),AT89&lt;AP89),
                            "1, no había superávit, pero el resultado fue mejor",
                            "-2, no había superávit y resultado fue bueno"
                        )
                    )
                )
            )
        )
    )
)</f>
        <v>-2, Déficit y resultado fue bueno</v>
      </c>
      <c r="BB89" s="30" t="s">
        <v>206</v>
      </c>
      <c r="BC89" s="30">
        <v>20</v>
      </c>
      <c r="BD89" s="31">
        <v>19.333333333333332</v>
      </c>
      <c r="BE89" s="29">
        <v>19</v>
      </c>
      <c r="BF89" s="29">
        <v>15</v>
      </c>
      <c r="BG89" s="30">
        <v>15</v>
      </c>
      <c r="BH89" s="30">
        <v>0.7952330657044463</v>
      </c>
      <c r="BI89" s="26" t="s">
        <v>324</v>
      </c>
      <c r="BJ89" s="30">
        <v>41</v>
      </c>
      <c r="BK89" s="29">
        <f>IF(BE89&lt;=BC89,1,0)</f>
        <v>1</v>
      </c>
      <c r="BL89" s="29">
        <f>BE89-BC89</f>
        <v>-1</v>
      </c>
      <c r="BM89" s="29" t="str">
        <f>IF(BH89&gt;0,
    IF(OR(BC89&lt;=TRUNC(BJ89/2,0),BC89=0),
        IF(BG89=TRUNC(BJ89/2,0),
            "-1, Déficit y dejo la capacidad media",
            IF(AND(BG89&gt;TRUNC(BJ89/2,0), BG89&gt;BC89),
                "1, Déficit y eliminé déficit",
                IF(AND(BG89&lt;TRUNC(BJ89/2,0), BG89&lt;BC89),
                    "0, Déficit y no elimine déficit",
                    "-2, Déficit y resultado fue bueno")
            )
        ),
        IF(AND(BG89&gt;TRUNC(BJ89/2,0), BG89&gt;BC89),
            "1, no había déficit, pero resultado fue mejor",
            IF(AND(BG89&lt;TRUNC(BJ89/2,0),BG89&lt;BC89),
                "0, no había déficit y la dejo con déficit",
                IF(BG89=TRUNC(BJ89/2,0),
                    "-1, no había déficit y dejo la capacidad media",
                    "-2,no había déficit y resultado fue bueno")
            )
        )
    ),
    IF(BH89&lt;0,
        IF(BC89&gt;TRUNC(BJ89/2,0),
            IF(BG89=TRUNC(BJ89/2,0),
                "-1, Superávit y deje la capacidad media",
                IF(AND(BG89&gt;TRUNC(BJ89/2,0), BG89&gt;=BC89),
                    "0, Superávit y no eliminé superávit",
                    IF(AND(BG89&lt;TRUNC(BJ89/2,0),BG89&lt;BC89),
                        "1, Superávit y eliminé superávit",
                        "-2, Superávit y resultado fue bueno"
                    )
                )
            ),
            IF(AND(BC89&lt;=TRUNC(BJ89/2,0),BC89&gt;=0),
                IF(BG89=TRUNC(BJ89/2,0),
                    "-1, no había superávit y deje la capacidad media",
                    IF(AND(BG89&gt;TRUNC(BJ89/2,0), BG89&gt;=BC89),
                        "0, no había superávit, y la deje con superávit",
                        IF(AND(BG89&lt;TRUNC(BJ89/2,0),BG89&lt;BC89),
                            "1, no había superávit, pero el resultado fue mejor",
                            "-2, no había superávit y resultado fue bueno"
                        )
                    )
                )
            )
        )
    )
)</f>
        <v>0, Déficit y no elimine déficit</v>
      </c>
      <c r="BO89" s="30" t="s">
        <v>206</v>
      </c>
      <c r="BP89" s="30">
        <v>19</v>
      </c>
      <c r="BQ89" s="31">
        <v>16.777777777777779</v>
      </c>
      <c r="BR89" s="29">
        <v>14</v>
      </c>
      <c r="BS89" s="29">
        <v>14</v>
      </c>
      <c r="BT89" s="30">
        <v>19</v>
      </c>
      <c r="BU89" s="30">
        <v>0.7952330657044463</v>
      </c>
      <c r="BV89" s="26" t="s">
        <v>324</v>
      </c>
      <c r="BW89" s="30">
        <v>41</v>
      </c>
      <c r="BX89" s="29">
        <f>IF(BR89&lt;=BP89,1,0)</f>
        <v>1</v>
      </c>
      <c r="BY89" s="29">
        <f>BR89-BP89</f>
        <v>-5</v>
      </c>
      <c r="BZ89" s="29" t="str">
        <f>IF(BU89&gt;0,
    IF(OR(BP89&lt;=TRUNC(BW89/2,0),BP89=0),
        IF(BT89=TRUNC(BW89/2,0),
            "-1, Déficit y dejo la capacidad media",
            IF(AND(BT89&gt;TRUNC(BW89/2,0), BT89&gt;BP89),
                "1, Déficit y eliminé déficit",
                IF(AND(BT89&lt;TRUNC(BW89/2,0), BT89&lt;BP89),
                    "0, Déficit y no elimine déficit",
                    "-2, Déficit y resultado fue bueno")
            )
        ),
        IF(AND(BT89&gt;TRUNC(BW89/2,0), BT89&gt;BP89),
            "1, no había déficit, pero resultado fue mejor",
            IF(AND(BT89&lt;TRUNC(BW89/2,0),BT89&lt;BP89),
                "0, no había déficit y la dejo con déficit",
                IF(BT89=TRUNC(BW89/2,0),
                    "-1, no había déficit y dejo la capacidad media",
                    "-2,no había déficit y resultado fue bueno")
            )
        )
    ),
    IF(BU89&lt;0,
        IF(BP89&gt;TRUNC(BW89/2,0),
            IF(BT89=TRUNC(BW89/2,0),
                "-1, Superávit y deje la capacidad media",
                IF(AND(BT89&gt;TRUNC(BW89/2,0), BT89&gt;=BP89),
                    "0, Superávit y no eliminé superávit",
                    IF(AND(BT89&lt;TRUNC(BW89/2,0),BT89&lt;BP89),
                        "1, Superávit y eliminé superávit",
                        "-2, Superávit y resultado fue bueno"
                    )
                )
            ),
            IF(AND(BP89&lt;=TRUNC(BW89/2,0),BP89&gt;=0),
                IF(BT89=TRUNC(BW89/2,0),
                    "-1, no había superávit y deje la capacidad media",
                    IF(AND(BT89&gt;TRUNC(BW89/2,0), BT89&gt;=BP89),
                        "0, no había superávit, y la deje con superávit",
                        IF(AND(BT89&lt;TRUNC(BW89/2,0),BT89&lt;BP89),
                            "1, no había superávit, pero el resultado fue mejor",
                            "-2, no había superávit y resultado fue bueno"
                        )
                    )
                )
            )
        )
    )
)</f>
        <v>-2, Déficit y resultado fue bueno</v>
      </c>
      <c r="CB89" s="30" t="s">
        <v>206</v>
      </c>
      <c r="CC89" s="30">
        <v>17</v>
      </c>
      <c r="CD89" s="31">
        <v>14.555555555555555</v>
      </c>
      <c r="CE89" s="31">
        <v>15</v>
      </c>
      <c r="CF89" s="29">
        <v>13</v>
      </c>
      <c r="CG89" s="30">
        <v>17</v>
      </c>
      <c r="CH89" s="30">
        <v>0.7952330657044463</v>
      </c>
      <c r="CI89" s="26" t="s">
        <v>324</v>
      </c>
      <c r="CJ89" s="30">
        <v>41</v>
      </c>
      <c r="CK89" s="29">
        <f>IF(CE89&lt;=CC89,1,0)</f>
        <v>1</v>
      </c>
      <c r="CL89" s="32">
        <f>CE89-CC89</f>
        <v>-2</v>
      </c>
      <c r="CM89" s="32" t="str">
        <f>IF(CH89&gt;0,
    IF(OR(CC89&lt;=TRUNC(CJ89/2,0),CC89=0),
        IF(CG89=TRUNC(CJ89/2,0),
            "-1, Déficit y dejo la capacidad media",
            IF(AND(CG89&gt;TRUNC(CJ89/2,0), CG89&gt;CC89),
                "1, Déficit y eliminé déficit",
                IF(AND(CG89&lt;TRUNC(CJ89/2,0), CG89&lt;CC89),
                    "0, Déficit y no elimine déficit",
                    "-2, Déficit y resultado fue bueno")
            )
        ),
        IF(AND(CG89&gt;TRUNC(CJ89/2,0), CG89&gt;CC89),
            "1, no había déficit, pero resultado fue mejor",
            IF(AND(CG89&lt;TRUNC(CJ89/2,0),CG89&lt;CC89),
                "0, no había déficit y la dejo con déficit",
                IF(CG89=TRUNC(CJ89/2,0),
                    "-1, no había déficit y dejo la capacidad media",
                    "-2,no había déficit y resultado fue bueno")
            )
        )
    ),
    IF(CH89&lt;0,
        IF(CC89&gt;TRUNC(CJ89/2,0),
            IF(CG89=TRUNC(CJ89/2,0),
                "-1, Superávit y deje la capacidad media",
                IF(AND(CG89&gt;TRUNC(CJ89/2,0), CG89&gt;=CC89),
                    "0, Superávit y no eliminé superávit",
                    IF(AND(CG89&lt;TRUNC(CJ89/2,0),CG89&lt;CC89),
                        "1, Superávit y eliminé superávit",
                        "-2, Superávit y resultado fue bueno"
                    )
                )
            ),
            IF(AND(CC89&lt;=TRUNC(CJ89/2,0),CC89&gt;=0),
                IF(CG89=TRUNC(CJ89/2,0),
                    "-1, no había superávit y deje la capacidad media",
                    IF(AND(CG89&gt;TRUNC(CJ89/2,0), CG89&gt;=CC89),
                        "0, no había superávit, y la deje con superávit",
                        IF(AND(CG89&lt;TRUNC(CJ89/2,0),CG89&lt;CC89),
                            "1, no había superávit, pero el resultado fue mejor",
                            "-2, no había superávit y resultado fue bueno"
                        )
                    )
                )
            )
        )
    )
)</f>
        <v>-2, Déficit y resultado fue bueno</v>
      </c>
      <c r="CO89" s="30" t="s">
        <v>206</v>
      </c>
      <c r="CP89" s="30">
        <v>17</v>
      </c>
      <c r="CQ89" s="31">
        <v>12.222222222222221</v>
      </c>
      <c r="CR89" s="31">
        <v>26</v>
      </c>
      <c r="CS89" s="29">
        <v>27</v>
      </c>
      <c r="CT89" s="30">
        <v>15</v>
      </c>
      <c r="CU89" s="30">
        <v>0.7952330657044463</v>
      </c>
      <c r="CV89" s="26" t="s">
        <v>324</v>
      </c>
      <c r="CW89" s="30">
        <v>41</v>
      </c>
      <c r="CX89" s="29">
        <f>IF(CR89&lt;=CP89,1,0)</f>
        <v>0</v>
      </c>
      <c r="CY89" s="32">
        <f>CR89-CP89</f>
        <v>9</v>
      </c>
      <c r="CZ89" s="32" t="str">
        <f>IF(CU89&gt;0,
    IF(OR(CP89&lt;=TRUNC(CW89/2,0),CP89=0),
        IF(CT89=TRUNC(CW89/2,0),
            "-1, Déficit y dejo la capacidad media",
            IF(AND(CT89&gt;TRUNC(CW89/2,0), CT89&gt;CP89),
                "1, Déficit y eliminé déficit",
                IF(AND(CT89&lt;TRUNC(CW89/2,0), CT89&lt;CP89),
                    "0, Déficit y no elimine déficit",
                    "-2, Déficit y resultado fue bueno")
            )
        ),
        IF(AND(CT89&gt;TRUNC(CW89/2,0), CT89&gt;CP89),
            "1, no había déficit, pero resultado fue mejor",
            IF(AND(CT89&lt;TRUNC(CW89/2,0),CT89&lt;CP89),
                "0, no había déficit y la dejo con déficit",
                IF(CT89=TRUNC(CW89/2,0),
                    "-1, no había déficit y dejo la capacidad media",
                    "-2,no había déficit y resultado fue bueno")
            )
        )
    ),
    IF(CU89&lt;0,
        IF(CP89&gt;TRUNC(CW89/2,0),
            IF(CT89=TRUNC(CW89/2,0),
                "-1, Superávit y deje la capacidad media",
                IF(AND(CT89&gt;TRUNC(CW89/2,0), CT89&gt;=CP89),
                    "0, Superávit y no eliminé superávit",
                    IF(AND(CT89&lt;TRUNC(CW89/2,0),CT89&lt;CP89),
                        "1, Superávit y eliminé superávit",
                        "-2, Superávit y resultado fue bueno"
                    )
                )
            ),
            IF(AND(CP89&lt;=TRUNC(CW89/2,0),CP89&gt;=0),
                IF(CT89=TRUNC(CW89/2,0),
                    "-1, no había superávit y deje la capacidad media",
                    IF(AND(CT89&gt;TRUNC(CW89/2,0), CT89&gt;=CP89),
                        "0, no había superávit, y la deje con superávit",
                        IF(AND(CT89&lt;TRUNC(CW89/2,0),CT89&lt;CP89),
                            "1, no había superávit, pero el resultado fue mejor",
                            "-2, no había superávit y resultado fue bueno"
                        )
                    )
                )
            )
        )
    )
)</f>
        <v>0, Déficit y no elimine déficit</v>
      </c>
    </row>
    <row r="90" spans="2:104" ht="14.25" customHeight="1" x14ac:dyDescent="0.3">
      <c r="B90" s="30" t="s">
        <v>202</v>
      </c>
      <c r="C90" s="30">
        <v>4</v>
      </c>
      <c r="D90" s="31">
        <v>4.2222222222222223</v>
      </c>
      <c r="E90" s="29">
        <v>4</v>
      </c>
      <c r="F90" s="29">
        <v>4</v>
      </c>
      <c r="G90" s="30">
        <v>4</v>
      </c>
      <c r="H90" s="30">
        <v>0.65812761495518723</v>
      </c>
      <c r="I90" s="26" t="s">
        <v>318</v>
      </c>
      <c r="J90" s="30">
        <v>11</v>
      </c>
      <c r="K90" s="29">
        <f>IF(E90&lt;=C90,1,0)</f>
        <v>1</v>
      </c>
      <c r="L90" s="29">
        <f>E90-C90</f>
        <v>0</v>
      </c>
      <c r="M90" s="29" t="str">
        <f>IF(H90&gt;0,
    IF(OR(C90&lt;=TRUNC(J90/2,0),C90=0),
        IF(G90=TRUNC(J90/2,0),
            "-1, Déficit y dejo la capacidad media",
            IF(AND(G90&gt;TRUNC(J90/2,0), G90&gt;C90),
                "1, Déficit y eliminé déficit",
                IF(AND(G90&lt;TRUNC(J90/2,0), G90&lt;C90),
                    "0, Déficit y no elimine déficit",
                    "-2, Déficit y resultado fue bueno")
            )
        ),
        IF(AND(G90&gt;TRUNC(J90/2,0), G90&gt;C90),
            "1, no había déficit, pero resultado fue mejor",
            IF(AND(G90&lt;TRUNC(J90/2,0),G90&lt;C90),
                "0, no había déficit y la dejo con déficit",
                IF(G90=TRUNC(J90/2,0),
                    "-1, no había déficit y dejo la capacidad media",
                    "-2,no había déficit y resultado fue bueno")
            )
        )
    ),
    IF(H90&lt;0,
        IF(C90&gt;TRUNC(J90/2,0),
            IF(G90=TRUNC(J90/2,0),
                "-1, Superávit y deje la capacidad media",
                IF(AND(G90&gt;TRUNC(J90/2,0), G90&gt;=C90),
                    "0, Superávit y no eliminé superávit",
                    IF(AND(G90&lt;TRUNC(J90/2,0),G90&lt;C90),
                        "1, Superávit y eliminé superávit",
                        "-2, Superávit y resultado fue bueno"
                    )
                )
            ),
            IF(AND(C90&lt;=TRUNC(J90/2,0),C90&gt;=0),
                IF(G90=TRUNC(J90/2,0),
                    "-1, no había superávit y deje la capacidad media",
                    IF(AND(G90&gt;TRUNC(J90/2,0), G90&gt;=C90),
                        "0, no había superávit, y la deje con superávit",
                        IF(AND(G90&lt;TRUNC(J90/2,0),G90&lt;C90),
                            "1, no había superávit, pero el resultado fue mejor",
                            "-2, no había superávit y resultado fue bueno"
                        )
                    )
                )
            )
        )
    )
)</f>
        <v>-2, Déficit y resultado fue bueno</v>
      </c>
      <c r="O90" s="30" t="s">
        <v>202</v>
      </c>
      <c r="P90" s="29">
        <v>6</v>
      </c>
      <c r="Q90" s="31">
        <v>3.5555555555555554</v>
      </c>
      <c r="R90" s="29">
        <v>1</v>
      </c>
      <c r="S90" s="29">
        <v>1</v>
      </c>
      <c r="T90" s="29">
        <v>5</v>
      </c>
      <c r="U90" s="30">
        <v>0.65812761495518723</v>
      </c>
      <c r="V90" s="26" t="s">
        <v>318</v>
      </c>
      <c r="W90" s="30">
        <v>11</v>
      </c>
      <c r="X90" s="29">
        <f>IF(R90&lt;=P90,1,0)</f>
        <v>1</v>
      </c>
      <c r="Y90" s="29">
        <f>R90-P90</f>
        <v>-5</v>
      </c>
      <c r="Z90" s="29" t="str">
        <f>IF(U90&gt;0,
    IF(OR(P90&lt;=TRUNC(W90/2,0),P90=0),
        IF(T90=TRUNC(W90/2,0),
            "-1, Déficit y dejo la capacidad media",
            IF(AND(T90&gt;TRUNC(W90/2,0), T90&gt;P90),
                "1, Déficit y eliminé déficit",
                IF(AND(T90&lt;TRUNC(W90/2,0), T90&lt;P90),
                    "0, Déficit y no elimine déficit",
                    "-2, Déficit y resultado fue bueno")
            )
        ),
        IF(AND(T90&gt;TRUNC(W90/2,0), T90&gt;P90),
            "1, no había déficit, pero resultado fue mejor",
            IF(AND(T90&lt;TRUNC(W90/2,0),T90&lt;P90),
                "0, no había déficit y la dejo con déficit",
                IF(T90=TRUNC(W90/2,0),
                    "-1, no había déficit y dejo la capacidad media",
                    "-2,no había déficit y resultado fue bueno")
            )
        )
    ),
    IF(U90&lt;0,
        IF(P90&gt;TRUNC(W90/2,0),
            IF(T90=TRUNC(W90/2,0),
                "-1, Superávit y deje la capacidad media",
                IF(AND(T90&gt;TRUNC(W90/2,0), T90&gt;=P90),
                    "0, Superávit y no eliminé superávit",
                    IF(AND(T90&lt;TRUNC(W90/2,0),T90&lt;P90),
                        "1, Superávit y eliminé superávit",
                        "-2, Superávit y resultado fue bueno"
                    )
                )
            ),
            IF(AND(P90&lt;=TRUNC(W90/2,0),P90&gt;=0),
                IF(T90=TRUNC(W90/2,0),
                    "-1, no había superávit y deje la capacidad media",
                    IF(AND(T90&gt;TRUNC(W90/2,0), T90&gt;=P90),
                        "0, no había superávit, y la deje con superávit",
                        IF(AND(T90&lt;TRUNC(W90/2,0),T90&lt;P90),
                            "1, no había superávit, pero el resultado fue mejor",
                            "-2, no había superávit y resultado fue bueno"
                        )
                    )
                )
            )
        )
    )
)</f>
        <v>-1, no había déficit y dejo la capacidad media</v>
      </c>
      <c r="AB90" s="30" t="s">
        <v>202</v>
      </c>
      <c r="AC90" s="29">
        <v>0</v>
      </c>
      <c r="AD90" s="31">
        <v>4.1111111111111107</v>
      </c>
      <c r="AE90" s="29">
        <v>4</v>
      </c>
      <c r="AF90" s="29">
        <v>1</v>
      </c>
      <c r="AG90" s="29">
        <v>5</v>
      </c>
      <c r="AH90" s="30">
        <v>0.65812761495518723</v>
      </c>
      <c r="AI90" s="26" t="s">
        <v>318</v>
      </c>
      <c r="AJ90" s="30">
        <v>11</v>
      </c>
      <c r="AK90" s="29">
        <f>IF(AE90&lt;=AC90,1,0)</f>
        <v>0</v>
      </c>
      <c r="AL90" s="29">
        <f>AE90-AC90</f>
        <v>4</v>
      </c>
      <c r="AM90" s="29" t="str">
        <f>IF(AH90&gt;0,
    IF(OR(AC90&lt;=TRUNC(AJ90/2,0),AC90=0),
        IF(AG90=TRUNC(AJ90/2,0),
            "-1, Déficit y dejo la capacidad media",
            IF(AND(AG90&gt;TRUNC(AJ90/2,0), AG90&gt;AC90),
                "1, Déficit y eliminé déficit",
                IF(AND(AG90&lt;TRUNC(AJ90/2,0), AG90&lt;AC90),
                    "0, Déficit y no elimine déficit",
                    "-2, Déficit y resultado fue bueno")
            )
        ),
        IF(AND(AG90&gt;TRUNC(AJ90/2,0), AG90&gt;AC90),
            "1, no había déficit, pero resultado fue mejor",
            IF(AND(AG90&lt;TRUNC(AJ90/2,0),AG90&lt;AC90),
                "0, no había déficit y la dejo con déficit",
                IF(AG90=TRUNC(AJ90/2,0),
                    "-1, no había déficit y dejo la capacidad media",
                    "-2,no había déficit y resultado fue bueno")
            )
        )
    ),
    IF(AH90&lt;0,
        IF(AC90&gt;TRUNC(AJ90/2,0),
            IF(AG90=TRUNC(AJ90/2,0),
                "-1, Superávit y deje la capacidad media",
                IF(AND(AG90&gt;TRUNC(AJ90/2,0), AG90&gt;=AC90),
                    "0, Superávit y no eliminé superávit",
                    IF(AND(AG90&lt;TRUNC(AJ90/2,0),AG90&lt;AC90),
                        "1, Superávit y eliminé superávit",
                        "-2, Superávit y resultado fue bueno"
                    )
                )
            ),
            IF(AND(AC90&lt;=TRUNC(AJ90/2,0),AC90&gt;=0),
                IF(AG90=TRUNC(AJ90/2,0),
                    "-1, no había superávit y deje la capacidad media",
                    IF(AND(AG90&gt;TRUNC(AJ90/2,0), AG90&gt;=AC90),
                        "0, no había superávit, y la deje con superávit",
                        IF(AND(AG90&lt;TRUNC(AJ90/2,0),AG90&lt;AC90),
                            "1, no había superávit, pero el resultado fue mejor",
                            "-2, no había superávit y resultado fue bueno"
                        )
                    )
                )
            )
        )
    )
)</f>
        <v>-1, Déficit y dejo la capacidad media</v>
      </c>
      <c r="AO90" s="30" t="s">
        <v>202</v>
      </c>
      <c r="AP90" s="30">
        <v>2</v>
      </c>
      <c r="AQ90" s="31">
        <v>3.4444444444444446</v>
      </c>
      <c r="AR90" s="29">
        <v>1</v>
      </c>
      <c r="AS90" s="29">
        <v>1</v>
      </c>
      <c r="AT90" s="30">
        <v>4</v>
      </c>
      <c r="AU90" s="30">
        <v>0.65812761495518723</v>
      </c>
      <c r="AV90" s="26" t="s">
        <v>318</v>
      </c>
      <c r="AW90" s="30">
        <v>11</v>
      </c>
      <c r="AX90" s="29">
        <f>IF(AR90&lt;=AP90,1,0)</f>
        <v>1</v>
      </c>
      <c r="AY90" s="29">
        <f>AR90-AP90</f>
        <v>-1</v>
      </c>
      <c r="AZ90" s="29" t="str">
        <f>IF(AU90&gt;0,
    IF(OR(AP90&lt;=TRUNC(AW90/2,0),AP90=0),
        IF(AT90=TRUNC(AW90/2,0),
            "-1, Déficit y dejo la capacidad media",
            IF(AND(AT90&gt;TRUNC(AW90/2,0), AT90&gt;AP90),
                "1, Déficit y eliminé déficit",
                IF(AND(AT90&lt;TRUNC(AW90/2,0), AT90&lt;AP90),
                    "0, Déficit y no elimine déficit",
                    "-2, Déficit y resultado fue bueno")
            )
        ),
        IF(AND(AT90&gt;TRUNC(AW90/2,0), AT90&gt;AP90),
            "1, no había déficit, pero resultado fue mejor",
            IF(AND(AT90&lt;TRUNC(AW90/2,0),AT90&lt;AP90),
                "0, no había déficit y la dejo con déficit",
                IF(AT90=TRUNC(AW90/2,0),
                    "-1, no había déficit y dejo la capacidad media",
                    "-2,no había déficit y resultado fue bueno")
            )
        )
    ),
    IF(AU90&lt;0,
        IF(AP90&gt;TRUNC(AW90/2,0),
            IF(AT90=TRUNC(AW90/2,0),
                "-1, Superávit y deje la capacidad media",
                IF(AND(AT90&gt;TRUNC(AW90/2,0), AT90&gt;=AP90),
                    "0, Superávit y no eliminé superávit",
                    IF(AND(AT90&lt;TRUNC(AW90/2,0),AT90&lt;AP90),
                        "1, Superávit y eliminé superávit",
                        "-2, Superávit y resultado fue bueno"
                    )
                )
            ),
            IF(AND(AP90&lt;=TRUNC(AW90/2,0),AP90&gt;=0),
                IF(AT90=TRUNC(AW90/2,0),
                    "-1, no había superávit y deje la capacidad media",
                    IF(AND(AT90&gt;TRUNC(AW90/2,0), AT90&gt;=AP90),
                        "0, no había superávit, y la deje con superávit",
                        IF(AND(AT90&lt;TRUNC(AW90/2,0),AT90&lt;AP90),
                            "1, no había superávit, pero el resultado fue mejor",
                            "-2, no había superávit y resultado fue bueno"
                        )
                    )
                )
            )
        )
    )
)</f>
        <v>-2, Déficit y resultado fue bueno</v>
      </c>
      <c r="BB90" s="30" t="s">
        <v>202</v>
      </c>
      <c r="BC90" s="30">
        <v>4</v>
      </c>
      <c r="BD90" s="31">
        <v>4.333333333333333</v>
      </c>
      <c r="BE90" s="29">
        <v>0</v>
      </c>
      <c r="BF90" s="29">
        <v>0</v>
      </c>
      <c r="BG90" s="30">
        <v>4</v>
      </c>
      <c r="BH90" s="30">
        <v>0.65812761495518723</v>
      </c>
      <c r="BI90" s="26" t="s">
        <v>318</v>
      </c>
      <c r="BJ90" s="30">
        <v>11</v>
      </c>
      <c r="BK90" s="29">
        <f>IF(BE90&lt;=BC90,1,0)</f>
        <v>1</v>
      </c>
      <c r="BL90" s="29">
        <f>BE90-BC90</f>
        <v>-4</v>
      </c>
      <c r="BM90" s="29" t="str">
        <f>IF(BH90&gt;0,
    IF(OR(BC90&lt;=TRUNC(BJ90/2,0),BC90=0),
        IF(BG90=TRUNC(BJ90/2,0),
            "-1, Déficit y dejo la capacidad media",
            IF(AND(BG90&gt;TRUNC(BJ90/2,0), BG90&gt;BC90),
                "1, Déficit y eliminé déficit",
                IF(AND(BG90&lt;TRUNC(BJ90/2,0), BG90&lt;BC90),
                    "0, Déficit y no elimine déficit",
                    "-2, Déficit y resultado fue bueno")
            )
        ),
        IF(AND(BG90&gt;TRUNC(BJ90/2,0), BG90&gt;BC90),
            "1, no había déficit, pero resultado fue mejor",
            IF(AND(BG90&lt;TRUNC(BJ90/2,0),BG90&lt;BC90),
                "0, no había déficit y la dejo con déficit",
                IF(BG90=TRUNC(BJ90/2,0),
                    "-1, no había déficit y dejo la capacidad media",
                    "-2,no había déficit y resultado fue bueno")
            )
        )
    ),
    IF(BH90&lt;0,
        IF(BC90&gt;TRUNC(BJ90/2,0),
            IF(BG90=TRUNC(BJ90/2,0),
                "-1, Superávit y deje la capacidad media",
                IF(AND(BG90&gt;TRUNC(BJ90/2,0), BG90&gt;=BC90),
                    "0, Superávit y no eliminé superávit",
                    IF(AND(BG90&lt;TRUNC(BJ90/2,0),BG90&lt;BC90),
                        "1, Superávit y eliminé superávit",
                        "-2, Superávit y resultado fue bueno"
                    )
                )
            ),
            IF(AND(BC90&lt;=TRUNC(BJ90/2,0),BC90&gt;=0),
                IF(BG90=TRUNC(BJ90/2,0),
                    "-1, no había superávit y deje la capacidad media",
                    IF(AND(BG90&gt;TRUNC(BJ90/2,0), BG90&gt;=BC90),
                        "0, no había superávit, y la deje con superávit",
                        IF(AND(BG90&lt;TRUNC(BJ90/2,0),BG90&lt;BC90),
                            "1, no había superávit, pero el resultado fue mejor",
                            "-2, no había superávit y resultado fue bueno"
                        )
                    )
                )
            )
        )
    )
)</f>
        <v>-2, Déficit y resultado fue bueno</v>
      </c>
      <c r="BO90" s="30" t="s">
        <v>202</v>
      </c>
      <c r="BP90" s="30">
        <v>1</v>
      </c>
      <c r="BQ90" s="31">
        <v>2.5555555555555554</v>
      </c>
      <c r="BR90" s="29">
        <v>1</v>
      </c>
      <c r="BS90" s="29">
        <v>1</v>
      </c>
      <c r="BT90" s="30">
        <v>7</v>
      </c>
      <c r="BU90" s="30">
        <v>0.65812761495518723</v>
      </c>
      <c r="BV90" s="26" t="s">
        <v>318</v>
      </c>
      <c r="BW90" s="30">
        <v>11</v>
      </c>
      <c r="BX90" s="29">
        <f>IF(BR90&lt;=BP90,1,0)</f>
        <v>1</v>
      </c>
      <c r="BY90" s="29">
        <f>BR90-BP90</f>
        <v>0</v>
      </c>
      <c r="BZ90" s="29" t="str">
        <f>IF(BU90&gt;0,
    IF(OR(BP90&lt;=TRUNC(BW90/2,0),BP90=0),
        IF(BT90=TRUNC(BW90/2,0),
            "-1, Déficit y dejo la capacidad media",
            IF(AND(BT90&gt;TRUNC(BW90/2,0), BT90&gt;BP90),
                "1, Déficit y eliminé déficit",
                IF(AND(BT90&lt;TRUNC(BW90/2,0), BT90&lt;BP90),
                    "0, Déficit y no elimine déficit",
                    "-2, Déficit y resultado fue bueno")
            )
        ),
        IF(AND(BT90&gt;TRUNC(BW90/2,0), BT90&gt;BP90),
            "1, no había déficit, pero resultado fue mejor",
            IF(AND(BT90&lt;TRUNC(BW90/2,0),BT90&lt;BP90),
                "0, no había déficit y la dejo con déficit",
                IF(BT90=TRUNC(BW90/2,0),
                    "-1, no había déficit y dejo la capacidad media",
                    "-2,no había déficit y resultado fue bueno")
            )
        )
    ),
    IF(BU90&lt;0,
        IF(BP90&gt;TRUNC(BW90/2,0),
            IF(BT90=TRUNC(BW90/2,0),
                "-1, Superávit y deje la capacidad media",
                IF(AND(BT90&gt;TRUNC(BW90/2,0), BT90&gt;=BP90),
                    "0, Superávit y no eliminé superávit",
                    IF(AND(BT90&lt;TRUNC(BW90/2,0),BT90&lt;BP90),
                        "1, Superávit y eliminé superávit",
                        "-2, Superávit y resultado fue bueno"
                    )
                )
            ),
            IF(AND(BP90&lt;=TRUNC(BW90/2,0),BP90&gt;=0),
                IF(BT90=TRUNC(BW90/2,0),
                    "-1, no había superávit y deje la capacidad media",
                    IF(AND(BT90&gt;TRUNC(BW90/2,0), BT90&gt;=BP90),
                        "0, no había superávit, y la deje con superávit",
                        IF(AND(BT90&lt;TRUNC(BW90/2,0),BT90&lt;BP90),
                            "1, no había superávit, pero el resultado fue mejor",
                            "-2, no había superávit y resultado fue bueno"
                        )
                    )
                )
            )
        )
    )
)</f>
        <v>1, Déficit y eliminé déficit</v>
      </c>
      <c r="CB90" s="30" t="s">
        <v>202</v>
      </c>
      <c r="CC90" s="30">
        <v>6</v>
      </c>
      <c r="CD90" s="31">
        <v>4.5555555555555554</v>
      </c>
      <c r="CE90" s="31">
        <v>6</v>
      </c>
      <c r="CF90" s="29">
        <v>6</v>
      </c>
      <c r="CG90" s="30">
        <v>4</v>
      </c>
      <c r="CH90" s="30">
        <v>0.65812761495518723</v>
      </c>
      <c r="CI90" s="26" t="s">
        <v>318</v>
      </c>
      <c r="CJ90" s="30">
        <v>11</v>
      </c>
      <c r="CK90" s="29">
        <f>IF(CE90&lt;=CC90,1,0)</f>
        <v>1</v>
      </c>
      <c r="CL90" s="32">
        <f>CE90-CC90</f>
        <v>0</v>
      </c>
      <c r="CM90" s="32" t="str">
        <f>IF(CH90&gt;0,
    IF(OR(CC90&lt;=TRUNC(CJ90/2,0),CC90=0),
        IF(CG90=TRUNC(CJ90/2,0),
            "-1, Déficit y dejo la capacidad media",
            IF(AND(CG90&gt;TRUNC(CJ90/2,0), CG90&gt;CC90),
                "1, Déficit y eliminé déficit",
                IF(AND(CG90&lt;TRUNC(CJ90/2,0), CG90&lt;CC90),
                    "0, Déficit y no elimine déficit",
                    "-2, Déficit y resultado fue bueno")
            )
        ),
        IF(AND(CG90&gt;TRUNC(CJ90/2,0), CG90&gt;CC90),
            "1, no había déficit, pero resultado fue mejor",
            IF(AND(CG90&lt;TRUNC(CJ90/2,0),CG90&lt;CC90),
                "0, no había déficit y la dejo con déficit",
                IF(CG90=TRUNC(CJ90/2,0),
                    "-1, no había déficit y dejo la capacidad media",
                    "-2,no había déficit y resultado fue bueno")
            )
        )
    ),
    IF(CH90&lt;0,
        IF(CC90&gt;TRUNC(CJ90/2,0),
            IF(CG90=TRUNC(CJ90/2,0),
                "-1, Superávit y deje la capacidad media",
                IF(AND(CG90&gt;TRUNC(CJ90/2,0), CG90&gt;=CC90),
                    "0, Superávit y no eliminé superávit",
                    IF(AND(CG90&lt;TRUNC(CJ90/2,0),CG90&lt;CC90),
                        "1, Superávit y eliminé superávit",
                        "-2, Superávit y resultado fue bueno"
                    )
                )
            ),
            IF(AND(CC90&lt;=TRUNC(CJ90/2,0),CC90&gt;=0),
                IF(CG90=TRUNC(CJ90/2,0),
                    "-1, no había superávit y deje la capacidad media",
                    IF(AND(CG90&gt;TRUNC(CJ90/2,0), CG90&gt;=CC90),
                        "0, no había superávit, y la deje con superávit",
                        IF(AND(CG90&lt;TRUNC(CJ90/2,0),CG90&lt;CC90),
                            "1, no había superávit, pero el resultado fue mejor",
                            "-2, no había superávit y resultado fue bueno"
                        )
                    )
                )
            )
        )
    )
)</f>
        <v>0, no había déficit y la dejo con déficit</v>
      </c>
      <c r="CO90" s="30" t="s">
        <v>202</v>
      </c>
      <c r="CP90" s="30">
        <v>7</v>
      </c>
      <c r="CQ90" s="31">
        <v>4.2222222222222223</v>
      </c>
      <c r="CR90" s="31">
        <v>7</v>
      </c>
      <c r="CS90" s="29">
        <v>7</v>
      </c>
      <c r="CT90" s="30">
        <v>4</v>
      </c>
      <c r="CU90" s="30">
        <v>0.65812761495518723</v>
      </c>
      <c r="CV90" s="26" t="s">
        <v>318</v>
      </c>
      <c r="CW90" s="30">
        <v>11</v>
      </c>
      <c r="CX90" s="29">
        <f>IF(CR90&lt;=CP90,1,0)</f>
        <v>1</v>
      </c>
      <c r="CY90" s="32">
        <f>CR90-CP90</f>
        <v>0</v>
      </c>
      <c r="CZ90" s="32" t="str">
        <f>IF(CU90&gt;0,
    IF(OR(CP90&lt;=TRUNC(CW90/2,0),CP90=0),
        IF(CT90=TRUNC(CW90/2,0),
            "-1, Déficit y dejo la capacidad media",
            IF(AND(CT90&gt;TRUNC(CW90/2,0), CT90&gt;CP90),
                "1, Déficit y eliminé déficit",
                IF(AND(CT90&lt;TRUNC(CW90/2,0), CT90&lt;CP90),
                    "0, Déficit y no elimine déficit",
                    "-2, Déficit y resultado fue bueno")
            )
        ),
        IF(AND(CT90&gt;TRUNC(CW90/2,0), CT90&gt;CP90),
            "1, no había déficit, pero resultado fue mejor",
            IF(AND(CT90&lt;TRUNC(CW90/2,0),CT90&lt;CP90),
                "0, no había déficit y la dejo con déficit",
                IF(CT90=TRUNC(CW90/2,0),
                    "-1, no había déficit y dejo la capacidad media",
                    "-2,no había déficit y resultado fue bueno")
            )
        )
    ),
    IF(CU90&lt;0,
        IF(CP90&gt;TRUNC(CW90/2,0),
            IF(CT90=TRUNC(CW90/2,0),
                "-1, Superávit y deje la capacidad media",
                IF(AND(CT90&gt;TRUNC(CW90/2,0), CT90&gt;=CP90),
                    "0, Superávit y no eliminé superávit",
                    IF(AND(CT90&lt;TRUNC(CW90/2,0),CT90&lt;CP90),
                        "1, Superávit y eliminé superávit",
                        "-2, Superávit y resultado fue bueno"
                    )
                )
            ),
            IF(AND(CP90&lt;=TRUNC(CW90/2,0),CP90&gt;=0),
                IF(CT90=TRUNC(CW90/2,0),
                    "-1, no había superávit y deje la capacidad media",
                    IF(AND(CT90&gt;TRUNC(CW90/2,0), CT90&gt;=CP90),
                        "0, no había superávit, y la deje con superávit",
                        IF(AND(CT90&lt;TRUNC(CW90/2,0),CT90&lt;CP90),
                            "1, no había superávit, pero el resultado fue mejor",
                            "-2, no había superávit y resultado fue bueno"
                        )
                    )
                )
            )
        )
    )
)</f>
        <v>0, no había déficit y la dejo con déficit</v>
      </c>
    </row>
    <row r="91" spans="2:104" ht="14.25" customHeight="1" x14ac:dyDescent="0.3">
      <c r="B91" s="30" t="s">
        <v>205</v>
      </c>
      <c r="C91" s="30">
        <v>1</v>
      </c>
      <c r="D91" s="31">
        <v>1.6666666666666667</v>
      </c>
      <c r="E91" s="29">
        <v>1</v>
      </c>
      <c r="F91" s="29">
        <v>1</v>
      </c>
      <c r="G91" s="30">
        <v>4</v>
      </c>
      <c r="H91" s="30">
        <v>0.65757862978307635</v>
      </c>
      <c r="I91" s="26" t="s">
        <v>319</v>
      </c>
      <c r="J91" s="30">
        <v>7</v>
      </c>
      <c r="K91" s="29">
        <f>IF(E91&lt;=C91,1,0)</f>
        <v>1</v>
      </c>
      <c r="L91" s="29">
        <f>E91-C91</f>
        <v>0</v>
      </c>
      <c r="M91" s="29" t="str">
        <f>IF(H91&gt;0,
    IF(OR(C91&lt;=TRUNC(J91/2,0),C91=0),
        IF(G91=TRUNC(J91/2,0),
            "-1, Déficit y dejo la capacidad media",
            IF(AND(G91&gt;TRUNC(J91/2,0), G91&gt;C91),
                "1, Déficit y eliminé déficit",
                IF(AND(G91&lt;TRUNC(J91/2,0), G91&lt;C91),
                    "0, Déficit y no elimine déficit",
                    "-2, Déficit y resultado fue bueno")
            )
        ),
        IF(AND(G91&gt;TRUNC(J91/2,0), G91&gt;C91),
            "1, no había déficit, pero resultado fue mejor",
            IF(AND(G91&lt;TRUNC(J91/2,0),G91&lt;C91),
                "0, no había déficit y la dejo con déficit",
                IF(G91=TRUNC(J91/2,0),
                    "-1, no había déficit y dejo la capacidad media",
                    "-2,no había déficit y resultado fue bueno")
            )
        )
    ),
    IF(H91&lt;0,
        IF(C91&gt;TRUNC(J91/2,0),
            IF(G91=TRUNC(J91/2,0),
                "-1, Superávit y deje la capacidad media",
                IF(AND(G91&gt;TRUNC(J91/2,0), G91&gt;=C91),
                    "0, Superávit y no eliminé superávit",
                    IF(AND(G91&lt;TRUNC(J91/2,0),G91&lt;C91),
                        "1, Superávit y eliminé superávit",
                        "-2, Superávit y resultado fue bueno"
                    )
                )
            ),
            IF(AND(C91&lt;=TRUNC(J91/2,0),C91&gt;=0),
                IF(G91=TRUNC(J91/2,0),
                    "-1, no había superávit y deje la capacidad media",
                    IF(AND(G91&gt;TRUNC(J91/2,0), G91&gt;=C91),
                        "0, no había superávit, y la deje con superávit",
                        IF(AND(G91&lt;TRUNC(J91/2,0),G91&lt;C91),
                            "1, no había superávit, pero el resultado fue mejor",
                            "-2, no había superávit y resultado fue bueno"
                        )
                    )
                )
            )
        )
    )
)</f>
        <v>1, Déficit y eliminé déficit</v>
      </c>
      <c r="O91" s="30" t="s">
        <v>205</v>
      </c>
      <c r="P91" s="29">
        <v>5</v>
      </c>
      <c r="Q91" s="31">
        <v>1.8888888888888888</v>
      </c>
      <c r="R91" s="29">
        <v>0</v>
      </c>
      <c r="S91" s="29">
        <v>0</v>
      </c>
      <c r="T91" s="29">
        <v>4</v>
      </c>
      <c r="U91" s="30">
        <v>0.65757862978307635</v>
      </c>
      <c r="V91" s="26" t="s">
        <v>319</v>
      </c>
      <c r="W91" s="30">
        <v>7</v>
      </c>
      <c r="X91" s="29">
        <f>IF(R91&lt;=P91,1,0)</f>
        <v>1</v>
      </c>
      <c r="Y91" s="29">
        <f>R91-P91</f>
        <v>-5</v>
      </c>
      <c r="Z91" s="29" t="str">
        <f>IF(U91&gt;0,
    IF(OR(P91&lt;=TRUNC(W91/2,0),P91=0),
        IF(T91=TRUNC(W91/2,0),
            "-1, Déficit y dejo la capacidad media",
            IF(AND(T91&gt;TRUNC(W91/2,0), T91&gt;P91),
                "1, Déficit y eliminé déficit",
                IF(AND(T91&lt;TRUNC(W91/2,0), T91&lt;P91),
                    "0, Déficit y no elimine déficit",
                    "-2, Déficit y resultado fue bueno")
            )
        ),
        IF(AND(T91&gt;TRUNC(W91/2,0), T91&gt;P91),
            "1, no había déficit, pero resultado fue mejor",
            IF(AND(T91&lt;TRUNC(W91/2,0),T91&lt;P91),
                "0, no había déficit y la dejo con déficit",
                IF(T91=TRUNC(W91/2,0),
                    "-1, no había déficit y dejo la capacidad media",
                    "-2,no había déficit y resultado fue bueno")
            )
        )
    ),
    IF(U91&lt;0,
        IF(P91&gt;TRUNC(W91/2,0),
            IF(T91=TRUNC(W91/2,0),
                "-1, Superávit y deje la capacidad media",
                IF(AND(T91&gt;TRUNC(W91/2,0), T91&gt;=P91),
                    "0, Superávit y no eliminé superávit",
                    IF(AND(T91&lt;TRUNC(W91/2,0),T91&lt;P91),
                        "1, Superávit y eliminé superávit",
                        "-2, Superávit y resultado fue bueno"
                    )
                )
            ),
            IF(AND(P91&lt;=TRUNC(W91/2,0),P91&gt;=0),
                IF(T91=TRUNC(W91/2,0),
                    "-1, no había superávit y deje la capacidad media",
                    IF(AND(T91&gt;TRUNC(W91/2,0), T91&gt;=P91),
                        "0, no había superávit, y la deje con superávit",
                        IF(AND(T91&lt;TRUNC(W91/2,0),T91&lt;P91),
                            "1, no había superávit, pero el resultado fue mejor",
                            "-2, no había superávit y resultado fue bueno"
                        )
                    )
                )
            )
        )
    )
)</f>
        <v>-2,no había déficit y resultado fue bueno</v>
      </c>
      <c r="AB91" s="30" t="s">
        <v>205</v>
      </c>
      <c r="AC91" s="29">
        <v>5</v>
      </c>
      <c r="AD91" s="31">
        <v>1.8888888888888888</v>
      </c>
      <c r="AE91" s="29">
        <v>2</v>
      </c>
      <c r="AF91" s="29">
        <v>1</v>
      </c>
      <c r="AG91" s="29">
        <v>4</v>
      </c>
      <c r="AH91" s="30">
        <v>0.65757862978307635</v>
      </c>
      <c r="AI91" s="26" t="s">
        <v>319</v>
      </c>
      <c r="AJ91" s="30">
        <v>7</v>
      </c>
      <c r="AK91" s="29">
        <f>IF(AE91&lt;=AC91,1,0)</f>
        <v>1</v>
      </c>
      <c r="AL91" s="29">
        <f>AE91-AC91</f>
        <v>-3</v>
      </c>
      <c r="AM91" s="29" t="str">
        <f>IF(AH91&gt;0,
    IF(OR(AC91&lt;=TRUNC(AJ91/2,0),AC91=0),
        IF(AG91=TRUNC(AJ91/2,0),
            "-1, Déficit y dejo la capacidad media",
            IF(AND(AG91&gt;TRUNC(AJ91/2,0), AG91&gt;AC91),
                "1, Déficit y eliminé déficit",
                IF(AND(AG91&lt;TRUNC(AJ91/2,0), AG91&lt;AC91),
                    "0, Déficit y no elimine déficit",
                    "-2, Déficit y resultado fue bueno")
            )
        ),
        IF(AND(AG91&gt;TRUNC(AJ91/2,0), AG91&gt;AC91),
            "1, no había déficit, pero resultado fue mejor",
            IF(AND(AG91&lt;TRUNC(AJ91/2,0),AG91&lt;AC91),
                "0, no había déficit y la dejo con déficit",
                IF(AG91=TRUNC(AJ91/2,0),
                    "-1, no había déficit y dejo la capacidad media",
                    "-2,no había déficit y resultado fue bueno")
            )
        )
    ),
    IF(AH91&lt;0,
        IF(AC91&gt;TRUNC(AJ91/2,0),
            IF(AG91=TRUNC(AJ91/2,0),
                "-1, Superávit y deje la capacidad media",
                IF(AND(AG91&gt;TRUNC(AJ91/2,0), AG91&gt;=AC91),
                    "0, Superávit y no eliminé superávit",
                    IF(AND(AG91&lt;TRUNC(AJ91/2,0),AG91&lt;AC91),
                        "1, Superávit y eliminé superávit",
                        "-2, Superávit y resultado fue bueno"
                    )
                )
            ),
            IF(AND(AC91&lt;=TRUNC(AJ91/2,0),AC91&gt;=0),
                IF(AG91=TRUNC(AJ91/2,0),
                    "-1, no había superávit y deje la capacidad media",
                    IF(AND(AG91&gt;TRUNC(AJ91/2,0), AG91&gt;=AC91),
                        "0, no había superávit, y la deje con superávit",
                        IF(AND(AG91&lt;TRUNC(AJ91/2,0),AG91&lt;AC91),
                            "1, no había superávit, pero el resultado fue mejor",
                            "-2, no había superávit y resultado fue bueno"
                        )
                    )
                )
            )
        )
    )
)</f>
        <v>-2,no había déficit y resultado fue bueno</v>
      </c>
      <c r="AO91" s="30" t="s">
        <v>205</v>
      </c>
      <c r="AP91" s="30">
        <v>0</v>
      </c>
      <c r="AQ91" s="31">
        <v>1.5555555555555556</v>
      </c>
      <c r="AR91" s="29">
        <v>1</v>
      </c>
      <c r="AS91" s="29">
        <v>0</v>
      </c>
      <c r="AT91" s="30">
        <v>4</v>
      </c>
      <c r="AU91" s="30">
        <v>0.65757862978307635</v>
      </c>
      <c r="AV91" s="26" t="s">
        <v>319</v>
      </c>
      <c r="AW91" s="30">
        <v>7</v>
      </c>
      <c r="AX91" s="29">
        <f>IF(AR91&lt;=AP91,1,0)</f>
        <v>0</v>
      </c>
      <c r="AY91" s="29">
        <f>AR91-AP91</f>
        <v>1</v>
      </c>
      <c r="AZ91" s="29" t="str">
        <f>IF(AU91&gt;0,
    IF(OR(AP91&lt;=TRUNC(AW91/2,0),AP91=0),
        IF(AT91=TRUNC(AW91/2,0),
            "-1, Déficit y dejo la capacidad media",
            IF(AND(AT91&gt;TRUNC(AW91/2,0), AT91&gt;AP91),
                "1, Déficit y eliminé déficit",
                IF(AND(AT91&lt;TRUNC(AW91/2,0), AT91&lt;AP91),
                    "0, Déficit y no elimine déficit",
                    "-2, Déficit y resultado fue bueno")
            )
        ),
        IF(AND(AT91&gt;TRUNC(AW91/2,0), AT91&gt;AP91),
            "1, no había déficit, pero resultado fue mejor",
            IF(AND(AT91&lt;TRUNC(AW91/2,0),AT91&lt;AP91),
                "0, no había déficit y la dejo con déficit",
                IF(AT91=TRUNC(AW91/2,0),
                    "-1, no había déficit y dejo la capacidad media",
                    "-2,no había déficit y resultado fue bueno")
            )
        )
    ),
    IF(AU91&lt;0,
        IF(AP91&gt;TRUNC(AW91/2,0),
            IF(AT91=TRUNC(AW91/2,0),
                "-1, Superávit y deje la capacidad media",
                IF(AND(AT91&gt;TRUNC(AW91/2,0), AT91&gt;=AP91),
                    "0, Superávit y no eliminé superávit",
                    IF(AND(AT91&lt;TRUNC(AW91/2,0),AT91&lt;AP91),
                        "1, Superávit y eliminé superávit",
                        "-2, Superávit y resultado fue bueno"
                    )
                )
            ),
            IF(AND(AP91&lt;=TRUNC(AW91/2,0),AP91&gt;=0),
                IF(AT91=TRUNC(AW91/2,0),
                    "-1, no había superávit y deje la capacidad media",
                    IF(AND(AT91&gt;TRUNC(AW91/2,0), AT91&gt;=AP91),
                        "0, no había superávit, y la deje con superávit",
                        IF(AND(AT91&lt;TRUNC(AW91/2,0),AT91&lt;AP91),
                            "1, no había superávit, pero el resultado fue mejor",
                            "-2, no había superávit y resultado fue bueno"
                        )
                    )
                )
            )
        )
    )
)</f>
        <v>1, Déficit y eliminé déficit</v>
      </c>
      <c r="BB91" s="30" t="s">
        <v>205</v>
      </c>
      <c r="BC91" s="30">
        <v>0</v>
      </c>
      <c r="BD91" s="31">
        <v>1.6666666666666667</v>
      </c>
      <c r="BE91" s="29">
        <v>0</v>
      </c>
      <c r="BF91" s="29">
        <v>0</v>
      </c>
      <c r="BG91" s="30">
        <v>4</v>
      </c>
      <c r="BH91" s="30">
        <v>0.65757862978307635</v>
      </c>
      <c r="BI91" s="26" t="s">
        <v>319</v>
      </c>
      <c r="BJ91" s="30">
        <v>7</v>
      </c>
      <c r="BK91" s="29">
        <f>IF(BE91&lt;=BC91,1,0)</f>
        <v>1</v>
      </c>
      <c r="BL91" s="29">
        <f>BE91-BC91</f>
        <v>0</v>
      </c>
      <c r="BM91" s="29" t="str">
        <f>IF(BH91&gt;0,
    IF(OR(BC91&lt;=TRUNC(BJ91/2,0),BC91=0),
        IF(BG91=TRUNC(BJ91/2,0),
            "-1, Déficit y dejo la capacidad media",
            IF(AND(BG91&gt;TRUNC(BJ91/2,0), BG91&gt;BC91),
                "1, Déficit y eliminé déficit",
                IF(AND(BG91&lt;TRUNC(BJ91/2,0), BG91&lt;BC91),
                    "0, Déficit y no elimine déficit",
                    "-2, Déficit y resultado fue bueno")
            )
        ),
        IF(AND(BG91&gt;TRUNC(BJ91/2,0), BG91&gt;BC91),
            "1, no había déficit, pero resultado fue mejor",
            IF(AND(BG91&lt;TRUNC(BJ91/2,0),BG91&lt;BC91),
                "0, no había déficit y la dejo con déficit",
                IF(BG91=TRUNC(BJ91/2,0),
                    "-1, no había déficit y dejo la capacidad media",
                    "-2,no había déficit y resultado fue bueno")
            )
        )
    ),
    IF(BH91&lt;0,
        IF(BC91&gt;TRUNC(BJ91/2,0),
            IF(BG91=TRUNC(BJ91/2,0),
                "-1, Superávit y deje la capacidad media",
                IF(AND(BG91&gt;TRUNC(BJ91/2,0), BG91&gt;=BC91),
                    "0, Superávit y no eliminé superávit",
                    IF(AND(BG91&lt;TRUNC(BJ91/2,0),BG91&lt;BC91),
                        "1, Superávit y eliminé superávit",
                        "-2, Superávit y resultado fue bueno"
                    )
                )
            ),
            IF(AND(BC91&lt;=TRUNC(BJ91/2,0),BC91&gt;=0),
                IF(BG91=TRUNC(BJ91/2,0),
                    "-1, no había superávit y deje la capacidad media",
                    IF(AND(BG91&gt;TRUNC(BJ91/2,0), BG91&gt;=BC91),
                        "0, no había superávit, y la deje con superávit",
                        IF(AND(BG91&lt;TRUNC(BJ91/2,0),BG91&lt;BC91),
                            "1, no había superávit, pero el resultado fue mejor",
                            "-2, no había superávit y resultado fue bueno"
                        )
                    )
                )
            )
        )
    )
)</f>
        <v>1, Déficit y eliminé déficit</v>
      </c>
      <c r="BO91" s="30" t="s">
        <v>205</v>
      </c>
      <c r="BP91" s="30">
        <v>0</v>
      </c>
      <c r="BQ91" s="31">
        <v>1.2222222222222223</v>
      </c>
      <c r="BR91" s="29">
        <v>5</v>
      </c>
      <c r="BS91" s="29">
        <v>5</v>
      </c>
      <c r="BT91" s="30">
        <v>4</v>
      </c>
      <c r="BU91" s="30">
        <v>0.65757862978307635</v>
      </c>
      <c r="BV91" s="26" t="s">
        <v>319</v>
      </c>
      <c r="BW91" s="30">
        <v>7</v>
      </c>
      <c r="BX91" s="29">
        <f>IF(BR91&lt;=BP91,1,0)</f>
        <v>0</v>
      </c>
      <c r="BY91" s="29">
        <f>BR91-BP91</f>
        <v>5</v>
      </c>
      <c r="BZ91" s="29" t="str">
        <f>IF(BU91&gt;0,
    IF(OR(BP91&lt;=TRUNC(BW91/2,0),BP91=0),
        IF(BT91=TRUNC(BW91/2,0),
            "-1, Déficit y dejo la capacidad media",
            IF(AND(BT91&gt;TRUNC(BW91/2,0), BT91&gt;BP91),
                "1, Déficit y eliminé déficit",
                IF(AND(BT91&lt;TRUNC(BW91/2,0), BT91&lt;BP91),
                    "0, Déficit y no elimine déficit",
                    "-2, Déficit y resultado fue bueno")
            )
        ),
        IF(AND(BT91&gt;TRUNC(BW91/2,0), BT91&gt;BP91),
            "1, no había déficit, pero resultado fue mejor",
            IF(AND(BT91&lt;TRUNC(BW91/2,0),BT91&lt;BP91),
                "0, no había déficit y la dejo con déficit",
                IF(BT91=TRUNC(BW91/2,0),
                    "-1, no había déficit y dejo la capacidad media",
                    "-2,no había déficit y resultado fue bueno")
            )
        )
    ),
    IF(BU91&lt;0,
        IF(BP91&gt;TRUNC(BW91/2,0),
            IF(BT91=TRUNC(BW91/2,0),
                "-1, Superávit y deje la capacidad media",
                IF(AND(BT91&gt;TRUNC(BW91/2,0), BT91&gt;=BP91),
                    "0, Superávit y no eliminé superávit",
                    IF(AND(BT91&lt;TRUNC(BW91/2,0),BT91&lt;BP91),
                        "1, Superávit y eliminé superávit",
                        "-2, Superávit y resultado fue bueno"
                    )
                )
            ),
            IF(AND(BP91&lt;=TRUNC(BW91/2,0),BP91&gt;=0),
                IF(BT91=TRUNC(BW91/2,0),
                    "-1, no había superávit y deje la capacidad media",
                    IF(AND(BT91&gt;TRUNC(BW91/2,0), BT91&gt;=BP91),
                        "0, no había superávit, y la deje con superávit",
                        IF(AND(BT91&lt;TRUNC(BW91/2,0),BT91&lt;BP91),
                            "1, no había superávit, pero el resultado fue mejor",
                            "-2, no había superávit y resultado fue bueno"
                        )
                    )
                )
            )
        )
    )
)</f>
        <v>1, Déficit y eliminé déficit</v>
      </c>
      <c r="CB91" s="30" t="s">
        <v>205</v>
      </c>
      <c r="CC91" s="30">
        <v>1</v>
      </c>
      <c r="CD91" s="31">
        <v>1.5555555555555556</v>
      </c>
      <c r="CE91" s="31">
        <v>1</v>
      </c>
      <c r="CF91" s="29">
        <v>1</v>
      </c>
      <c r="CG91" s="30">
        <v>4</v>
      </c>
      <c r="CH91" s="30">
        <v>0.65757862978307635</v>
      </c>
      <c r="CI91" s="26" t="s">
        <v>319</v>
      </c>
      <c r="CJ91" s="30">
        <v>7</v>
      </c>
      <c r="CK91" s="29">
        <f>IF(CE91&lt;=CC91,1,0)</f>
        <v>1</v>
      </c>
      <c r="CL91" s="32">
        <f>CE91-CC91</f>
        <v>0</v>
      </c>
      <c r="CM91" s="32" t="str">
        <f>IF(CH91&gt;0,
    IF(OR(CC91&lt;=TRUNC(CJ91/2,0),CC91=0),
        IF(CG91=TRUNC(CJ91/2,0),
            "-1, Déficit y dejo la capacidad media",
            IF(AND(CG91&gt;TRUNC(CJ91/2,0), CG91&gt;CC91),
                "1, Déficit y eliminé déficit",
                IF(AND(CG91&lt;TRUNC(CJ91/2,0), CG91&lt;CC91),
                    "0, Déficit y no elimine déficit",
                    "-2, Déficit y resultado fue bueno")
            )
        ),
        IF(AND(CG91&gt;TRUNC(CJ91/2,0), CG91&gt;CC91),
            "1, no había déficit, pero resultado fue mejor",
            IF(AND(CG91&lt;TRUNC(CJ91/2,0),CG91&lt;CC91),
                "0, no había déficit y la dejo con déficit",
                IF(CG91=TRUNC(CJ91/2,0),
                    "-1, no había déficit y dejo la capacidad media",
                    "-2,no había déficit y resultado fue bueno")
            )
        )
    ),
    IF(CH91&lt;0,
        IF(CC91&gt;TRUNC(CJ91/2,0),
            IF(CG91=TRUNC(CJ91/2,0),
                "-1, Superávit y deje la capacidad media",
                IF(AND(CG91&gt;TRUNC(CJ91/2,0), CG91&gt;=CC91),
                    "0, Superávit y no eliminé superávit",
                    IF(AND(CG91&lt;TRUNC(CJ91/2,0),CG91&lt;CC91),
                        "1, Superávit y eliminé superávit",
                        "-2, Superávit y resultado fue bueno"
                    )
                )
            ),
            IF(AND(CC91&lt;=TRUNC(CJ91/2,0),CC91&gt;=0),
                IF(CG91=TRUNC(CJ91/2,0),
                    "-1, no había superávit y deje la capacidad media",
                    IF(AND(CG91&gt;TRUNC(CJ91/2,0), CG91&gt;=CC91),
                        "0, no había superávit, y la deje con superávit",
                        IF(AND(CG91&lt;TRUNC(CJ91/2,0),CG91&lt;CC91),
                            "1, no había superávit, pero el resultado fue mejor",
                            "-2, no había superávit y resultado fue bueno"
                        )
                    )
                )
            )
        )
    )
)</f>
        <v>1, Déficit y eliminé déficit</v>
      </c>
      <c r="CO91" s="30" t="s">
        <v>205</v>
      </c>
      <c r="CP91" s="30">
        <v>0</v>
      </c>
      <c r="CQ91" s="31">
        <v>1.6666666666666667</v>
      </c>
      <c r="CR91" s="31">
        <v>0</v>
      </c>
      <c r="CS91" s="29">
        <v>0</v>
      </c>
      <c r="CT91" s="30">
        <v>4</v>
      </c>
      <c r="CU91" s="30">
        <v>0.65757862978307635</v>
      </c>
      <c r="CV91" s="26" t="s">
        <v>319</v>
      </c>
      <c r="CW91" s="30">
        <v>7</v>
      </c>
      <c r="CX91" s="29">
        <f>IF(CR91&lt;=CP91,1,0)</f>
        <v>1</v>
      </c>
      <c r="CY91" s="32">
        <f>CR91-CP91</f>
        <v>0</v>
      </c>
      <c r="CZ91" s="32" t="str">
        <f>IF(CU91&gt;0,
    IF(OR(CP91&lt;=TRUNC(CW91/2,0),CP91=0),
        IF(CT91=TRUNC(CW91/2,0),
            "-1, Déficit y dejo la capacidad media",
            IF(AND(CT91&gt;TRUNC(CW91/2,0), CT91&gt;CP91),
                "1, Déficit y eliminé déficit",
                IF(AND(CT91&lt;TRUNC(CW91/2,0), CT91&lt;CP91),
                    "0, Déficit y no elimine déficit",
                    "-2, Déficit y resultado fue bueno")
            )
        ),
        IF(AND(CT91&gt;TRUNC(CW91/2,0), CT91&gt;CP91),
            "1, no había déficit, pero resultado fue mejor",
            IF(AND(CT91&lt;TRUNC(CW91/2,0),CT91&lt;CP91),
                "0, no había déficit y la dejo con déficit",
                IF(CT91=TRUNC(CW91/2,0),
                    "-1, no había déficit y dejo la capacidad media",
                    "-2,no había déficit y resultado fue bueno")
            )
        )
    ),
    IF(CU91&lt;0,
        IF(CP91&gt;TRUNC(CW91/2,0),
            IF(CT91=TRUNC(CW91/2,0),
                "-1, Superávit y deje la capacidad media",
                IF(AND(CT91&gt;TRUNC(CW91/2,0), CT91&gt;=CP91),
                    "0, Superávit y no eliminé superávit",
                    IF(AND(CT91&lt;TRUNC(CW91/2,0),CT91&lt;CP91),
                        "1, Superávit y eliminé superávit",
                        "-2, Superávit y resultado fue bueno"
                    )
                )
            ),
            IF(AND(CP91&lt;=TRUNC(CW91/2,0),CP91&gt;=0),
                IF(CT91=TRUNC(CW91/2,0),
                    "-1, no había superávit y deje la capacidad media",
                    IF(AND(CT91&gt;TRUNC(CW91/2,0), CT91&gt;=CP91),
                        "0, no había superávit, y la deje con superávit",
                        IF(AND(CT91&lt;TRUNC(CW91/2,0),CT91&lt;CP91),
                            "1, no había superávit, pero el resultado fue mejor",
                            "-2, no había superávit y resultado fue bueno"
                        )
                    )
                )
            )
        )
    )
)</f>
        <v>1, Déficit y eliminé déficit</v>
      </c>
    </row>
    <row r="92" spans="2:104" ht="14.25" customHeight="1" x14ac:dyDescent="0.3">
      <c r="B92" s="30" t="s">
        <v>215</v>
      </c>
      <c r="C92" s="30">
        <v>6</v>
      </c>
      <c r="D92" s="31">
        <v>5</v>
      </c>
      <c r="E92" s="29">
        <v>7</v>
      </c>
      <c r="F92" s="29">
        <v>9</v>
      </c>
      <c r="G92" s="30">
        <v>8</v>
      </c>
      <c r="H92" s="30">
        <v>0.44467337167202509</v>
      </c>
      <c r="I92" s="26" t="s">
        <v>327</v>
      </c>
      <c r="J92" s="30">
        <v>23</v>
      </c>
      <c r="K92" s="29">
        <f>IF(E92&lt;=C92,1,0)</f>
        <v>0</v>
      </c>
      <c r="L92" s="29">
        <f>E92-C92</f>
        <v>1</v>
      </c>
      <c r="M92" s="29" t="str">
        <f>IF(H92&gt;0,
    IF(OR(C92&lt;=TRUNC(J92/2,0),C92=0),
        IF(G92=TRUNC(J92/2,0),
            "-1, Déficit y dejo la capacidad media",
            IF(AND(G92&gt;TRUNC(J92/2,0), G92&gt;C92),
                "1, Déficit y eliminé déficit",
                IF(AND(G92&lt;TRUNC(J92/2,0), G92&lt;C92),
                    "0, Déficit y no elimine déficit",
                    "-2, Déficit y resultado fue bueno")
            )
        ),
        IF(AND(G92&gt;TRUNC(J92/2,0), G92&gt;C92),
            "1, no había déficit, pero resultado fue mejor",
            IF(AND(G92&lt;TRUNC(J92/2,0),G92&lt;C92),
                "0, no había déficit y la dejo con déficit",
                IF(G92=TRUNC(J92/2,0),
                    "-1, no había déficit y dejo la capacidad media",
                    "-2,no había déficit y resultado fue bueno")
            )
        )
    ),
    IF(H92&lt;0,
        IF(C92&gt;TRUNC(J92/2,0),
            IF(G92=TRUNC(J92/2,0),
                "-1, Superávit y deje la capacidad media",
                IF(AND(G92&gt;TRUNC(J92/2,0), G92&gt;=C92),
                    "0, Superávit y no eliminé superávit",
                    IF(AND(G92&lt;TRUNC(J92/2,0),G92&lt;C92),
                        "1, Superávit y eliminé superávit",
                        "-2, Superávit y resultado fue bueno"
                    )
                )
            ),
            IF(AND(C92&lt;=TRUNC(J92/2,0),C92&gt;=0),
                IF(G92=TRUNC(J92/2,0),
                    "-1, no había superávit y deje la capacidad media",
                    IF(AND(G92&gt;TRUNC(J92/2,0), G92&gt;=C92),
                        "0, no había superávit, y la deje con superávit",
                        IF(AND(G92&lt;TRUNC(J92/2,0),G92&lt;C92),
                            "1, no había superávit, pero el resultado fue mejor",
                            "-2, no había superávit y resultado fue bueno"
                        )
                    )
                )
            )
        )
    )
)</f>
        <v>-2, Déficit y resultado fue bueno</v>
      </c>
      <c r="O92" s="30" t="s">
        <v>215</v>
      </c>
      <c r="P92" s="29">
        <v>13</v>
      </c>
      <c r="Q92" s="31">
        <v>9.3333333333333339</v>
      </c>
      <c r="R92" s="29">
        <v>6</v>
      </c>
      <c r="S92" s="29">
        <v>4</v>
      </c>
      <c r="T92" s="29">
        <v>13</v>
      </c>
      <c r="U92" s="30">
        <v>0.44467337167202509</v>
      </c>
      <c r="V92" s="26" t="s">
        <v>327</v>
      </c>
      <c r="W92" s="30">
        <v>23</v>
      </c>
      <c r="X92" s="29">
        <f>IF(R92&lt;=P92,1,0)</f>
        <v>1</v>
      </c>
      <c r="Y92" s="29">
        <f>R92-P92</f>
        <v>-7</v>
      </c>
      <c r="Z92" s="29" t="str">
        <f>IF(U92&gt;0,
    IF(OR(P92&lt;=TRUNC(W92/2,0),P92=0),
        IF(T92=TRUNC(W92/2,0),
            "-1, Déficit y dejo la capacidad media",
            IF(AND(T92&gt;TRUNC(W92/2,0), T92&gt;P92),
                "1, Déficit y eliminé déficit",
                IF(AND(T92&lt;TRUNC(W92/2,0), T92&lt;P92),
                    "0, Déficit y no elimine déficit",
                    "-2, Déficit y resultado fue bueno")
            )
        ),
        IF(AND(T92&gt;TRUNC(W92/2,0), T92&gt;P92),
            "1, no había déficit, pero resultado fue mejor",
            IF(AND(T92&lt;TRUNC(W92/2,0),T92&lt;P92),
                "0, no había déficit y la dejo con déficit",
                IF(T92=TRUNC(W92/2,0),
                    "-1, no había déficit y dejo la capacidad media",
                    "-2,no había déficit y resultado fue bueno")
            )
        )
    ),
    IF(U92&lt;0,
        IF(P92&gt;TRUNC(W92/2,0),
            IF(T92=TRUNC(W92/2,0),
                "-1, Superávit y deje la capacidad media",
                IF(AND(T92&gt;TRUNC(W92/2,0), T92&gt;=P92),
                    "0, Superávit y no eliminé superávit",
                    IF(AND(T92&lt;TRUNC(W92/2,0),T92&lt;P92),
                        "1, Superávit y eliminé superávit",
                        "-2, Superávit y resultado fue bueno"
                    )
                )
            ),
            IF(AND(P92&lt;=TRUNC(W92/2,0),P92&gt;=0),
                IF(T92=TRUNC(W92/2,0),
                    "-1, no había superávit y deje la capacidad media",
                    IF(AND(T92&gt;TRUNC(W92/2,0), T92&gt;=P92),
                        "0, no había superávit, y la deje con superávit",
                        IF(AND(T92&lt;TRUNC(W92/2,0),T92&lt;P92),
                            "1, no había superávit, pero el resultado fue mejor",
                            "-2, no había superávit y resultado fue bueno"
                        )
                    )
                )
            )
        )
    )
)</f>
        <v>-2,no había déficit y resultado fue bueno</v>
      </c>
      <c r="AB92" s="30" t="s">
        <v>215</v>
      </c>
      <c r="AC92" s="29">
        <v>11</v>
      </c>
      <c r="AD92" s="31">
        <v>8.8888888888888893</v>
      </c>
      <c r="AE92" s="29">
        <v>9</v>
      </c>
      <c r="AF92" s="29">
        <v>8</v>
      </c>
      <c r="AG92" s="29">
        <v>11</v>
      </c>
      <c r="AH92" s="30">
        <v>0.44467337167202509</v>
      </c>
      <c r="AI92" s="26" t="s">
        <v>327</v>
      </c>
      <c r="AJ92" s="30">
        <v>23</v>
      </c>
      <c r="AK92" s="29">
        <f>IF(AE92&lt;=AC92,1,0)</f>
        <v>1</v>
      </c>
      <c r="AL92" s="29">
        <f>AE92-AC92</f>
        <v>-2</v>
      </c>
      <c r="AM92" s="29" t="str">
        <f>IF(AH92&gt;0,
    IF(OR(AC92&lt;=TRUNC(AJ92/2,0),AC92=0),
        IF(AG92=TRUNC(AJ92/2,0),
            "-1, Déficit y dejo la capacidad media",
            IF(AND(AG92&gt;TRUNC(AJ92/2,0), AG92&gt;AC92),
                "1, Déficit y eliminé déficit",
                IF(AND(AG92&lt;TRUNC(AJ92/2,0), AG92&lt;AC92),
                    "0, Déficit y no elimine déficit",
                    "-2, Déficit y resultado fue bueno")
            )
        ),
        IF(AND(AG92&gt;TRUNC(AJ92/2,0), AG92&gt;AC92),
            "1, no había déficit, pero resultado fue mejor",
            IF(AND(AG92&lt;TRUNC(AJ92/2,0),AG92&lt;AC92),
                "0, no había déficit y la dejo con déficit",
                IF(AG92=TRUNC(AJ92/2,0),
                    "-1, no había déficit y dejo la capacidad media",
                    "-2,no había déficit y resultado fue bueno")
            )
        )
    ),
    IF(AH92&lt;0,
        IF(AC92&gt;TRUNC(AJ92/2,0),
            IF(AG92=TRUNC(AJ92/2,0),
                "-1, Superávit y deje la capacidad media",
                IF(AND(AG92&gt;TRUNC(AJ92/2,0), AG92&gt;=AC92),
                    "0, Superávit y no eliminé superávit",
                    IF(AND(AG92&lt;TRUNC(AJ92/2,0),AG92&lt;AC92),
                        "1, Superávit y eliminé superávit",
                        "-2, Superávit y resultado fue bueno"
                    )
                )
            ),
            IF(AND(AC92&lt;=TRUNC(AJ92/2,0),AC92&gt;=0),
                IF(AG92=TRUNC(AJ92/2,0),
                    "-1, no había superávit y deje la capacidad media",
                    IF(AND(AG92&gt;TRUNC(AJ92/2,0), AG92&gt;=AC92),
                        "0, no había superávit, y la deje con superávit",
                        IF(AND(AG92&lt;TRUNC(AJ92/2,0),AG92&lt;AC92),
                            "1, no había superávit, pero el resultado fue mejor",
                            "-2, no había superávit y resultado fue bueno"
                        )
                    )
                )
            )
        )
    )
)</f>
        <v>-1, Déficit y dejo la capacidad media</v>
      </c>
      <c r="AO92" s="30" t="s">
        <v>215</v>
      </c>
      <c r="AP92" s="30">
        <v>10</v>
      </c>
      <c r="AQ92" s="31">
        <v>9.3333333333333339</v>
      </c>
      <c r="AR92" s="29">
        <v>2</v>
      </c>
      <c r="AS92" s="29">
        <v>2</v>
      </c>
      <c r="AT92" s="30">
        <v>10</v>
      </c>
      <c r="AU92" s="30">
        <v>0.44467337167202509</v>
      </c>
      <c r="AV92" s="26" t="s">
        <v>327</v>
      </c>
      <c r="AW92" s="30">
        <v>23</v>
      </c>
      <c r="AX92" s="29">
        <f>IF(AR92&lt;=AP92,1,0)</f>
        <v>1</v>
      </c>
      <c r="AY92" s="29">
        <f>AR92-AP92</f>
        <v>-8</v>
      </c>
      <c r="AZ92" s="29" t="str">
        <f>IF(AU92&gt;0,
    IF(OR(AP92&lt;=TRUNC(AW92/2,0),AP92=0),
        IF(AT92=TRUNC(AW92/2,0),
            "-1, Déficit y dejo la capacidad media",
            IF(AND(AT92&gt;TRUNC(AW92/2,0), AT92&gt;AP92),
                "1, Déficit y eliminé déficit",
                IF(AND(AT92&lt;TRUNC(AW92/2,0), AT92&lt;AP92),
                    "0, Déficit y no elimine déficit",
                    "-2, Déficit y resultado fue bueno")
            )
        ),
        IF(AND(AT92&gt;TRUNC(AW92/2,0), AT92&gt;AP92),
            "1, no había déficit, pero resultado fue mejor",
            IF(AND(AT92&lt;TRUNC(AW92/2,0),AT92&lt;AP92),
                "0, no había déficit y la dejo con déficit",
                IF(AT92=TRUNC(AW92/2,0),
                    "-1, no había déficit y dejo la capacidad media",
                    "-2,no había déficit y resultado fue bueno")
            )
        )
    ),
    IF(AU92&lt;0,
        IF(AP92&gt;TRUNC(AW92/2,0),
            IF(AT92=TRUNC(AW92/2,0),
                "-1, Superávit y deje la capacidad media",
                IF(AND(AT92&gt;TRUNC(AW92/2,0), AT92&gt;=AP92),
                    "0, Superávit y no eliminé superávit",
                    IF(AND(AT92&lt;TRUNC(AW92/2,0),AT92&lt;AP92),
                        "1, Superávit y eliminé superávit",
                        "-2, Superávit y resultado fue bueno"
                    )
                )
            ),
            IF(AND(AP92&lt;=TRUNC(AW92/2,0),AP92&gt;=0),
                IF(AT92=TRUNC(AW92/2,0),
                    "-1, no había superávit y deje la capacidad media",
                    IF(AND(AT92&gt;TRUNC(AW92/2,0), AT92&gt;=AP92),
                        "0, no había superávit, y la deje con superávit",
                        IF(AND(AT92&lt;TRUNC(AW92/2,0),AT92&lt;AP92),
                            "1, no había superávit, pero el resultado fue mejor",
                            "-2, no había superávit y resultado fue bueno"
                        )
                    )
                )
            )
        )
    )
)</f>
        <v>-2, Déficit y resultado fue bueno</v>
      </c>
      <c r="BB92" s="30" t="s">
        <v>215</v>
      </c>
      <c r="BC92" s="30">
        <v>12</v>
      </c>
      <c r="BD92" s="31">
        <v>7.1111111111111107</v>
      </c>
      <c r="BE92" s="29">
        <v>11</v>
      </c>
      <c r="BF92" s="29">
        <v>11</v>
      </c>
      <c r="BG92" s="30">
        <v>12</v>
      </c>
      <c r="BH92" s="30">
        <v>0.44467337167202509</v>
      </c>
      <c r="BI92" s="26" t="s">
        <v>327</v>
      </c>
      <c r="BJ92" s="30">
        <v>23</v>
      </c>
      <c r="BK92" s="29">
        <f>IF(BE92&lt;=BC92,1,0)</f>
        <v>1</v>
      </c>
      <c r="BL92" s="29">
        <f>BE92-BC92</f>
        <v>-1</v>
      </c>
      <c r="BM92" s="29" t="str">
        <f>IF(BH92&gt;0,
    IF(OR(BC92&lt;=TRUNC(BJ92/2,0),BC92=0),
        IF(BG92=TRUNC(BJ92/2,0),
            "-1, Déficit y dejo la capacidad media",
            IF(AND(BG92&gt;TRUNC(BJ92/2,0), BG92&gt;BC92),
                "1, Déficit y eliminé déficit",
                IF(AND(BG92&lt;TRUNC(BJ92/2,0), BG92&lt;BC92),
                    "0, Déficit y no elimine déficit",
                    "-2, Déficit y resultado fue bueno")
            )
        ),
        IF(AND(BG92&gt;TRUNC(BJ92/2,0), BG92&gt;BC92),
            "1, no había déficit, pero resultado fue mejor",
            IF(AND(BG92&lt;TRUNC(BJ92/2,0),BG92&lt;BC92),
                "0, no había déficit y la dejo con déficit",
                IF(BG92=TRUNC(BJ92/2,0),
                    "-1, no había déficit y dejo la capacidad media",
                    "-2,no había déficit y resultado fue bueno")
            )
        )
    ),
    IF(BH92&lt;0,
        IF(BC92&gt;TRUNC(BJ92/2,0),
            IF(BG92=TRUNC(BJ92/2,0),
                "-1, Superávit y deje la capacidad media",
                IF(AND(BG92&gt;TRUNC(BJ92/2,0), BG92&gt;=BC92),
                    "0, Superávit y no eliminé superávit",
                    IF(AND(BG92&lt;TRUNC(BJ92/2,0),BG92&lt;BC92),
                        "1, Superávit y eliminé superávit",
                        "-2, Superávit y resultado fue bueno"
                    )
                )
            ),
            IF(AND(BC92&lt;=TRUNC(BJ92/2,0),BC92&gt;=0),
                IF(BG92=TRUNC(BJ92/2,0),
                    "-1, no había superávit y deje la capacidad media",
                    IF(AND(BG92&gt;TRUNC(BJ92/2,0), BG92&gt;=BC92),
                        "0, no había superávit, y la deje con superávit",
                        IF(AND(BG92&lt;TRUNC(BJ92/2,0),BG92&lt;BC92),
                            "1, no había superávit, pero el resultado fue mejor",
                            "-2, no había superávit y resultado fue bueno"
                        )
                    )
                )
            )
        )
    )
)</f>
        <v>-2,no había déficit y resultado fue bueno</v>
      </c>
      <c r="BO92" s="30" t="s">
        <v>215</v>
      </c>
      <c r="BP92" s="30">
        <v>15</v>
      </c>
      <c r="BQ92" s="31">
        <v>7.5555555555555554</v>
      </c>
      <c r="BR92" s="29">
        <v>12</v>
      </c>
      <c r="BS92" s="29">
        <v>12</v>
      </c>
      <c r="BT92" s="30">
        <v>15</v>
      </c>
      <c r="BU92" s="30">
        <v>0.44467337167202509</v>
      </c>
      <c r="BV92" s="26" t="s">
        <v>327</v>
      </c>
      <c r="BW92" s="30">
        <v>23</v>
      </c>
      <c r="BX92" s="29">
        <f>IF(BR92&lt;=BP92,1,0)</f>
        <v>1</v>
      </c>
      <c r="BY92" s="29">
        <f>BR92-BP92</f>
        <v>-3</v>
      </c>
      <c r="BZ92" s="29" t="str">
        <f>IF(BU92&gt;0,
    IF(OR(BP92&lt;=TRUNC(BW92/2,0),BP92=0),
        IF(BT92=TRUNC(BW92/2,0),
            "-1, Déficit y dejo la capacidad media",
            IF(AND(BT92&gt;TRUNC(BW92/2,0), BT92&gt;BP92),
                "1, Déficit y eliminé déficit",
                IF(AND(BT92&lt;TRUNC(BW92/2,0), BT92&lt;BP92),
                    "0, Déficit y no elimine déficit",
                    "-2, Déficit y resultado fue bueno")
            )
        ),
        IF(AND(BT92&gt;TRUNC(BW92/2,0), BT92&gt;BP92),
            "1, no había déficit, pero resultado fue mejor",
            IF(AND(BT92&lt;TRUNC(BW92/2,0),BT92&lt;BP92),
                "0, no había déficit y la dejo con déficit",
                IF(BT92=TRUNC(BW92/2,0),
                    "-1, no había déficit y dejo la capacidad media",
                    "-2,no había déficit y resultado fue bueno")
            )
        )
    ),
    IF(BU92&lt;0,
        IF(BP92&gt;TRUNC(BW92/2,0),
            IF(BT92=TRUNC(BW92/2,0),
                "-1, Superávit y deje la capacidad media",
                IF(AND(BT92&gt;TRUNC(BW92/2,0), BT92&gt;=BP92),
                    "0, Superávit y no eliminé superávit",
                    IF(AND(BT92&lt;TRUNC(BW92/2,0),BT92&lt;BP92),
                        "1, Superávit y eliminé superávit",
                        "-2, Superávit y resultado fue bueno"
                    )
                )
            ),
            IF(AND(BP92&lt;=TRUNC(BW92/2,0),BP92&gt;=0),
                IF(BT92=TRUNC(BW92/2,0),
                    "-1, no había superávit y deje la capacidad media",
                    IF(AND(BT92&gt;TRUNC(BW92/2,0), BT92&gt;=BP92),
                        "0, no había superávit, y la deje con superávit",
                        IF(AND(BT92&lt;TRUNC(BW92/2,0),BT92&lt;BP92),
                            "1, no había superávit, pero el resultado fue mejor",
                            "-2, no había superávit y resultado fue bueno"
                        )
                    )
                )
            )
        )
    )
)</f>
        <v>-2,no había déficit y resultado fue bueno</v>
      </c>
      <c r="CB92" s="30" t="s">
        <v>215</v>
      </c>
      <c r="CC92" s="30">
        <v>14</v>
      </c>
      <c r="CD92" s="31">
        <v>6.8888888888888893</v>
      </c>
      <c r="CE92" s="31">
        <v>14</v>
      </c>
      <c r="CF92" s="29">
        <v>14</v>
      </c>
      <c r="CG92" s="30">
        <v>14</v>
      </c>
      <c r="CH92" s="30">
        <v>0.44467337167202509</v>
      </c>
      <c r="CI92" s="26" t="s">
        <v>327</v>
      </c>
      <c r="CJ92" s="30">
        <v>23</v>
      </c>
      <c r="CK92" s="29">
        <f>IF(CE92&lt;=CC92,1,0)</f>
        <v>1</v>
      </c>
      <c r="CL92" s="32">
        <f>CE92-CC92</f>
        <v>0</v>
      </c>
      <c r="CM92" s="32" t="str">
        <f>IF(CH92&gt;0,
    IF(OR(CC92&lt;=TRUNC(CJ92/2,0),CC92=0),
        IF(CG92=TRUNC(CJ92/2,0),
            "-1, Déficit y dejo la capacidad media",
            IF(AND(CG92&gt;TRUNC(CJ92/2,0), CG92&gt;CC92),
                "1, Déficit y eliminé déficit",
                IF(AND(CG92&lt;TRUNC(CJ92/2,0), CG92&lt;CC92),
                    "0, Déficit y no elimine déficit",
                    "-2, Déficit y resultado fue bueno")
            )
        ),
        IF(AND(CG92&gt;TRUNC(CJ92/2,0), CG92&gt;CC92),
            "1, no había déficit, pero resultado fue mejor",
            IF(AND(CG92&lt;TRUNC(CJ92/2,0),CG92&lt;CC92),
                "0, no había déficit y la dejo con déficit",
                IF(CG92=TRUNC(CJ92/2,0),
                    "-1, no había déficit y dejo la capacidad media",
                    "-2,no había déficit y resultado fue bueno")
            )
        )
    ),
    IF(CH92&lt;0,
        IF(CC92&gt;TRUNC(CJ92/2,0),
            IF(CG92=TRUNC(CJ92/2,0),
                "-1, Superávit y deje la capacidad media",
                IF(AND(CG92&gt;TRUNC(CJ92/2,0), CG92&gt;=CC92),
                    "0, Superávit y no eliminé superávit",
                    IF(AND(CG92&lt;TRUNC(CJ92/2,0),CG92&lt;CC92),
                        "1, Superávit y eliminé superávit",
                        "-2, Superávit y resultado fue bueno"
                    )
                )
            ),
            IF(AND(CC92&lt;=TRUNC(CJ92/2,0),CC92&gt;=0),
                IF(CG92=TRUNC(CJ92/2,0),
                    "-1, no había superávit y deje la capacidad media",
                    IF(AND(CG92&gt;TRUNC(CJ92/2,0), CG92&gt;=CC92),
                        "0, no había superávit, y la deje con superávit",
                        IF(AND(CG92&lt;TRUNC(CJ92/2,0),CG92&lt;CC92),
                            "1, no había superávit, pero el resultado fue mejor",
                            "-2, no había superávit y resultado fue bueno"
                        )
                    )
                )
            )
        )
    )
)</f>
        <v>-2,no había déficit y resultado fue bueno</v>
      </c>
      <c r="CO92" s="30" t="s">
        <v>215</v>
      </c>
      <c r="CP92" s="30">
        <v>0</v>
      </c>
      <c r="CQ92" s="31">
        <v>5</v>
      </c>
      <c r="CR92" s="31">
        <v>1</v>
      </c>
      <c r="CS92" s="29">
        <v>2</v>
      </c>
      <c r="CT92" s="30">
        <v>8</v>
      </c>
      <c r="CU92" s="30">
        <v>0.44467337167202509</v>
      </c>
      <c r="CV92" s="26" t="s">
        <v>327</v>
      </c>
      <c r="CW92" s="30">
        <v>23</v>
      </c>
      <c r="CX92" s="29">
        <f>IF(CR92&lt;=CP92,1,0)</f>
        <v>0</v>
      </c>
      <c r="CY92" s="32">
        <f>CR92-CP92</f>
        <v>1</v>
      </c>
      <c r="CZ92" s="32" t="str">
        <f>IF(CU92&gt;0,
    IF(OR(CP92&lt;=TRUNC(CW92/2,0),CP92=0),
        IF(CT92=TRUNC(CW92/2,0),
            "-1, Déficit y dejo la capacidad media",
            IF(AND(CT92&gt;TRUNC(CW92/2,0), CT92&gt;CP92),
                "1, Déficit y eliminé déficit",
                IF(AND(CT92&lt;TRUNC(CW92/2,0), CT92&lt;CP92),
                    "0, Déficit y no elimine déficit",
                    "-2, Déficit y resultado fue bueno")
            )
        ),
        IF(AND(CT92&gt;TRUNC(CW92/2,0), CT92&gt;CP92),
            "1, no había déficit, pero resultado fue mejor",
            IF(AND(CT92&lt;TRUNC(CW92/2,0),CT92&lt;CP92),
                "0, no había déficit y la dejo con déficit",
                IF(CT92=TRUNC(CW92/2,0),
                    "-1, no había déficit y dejo la capacidad media",
                    "-2,no había déficit y resultado fue bueno")
            )
        )
    ),
    IF(CU92&lt;0,
        IF(CP92&gt;TRUNC(CW92/2,0),
            IF(CT92=TRUNC(CW92/2,0),
                "-1, Superávit y deje la capacidad media",
                IF(AND(CT92&gt;TRUNC(CW92/2,0), CT92&gt;=CP92),
                    "0, Superávit y no eliminé superávit",
                    IF(AND(CT92&lt;TRUNC(CW92/2,0),CT92&lt;CP92),
                        "1, Superávit y eliminé superávit",
                        "-2, Superávit y resultado fue bueno"
                    )
                )
            ),
            IF(AND(CP92&lt;=TRUNC(CW92/2,0),CP92&gt;=0),
                IF(CT92=TRUNC(CW92/2,0),
                    "-1, no había superávit y deje la capacidad media",
                    IF(AND(CT92&gt;TRUNC(CW92/2,0), CT92&gt;=CP92),
                        "0, no había superávit, y la deje con superávit",
                        IF(AND(CT92&lt;TRUNC(CW92/2,0),CT92&lt;CP92),
                            "1, no había superávit, pero el resultado fue mejor",
                            "-2, no había superávit y resultado fue bueno"
                        )
                    )
                )
            )
        )
    )
)</f>
        <v>-2, Déficit y resultado fue bueno</v>
      </c>
    </row>
    <row r="93" spans="2:104" ht="14.25" customHeight="1" x14ac:dyDescent="0.3">
      <c r="B93" s="30" t="s">
        <v>218</v>
      </c>
      <c r="C93" s="30">
        <v>9</v>
      </c>
      <c r="D93" s="31">
        <v>6.2222222222222223</v>
      </c>
      <c r="E93" s="29">
        <v>9</v>
      </c>
      <c r="F93" s="29">
        <v>9</v>
      </c>
      <c r="G93" s="30">
        <v>9</v>
      </c>
      <c r="H93" s="30">
        <v>0.28220965544261112</v>
      </c>
      <c r="I93" s="26" t="s">
        <v>326</v>
      </c>
      <c r="J93" s="30">
        <v>23</v>
      </c>
      <c r="K93" s="29">
        <f>IF(E93&lt;=C93,1,0)</f>
        <v>1</v>
      </c>
      <c r="L93" s="29">
        <f>E93-C93</f>
        <v>0</v>
      </c>
      <c r="M93" s="29" t="str">
        <f>IF(H93&gt;0,
    IF(OR(C93&lt;=TRUNC(J93/2,0),C93=0),
        IF(G93=TRUNC(J93/2,0),
            "-1, Déficit y dejo la capacidad media",
            IF(AND(G93&gt;TRUNC(J93/2,0), G93&gt;C93),
                "1, Déficit y eliminé déficit",
                IF(AND(G93&lt;TRUNC(J93/2,0), G93&lt;C93),
                    "0, Déficit y no elimine déficit",
                    "-2, Déficit y resultado fue bueno")
            )
        ),
        IF(AND(G93&gt;TRUNC(J93/2,0), G93&gt;C93),
            "1, no había déficit, pero resultado fue mejor",
            IF(AND(G93&lt;TRUNC(J93/2,0),G93&lt;C93),
                "0, no había déficit y la dejo con déficit",
                IF(G93=TRUNC(J93/2,0),
                    "-1, no había déficit y dejo la capacidad media",
                    "-2,no había déficit y resultado fue bueno")
            )
        )
    ),
    IF(H93&lt;0,
        IF(C93&gt;TRUNC(J93/2,0),
            IF(G93=TRUNC(J93/2,0),
                "-1, Superávit y deje la capacidad media",
                IF(AND(G93&gt;TRUNC(J93/2,0), G93&gt;=C93),
                    "0, Superávit y no eliminé superávit",
                    IF(AND(G93&lt;TRUNC(J93/2,0),G93&lt;C93),
                        "1, Superávit y eliminé superávit",
                        "-2, Superávit y resultado fue bueno"
                    )
                )
            ),
            IF(AND(C93&lt;=TRUNC(J93/2,0),C93&gt;=0),
                IF(G93=TRUNC(J93/2,0),
                    "-1, no había superávit y deje la capacidad media",
                    IF(AND(G93&gt;TRUNC(J93/2,0), G93&gt;=C93),
                        "0, no había superávit, y la deje con superávit",
                        IF(AND(G93&lt;TRUNC(J93/2,0),G93&lt;C93),
                            "1, no había superávit, pero el resultado fue mejor",
                            "-2, no había superávit y resultado fue bueno"
                        )
                    )
                )
            )
        )
    )
)</f>
        <v>-2, Déficit y resultado fue bueno</v>
      </c>
      <c r="O93" s="30" t="s">
        <v>218</v>
      </c>
      <c r="P93" s="29">
        <v>11</v>
      </c>
      <c r="Q93" s="31">
        <v>11.555555555555555</v>
      </c>
      <c r="R93" s="29">
        <v>9</v>
      </c>
      <c r="S93" s="29">
        <v>9</v>
      </c>
      <c r="T93" s="29">
        <v>11</v>
      </c>
      <c r="U93" s="30">
        <v>0.28220965544261112</v>
      </c>
      <c r="V93" s="26" t="s">
        <v>326</v>
      </c>
      <c r="W93" s="30">
        <v>23</v>
      </c>
      <c r="X93" s="29">
        <f>IF(R93&lt;=P93,1,0)</f>
        <v>1</v>
      </c>
      <c r="Y93" s="29">
        <f>R93-P93</f>
        <v>-2</v>
      </c>
      <c r="Z93" s="29" t="str">
        <f>IF(U93&gt;0,
    IF(OR(P93&lt;=TRUNC(W93/2,0),P93=0),
        IF(T93=TRUNC(W93/2,0),
            "-1, Déficit y dejo la capacidad media",
            IF(AND(T93&gt;TRUNC(W93/2,0), T93&gt;P93),
                "1, Déficit y eliminé déficit",
                IF(AND(T93&lt;TRUNC(W93/2,0), T93&lt;P93),
                    "0, Déficit y no elimine déficit",
                    "-2, Déficit y resultado fue bueno")
            )
        ),
        IF(AND(T93&gt;TRUNC(W93/2,0), T93&gt;P93),
            "1, no había déficit, pero resultado fue mejor",
            IF(AND(T93&lt;TRUNC(W93/2,0),T93&lt;P93),
                "0, no había déficit y la dejo con déficit",
                IF(T93=TRUNC(W93/2,0),
                    "-1, no había déficit y dejo la capacidad media",
                    "-2,no había déficit y resultado fue bueno")
            )
        )
    ),
    IF(U93&lt;0,
        IF(P93&gt;TRUNC(W93/2,0),
            IF(T93=TRUNC(W93/2,0),
                "-1, Superávit y deje la capacidad media",
                IF(AND(T93&gt;TRUNC(W93/2,0), T93&gt;=P93),
                    "0, Superávit y no eliminé superávit",
                    IF(AND(T93&lt;TRUNC(W93/2,0),T93&lt;P93),
                        "1, Superávit y eliminé superávit",
                        "-2, Superávit y resultado fue bueno"
                    )
                )
            ),
            IF(AND(P93&lt;=TRUNC(W93/2,0),P93&gt;=0),
                IF(T93=TRUNC(W93/2,0),
                    "-1, no había superávit y deje la capacidad media",
                    IF(AND(T93&gt;TRUNC(W93/2,0), T93&gt;=P93),
                        "0, no había superávit, y la deje con superávit",
                        IF(AND(T93&lt;TRUNC(W93/2,0),T93&lt;P93),
                            "1, no había superávit, pero el resultado fue mejor",
                            "-2, no había superávit y resultado fue bueno"
                        )
                    )
                )
            )
        )
    )
)</f>
        <v>-1, Déficit y dejo la capacidad media</v>
      </c>
      <c r="AB93" s="30" t="s">
        <v>218</v>
      </c>
      <c r="AC93" s="29">
        <v>9</v>
      </c>
      <c r="AD93" s="31">
        <v>9.2222222222222214</v>
      </c>
      <c r="AE93" s="29">
        <v>7</v>
      </c>
      <c r="AF93" s="29">
        <v>4</v>
      </c>
      <c r="AG93" s="29">
        <v>9</v>
      </c>
      <c r="AH93" s="30">
        <v>0.28220965544261112</v>
      </c>
      <c r="AI93" s="26" t="s">
        <v>326</v>
      </c>
      <c r="AJ93" s="30">
        <v>23</v>
      </c>
      <c r="AK93" s="29">
        <f>IF(AE93&lt;=AC93,1,0)</f>
        <v>1</v>
      </c>
      <c r="AL93" s="29">
        <f>AE93-AC93</f>
        <v>-2</v>
      </c>
      <c r="AM93" s="29" t="str">
        <f>IF(AH93&gt;0,
    IF(OR(AC93&lt;=TRUNC(AJ93/2,0),AC93=0),
        IF(AG93=TRUNC(AJ93/2,0),
            "-1, Déficit y dejo la capacidad media",
            IF(AND(AG93&gt;TRUNC(AJ93/2,0), AG93&gt;AC93),
                "1, Déficit y eliminé déficit",
                IF(AND(AG93&lt;TRUNC(AJ93/2,0), AG93&lt;AC93),
                    "0, Déficit y no elimine déficit",
                    "-2, Déficit y resultado fue bueno")
            )
        ),
        IF(AND(AG93&gt;TRUNC(AJ93/2,0), AG93&gt;AC93),
            "1, no había déficit, pero resultado fue mejor",
            IF(AND(AG93&lt;TRUNC(AJ93/2,0),AG93&lt;AC93),
                "0, no había déficit y la dejo con déficit",
                IF(AG93=TRUNC(AJ93/2,0),
                    "-1, no había déficit y dejo la capacidad media",
                    "-2,no había déficit y resultado fue bueno")
            )
        )
    ),
    IF(AH93&lt;0,
        IF(AC93&gt;TRUNC(AJ93/2,0),
            IF(AG93=TRUNC(AJ93/2,0),
                "-1, Superávit y deje la capacidad media",
                IF(AND(AG93&gt;TRUNC(AJ93/2,0), AG93&gt;=AC93),
                    "0, Superávit y no eliminé superávit",
                    IF(AND(AG93&lt;TRUNC(AJ93/2,0),AG93&lt;AC93),
                        "1, Superávit y eliminé superávit",
                        "-2, Superávit y resultado fue bueno"
                    )
                )
            ),
            IF(AND(AC93&lt;=TRUNC(AJ93/2,0),AC93&gt;=0),
                IF(AG93=TRUNC(AJ93/2,0),
                    "-1, no había superávit y deje la capacidad media",
                    IF(AND(AG93&gt;TRUNC(AJ93/2,0), AG93&gt;=AC93),
                        "0, no había superávit, y la deje con superávit",
                        IF(AND(AG93&lt;TRUNC(AJ93/2,0),AG93&lt;AC93),
                            "1, no había superávit, pero el resultado fue mejor",
                            "-2, no había superávit y resultado fue bueno"
                        )
                    )
                )
            )
        )
    )
)</f>
        <v>-2, Déficit y resultado fue bueno</v>
      </c>
      <c r="AO93" s="30" t="s">
        <v>218</v>
      </c>
      <c r="AP93" s="30">
        <v>19</v>
      </c>
      <c r="AQ93" s="31">
        <v>9.8888888888888893</v>
      </c>
      <c r="AR93" s="29">
        <v>18</v>
      </c>
      <c r="AS93" s="29">
        <v>16</v>
      </c>
      <c r="AT93" s="30">
        <v>9</v>
      </c>
      <c r="AU93" s="30">
        <v>0.28220965544261112</v>
      </c>
      <c r="AV93" s="26" t="s">
        <v>326</v>
      </c>
      <c r="AW93" s="30">
        <v>23</v>
      </c>
      <c r="AX93" s="29">
        <f>IF(AR93&lt;=AP93,1,0)</f>
        <v>1</v>
      </c>
      <c r="AY93" s="29">
        <f>AR93-AP93</f>
        <v>-1</v>
      </c>
      <c r="AZ93" s="29" t="str">
        <f>IF(AU93&gt;0,
    IF(OR(AP93&lt;=TRUNC(AW93/2,0),AP93=0),
        IF(AT93=TRUNC(AW93/2,0),
            "-1, Déficit y dejo la capacidad media",
            IF(AND(AT93&gt;TRUNC(AW93/2,0), AT93&gt;AP93),
                "1, Déficit y eliminé déficit",
                IF(AND(AT93&lt;TRUNC(AW93/2,0), AT93&lt;AP93),
                    "0, Déficit y no elimine déficit",
                    "-2, Déficit y resultado fue bueno")
            )
        ),
        IF(AND(AT93&gt;TRUNC(AW93/2,0), AT93&gt;AP93),
            "1, no había déficit, pero resultado fue mejor",
            IF(AND(AT93&lt;TRUNC(AW93/2,0),AT93&lt;AP93),
                "0, no había déficit y la dejo con déficit",
                IF(AT93=TRUNC(AW93/2,0),
                    "-1, no había déficit y dejo la capacidad media",
                    "-2,no había déficit y resultado fue bueno")
            )
        )
    ),
    IF(AU93&lt;0,
        IF(AP93&gt;TRUNC(AW93/2,0),
            IF(AT93=TRUNC(AW93/2,0),
                "-1, Superávit y deje la capacidad media",
                IF(AND(AT93&gt;TRUNC(AW93/2,0), AT93&gt;=AP93),
                    "0, Superávit y no eliminé superávit",
                    IF(AND(AT93&lt;TRUNC(AW93/2,0),AT93&lt;AP93),
                        "1, Superávit y eliminé superávit",
                        "-2, Superávit y resultado fue bueno"
                    )
                )
            ),
            IF(AND(AP93&lt;=TRUNC(AW93/2,0),AP93&gt;=0),
                IF(AT93=TRUNC(AW93/2,0),
                    "-1, no había superávit y deje la capacidad media",
                    IF(AND(AT93&gt;TRUNC(AW93/2,0), AT93&gt;=AP93),
                        "0, no había superávit, y la deje con superávit",
                        IF(AND(AT93&lt;TRUNC(AW93/2,0),AT93&lt;AP93),
                            "1, no había superávit, pero el resultado fue mejor",
                            "-2, no había superávit y resultado fue bueno"
                        )
                    )
                )
            )
        )
    )
)</f>
        <v>0, no había déficit y la dejo con déficit</v>
      </c>
      <c r="BB93" s="30" t="s">
        <v>218</v>
      </c>
      <c r="BC93" s="30">
        <v>9</v>
      </c>
      <c r="BD93" s="31">
        <v>8.2222222222222214</v>
      </c>
      <c r="BE93" s="29">
        <v>8</v>
      </c>
      <c r="BF93" s="29">
        <v>7</v>
      </c>
      <c r="BG93" s="30">
        <v>9</v>
      </c>
      <c r="BH93" s="30">
        <v>0.28220965544261112</v>
      </c>
      <c r="BI93" s="26" t="s">
        <v>326</v>
      </c>
      <c r="BJ93" s="30">
        <v>23</v>
      </c>
      <c r="BK93" s="29">
        <f>IF(BE93&lt;=BC93,1,0)</f>
        <v>1</v>
      </c>
      <c r="BL93" s="29">
        <f>BE93-BC93</f>
        <v>-1</v>
      </c>
      <c r="BM93" s="29" t="str">
        <f>IF(BH93&gt;0,
    IF(OR(BC93&lt;=TRUNC(BJ93/2,0),BC93=0),
        IF(BG93=TRUNC(BJ93/2,0),
            "-1, Déficit y dejo la capacidad media",
            IF(AND(BG93&gt;TRUNC(BJ93/2,0), BG93&gt;BC93),
                "1, Déficit y eliminé déficit",
                IF(AND(BG93&lt;TRUNC(BJ93/2,0), BG93&lt;BC93),
                    "0, Déficit y no elimine déficit",
                    "-2, Déficit y resultado fue bueno")
            )
        ),
        IF(AND(BG93&gt;TRUNC(BJ93/2,0), BG93&gt;BC93),
            "1, no había déficit, pero resultado fue mejor",
            IF(AND(BG93&lt;TRUNC(BJ93/2,0),BG93&lt;BC93),
                "0, no había déficit y la dejo con déficit",
                IF(BG93=TRUNC(BJ93/2,0),
                    "-1, no había déficit y dejo la capacidad media",
                    "-2,no había déficit y resultado fue bueno")
            )
        )
    ),
    IF(BH93&lt;0,
        IF(BC93&gt;TRUNC(BJ93/2,0),
            IF(BG93=TRUNC(BJ93/2,0),
                "-1, Superávit y deje la capacidad media",
                IF(AND(BG93&gt;TRUNC(BJ93/2,0), BG93&gt;=BC93),
                    "0, Superávit y no eliminé superávit",
                    IF(AND(BG93&lt;TRUNC(BJ93/2,0),BG93&lt;BC93),
                        "1, Superávit y eliminé superávit",
                        "-2, Superávit y resultado fue bueno"
                    )
                )
            ),
            IF(AND(BC93&lt;=TRUNC(BJ93/2,0),BC93&gt;=0),
                IF(BG93=TRUNC(BJ93/2,0),
                    "-1, no había superávit y deje la capacidad media",
                    IF(AND(BG93&gt;TRUNC(BJ93/2,0), BG93&gt;=BC93),
                        "0, no había superávit, y la deje con superávit",
                        IF(AND(BG93&lt;TRUNC(BJ93/2,0),BG93&lt;BC93),
                            "1, no había superávit, pero el resultado fue mejor",
                            "-2, no había superávit y resultado fue bueno"
                        )
                    )
                )
            )
        )
    )
)</f>
        <v>-2, Déficit y resultado fue bueno</v>
      </c>
      <c r="BO93" s="30" t="s">
        <v>218</v>
      </c>
      <c r="BP93" s="30">
        <v>17</v>
      </c>
      <c r="BQ93" s="31">
        <v>8.2222222222222214</v>
      </c>
      <c r="BR93" s="29">
        <v>15</v>
      </c>
      <c r="BS93" s="29">
        <v>14</v>
      </c>
      <c r="BT93" s="30">
        <v>13</v>
      </c>
      <c r="BU93" s="30">
        <v>0.28220965544261112</v>
      </c>
      <c r="BV93" s="26" t="s">
        <v>326</v>
      </c>
      <c r="BW93" s="30">
        <v>23</v>
      </c>
      <c r="BX93" s="29">
        <f>IF(BR93&lt;=BP93,1,0)</f>
        <v>1</v>
      </c>
      <c r="BY93" s="29">
        <f>BR93-BP93</f>
        <v>-2</v>
      </c>
      <c r="BZ93" s="29" t="str">
        <f>IF(BU93&gt;0,
    IF(OR(BP93&lt;=TRUNC(BW93/2,0),BP93=0),
        IF(BT93=TRUNC(BW93/2,0),
            "-1, Déficit y dejo la capacidad media",
            IF(AND(BT93&gt;TRUNC(BW93/2,0), BT93&gt;BP93),
                "1, Déficit y eliminé déficit",
                IF(AND(BT93&lt;TRUNC(BW93/2,0), BT93&lt;BP93),
                    "0, Déficit y no elimine déficit",
                    "-2, Déficit y resultado fue bueno")
            )
        ),
        IF(AND(BT93&gt;TRUNC(BW93/2,0), BT93&gt;BP93),
            "1, no había déficit, pero resultado fue mejor",
            IF(AND(BT93&lt;TRUNC(BW93/2,0),BT93&lt;BP93),
                "0, no había déficit y la dejo con déficit",
                IF(BT93=TRUNC(BW93/2,0),
                    "-1, no había déficit y dejo la capacidad media",
                    "-2,no había déficit y resultado fue bueno")
            )
        )
    ),
    IF(BU93&lt;0,
        IF(BP93&gt;TRUNC(BW93/2,0),
            IF(BT93=TRUNC(BW93/2,0),
                "-1, Superávit y deje la capacidad media",
                IF(AND(BT93&gt;TRUNC(BW93/2,0), BT93&gt;=BP93),
                    "0, Superávit y no eliminé superávit",
                    IF(AND(BT93&lt;TRUNC(BW93/2,0),BT93&lt;BP93),
                        "1, Superávit y eliminé superávit",
                        "-2, Superávit y resultado fue bueno"
                    )
                )
            ),
            IF(AND(BP93&lt;=TRUNC(BW93/2,0),BP93&gt;=0),
                IF(BT93=TRUNC(BW93/2,0),
                    "-1, no había superávit y deje la capacidad media",
                    IF(AND(BT93&gt;TRUNC(BW93/2,0), BT93&gt;=BP93),
                        "0, no había superávit, y la deje con superávit",
                        IF(AND(BT93&lt;TRUNC(BW93/2,0),BT93&lt;BP93),
                            "1, no había superávit, pero el resultado fue mejor",
                            "-2, no había superávit y resultado fue bueno"
                        )
                    )
                )
            )
        )
    )
)</f>
        <v>-2,no había déficit y resultado fue bueno</v>
      </c>
      <c r="CB93" s="30" t="s">
        <v>218</v>
      </c>
      <c r="CC93" s="30">
        <v>10</v>
      </c>
      <c r="CD93" s="31">
        <v>7</v>
      </c>
      <c r="CE93" s="31">
        <v>11</v>
      </c>
      <c r="CF93" s="29">
        <v>11</v>
      </c>
      <c r="CG93" s="30">
        <v>9</v>
      </c>
      <c r="CH93" s="30">
        <v>0.28220965544261112</v>
      </c>
      <c r="CI93" s="26" t="s">
        <v>326</v>
      </c>
      <c r="CJ93" s="30">
        <v>23</v>
      </c>
      <c r="CK93" s="29">
        <f>IF(CE93&lt;=CC93,1,0)</f>
        <v>0</v>
      </c>
      <c r="CL93" s="32">
        <f>CE93-CC93</f>
        <v>1</v>
      </c>
      <c r="CM93" s="32" t="str">
        <f>IF(CH93&gt;0,
    IF(OR(CC93&lt;=TRUNC(CJ93/2,0),CC93=0),
        IF(CG93=TRUNC(CJ93/2,0),
            "-1, Déficit y dejo la capacidad media",
            IF(AND(CG93&gt;TRUNC(CJ93/2,0), CG93&gt;CC93),
                "1, Déficit y eliminé déficit",
                IF(AND(CG93&lt;TRUNC(CJ93/2,0), CG93&lt;CC93),
                    "0, Déficit y no elimine déficit",
                    "-2, Déficit y resultado fue bueno")
            )
        ),
        IF(AND(CG93&gt;TRUNC(CJ93/2,0), CG93&gt;CC93),
            "1, no había déficit, pero resultado fue mejor",
            IF(AND(CG93&lt;TRUNC(CJ93/2,0),CG93&lt;CC93),
                "0, no había déficit y la dejo con déficit",
                IF(CG93=TRUNC(CJ93/2,0),
                    "-1, no había déficit y dejo la capacidad media",
                    "-2,no había déficit y resultado fue bueno")
            )
        )
    ),
    IF(CH93&lt;0,
        IF(CC93&gt;TRUNC(CJ93/2,0),
            IF(CG93=TRUNC(CJ93/2,0),
                "-1, Superávit y deje la capacidad media",
                IF(AND(CG93&gt;TRUNC(CJ93/2,0), CG93&gt;=CC93),
                    "0, Superávit y no eliminé superávit",
                    IF(AND(CG93&lt;TRUNC(CJ93/2,0),CG93&lt;CC93),
                        "1, Superávit y eliminé superávit",
                        "-2, Superávit y resultado fue bueno"
                    )
                )
            ),
            IF(AND(CC93&lt;=TRUNC(CJ93/2,0),CC93&gt;=0),
                IF(CG93=TRUNC(CJ93/2,0),
                    "-1, no había superávit y deje la capacidad media",
                    IF(AND(CG93&gt;TRUNC(CJ93/2,0), CG93&gt;=CC93),
                        "0, no había superávit, y la deje con superávit",
                        IF(AND(CG93&lt;TRUNC(CJ93/2,0),CG93&lt;CC93),
                            "1, no había superávit, pero el resultado fue mejor",
                            "-2, no había superávit y resultado fue bueno"
                        )
                    )
                )
            )
        )
    )
)</f>
        <v>0, Déficit y no elimine déficit</v>
      </c>
      <c r="CO93" s="30" t="s">
        <v>218</v>
      </c>
      <c r="CP93" s="30">
        <v>8</v>
      </c>
      <c r="CQ93" s="31">
        <v>6.2222222222222223</v>
      </c>
      <c r="CR93" s="31">
        <v>8</v>
      </c>
      <c r="CS93" s="29">
        <v>7</v>
      </c>
      <c r="CT93" s="30">
        <v>9</v>
      </c>
      <c r="CU93" s="30">
        <v>0.28220965544261112</v>
      </c>
      <c r="CV93" s="26" t="s">
        <v>326</v>
      </c>
      <c r="CW93" s="30">
        <v>23</v>
      </c>
      <c r="CX93" s="29">
        <f>IF(CR93&lt;=CP93,1,0)</f>
        <v>1</v>
      </c>
      <c r="CY93" s="32">
        <f>CR93-CP93</f>
        <v>0</v>
      </c>
      <c r="CZ93" s="32" t="str">
        <f>IF(CU93&gt;0,
    IF(OR(CP93&lt;=TRUNC(CW93/2,0),CP93=0),
        IF(CT93=TRUNC(CW93/2,0),
            "-1, Déficit y dejo la capacidad media",
            IF(AND(CT93&gt;TRUNC(CW93/2,0), CT93&gt;CP93),
                "1, Déficit y eliminé déficit",
                IF(AND(CT93&lt;TRUNC(CW93/2,0), CT93&lt;CP93),
                    "0, Déficit y no elimine déficit",
                    "-2, Déficit y resultado fue bueno")
            )
        ),
        IF(AND(CT93&gt;TRUNC(CW93/2,0), CT93&gt;CP93),
            "1, no había déficit, pero resultado fue mejor",
            IF(AND(CT93&lt;TRUNC(CW93/2,0),CT93&lt;CP93),
                "0, no había déficit y la dejo con déficit",
                IF(CT93=TRUNC(CW93/2,0),
                    "-1, no había déficit y dejo la capacidad media",
                    "-2,no había déficit y resultado fue bueno")
            )
        )
    ),
    IF(CU93&lt;0,
        IF(CP93&gt;TRUNC(CW93/2,0),
            IF(CT93=TRUNC(CW93/2,0),
                "-1, Superávit y deje la capacidad media",
                IF(AND(CT93&gt;TRUNC(CW93/2,0), CT93&gt;=CP93),
                    "0, Superávit y no eliminé superávit",
                    IF(AND(CT93&lt;TRUNC(CW93/2,0),CT93&lt;CP93),
                        "1, Superávit y eliminé superávit",
                        "-2, Superávit y resultado fue bueno"
                    )
                )
            ),
            IF(AND(CP93&lt;=TRUNC(CW93/2,0),CP93&gt;=0),
                IF(CT93=TRUNC(CW93/2,0),
                    "-1, no había superávit y deje la capacidad media",
                    IF(AND(CT93&gt;TRUNC(CW93/2,0), CT93&gt;=CP93),
                        "0, no había superávit, y la deje con superávit",
                        IF(AND(CT93&lt;TRUNC(CW93/2,0),CT93&lt;CP93),
                            "1, no había superávit, pero el resultado fue mejor",
                            "-2, no había superávit y resultado fue bueno"
                        )
                    )
                )
            )
        )
    )
)</f>
        <v>-2, Déficit y resultado fue bueno</v>
      </c>
    </row>
    <row r="94" spans="2:104" ht="14.25" customHeight="1" x14ac:dyDescent="0.3">
      <c r="B94" s="30" t="s">
        <v>198</v>
      </c>
      <c r="C94" s="30">
        <v>0</v>
      </c>
      <c r="D94" s="31">
        <v>3.4444444444444446</v>
      </c>
      <c r="E94" s="29">
        <v>0</v>
      </c>
      <c r="F94" s="29">
        <v>0</v>
      </c>
      <c r="G94" s="30">
        <v>4</v>
      </c>
      <c r="H94" s="30">
        <v>0.26647717855960468</v>
      </c>
      <c r="I94" s="26" t="s">
        <v>318</v>
      </c>
      <c r="J94" s="30">
        <v>11</v>
      </c>
      <c r="K94" s="29">
        <f>IF(E94&lt;=C94,1,0)</f>
        <v>1</v>
      </c>
      <c r="L94" s="29">
        <f>E94-C94</f>
        <v>0</v>
      </c>
      <c r="M94" s="29" t="str">
        <f>IF(H94&gt;0,
    IF(OR(C94&lt;=TRUNC(J94/2,0),C94=0),
        IF(G94=TRUNC(J94/2,0),
            "-1, Déficit y dejo la capacidad media",
            IF(AND(G94&gt;TRUNC(J94/2,0), G94&gt;C94),
                "1, Déficit y eliminé déficit",
                IF(AND(G94&lt;TRUNC(J94/2,0), G94&lt;C94),
                    "0, Déficit y no elimine déficit",
                    "-2, Déficit y resultado fue bueno")
            )
        ),
        IF(AND(G94&gt;TRUNC(J94/2,0), G94&gt;C94),
            "1, no había déficit, pero resultado fue mejor",
            IF(AND(G94&lt;TRUNC(J94/2,0),G94&lt;C94),
                "0, no había déficit y la dejo con déficit",
                IF(G94=TRUNC(J94/2,0),
                    "-1, no había déficit y dejo la capacidad media",
                    "-2,no había déficit y resultado fue bueno")
            )
        )
    ),
    IF(H94&lt;0,
        IF(C94&gt;TRUNC(J94/2,0),
            IF(G94=TRUNC(J94/2,0),
                "-1, Superávit y deje la capacidad media",
                IF(AND(G94&gt;TRUNC(J94/2,0), G94&gt;=C94),
                    "0, Superávit y no eliminé superávit",
                    IF(AND(G94&lt;TRUNC(J94/2,0),G94&lt;C94),
                        "1, Superávit y eliminé superávit",
                        "-2, Superávit y resultado fue bueno"
                    )
                )
            ),
            IF(AND(C94&lt;=TRUNC(J94/2,0),C94&gt;=0),
                IF(G94=TRUNC(J94/2,0),
                    "-1, no había superávit y deje la capacidad media",
                    IF(AND(G94&gt;TRUNC(J94/2,0), G94&gt;=C94),
                        "0, no había superávit, y la deje con superávit",
                        IF(AND(G94&lt;TRUNC(J94/2,0),G94&lt;C94),
                            "1, no había superávit, pero el resultado fue mejor",
                            "-2, no había superávit y resultado fue bueno"
                        )
                    )
                )
            )
        )
    )
)</f>
        <v>-2, Déficit y resultado fue bueno</v>
      </c>
      <c r="O94" s="30" t="s">
        <v>198</v>
      </c>
      <c r="P94" s="29">
        <v>0</v>
      </c>
      <c r="Q94" s="31">
        <v>2.8888888888888888</v>
      </c>
      <c r="R94" s="29">
        <v>8</v>
      </c>
      <c r="S94" s="29">
        <v>6</v>
      </c>
      <c r="T94" s="29">
        <v>4</v>
      </c>
      <c r="U94" s="30">
        <v>0.26647717855960468</v>
      </c>
      <c r="V94" s="26" t="s">
        <v>318</v>
      </c>
      <c r="W94" s="30">
        <v>11</v>
      </c>
      <c r="X94" s="29">
        <f>IF(R94&lt;=P94,1,0)</f>
        <v>0</v>
      </c>
      <c r="Y94" s="29">
        <f>R94-P94</f>
        <v>8</v>
      </c>
      <c r="Z94" s="29" t="str">
        <f>IF(U94&gt;0,
    IF(OR(P94&lt;=TRUNC(W94/2,0),P94=0),
        IF(T94=TRUNC(W94/2,0),
            "-1, Déficit y dejo la capacidad media",
            IF(AND(T94&gt;TRUNC(W94/2,0), T94&gt;P94),
                "1, Déficit y eliminé déficit",
                IF(AND(T94&lt;TRUNC(W94/2,0), T94&lt;P94),
                    "0, Déficit y no elimine déficit",
                    "-2, Déficit y resultado fue bueno")
            )
        ),
        IF(AND(T94&gt;TRUNC(W94/2,0), T94&gt;P94),
            "1, no había déficit, pero resultado fue mejor",
            IF(AND(T94&lt;TRUNC(W94/2,0),T94&lt;P94),
                "0, no había déficit y la dejo con déficit",
                IF(T94=TRUNC(W94/2,0),
                    "-1, no había déficit y dejo la capacidad media",
                    "-2,no había déficit y resultado fue bueno")
            )
        )
    ),
    IF(U94&lt;0,
        IF(P94&gt;TRUNC(W94/2,0),
            IF(T94=TRUNC(W94/2,0),
                "-1, Superávit y deje la capacidad media",
                IF(AND(T94&gt;TRUNC(W94/2,0), T94&gt;=P94),
                    "0, Superávit y no eliminé superávit",
                    IF(AND(T94&lt;TRUNC(W94/2,0),T94&lt;P94),
                        "1, Superávit y eliminé superávit",
                        "-2, Superávit y resultado fue bueno"
                    )
                )
            ),
            IF(AND(P94&lt;=TRUNC(W94/2,0),P94&gt;=0),
                IF(T94=TRUNC(W94/2,0),
                    "-1, no había superávit y deje la capacidad media",
                    IF(AND(T94&gt;TRUNC(W94/2,0), T94&gt;=P94),
                        "0, no había superávit, y la deje con superávit",
                        IF(AND(T94&lt;TRUNC(W94/2,0),T94&lt;P94),
                            "1, no había superávit, pero el resultado fue mejor",
                            "-2, no había superávit y resultado fue bueno"
                        )
                    )
                )
            )
        )
    )
)</f>
        <v>-2, Déficit y resultado fue bueno</v>
      </c>
      <c r="AB94" s="30" t="s">
        <v>198</v>
      </c>
      <c r="AC94" s="29">
        <v>9</v>
      </c>
      <c r="AD94" s="31">
        <v>3.8888888888888888</v>
      </c>
      <c r="AE94" s="29">
        <v>5</v>
      </c>
      <c r="AF94" s="29">
        <v>0</v>
      </c>
      <c r="AG94" s="29">
        <v>7</v>
      </c>
      <c r="AH94" s="30">
        <v>0.26647717855960468</v>
      </c>
      <c r="AI94" s="26" t="s">
        <v>318</v>
      </c>
      <c r="AJ94" s="30">
        <v>11</v>
      </c>
      <c r="AK94" s="29">
        <f>IF(AE94&lt;=AC94,1,0)</f>
        <v>1</v>
      </c>
      <c r="AL94" s="29">
        <f>AE94-AC94</f>
        <v>-4</v>
      </c>
      <c r="AM94" s="29" t="str">
        <f>IF(AH94&gt;0,
    IF(OR(AC94&lt;=TRUNC(AJ94/2,0),AC94=0),
        IF(AG94=TRUNC(AJ94/2,0),
            "-1, Déficit y dejo la capacidad media",
            IF(AND(AG94&gt;TRUNC(AJ94/2,0), AG94&gt;AC94),
                "1, Déficit y eliminé déficit",
                IF(AND(AG94&lt;TRUNC(AJ94/2,0), AG94&lt;AC94),
                    "0, Déficit y no elimine déficit",
                    "-2, Déficit y resultado fue bueno")
            )
        ),
        IF(AND(AG94&gt;TRUNC(AJ94/2,0), AG94&gt;AC94),
            "1, no había déficit, pero resultado fue mejor",
            IF(AND(AG94&lt;TRUNC(AJ94/2,0),AG94&lt;AC94),
                "0, no había déficit y la dejo con déficit",
                IF(AG94=TRUNC(AJ94/2,0),
                    "-1, no había déficit y dejo la capacidad media",
                    "-2,no había déficit y resultado fue bueno")
            )
        )
    ),
    IF(AH94&lt;0,
        IF(AC94&gt;TRUNC(AJ94/2,0),
            IF(AG94=TRUNC(AJ94/2,0),
                "-1, Superávit y deje la capacidad media",
                IF(AND(AG94&gt;TRUNC(AJ94/2,0), AG94&gt;=AC94),
                    "0, Superávit y no eliminé superávit",
                    IF(AND(AG94&lt;TRUNC(AJ94/2,0),AG94&lt;AC94),
                        "1, Superávit y eliminé superávit",
                        "-2, Superávit y resultado fue bueno"
                    )
                )
            ),
            IF(AND(AC94&lt;=TRUNC(AJ94/2,0),AC94&gt;=0),
                IF(AG94=TRUNC(AJ94/2,0),
                    "-1, no había superávit y deje la capacidad media",
                    IF(AND(AG94&gt;TRUNC(AJ94/2,0), AG94&gt;=AC94),
                        "0, no había superávit, y la deje con superávit",
                        IF(AND(AG94&lt;TRUNC(AJ94/2,0),AG94&lt;AC94),
                            "1, no había superávit, pero el resultado fue mejor",
                            "-2, no había superávit y resultado fue bueno"
                        )
                    )
                )
            )
        )
    )
)</f>
        <v>-2,no había déficit y resultado fue bueno</v>
      </c>
      <c r="AO94" s="30" t="s">
        <v>198</v>
      </c>
      <c r="AP94" s="30">
        <v>1</v>
      </c>
      <c r="AQ94" s="31">
        <v>2.2222222222222223</v>
      </c>
      <c r="AR94" s="29">
        <v>0</v>
      </c>
      <c r="AS94" s="29">
        <v>0</v>
      </c>
      <c r="AT94" s="30">
        <v>4</v>
      </c>
      <c r="AU94" s="30">
        <v>0.26647717855960468</v>
      </c>
      <c r="AV94" s="26" t="s">
        <v>318</v>
      </c>
      <c r="AW94" s="30">
        <v>11</v>
      </c>
      <c r="AX94" s="29">
        <f>IF(AR94&lt;=AP94,1,0)</f>
        <v>1</v>
      </c>
      <c r="AY94" s="29">
        <f>AR94-AP94</f>
        <v>-1</v>
      </c>
      <c r="AZ94" s="29" t="str">
        <f>IF(AU94&gt;0,
    IF(OR(AP94&lt;=TRUNC(AW94/2,0),AP94=0),
        IF(AT94=TRUNC(AW94/2,0),
            "-1, Déficit y dejo la capacidad media",
            IF(AND(AT94&gt;TRUNC(AW94/2,0), AT94&gt;AP94),
                "1, Déficit y eliminé déficit",
                IF(AND(AT94&lt;TRUNC(AW94/2,0), AT94&lt;AP94),
                    "0, Déficit y no elimine déficit",
                    "-2, Déficit y resultado fue bueno")
            )
        ),
        IF(AND(AT94&gt;TRUNC(AW94/2,0), AT94&gt;AP94),
            "1, no había déficit, pero resultado fue mejor",
            IF(AND(AT94&lt;TRUNC(AW94/2,0),AT94&lt;AP94),
                "0, no había déficit y la dejo con déficit",
                IF(AT94=TRUNC(AW94/2,0),
                    "-1, no había déficit y dejo la capacidad media",
                    "-2,no había déficit y resultado fue bueno")
            )
        )
    ),
    IF(AU94&lt;0,
        IF(AP94&gt;TRUNC(AW94/2,0),
            IF(AT94=TRUNC(AW94/2,0),
                "-1, Superávit y deje la capacidad media",
                IF(AND(AT94&gt;TRUNC(AW94/2,0), AT94&gt;=AP94),
                    "0, Superávit y no eliminé superávit",
                    IF(AND(AT94&lt;TRUNC(AW94/2,0),AT94&lt;AP94),
                        "1, Superávit y eliminé superávit",
                        "-2, Superávit y resultado fue bueno"
                    )
                )
            ),
            IF(AND(AP94&lt;=TRUNC(AW94/2,0),AP94&gt;=0),
                IF(AT94=TRUNC(AW94/2,0),
                    "-1, no había superávit y deje la capacidad media",
                    IF(AND(AT94&gt;TRUNC(AW94/2,0), AT94&gt;=AP94),
                        "0, no había superávit, y la deje con superávit",
                        IF(AND(AT94&lt;TRUNC(AW94/2,0),AT94&lt;AP94),
                            "1, no había superávit, pero el resultado fue mejor",
                            "-2, no había superávit y resultado fue bueno"
                        )
                    )
                )
            )
        )
    )
)</f>
        <v>-2, Déficit y resultado fue bueno</v>
      </c>
      <c r="BB94" s="30" t="s">
        <v>198</v>
      </c>
      <c r="BC94" s="30">
        <v>3</v>
      </c>
      <c r="BD94" s="31">
        <v>1.3333333333333333</v>
      </c>
      <c r="BE94" s="29">
        <v>0</v>
      </c>
      <c r="BF94" s="29">
        <v>0</v>
      </c>
      <c r="BG94" s="30">
        <v>4</v>
      </c>
      <c r="BH94" s="30">
        <v>0.26647717855960468</v>
      </c>
      <c r="BI94" s="26" t="s">
        <v>318</v>
      </c>
      <c r="BJ94" s="30">
        <v>11</v>
      </c>
      <c r="BK94" s="29">
        <f>IF(BE94&lt;=BC94,1,0)</f>
        <v>1</v>
      </c>
      <c r="BL94" s="29">
        <f>BE94-BC94</f>
        <v>-3</v>
      </c>
      <c r="BM94" s="29" t="str">
        <f>IF(BH94&gt;0,
    IF(OR(BC94&lt;=TRUNC(BJ94/2,0),BC94=0),
        IF(BG94=TRUNC(BJ94/2,0),
            "-1, Déficit y dejo la capacidad media",
            IF(AND(BG94&gt;TRUNC(BJ94/2,0), BG94&gt;BC94),
                "1, Déficit y eliminé déficit",
                IF(AND(BG94&lt;TRUNC(BJ94/2,0), BG94&lt;BC94),
                    "0, Déficit y no elimine déficit",
                    "-2, Déficit y resultado fue bueno")
            )
        ),
        IF(AND(BG94&gt;TRUNC(BJ94/2,0), BG94&gt;BC94),
            "1, no había déficit, pero resultado fue mejor",
            IF(AND(BG94&lt;TRUNC(BJ94/2,0),BG94&lt;BC94),
                "0, no había déficit y la dejo con déficit",
                IF(BG94=TRUNC(BJ94/2,0),
                    "-1, no había déficit y dejo la capacidad media",
                    "-2,no había déficit y resultado fue bueno")
            )
        )
    ),
    IF(BH94&lt;0,
        IF(BC94&gt;TRUNC(BJ94/2,0),
            IF(BG94=TRUNC(BJ94/2,0),
                "-1, Superávit y deje la capacidad media",
                IF(AND(BG94&gt;TRUNC(BJ94/2,0), BG94&gt;=BC94),
                    "0, Superávit y no eliminé superávit",
                    IF(AND(BG94&lt;TRUNC(BJ94/2,0),BG94&lt;BC94),
                        "1, Superávit y eliminé superávit",
                        "-2, Superávit y resultado fue bueno"
                    )
                )
            ),
            IF(AND(BC94&lt;=TRUNC(BJ94/2,0),BC94&gt;=0),
                IF(BG94=TRUNC(BJ94/2,0),
                    "-1, no había superávit y deje la capacidad media",
                    IF(AND(BG94&gt;TRUNC(BJ94/2,0), BG94&gt;=BC94),
                        "0, no había superávit, y la deje con superávit",
                        IF(AND(BG94&lt;TRUNC(BJ94/2,0),BG94&lt;BC94),
                            "1, no había superávit, pero el resultado fue mejor",
                            "-2, no había superávit y resultado fue bueno"
                        )
                    )
                )
            )
        )
    )
)</f>
        <v>-2, Déficit y resultado fue bueno</v>
      </c>
      <c r="BO94" s="30" t="s">
        <v>198</v>
      </c>
      <c r="BP94" s="30">
        <v>1</v>
      </c>
      <c r="BQ94" s="31">
        <v>2.1111111111111112</v>
      </c>
      <c r="BR94" s="29">
        <v>0</v>
      </c>
      <c r="BS94" s="29">
        <v>0</v>
      </c>
      <c r="BT94" s="30">
        <v>4</v>
      </c>
      <c r="BU94" s="30">
        <v>0.26647717855960468</v>
      </c>
      <c r="BV94" s="26" t="s">
        <v>318</v>
      </c>
      <c r="BW94" s="30">
        <v>11</v>
      </c>
      <c r="BX94" s="29">
        <f>IF(BR94&lt;=BP94,1,0)</f>
        <v>1</v>
      </c>
      <c r="BY94" s="29">
        <f>BR94-BP94</f>
        <v>-1</v>
      </c>
      <c r="BZ94" s="29" t="str">
        <f>IF(BU94&gt;0,
    IF(OR(BP94&lt;=TRUNC(BW94/2,0),BP94=0),
        IF(BT94=TRUNC(BW94/2,0),
            "-1, Déficit y dejo la capacidad media",
            IF(AND(BT94&gt;TRUNC(BW94/2,0), BT94&gt;BP94),
                "1, Déficit y eliminé déficit",
                IF(AND(BT94&lt;TRUNC(BW94/2,0), BT94&lt;BP94),
                    "0, Déficit y no elimine déficit",
                    "-2, Déficit y resultado fue bueno")
            )
        ),
        IF(AND(BT94&gt;TRUNC(BW94/2,0), BT94&gt;BP94),
            "1, no había déficit, pero resultado fue mejor",
            IF(AND(BT94&lt;TRUNC(BW94/2,0),BT94&lt;BP94),
                "0, no había déficit y la dejo con déficit",
                IF(BT94=TRUNC(BW94/2,0),
                    "-1, no había déficit y dejo la capacidad media",
                    "-2,no había déficit y resultado fue bueno")
            )
        )
    ),
    IF(BU94&lt;0,
        IF(BP94&gt;TRUNC(BW94/2,0),
            IF(BT94=TRUNC(BW94/2,0),
                "-1, Superávit y deje la capacidad media",
                IF(AND(BT94&gt;TRUNC(BW94/2,0), BT94&gt;=BP94),
                    "0, Superávit y no eliminé superávit",
                    IF(AND(BT94&lt;TRUNC(BW94/2,0),BT94&lt;BP94),
                        "1, Superávit y eliminé superávit",
                        "-2, Superávit y resultado fue bueno"
                    )
                )
            ),
            IF(AND(BP94&lt;=TRUNC(BW94/2,0),BP94&gt;=0),
                IF(BT94=TRUNC(BW94/2,0),
                    "-1, no había superávit y deje la capacidad media",
                    IF(AND(BT94&gt;TRUNC(BW94/2,0), BT94&gt;=BP94),
                        "0, no había superávit, y la deje con superávit",
                        IF(AND(BT94&lt;TRUNC(BW94/2,0),BT94&lt;BP94),
                            "1, no había superávit, pero el resultado fue mejor",
                            "-2, no había superávit y resultado fue bueno"
                        )
                    )
                )
            )
        )
    )
)</f>
        <v>-2, Déficit y resultado fue bueno</v>
      </c>
      <c r="CB94" s="30" t="s">
        <v>198</v>
      </c>
      <c r="CC94" s="30">
        <v>4</v>
      </c>
      <c r="CD94" s="31">
        <v>5.7777777777777777</v>
      </c>
      <c r="CE94" s="31">
        <v>4</v>
      </c>
      <c r="CF94" s="29">
        <v>4</v>
      </c>
      <c r="CG94" s="30">
        <v>4</v>
      </c>
      <c r="CH94" s="30">
        <v>0.26647717855960468</v>
      </c>
      <c r="CI94" s="26" t="s">
        <v>318</v>
      </c>
      <c r="CJ94" s="30">
        <v>11</v>
      </c>
      <c r="CK94" s="29">
        <f>IF(CE94&lt;=CC94,1,0)</f>
        <v>1</v>
      </c>
      <c r="CL94" s="32">
        <f>CE94-CC94</f>
        <v>0</v>
      </c>
      <c r="CM94" s="32" t="str">
        <f>IF(CH94&gt;0,
    IF(OR(CC94&lt;=TRUNC(CJ94/2,0),CC94=0),
        IF(CG94=TRUNC(CJ94/2,0),
            "-1, Déficit y dejo la capacidad media",
            IF(AND(CG94&gt;TRUNC(CJ94/2,0), CG94&gt;CC94),
                "1, Déficit y eliminé déficit",
                IF(AND(CG94&lt;TRUNC(CJ94/2,0), CG94&lt;CC94),
                    "0, Déficit y no elimine déficit",
                    "-2, Déficit y resultado fue bueno")
            )
        ),
        IF(AND(CG94&gt;TRUNC(CJ94/2,0), CG94&gt;CC94),
            "1, no había déficit, pero resultado fue mejor",
            IF(AND(CG94&lt;TRUNC(CJ94/2,0),CG94&lt;CC94),
                "0, no había déficit y la dejo con déficit",
                IF(CG94=TRUNC(CJ94/2,0),
                    "-1, no había déficit y dejo la capacidad media",
                    "-2,no había déficit y resultado fue bueno")
            )
        )
    ),
    IF(CH94&lt;0,
        IF(CC94&gt;TRUNC(CJ94/2,0),
            IF(CG94=TRUNC(CJ94/2,0),
                "-1, Superávit y deje la capacidad media",
                IF(AND(CG94&gt;TRUNC(CJ94/2,0), CG94&gt;=CC94),
                    "0, Superávit y no eliminé superávit",
                    IF(AND(CG94&lt;TRUNC(CJ94/2,0),CG94&lt;CC94),
                        "1, Superávit y eliminé superávit",
                        "-2, Superávit y resultado fue bueno"
                    )
                )
            ),
            IF(AND(CC94&lt;=TRUNC(CJ94/2,0),CC94&gt;=0),
                IF(CG94=TRUNC(CJ94/2,0),
                    "-1, no había superávit y deje la capacidad media",
                    IF(AND(CG94&gt;TRUNC(CJ94/2,0), CG94&gt;=CC94),
                        "0, no había superávit, y la deje con superávit",
                        IF(AND(CG94&lt;TRUNC(CJ94/2,0),CG94&lt;CC94),
                            "1, no había superávit, pero el resultado fue mejor",
                            "-2, no había superávit y resultado fue bueno"
                        )
                    )
                )
            )
        )
    )
)</f>
        <v>-2, Déficit y resultado fue bueno</v>
      </c>
      <c r="CO94" s="30" t="s">
        <v>198</v>
      </c>
      <c r="CP94" s="30">
        <v>1</v>
      </c>
      <c r="CQ94" s="31">
        <v>3.4444444444444446</v>
      </c>
      <c r="CR94" s="31">
        <v>1</v>
      </c>
      <c r="CS94" s="29">
        <v>1</v>
      </c>
      <c r="CT94" s="30">
        <v>4</v>
      </c>
      <c r="CU94" s="30">
        <v>0.26647717855960468</v>
      </c>
      <c r="CV94" s="26" t="s">
        <v>318</v>
      </c>
      <c r="CW94" s="30">
        <v>11</v>
      </c>
      <c r="CX94" s="29">
        <f>IF(CR94&lt;=CP94,1,0)</f>
        <v>1</v>
      </c>
      <c r="CY94" s="32">
        <f>CR94-CP94</f>
        <v>0</v>
      </c>
      <c r="CZ94" s="32" t="str">
        <f>IF(CU94&gt;0,
    IF(OR(CP94&lt;=TRUNC(CW94/2,0),CP94=0),
        IF(CT94=TRUNC(CW94/2,0),
            "-1, Déficit y dejo la capacidad media",
            IF(AND(CT94&gt;TRUNC(CW94/2,0), CT94&gt;CP94),
                "1, Déficit y eliminé déficit",
                IF(AND(CT94&lt;TRUNC(CW94/2,0), CT94&lt;CP94),
                    "0, Déficit y no elimine déficit",
                    "-2, Déficit y resultado fue bueno")
            )
        ),
        IF(AND(CT94&gt;TRUNC(CW94/2,0), CT94&gt;CP94),
            "1, no había déficit, pero resultado fue mejor",
            IF(AND(CT94&lt;TRUNC(CW94/2,0),CT94&lt;CP94),
                "0, no había déficit y la dejo con déficit",
                IF(CT94=TRUNC(CW94/2,0),
                    "-1, no había déficit y dejo la capacidad media",
                    "-2,no había déficit y resultado fue bueno")
            )
        )
    ),
    IF(CU94&lt;0,
        IF(CP94&gt;TRUNC(CW94/2,0),
            IF(CT94=TRUNC(CW94/2,0),
                "-1, Superávit y deje la capacidad media",
                IF(AND(CT94&gt;TRUNC(CW94/2,0), CT94&gt;=CP94),
                    "0, Superávit y no eliminé superávit",
                    IF(AND(CT94&lt;TRUNC(CW94/2,0),CT94&lt;CP94),
                        "1, Superávit y eliminé superávit",
                        "-2, Superávit y resultado fue bueno"
                    )
                )
            ),
            IF(AND(CP94&lt;=TRUNC(CW94/2,0),CP94&gt;=0),
                IF(CT94=TRUNC(CW94/2,0),
                    "-1, no había superávit y deje la capacidad media",
                    IF(AND(CT94&gt;TRUNC(CW94/2,0), CT94&gt;=CP94),
                        "0, no había superávit, y la deje con superávit",
                        IF(AND(CT94&lt;TRUNC(CW94/2,0),CT94&lt;CP94),
                            "1, no había superávit, pero el resultado fue mejor",
                            "-2, no había superávit y resultado fue bueno"
                        )
                    )
                )
            )
        )
    )
)</f>
        <v>-2, Déficit y resultado fue bueno</v>
      </c>
    </row>
    <row r="95" spans="2:104" ht="14.25" customHeight="1" x14ac:dyDescent="0.3">
      <c r="B95" s="30" t="s">
        <v>209</v>
      </c>
      <c r="C95" s="30">
        <v>5</v>
      </c>
      <c r="D95" s="31">
        <v>2.6666666666666665</v>
      </c>
      <c r="E95" s="29">
        <v>5</v>
      </c>
      <c r="F95" s="29">
        <v>5</v>
      </c>
      <c r="G95" s="30">
        <v>3</v>
      </c>
      <c r="H95" s="30">
        <v>2.6646209564781631E-3</v>
      </c>
      <c r="I95" s="26" t="s">
        <v>320</v>
      </c>
      <c r="J95" s="30">
        <v>7</v>
      </c>
      <c r="K95" s="29">
        <f>IF(E95&lt;=C95,1,0)</f>
        <v>1</v>
      </c>
      <c r="L95" s="29">
        <f>E95-C95</f>
        <v>0</v>
      </c>
      <c r="M95" s="29" t="str">
        <f>IF(H95&gt;0,
    IF(OR(C95&lt;=TRUNC(J95/2,0),C95=0),
        IF(G95=TRUNC(J95/2,0),
            "-1, Déficit y dejo la capacidad media",
            IF(AND(G95&gt;TRUNC(J95/2,0), G95&gt;C95),
                "1, Déficit y eliminé déficit",
                IF(AND(G95&lt;TRUNC(J95/2,0), G95&lt;C95),
                    "0, Déficit y no elimine déficit",
                    "-2, Déficit y resultado fue bueno")
            )
        ),
        IF(AND(G95&gt;TRUNC(J95/2,0), G95&gt;C95),
            "1, no había déficit, pero resultado fue mejor",
            IF(AND(G95&lt;TRUNC(J95/2,0),G95&lt;C95),
                "0, no había déficit y la dejo con déficit",
                IF(G95=TRUNC(J95/2,0),
                    "-1, no había déficit y dejo la capacidad media",
                    "-2,no había déficit y resultado fue bueno")
            )
        )
    ),
    IF(H95&lt;0,
        IF(C95&gt;TRUNC(J95/2,0),
            IF(G95=TRUNC(J95/2,0),
                "-1, Superávit y deje la capacidad media",
                IF(AND(G95&gt;TRUNC(J95/2,0), G95&gt;=C95),
                    "0, Superávit y no eliminé superávit",
                    IF(AND(G95&lt;TRUNC(J95/2,0),G95&lt;C95),
                        "1, Superávit y eliminé superávit",
                        "-2, Superávit y resultado fue bueno"
                    )
                )
            ),
            IF(AND(C95&lt;=TRUNC(J95/2,0),C95&gt;=0),
                IF(G95=TRUNC(J95/2,0),
                    "-1, no había superávit y deje la capacidad media",
                    IF(AND(G95&gt;TRUNC(J95/2,0), G95&gt;=C95),
                        "0, no había superávit, y la deje con superávit",
                        IF(AND(G95&lt;TRUNC(J95/2,0),G95&lt;C95),
                            "1, no había superávit, pero el resultado fue mejor",
                            "-2, no había superávit y resultado fue bueno"
                        )
                    )
                )
            )
        )
    )
)</f>
        <v>-1, no había déficit y dejo la capacidad media</v>
      </c>
      <c r="O95" s="30" t="s">
        <v>209</v>
      </c>
      <c r="P95" s="29">
        <v>2</v>
      </c>
      <c r="Q95" s="31">
        <v>3.1111111111111112</v>
      </c>
      <c r="R95" s="29">
        <v>2</v>
      </c>
      <c r="S95" s="29">
        <v>2</v>
      </c>
      <c r="T95" s="29">
        <v>3</v>
      </c>
      <c r="U95" s="30">
        <v>2.6646209564781631E-3</v>
      </c>
      <c r="V95" s="26" t="s">
        <v>320</v>
      </c>
      <c r="W95" s="30">
        <v>7</v>
      </c>
      <c r="X95" s="29">
        <f>IF(R95&lt;=P95,1,0)</f>
        <v>1</v>
      </c>
      <c r="Y95" s="29">
        <f>R95-P95</f>
        <v>0</v>
      </c>
      <c r="Z95" s="29" t="str">
        <f>IF(U95&gt;0,
    IF(OR(P95&lt;=TRUNC(W95/2,0),P95=0),
        IF(T95=TRUNC(W95/2,0),
            "-1, Déficit y dejo la capacidad media",
            IF(AND(T95&gt;TRUNC(W95/2,0), T95&gt;P95),
                "1, Déficit y eliminé déficit",
                IF(AND(T95&lt;TRUNC(W95/2,0), T95&lt;P95),
                    "0, Déficit y no elimine déficit",
                    "-2, Déficit y resultado fue bueno")
            )
        ),
        IF(AND(T95&gt;TRUNC(W95/2,0), T95&gt;P95),
            "1, no había déficit, pero resultado fue mejor",
            IF(AND(T95&lt;TRUNC(W95/2,0),T95&lt;P95),
                "0, no había déficit y la dejo con déficit",
                IF(T95=TRUNC(W95/2,0),
                    "-1, no había déficit y dejo la capacidad media",
                    "-2,no había déficit y resultado fue bueno")
            )
        )
    ),
    IF(U95&lt;0,
        IF(P95&gt;TRUNC(W95/2,0),
            IF(T95=TRUNC(W95/2,0),
                "-1, Superávit y deje la capacidad media",
                IF(AND(T95&gt;TRUNC(W95/2,0), T95&gt;=P95),
                    "0, Superávit y no eliminé superávit",
                    IF(AND(T95&lt;TRUNC(W95/2,0),T95&lt;P95),
                        "1, Superávit y eliminé superávit",
                        "-2, Superávit y resultado fue bueno"
                    )
                )
            ),
            IF(AND(P95&lt;=TRUNC(W95/2,0),P95&gt;=0),
                IF(T95=TRUNC(W95/2,0),
                    "-1, no había superávit y deje la capacidad media",
                    IF(AND(T95&gt;TRUNC(W95/2,0), T95&gt;=P95),
                        "0, no había superávit, y la deje con superávit",
                        IF(AND(T95&lt;TRUNC(W95/2,0),T95&lt;P95),
                            "1, no había superávit, pero el resultado fue mejor",
                            "-2, no había superávit y resultado fue bueno"
                        )
                    )
                )
            )
        )
    )
)</f>
        <v>-1, Déficit y dejo la capacidad media</v>
      </c>
      <c r="AB95" s="30" t="s">
        <v>209</v>
      </c>
      <c r="AC95" s="29">
        <v>5</v>
      </c>
      <c r="AD95" s="31">
        <v>3.6666666666666665</v>
      </c>
      <c r="AE95" s="29">
        <v>3</v>
      </c>
      <c r="AF95" s="29">
        <v>6</v>
      </c>
      <c r="AG95" s="29">
        <v>4</v>
      </c>
      <c r="AH95" s="30">
        <v>2.6646209564781631E-3</v>
      </c>
      <c r="AI95" s="26" t="s">
        <v>320</v>
      </c>
      <c r="AJ95" s="30">
        <v>7</v>
      </c>
      <c r="AK95" s="29">
        <f>IF(AE95&lt;=AC95,1,0)</f>
        <v>1</v>
      </c>
      <c r="AL95" s="29">
        <f>AE95-AC95</f>
        <v>-2</v>
      </c>
      <c r="AM95" s="29" t="str">
        <f>IF(AH95&gt;0,
    IF(OR(AC95&lt;=TRUNC(AJ95/2,0),AC95=0),
        IF(AG95=TRUNC(AJ95/2,0),
            "-1, Déficit y dejo la capacidad media",
            IF(AND(AG95&gt;TRUNC(AJ95/2,0), AG95&gt;AC95),
                "1, Déficit y eliminé déficit",
                IF(AND(AG95&lt;TRUNC(AJ95/2,0), AG95&lt;AC95),
                    "0, Déficit y no elimine déficit",
                    "-2, Déficit y resultado fue bueno")
            )
        ),
        IF(AND(AG95&gt;TRUNC(AJ95/2,0), AG95&gt;AC95),
            "1, no había déficit, pero resultado fue mejor",
            IF(AND(AG95&lt;TRUNC(AJ95/2,0),AG95&lt;AC95),
                "0, no había déficit y la dejo con déficit",
                IF(AG95=TRUNC(AJ95/2,0),
                    "-1, no había déficit y dejo la capacidad media",
                    "-2,no había déficit y resultado fue bueno")
            )
        )
    ),
    IF(AH95&lt;0,
        IF(AC95&gt;TRUNC(AJ95/2,0),
            IF(AG95=TRUNC(AJ95/2,0),
                "-1, Superávit y deje la capacidad media",
                IF(AND(AG95&gt;TRUNC(AJ95/2,0), AG95&gt;=AC95),
                    "0, Superávit y no eliminé superávit",
                    IF(AND(AG95&lt;TRUNC(AJ95/2,0),AG95&lt;AC95),
                        "1, Superávit y eliminé superávit",
                        "-2, Superávit y resultado fue bueno"
                    )
                )
            ),
            IF(AND(AC95&lt;=TRUNC(AJ95/2,0),AC95&gt;=0),
                IF(AG95=TRUNC(AJ95/2,0),
                    "-1, no había superávit y deje la capacidad media",
                    IF(AND(AG95&gt;TRUNC(AJ95/2,0), AG95&gt;=AC95),
                        "0, no había superávit, y la deje con superávit",
                        IF(AND(AG95&lt;TRUNC(AJ95/2,0),AG95&lt;AC95),
                            "1, no había superávit, pero el resultado fue mejor",
                            "-2, no había superávit y resultado fue bueno"
                        )
                    )
                )
            )
        )
    )
)</f>
        <v>-2,no había déficit y resultado fue bueno</v>
      </c>
      <c r="AO95" s="30" t="s">
        <v>209</v>
      </c>
      <c r="AP95" s="30">
        <v>2</v>
      </c>
      <c r="AQ95" s="31">
        <v>3.1111111111111112</v>
      </c>
      <c r="AR95" s="29">
        <v>2</v>
      </c>
      <c r="AS95" s="29">
        <v>0</v>
      </c>
      <c r="AT95" s="30">
        <v>3</v>
      </c>
      <c r="AU95" s="30">
        <v>2.6646209564781631E-3</v>
      </c>
      <c r="AV95" s="26" t="s">
        <v>320</v>
      </c>
      <c r="AW95" s="30">
        <v>7</v>
      </c>
      <c r="AX95" s="29">
        <f>IF(AR95&lt;=AP95,1,0)</f>
        <v>1</v>
      </c>
      <c r="AY95" s="29">
        <f>AR95-AP95</f>
        <v>0</v>
      </c>
      <c r="AZ95" s="29" t="str">
        <f>IF(AU95&gt;0,
    IF(OR(AP95&lt;=TRUNC(AW95/2,0),AP95=0),
        IF(AT95=TRUNC(AW95/2,0),
            "-1, Déficit y dejo la capacidad media",
            IF(AND(AT95&gt;TRUNC(AW95/2,0), AT95&gt;AP95),
                "1, Déficit y eliminé déficit",
                IF(AND(AT95&lt;TRUNC(AW95/2,0), AT95&lt;AP95),
                    "0, Déficit y no elimine déficit",
                    "-2, Déficit y resultado fue bueno")
            )
        ),
        IF(AND(AT95&gt;TRUNC(AW95/2,0), AT95&gt;AP95),
            "1, no había déficit, pero resultado fue mejor",
            IF(AND(AT95&lt;TRUNC(AW95/2,0),AT95&lt;AP95),
                "0, no había déficit y la dejo con déficit",
                IF(AT95=TRUNC(AW95/2,0),
                    "-1, no había déficit y dejo la capacidad media",
                    "-2,no había déficit y resultado fue bueno")
            )
        )
    ),
    IF(AU95&lt;0,
        IF(AP95&gt;TRUNC(AW95/2,0),
            IF(AT95=TRUNC(AW95/2,0),
                "-1, Superávit y deje la capacidad media",
                IF(AND(AT95&gt;TRUNC(AW95/2,0), AT95&gt;=AP95),
                    "0, Superávit y no eliminé superávit",
                    IF(AND(AT95&lt;TRUNC(AW95/2,0),AT95&lt;AP95),
                        "1, Superávit y eliminé superávit",
                        "-2, Superávit y resultado fue bueno"
                    )
                )
            ),
            IF(AND(AP95&lt;=TRUNC(AW95/2,0),AP95&gt;=0),
                IF(AT95=TRUNC(AW95/2,0),
                    "-1, no había superávit y deje la capacidad media",
                    IF(AND(AT95&gt;TRUNC(AW95/2,0), AT95&gt;=AP95),
                        "0, no había superávit, y la deje con superávit",
                        IF(AND(AT95&lt;TRUNC(AW95/2,0),AT95&lt;AP95),
                            "1, no había superávit, pero el resultado fue mejor",
                            "-2, no había superávit y resultado fue bueno"
                        )
                    )
                )
            )
        )
    )
)</f>
        <v>-1, Déficit y dejo la capacidad media</v>
      </c>
      <c r="BB95" s="30" t="s">
        <v>209</v>
      </c>
      <c r="BC95" s="30">
        <v>6</v>
      </c>
      <c r="BD95" s="31">
        <v>4.4444444444444446</v>
      </c>
      <c r="BE95" s="29">
        <v>4</v>
      </c>
      <c r="BF95" s="29">
        <v>4</v>
      </c>
      <c r="BG95" s="30">
        <v>3</v>
      </c>
      <c r="BH95" s="30">
        <v>2.6646209564781631E-3</v>
      </c>
      <c r="BI95" s="26" t="s">
        <v>320</v>
      </c>
      <c r="BJ95" s="30">
        <v>7</v>
      </c>
      <c r="BK95" s="29">
        <f>IF(BE95&lt;=BC95,1,0)</f>
        <v>1</v>
      </c>
      <c r="BL95" s="29">
        <f>BE95-BC95</f>
        <v>-2</v>
      </c>
      <c r="BM95" s="29" t="str">
        <f>IF(BH95&gt;0,
    IF(OR(BC95&lt;=TRUNC(BJ95/2,0),BC95=0),
        IF(BG95=TRUNC(BJ95/2,0),
            "-1, Déficit y dejo la capacidad media",
            IF(AND(BG95&gt;TRUNC(BJ95/2,0), BG95&gt;BC95),
                "1, Déficit y eliminé déficit",
                IF(AND(BG95&lt;TRUNC(BJ95/2,0), BG95&lt;BC95),
                    "0, Déficit y no elimine déficit",
                    "-2, Déficit y resultado fue bueno")
            )
        ),
        IF(AND(BG95&gt;TRUNC(BJ95/2,0), BG95&gt;BC95),
            "1, no había déficit, pero resultado fue mejor",
            IF(AND(BG95&lt;TRUNC(BJ95/2,0),BG95&lt;BC95),
                "0, no había déficit y la dejo con déficit",
                IF(BG95=TRUNC(BJ95/2,0),
                    "-1, no había déficit y dejo la capacidad media",
                    "-2,no había déficit y resultado fue bueno")
            )
        )
    ),
    IF(BH95&lt;0,
        IF(BC95&gt;TRUNC(BJ95/2,0),
            IF(BG95=TRUNC(BJ95/2,0),
                "-1, Superávit y deje la capacidad media",
                IF(AND(BG95&gt;TRUNC(BJ95/2,0), BG95&gt;=BC95),
                    "0, Superávit y no eliminé superávit",
                    IF(AND(BG95&lt;TRUNC(BJ95/2,0),BG95&lt;BC95),
                        "1, Superávit y eliminé superávit",
                        "-2, Superávit y resultado fue bueno"
                    )
                )
            ),
            IF(AND(BC95&lt;=TRUNC(BJ95/2,0),BC95&gt;=0),
                IF(BG95=TRUNC(BJ95/2,0),
                    "-1, no había superávit y deje la capacidad media",
                    IF(AND(BG95&gt;TRUNC(BJ95/2,0), BG95&gt;=BC95),
                        "0, no había superávit, y la deje con superávit",
                        IF(AND(BG95&lt;TRUNC(BJ95/2,0),BG95&lt;BC95),
                            "1, no había superávit, pero el resultado fue mejor",
                            "-2, no había superávit y resultado fue bueno"
                        )
                    )
                )
            )
        )
    )
)</f>
        <v>-1, no había déficit y dejo la capacidad media</v>
      </c>
      <c r="BO95" s="30" t="s">
        <v>209</v>
      </c>
      <c r="BP95" s="30">
        <v>6</v>
      </c>
      <c r="BQ95" s="31">
        <v>3.2222222222222223</v>
      </c>
      <c r="BR95" s="29">
        <v>3</v>
      </c>
      <c r="BS95" s="29">
        <v>3</v>
      </c>
      <c r="BT95" s="30">
        <v>3</v>
      </c>
      <c r="BU95" s="30">
        <v>2.6646209564781631E-3</v>
      </c>
      <c r="BV95" s="26" t="s">
        <v>320</v>
      </c>
      <c r="BW95" s="30">
        <v>7</v>
      </c>
      <c r="BX95" s="29">
        <f>IF(BR95&lt;=BP95,1,0)</f>
        <v>1</v>
      </c>
      <c r="BY95" s="29">
        <f>BR95-BP95</f>
        <v>-3</v>
      </c>
      <c r="BZ95" s="29" t="str">
        <f>IF(BU95&gt;0,
    IF(OR(BP95&lt;=TRUNC(BW95/2,0),BP95=0),
        IF(BT95=TRUNC(BW95/2,0),
            "-1, Déficit y dejo la capacidad media",
            IF(AND(BT95&gt;TRUNC(BW95/2,0), BT95&gt;BP95),
                "1, Déficit y eliminé déficit",
                IF(AND(BT95&lt;TRUNC(BW95/2,0), BT95&lt;BP95),
                    "0, Déficit y no elimine déficit",
                    "-2, Déficit y resultado fue bueno")
            )
        ),
        IF(AND(BT95&gt;TRUNC(BW95/2,0), BT95&gt;BP95),
            "1, no había déficit, pero resultado fue mejor",
            IF(AND(BT95&lt;TRUNC(BW95/2,0),BT95&lt;BP95),
                "0, no había déficit y la dejo con déficit",
                IF(BT95=TRUNC(BW95/2,0),
                    "-1, no había déficit y dejo la capacidad media",
                    "-2,no había déficit y resultado fue bueno")
            )
        )
    ),
    IF(BU95&lt;0,
        IF(BP95&gt;TRUNC(BW95/2,0),
            IF(BT95=TRUNC(BW95/2,0),
                "-1, Superávit y deje la capacidad media",
                IF(AND(BT95&gt;TRUNC(BW95/2,0), BT95&gt;=BP95),
                    "0, Superávit y no eliminé superávit",
                    IF(AND(BT95&lt;TRUNC(BW95/2,0),BT95&lt;BP95),
                        "1, Superávit y eliminé superávit",
                        "-2, Superávit y resultado fue bueno"
                    )
                )
            ),
            IF(AND(BP95&lt;=TRUNC(BW95/2,0),BP95&gt;=0),
                IF(BT95=TRUNC(BW95/2,0),
                    "-1, no había superávit y deje la capacidad media",
                    IF(AND(BT95&gt;TRUNC(BW95/2,0), BT95&gt;=BP95),
                        "0, no había superávit, y la deje con superávit",
                        IF(AND(BT95&lt;TRUNC(BW95/2,0),BT95&lt;BP95),
                            "1, no había superávit, pero el resultado fue mejor",
                            "-2, no había superávit y resultado fue bueno"
                        )
                    )
                )
            )
        )
    )
)</f>
        <v>-1, no había déficit y dejo la capacidad media</v>
      </c>
      <c r="CB95" s="30" t="s">
        <v>209</v>
      </c>
      <c r="CC95" s="30">
        <v>0</v>
      </c>
      <c r="CD95" s="31">
        <v>2.7777777777777777</v>
      </c>
      <c r="CE95" s="31">
        <v>0</v>
      </c>
      <c r="CF95" s="29">
        <v>0</v>
      </c>
      <c r="CG95" s="30">
        <v>3</v>
      </c>
      <c r="CH95" s="30">
        <v>2.6646209564781631E-3</v>
      </c>
      <c r="CI95" s="26" t="s">
        <v>320</v>
      </c>
      <c r="CJ95" s="30">
        <v>7</v>
      </c>
      <c r="CK95" s="29">
        <f>IF(CE95&lt;=CC95,1,0)</f>
        <v>1</v>
      </c>
      <c r="CL95" s="32">
        <f>CE95-CC95</f>
        <v>0</v>
      </c>
      <c r="CM95" s="32" t="str">
        <f>IF(CH95&gt;0,
    IF(OR(CC95&lt;=TRUNC(CJ95/2,0),CC95=0),
        IF(CG95=TRUNC(CJ95/2,0),
            "-1, Déficit y dejo la capacidad media",
            IF(AND(CG95&gt;TRUNC(CJ95/2,0), CG95&gt;CC95),
                "1, Déficit y eliminé déficit",
                IF(AND(CG95&lt;TRUNC(CJ95/2,0), CG95&lt;CC95),
                    "0, Déficit y no elimine déficit",
                    "-2, Déficit y resultado fue bueno")
            )
        ),
        IF(AND(CG95&gt;TRUNC(CJ95/2,0), CG95&gt;CC95),
            "1, no había déficit, pero resultado fue mejor",
            IF(AND(CG95&lt;TRUNC(CJ95/2,0),CG95&lt;CC95),
                "0, no había déficit y la dejo con déficit",
                IF(CG95=TRUNC(CJ95/2,0),
                    "-1, no había déficit y dejo la capacidad media",
                    "-2,no había déficit y resultado fue bueno")
            )
        )
    ),
    IF(CH95&lt;0,
        IF(CC95&gt;TRUNC(CJ95/2,0),
            IF(CG95=TRUNC(CJ95/2,0),
                "-1, Superávit y deje la capacidad media",
                IF(AND(CG95&gt;TRUNC(CJ95/2,0), CG95&gt;=CC95),
                    "0, Superávit y no eliminé superávit",
                    IF(AND(CG95&lt;TRUNC(CJ95/2,0),CG95&lt;CC95),
                        "1, Superávit y eliminé superávit",
                        "-2, Superávit y resultado fue bueno"
                    )
                )
            ),
            IF(AND(CC95&lt;=TRUNC(CJ95/2,0),CC95&gt;=0),
                IF(CG95=TRUNC(CJ95/2,0),
                    "-1, no había superávit y deje la capacidad media",
                    IF(AND(CG95&gt;TRUNC(CJ95/2,0), CG95&gt;=CC95),
                        "0, no había superávit, y la deje con superávit",
                        IF(AND(CG95&lt;TRUNC(CJ95/2,0),CG95&lt;CC95),
                            "1, no había superávit, pero el resultado fue mejor",
                            "-2, no había superávit y resultado fue bueno"
                        )
                    )
                )
            )
        )
    )
)</f>
        <v>-1, Déficit y dejo la capacidad media</v>
      </c>
      <c r="CO95" s="30" t="s">
        <v>209</v>
      </c>
      <c r="CP95" s="30">
        <v>1</v>
      </c>
      <c r="CQ95" s="31">
        <v>2.6666666666666665</v>
      </c>
      <c r="CR95" s="31">
        <v>1</v>
      </c>
      <c r="CS95" s="29">
        <v>1</v>
      </c>
      <c r="CT95" s="30">
        <v>3</v>
      </c>
      <c r="CU95" s="30">
        <v>2.6646209564781631E-3</v>
      </c>
      <c r="CV95" s="26" t="s">
        <v>320</v>
      </c>
      <c r="CW95" s="30">
        <v>7</v>
      </c>
      <c r="CX95" s="29">
        <f>IF(CR95&lt;=CP95,1,0)</f>
        <v>1</v>
      </c>
      <c r="CY95" s="32">
        <f>CR95-CP95</f>
        <v>0</v>
      </c>
      <c r="CZ95" s="32" t="str">
        <f>IF(CU95&gt;0,
    IF(OR(CP95&lt;=TRUNC(CW95/2,0),CP95=0),
        IF(CT95=TRUNC(CW95/2,0),
            "-1, Déficit y dejo la capacidad media",
            IF(AND(CT95&gt;TRUNC(CW95/2,0), CT95&gt;CP95),
                "1, Déficit y eliminé déficit",
                IF(AND(CT95&lt;TRUNC(CW95/2,0), CT95&lt;CP95),
                    "0, Déficit y no elimine déficit",
                    "-2, Déficit y resultado fue bueno")
            )
        ),
        IF(AND(CT95&gt;TRUNC(CW95/2,0), CT95&gt;CP95),
            "1, no había déficit, pero resultado fue mejor",
            IF(AND(CT95&lt;TRUNC(CW95/2,0),CT95&lt;CP95),
                "0, no había déficit y la dejo con déficit",
                IF(CT95=TRUNC(CW95/2,0),
                    "-1, no había déficit y dejo la capacidad media",
                    "-2,no había déficit y resultado fue bueno")
            )
        )
    ),
    IF(CU95&lt;0,
        IF(CP95&gt;TRUNC(CW95/2,0),
            IF(CT95=TRUNC(CW95/2,0),
                "-1, Superávit y deje la capacidad media",
                IF(AND(CT95&gt;TRUNC(CW95/2,0), CT95&gt;=CP95),
                    "0, Superávit y no eliminé superávit",
                    IF(AND(CT95&lt;TRUNC(CW95/2,0),CT95&lt;CP95),
                        "1, Superávit y eliminé superávit",
                        "-2, Superávit y resultado fue bueno"
                    )
                )
            ),
            IF(AND(CP95&lt;=TRUNC(CW95/2,0),CP95&gt;=0),
                IF(CT95=TRUNC(CW95/2,0),
                    "-1, no había superávit y deje la capacidad media",
                    IF(AND(CT95&gt;TRUNC(CW95/2,0), CT95&gt;=CP95),
                        "0, no había superávit, y la deje con superávit",
                        IF(AND(CT95&lt;TRUNC(CW95/2,0),CT95&lt;CP95),
                            "1, no había superávit, pero el resultado fue mejor",
                            "-2, no había superávit y resultado fue bueno"
                        )
                    )
                )
            )
        )
    )
)</f>
        <v>-1, Déficit y dejo la capacidad media</v>
      </c>
    </row>
    <row r="96" spans="2:104" ht="14.25" customHeight="1" x14ac:dyDescent="0.3">
      <c r="B96" s="30" t="s">
        <v>214</v>
      </c>
      <c r="C96" s="30">
        <v>14</v>
      </c>
      <c r="D96" s="31">
        <v>10.555555555555555</v>
      </c>
      <c r="E96" s="29">
        <v>15</v>
      </c>
      <c r="F96" s="29">
        <v>15</v>
      </c>
      <c r="G96" s="30">
        <v>5</v>
      </c>
      <c r="H96" s="30">
        <v>-0.3761105231824623</v>
      </c>
      <c r="I96" s="26" t="s">
        <v>322</v>
      </c>
      <c r="J96" s="30">
        <v>15</v>
      </c>
      <c r="K96" s="29">
        <f>IF(E96&gt;=C96,1,0)</f>
        <v>1</v>
      </c>
      <c r="L96" s="29">
        <f>E96-C96</f>
        <v>1</v>
      </c>
      <c r="M96" s="29" t="str">
        <f>IF(H96&gt;0,
    IF(OR(C96&lt;=TRUNC(J96/2,0),C96=0),
        IF(G96=TRUNC(J96/2,0),
            "-1, Déficit y dejo la capacidad media",
            IF(AND(G96&gt;TRUNC(J96/2,0), G96&gt;C96),
                "1, Déficit y eliminé déficit",
                IF(AND(G96&lt;TRUNC(J96/2,0), G96&lt;C96),
                    "0, Déficit y no elimine déficit",
                    "-2, Déficit y resultado fue bueno")
            )
        ),
        IF(AND(G96&gt;TRUNC(J96/2,0), G96&gt;C96),
            "1, no había déficit, pero resultado fue mejor",
            IF(AND(G96&lt;TRUNC(J96/2,0),G96&lt;C96),
                "0, no había déficit y la dejo con déficit",
                IF(G96=TRUNC(J96/2,0),
                    "-1, no había déficit y dejo la capacidad media",
                    "-2,no había déficit y resultado fue bueno")
            )
        )
    ),
    IF(H96&lt;0,
        IF(C96&gt;TRUNC(J96/2,0),
            IF(G96=TRUNC(J96/2,0),
                "-1, Superávit y deje la capacidad media",
                IF(AND(G96&gt;TRUNC(J96/2,0), G96&gt;=C96),
                    "0, Superávit y no eliminé superávit",
                    IF(AND(G96&lt;TRUNC(J96/2,0),G96&lt;C96),
                        "1, Superávit y eliminé superávit",
                        "-2, Superávit y resultado fue bueno"
                    )
                )
            ),
            IF(AND(C96&lt;=TRUNC(J96/2,0),C96&gt;=0),
                IF(G96=TRUNC(J96/2,0),
                    "-1, no había superávit y deje la capacidad media",
                    IF(AND(G96&gt;TRUNC(J96/2,0), G96&gt;=C96),
                        "0, no había superávit, y la deje con superávit",
                        IF(AND(G96&lt;TRUNC(J96/2,0),G96&lt;C96),
                            "1, no había superávit, pero el resultado fue mejor",
                            "-2, no había superávit y resultado fue bueno"
                        )
                    )
                )
            )
        )
    )
)</f>
        <v>1, Superávit y eliminé superávit</v>
      </c>
      <c r="O96" s="30" t="s">
        <v>214</v>
      </c>
      <c r="P96" s="29">
        <v>15</v>
      </c>
      <c r="Q96" s="31">
        <v>9.2222222222222214</v>
      </c>
      <c r="R96" s="29">
        <v>12</v>
      </c>
      <c r="S96" s="29">
        <v>8</v>
      </c>
      <c r="T96" s="29">
        <v>12</v>
      </c>
      <c r="U96" s="30">
        <v>-0.3761105231824623</v>
      </c>
      <c r="V96" s="26" t="s">
        <v>322</v>
      </c>
      <c r="W96" s="30">
        <v>15</v>
      </c>
      <c r="X96" s="29">
        <f>IF(R96&gt;=P96,1,0)</f>
        <v>0</v>
      </c>
      <c r="Y96" s="29">
        <f>R96-P96</f>
        <v>-3</v>
      </c>
      <c r="Z96" s="29" t="str">
        <f>IF(U96&gt;0,
    IF(OR(P96&lt;=TRUNC(W96/2,0),P96=0),
        IF(T96=TRUNC(W96/2,0),
            "-1, Déficit y dejo la capacidad media",
            IF(AND(T96&gt;TRUNC(W96/2,0), T96&gt;P96),
                "1, Déficit y eliminé déficit",
                IF(AND(T96&lt;TRUNC(W96/2,0), T96&lt;P96),
                    "0, Déficit y no elimine déficit",
                    "-2, Déficit y resultado fue bueno")
            )
        ),
        IF(AND(T96&gt;TRUNC(W96/2,0), T96&gt;P96),
            "1, no había déficit, pero resultado fue mejor",
            IF(AND(T96&lt;TRUNC(W96/2,0),T96&lt;P96),
                "0, no había déficit y la dejo con déficit",
                IF(T96=TRUNC(W96/2,0),
                    "-1, no había déficit y dejo la capacidad media",
                    "-2,no había déficit y resultado fue bueno")
            )
        )
    ),
    IF(U96&lt;0,
        IF(P96&gt;TRUNC(W96/2,0),
            IF(T96=TRUNC(W96/2,0),
                "-1, Superávit y deje la capacidad media",
                IF(AND(T96&gt;TRUNC(W96/2,0), T96&gt;=P96),
                    "0, Superávit y no eliminé superávit",
                    IF(AND(T96&lt;TRUNC(W96/2,0),T96&lt;P96),
                        "1, Superávit y eliminé superávit",
                        "-2, Superávit y resultado fue bueno"
                    )
                )
            ),
            IF(AND(P96&lt;=TRUNC(W96/2,0),P96&gt;=0),
                IF(T96=TRUNC(W96/2,0),
                    "-1, no había superávit y deje la capacidad media",
                    IF(AND(T96&gt;TRUNC(W96/2,0), T96&gt;=P96),
                        "0, no había superávit, y la deje con superávit",
                        IF(AND(T96&lt;TRUNC(W96/2,0),T96&lt;P96),
                            "1, no había superávit, pero el resultado fue mejor",
                            "-2, no había superávit y resultado fue bueno"
                        )
                    )
                )
            )
        )
    )
)</f>
        <v>-2, Superávit y resultado fue bueno</v>
      </c>
      <c r="AB96" s="30" t="s">
        <v>214</v>
      </c>
      <c r="AC96" s="29">
        <v>10</v>
      </c>
      <c r="AD96" s="31">
        <v>8.7777777777777786</v>
      </c>
      <c r="AE96" s="29">
        <v>11</v>
      </c>
      <c r="AF96" s="29">
        <v>10</v>
      </c>
      <c r="AG96" s="29">
        <v>10</v>
      </c>
      <c r="AH96" s="30">
        <v>-0.3761105231824623</v>
      </c>
      <c r="AI96" s="26" t="s">
        <v>322</v>
      </c>
      <c r="AJ96" s="30">
        <v>15</v>
      </c>
      <c r="AK96" s="29">
        <f>IF(AE96&gt;=AC96,1,0)</f>
        <v>1</v>
      </c>
      <c r="AL96" s="29">
        <f>AE96-AC96</f>
        <v>1</v>
      </c>
      <c r="AM96" s="29" t="str">
        <f>IF(AH96&gt;0,
    IF(OR(AC96&lt;=TRUNC(AJ96/2,0),AC96=0),
        IF(AG96=TRUNC(AJ96/2,0),
            "-1, Déficit y dejo la capacidad media",
            IF(AND(AG96&gt;TRUNC(AJ96/2,0), AG96&gt;AC96),
                "1, Déficit y eliminé déficit",
                IF(AND(AG96&lt;TRUNC(AJ96/2,0), AG96&lt;AC96),
                    "0, Déficit y no elimine déficit",
                    "-2, Déficit y resultado fue bueno")
            )
        ),
        IF(AND(AG96&gt;TRUNC(AJ96/2,0), AG96&gt;AC96),
            "1, no había déficit, pero resultado fue mejor",
            IF(AND(AG96&lt;TRUNC(AJ96/2,0),AG96&lt;AC96),
                "0, no había déficit y la dejo con déficit",
                IF(AG96=TRUNC(AJ96/2,0),
                    "-1, no había déficit y dejo la capacidad media",
                    "-2,no había déficit y resultado fue bueno")
            )
        )
    ),
    IF(AH96&lt;0,
        IF(AC96&gt;TRUNC(AJ96/2,0),
            IF(AG96=TRUNC(AJ96/2,0),
                "-1, Superávit y deje la capacidad media",
                IF(AND(AG96&gt;TRUNC(AJ96/2,0), AG96&gt;=AC96),
                    "0, Superávit y no eliminé superávit",
                    IF(AND(AG96&lt;TRUNC(AJ96/2,0),AG96&lt;AC96),
                        "1, Superávit y eliminé superávit",
                        "-2, Superávit y resultado fue bueno"
                    )
                )
            ),
            IF(AND(AC96&lt;=TRUNC(AJ96/2,0),AC96&gt;=0),
                IF(AG96=TRUNC(AJ96/2,0),
                    "-1, no había superávit y deje la capacidad media",
                    IF(AND(AG96&gt;TRUNC(AJ96/2,0), AG96&gt;=AC96),
                        "0, no había superávit, y la deje con superávit",
                        IF(AND(AG96&lt;TRUNC(AJ96/2,0),AG96&lt;AC96),
                            "1, no había superávit, pero el resultado fue mejor",
                            "-2, no había superávit y resultado fue bueno"
                        )
                    )
                )
            )
        )
    )
)</f>
        <v>0, Superávit y no eliminé superávit</v>
      </c>
      <c r="AO96" s="30" t="s">
        <v>214</v>
      </c>
      <c r="AP96" s="30">
        <v>6</v>
      </c>
      <c r="AQ96" s="31">
        <v>9.6666666666666661</v>
      </c>
      <c r="AR96" s="29">
        <v>5</v>
      </c>
      <c r="AS96" s="29">
        <v>6</v>
      </c>
      <c r="AT96" s="30">
        <v>6</v>
      </c>
      <c r="AU96" s="30">
        <v>-0.3761105231824623</v>
      </c>
      <c r="AV96" s="26" t="s">
        <v>322</v>
      </c>
      <c r="AW96" s="30">
        <v>15</v>
      </c>
      <c r="AX96" s="29">
        <f>IF(AR96&gt;=AP96,1,0)</f>
        <v>0</v>
      </c>
      <c r="AY96" s="29">
        <f>AR96-AP96</f>
        <v>-1</v>
      </c>
      <c r="AZ96" s="29" t="str">
        <f>IF(AU96&gt;0,
    IF(OR(AP96&lt;=TRUNC(AW96/2,0),AP96=0),
        IF(AT96=TRUNC(AW96/2,0),
            "-1, Déficit y dejo la capacidad media",
            IF(AND(AT96&gt;TRUNC(AW96/2,0), AT96&gt;AP96),
                "1, Déficit y eliminé déficit",
                IF(AND(AT96&lt;TRUNC(AW96/2,0), AT96&lt;AP96),
                    "0, Déficit y no elimine déficit",
                    "-2, Déficit y resultado fue bueno")
            )
        ),
        IF(AND(AT96&gt;TRUNC(AW96/2,0), AT96&gt;AP96),
            "1, no había déficit, pero resultado fue mejor",
            IF(AND(AT96&lt;TRUNC(AW96/2,0),AT96&lt;AP96),
                "0, no había déficit y la dejo con déficit",
                IF(AT96=TRUNC(AW96/2,0),
                    "-1, no había déficit y dejo la capacidad media",
                    "-2,no había déficit y resultado fue bueno")
            )
        )
    ),
    IF(AU96&lt;0,
        IF(AP96&gt;TRUNC(AW96/2,0),
            IF(AT96=TRUNC(AW96/2,0),
                "-1, Superávit y deje la capacidad media",
                IF(AND(AT96&gt;TRUNC(AW96/2,0), AT96&gt;=AP96),
                    "0, Superávit y no eliminé superávit",
                    IF(AND(AT96&lt;TRUNC(AW96/2,0),AT96&lt;AP96),
                        "1, Superávit y eliminé superávit",
                        "-2, Superávit y resultado fue bueno"
                    )
                )
            ),
            IF(AND(AP96&lt;=TRUNC(AW96/2,0),AP96&gt;=0),
                IF(AT96=TRUNC(AW96/2,0),
                    "-1, no había superávit y deje la capacidad media",
                    IF(AND(AT96&gt;TRUNC(AW96/2,0), AT96&gt;=AP96),
                        "0, no había superávit, y la deje con superávit",
                        IF(AND(AT96&lt;TRUNC(AW96/2,0),AT96&lt;AP96),
                            "1, no había superávit, pero el resultado fue mejor",
                            "-2, no había superávit y resultado fue bueno"
                        )
                    )
                )
            )
        )
    )
)</f>
        <v>-2, no había superávit y resultado fue bueno</v>
      </c>
      <c r="BB96" s="30" t="s">
        <v>214</v>
      </c>
      <c r="BC96" s="30">
        <v>15</v>
      </c>
      <c r="BD96" s="31">
        <v>9.8888888888888893</v>
      </c>
      <c r="BE96" s="29">
        <v>15</v>
      </c>
      <c r="BF96" s="29">
        <v>15</v>
      </c>
      <c r="BG96" s="30">
        <v>11</v>
      </c>
      <c r="BH96" s="30">
        <v>-0.3761105231824623</v>
      </c>
      <c r="BI96" s="26" t="s">
        <v>322</v>
      </c>
      <c r="BJ96" s="30">
        <v>15</v>
      </c>
      <c r="BK96" s="29">
        <f>IF(BE96&gt;=BC96,1,0)</f>
        <v>1</v>
      </c>
      <c r="BL96" s="29">
        <f>BE96-BC96</f>
        <v>0</v>
      </c>
      <c r="BM96" s="29" t="str">
        <f>IF(BH96&gt;0,
    IF(OR(BC96&lt;=TRUNC(BJ96/2,0),BC96=0),
        IF(BG96=TRUNC(BJ96/2,0),
            "-1, Déficit y dejo la capacidad media",
            IF(AND(BG96&gt;TRUNC(BJ96/2,0), BG96&gt;BC96),
                "1, Déficit y eliminé déficit",
                IF(AND(BG96&lt;TRUNC(BJ96/2,0), BG96&lt;BC96),
                    "0, Déficit y no elimine déficit",
                    "-2, Déficit y resultado fue bueno")
            )
        ),
        IF(AND(BG96&gt;TRUNC(BJ96/2,0), BG96&gt;BC96),
            "1, no había déficit, pero resultado fue mejor",
            IF(AND(BG96&lt;TRUNC(BJ96/2,0),BG96&lt;BC96),
                "0, no había déficit y la dejo con déficit",
                IF(BG96=TRUNC(BJ96/2,0),
                    "-1, no había déficit y dejo la capacidad media",
                    "-2,no había déficit y resultado fue bueno")
            )
        )
    ),
    IF(BH96&lt;0,
        IF(BC96&gt;TRUNC(BJ96/2,0),
            IF(BG96=TRUNC(BJ96/2,0),
                "-1, Superávit y deje la capacidad media",
                IF(AND(BG96&gt;TRUNC(BJ96/2,0), BG96&gt;=BC96),
                    "0, Superávit y no eliminé superávit",
                    IF(AND(BG96&lt;TRUNC(BJ96/2,0),BG96&lt;BC96),
                        "1, Superávit y eliminé superávit",
                        "-2, Superávit y resultado fue bueno"
                    )
                )
            ),
            IF(AND(BC96&lt;=TRUNC(BJ96/2,0),BC96&gt;=0),
                IF(BG96=TRUNC(BJ96/2,0),
                    "-1, no había superávit y deje la capacidad media",
                    IF(AND(BG96&gt;TRUNC(BJ96/2,0), BG96&gt;=BC96),
                        "0, no había superávit, y la deje con superávit",
                        IF(AND(BG96&lt;TRUNC(BJ96/2,0),BG96&lt;BC96),
                            "1, no había superávit, pero el resultado fue mejor",
                            "-2, no había superávit y resultado fue bueno"
                        )
                    )
                )
            )
        )
    )
)</f>
        <v>-2, Superávit y resultado fue bueno</v>
      </c>
      <c r="BO96" s="30" t="s">
        <v>214</v>
      </c>
      <c r="BP96" s="30">
        <v>2</v>
      </c>
      <c r="BQ96" s="31">
        <v>8.1111111111111107</v>
      </c>
      <c r="BR96" s="29">
        <v>3</v>
      </c>
      <c r="BS96" s="29">
        <v>3</v>
      </c>
      <c r="BT96" s="30">
        <v>12</v>
      </c>
      <c r="BU96" s="30">
        <v>-0.3761105231824623</v>
      </c>
      <c r="BV96" s="26" t="s">
        <v>322</v>
      </c>
      <c r="BW96" s="30">
        <v>15</v>
      </c>
      <c r="BX96" s="29">
        <f>IF(BR96&gt;=BP96,1,0)</f>
        <v>1</v>
      </c>
      <c r="BY96" s="29">
        <f>BR96-BP96</f>
        <v>1</v>
      </c>
      <c r="BZ96" s="29" t="str">
        <f>IF(BU96&gt;0,
    IF(OR(BP96&lt;=TRUNC(BW96/2,0),BP96=0),
        IF(BT96=TRUNC(BW96/2,0),
            "-1, Déficit y dejo la capacidad media",
            IF(AND(BT96&gt;TRUNC(BW96/2,0), BT96&gt;BP96),
                "1, Déficit y eliminé déficit",
                IF(AND(BT96&lt;TRUNC(BW96/2,0), BT96&lt;BP96),
                    "0, Déficit y no elimine déficit",
                    "-2, Déficit y resultado fue bueno")
            )
        ),
        IF(AND(BT96&gt;TRUNC(BW96/2,0), BT96&gt;BP96),
            "1, no había déficit, pero resultado fue mejor",
            IF(AND(BT96&lt;TRUNC(BW96/2,0),BT96&lt;BP96),
                "0, no había déficit y la dejo con déficit",
                IF(BT96=TRUNC(BW96/2,0),
                    "-1, no había déficit y dejo la capacidad media",
                    "-2,no había déficit y resultado fue bueno")
            )
        )
    ),
    IF(BU96&lt;0,
        IF(BP96&gt;TRUNC(BW96/2,0),
            IF(BT96=TRUNC(BW96/2,0),
                "-1, Superávit y deje la capacidad media",
                IF(AND(BT96&gt;TRUNC(BW96/2,0), BT96&gt;=BP96),
                    "0, Superávit y no eliminé superávit",
                    IF(AND(BT96&lt;TRUNC(BW96/2,0),BT96&lt;BP96),
                        "1, Superávit y eliminé superávit",
                        "-2, Superávit y resultado fue bueno"
                    )
                )
            ),
            IF(AND(BP96&lt;=TRUNC(BW96/2,0),BP96&gt;=0),
                IF(BT96=TRUNC(BW96/2,0),
                    "-1, no había superávit y deje la capacidad media",
                    IF(AND(BT96&gt;TRUNC(BW96/2,0), BT96&gt;=BP96),
                        "0, no había superávit, y la deje con superávit",
                        IF(AND(BT96&lt;TRUNC(BW96/2,0),BT96&lt;BP96),
                            "1, no había superávit, pero el resultado fue mejor",
                            "-2, no había superávit y resultado fue bueno"
                        )
                    )
                )
            )
        )
    )
)</f>
        <v>0, no había superávit, y la deje con superávit</v>
      </c>
      <c r="CB96" s="30" t="s">
        <v>214</v>
      </c>
      <c r="CC96" s="30">
        <v>3</v>
      </c>
      <c r="CD96" s="31">
        <v>9.5555555555555554</v>
      </c>
      <c r="CE96" s="31">
        <v>3</v>
      </c>
      <c r="CF96" s="29">
        <v>3</v>
      </c>
      <c r="CG96" s="30">
        <v>3</v>
      </c>
      <c r="CH96" s="30">
        <v>-0.3761105231824623</v>
      </c>
      <c r="CI96" s="26" t="s">
        <v>322</v>
      </c>
      <c r="CJ96" s="30">
        <v>15</v>
      </c>
      <c r="CK96" s="29">
        <f>IF(CE96&gt;=CC96,1,0)</f>
        <v>1</v>
      </c>
      <c r="CL96" s="32">
        <f>CE96-CC96</f>
        <v>0</v>
      </c>
      <c r="CM96" s="32" t="str">
        <f>IF(CH96&gt;0,
    IF(OR(CC96&lt;=TRUNC(CJ96/2,0),CC96=0),
        IF(CG96=TRUNC(CJ96/2,0),
            "-1, Déficit y dejo la capacidad media",
            IF(AND(CG96&gt;TRUNC(CJ96/2,0), CG96&gt;CC96),
                "1, Déficit y eliminé déficit",
                IF(AND(CG96&lt;TRUNC(CJ96/2,0), CG96&lt;CC96),
                    "0, Déficit y no elimine déficit",
                    "-2, Déficit y resultado fue bueno")
            )
        ),
        IF(AND(CG96&gt;TRUNC(CJ96/2,0), CG96&gt;CC96),
            "1, no había déficit, pero resultado fue mejor",
            IF(AND(CG96&lt;TRUNC(CJ96/2,0),CG96&lt;CC96),
                "0, no había déficit y la dejo con déficit",
                IF(CG96=TRUNC(CJ96/2,0),
                    "-1, no había déficit y dejo la capacidad media",
                    "-2,no había déficit y resultado fue bueno")
            )
        )
    ),
    IF(CH96&lt;0,
        IF(CC96&gt;TRUNC(CJ96/2,0),
            IF(CG96=TRUNC(CJ96/2,0),
                "-1, Superávit y deje la capacidad media",
                IF(AND(CG96&gt;TRUNC(CJ96/2,0), CG96&gt;=CC96),
                    "0, Superávit y no eliminé superávit",
                    IF(AND(CG96&lt;TRUNC(CJ96/2,0),CG96&lt;CC96),
                        "1, Superávit y eliminé superávit",
                        "-2, Superávit y resultado fue bueno"
                    )
                )
            ),
            IF(AND(CC96&lt;=TRUNC(CJ96/2,0),CC96&gt;=0),
                IF(CG96=TRUNC(CJ96/2,0),
                    "-1, no había superávit y deje la capacidad media",
                    IF(AND(CG96&gt;TRUNC(CJ96/2,0), CG96&gt;=CC96),
                        "0, no había superávit, y la deje con superávit",
                        IF(AND(CG96&lt;TRUNC(CJ96/2,0),CG96&lt;CC96),
                            "1, no había superávit, pero el resultado fue mejor",
                            "-2, no había superávit y resultado fue bueno"
                        )
                    )
                )
            )
        )
    )
)</f>
        <v>-2, no había superávit y resultado fue bueno</v>
      </c>
      <c r="CO96" s="30" t="s">
        <v>214</v>
      </c>
      <c r="CP96" s="30">
        <v>0</v>
      </c>
      <c r="CQ96" s="31">
        <v>10.555555555555555</v>
      </c>
      <c r="CR96" s="31">
        <v>0</v>
      </c>
      <c r="CS96" s="29">
        <v>0</v>
      </c>
      <c r="CT96" s="30">
        <v>3</v>
      </c>
      <c r="CU96" s="30">
        <v>-0.3761105231824623</v>
      </c>
      <c r="CV96" s="26" t="s">
        <v>322</v>
      </c>
      <c r="CW96" s="30">
        <v>15</v>
      </c>
      <c r="CX96" s="29">
        <f t="shared" ref="CX96:CX105" si="5">IF(CR96&gt;=CP96,1,0)</f>
        <v>1</v>
      </c>
      <c r="CY96" s="32">
        <f>CR96-CP96</f>
        <v>0</v>
      </c>
      <c r="CZ96" s="32" t="str">
        <f>IF(CU96&gt;0,
    IF(OR(CP96&lt;=TRUNC(CW96/2,0),CP96=0),
        IF(CT96=TRUNC(CW96/2,0),
            "-1, Déficit y dejo la capacidad media",
            IF(AND(CT96&gt;TRUNC(CW96/2,0), CT96&gt;CP96),
                "1, Déficit y eliminé déficit",
                IF(AND(CT96&lt;TRUNC(CW96/2,0), CT96&lt;CP96),
                    "0, Déficit y no elimine déficit",
                    "-2, Déficit y resultado fue bueno")
            )
        ),
        IF(AND(CT96&gt;TRUNC(CW96/2,0), CT96&gt;CP96),
            "1, no había déficit, pero resultado fue mejor",
            IF(AND(CT96&lt;TRUNC(CW96/2,0),CT96&lt;CP96),
                "0, no había déficit y la dejo con déficit",
                IF(CT96=TRUNC(CW96/2,0),
                    "-1, no había déficit y dejo la capacidad media",
                    "-2,no había déficit y resultado fue bueno")
            )
        )
    ),
    IF(CU96&lt;0,
        IF(CP96&gt;TRUNC(CW96/2,0),
            IF(CT96=TRUNC(CW96/2,0),
                "-1, Superávit y deje la capacidad media",
                IF(AND(CT96&gt;TRUNC(CW96/2,0), CT96&gt;=CP96),
                    "0, Superávit y no eliminé superávit",
                    IF(AND(CT96&lt;TRUNC(CW96/2,0),CT96&lt;CP96),
                        "1, Superávit y eliminé superávit",
                        "-2, Superávit y resultado fue bueno"
                    )
                )
            ),
            IF(AND(CP96&lt;=TRUNC(CW96/2,0),CP96&gt;=0),
                IF(CT96=TRUNC(CW96/2,0),
                    "-1, no había superávit y deje la capacidad media",
                    IF(AND(CT96&gt;TRUNC(CW96/2,0), CT96&gt;=CP96),
                        "0, no había superávit, y la deje con superávit",
                        IF(AND(CT96&lt;TRUNC(CW96/2,0),CT96&lt;CP96),
                            "1, no había superávit, pero el resultado fue mejor",
                            "-2, no había superávit y resultado fue bueno"
                        )
                    )
                )
            )
        )
    )
)</f>
        <v>-2, no había superávit y resultado fue bueno</v>
      </c>
    </row>
    <row r="97" spans="2:106" ht="14.25" customHeight="1" x14ac:dyDescent="0.3">
      <c r="B97" s="30" t="s">
        <v>211</v>
      </c>
      <c r="C97" s="30">
        <v>14</v>
      </c>
      <c r="D97" s="31">
        <v>11.888888888888889</v>
      </c>
      <c r="E97" s="29">
        <v>14</v>
      </c>
      <c r="F97" s="29">
        <v>14</v>
      </c>
      <c r="G97" s="30">
        <v>2</v>
      </c>
      <c r="H97" s="30">
        <v>-0.61856740376708086</v>
      </c>
      <c r="I97" s="26" t="s">
        <v>321</v>
      </c>
      <c r="J97" s="30">
        <v>15</v>
      </c>
      <c r="K97" s="29">
        <f>IF(E97&gt;=C97,1,0)</f>
        <v>1</v>
      </c>
      <c r="L97" s="29">
        <f>E97-C97</f>
        <v>0</v>
      </c>
      <c r="M97" s="29" t="str">
        <f>IF(H97&gt;0,
    IF(OR(C97&lt;=TRUNC(J97/2,0),C97=0),
        IF(G97=TRUNC(J97/2,0),
            "-1, Déficit y dejo la capacidad media",
            IF(AND(G97&gt;TRUNC(J97/2,0), G97&gt;C97),
                "1, Déficit y eliminé déficit",
                IF(AND(G97&lt;TRUNC(J97/2,0), G97&lt;C97),
                    "0, Déficit y no elimine déficit",
                    "-2, Déficit y resultado fue bueno")
            )
        ),
        IF(AND(G97&gt;TRUNC(J97/2,0), G97&gt;C97),
            "1, no había déficit, pero resultado fue mejor",
            IF(AND(G97&lt;TRUNC(J97/2,0),G97&lt;C97),
                "0, no había déficit y la dejo con déficit",
                IF(G97=TRUNC(J97/2,0),
                    "-1, no había déficit y dejo la capacidad media",
                    "-2,no había déficit y resultado fue bueno")
            )
        )
    ),
    IF(H97&lt;0,
        IF(C97&gt;TRUNC(J97/2,0),
            IF(G97=TRUNC(J97/2,0),
                "-1, Superávit y deje la capacidad media",
                IF(AND(G97&gt;TRUNC(J97/2,0), G97&gt;=C97),
                    "0, Superávit y no eliminé superávit",
                    IF(AND(G97&lt;TRUNC(J97/2,0),G97&lt;C97),
                        "1, Superávit y eliminé superávit",
                        "-2, Superávit y resultado fue bueno"
                    )
                )
            ),
            IF(AND(C97&lt;=TRUNC(J97/2,0),C97&gt;=0),
                IF(G97=TRUNC(J97/2,0),
                    "-1, no había superávit y deje la capacidad media",
                    IF(AND(G97&gt;TRUNC(J97/2,0), G97&gt;=C97),
                        "0, no había superávit, y la deje con superávit",
                        IF(AND(G97&lt;TRUNC(J97/2,0),G97&lt;C97),
                            "1, no había superávit, pero el resultado fue mejor",
                            "-2, no había superávit y resultado fue bueno"
                        )
                    )
                )
            )
        )
    )
)</f>
        <v>1, Superávit y eliminé superávit</v>
      </c>
      <c r="O97" s="30" t="s">
        <v>211</v>
      </c>
      <c r="P97" s="29">
        <v>7</v>
      </c>
      <c r="Q97" s="31">
        <v>9</v>
      </c>
      <c r="R97" s="29">
        <v>9</v>
      </c>
      <c r="S97" s="29">
        <v>10</v>
      </c>
      <c r="T97" s="29">
        <v>10</v>
      </c>
      <c r="U97" s="30">
        <v>-0.61856740376708086</v>
      </c>
      <c r="V97" s="26" t="s">
        <v>321</v>
      </c>
      <c r="W97" s="30">
        <v>15</v>
      </c>
      <c r="X97" s="29">
        <f>IF(R97&gt;=P97,1,0)</f>
        <v>1</v>
      </c>
      <c r="Y97" s="29">
        <f>R97-P97</f>
        <v>2</v>
      </c>
      <c r="Z97" s="29" t="str">
        <f>IF(U97&gt;0,
    IF(OR(P97&lt;=TRUNC(W97/2,0),P97=0),
        IF(T97=TRUNC(W97/2,0),
            "-1, Déficit y dejo la capacidad media",
            IF(AND(T97&gt;TRUNC(W97/2,0), T97&gt;P97),
                "1, Déficit y eliminé déficit",
                IF(AND(T97&lt;TRUNC(W97/2,0), T97&lt;P97),
                    "0, Déficit y no elimine déficit",
                    "-2, Déficit y resultado fue bueno")
            )
        ),
        IF(AND(T97&gt;TRUNC(W97/2,0), T97&gt;P97),
            "1, no había déficit, pero resultado fue mejor",
            IF(AND(T97&lt;TRUNC(W97/2,0),T97&lt;P97),
                "0, no había déficit y la dejo con déficit",
                IF(T97=TRUNC(W97/2,0),
                    "-1, no había déficit y dejo la capacidad media",
                    "-2,no había déficit y resultado fue bueno")
            )
        )
    ),
    IF(U97&lt;0,
        IF(P97&gt;TRUNC(W97/2,0),
            IF(T97=TRUNC(W97/2,0),
                "-1, Superávit y deje la capacidad media",
                IF(AND(T97&gt;TRUNC(W97/2,0), T97&gt;=P97),
                    "0, Superávit y no eliminé superávit",
                    IF(AND(T97&lt;TRUNC(W97/2,0),T97&lt;P97),
                        "1, Superávit y eliminé superávit",
                        "-2, Superávit y resultado fue bueno"
                    )
                )
            ),
            IF(AND(P97&lt;=TRUNC(W97/2,0),P97&gt;=0),
                IF(T97=TRUNC(W97/2,0),
                    "-1, no había superávit y deje la capacidad media",
                    IF(AND(T97&gt;TRUNC(W97/2,0), T97&gt;=P97),
                        "0, no había superávit, y la deje con superávit",
                        IF(AND(T97&lt;TRUNC(W97/2,0),T97&lt;P97),
                            "1, no había superávit, pero el resultado fue mejor",
                            "-2, no había superávit y resultado fue bueno"
                        )
                    )
                )
            )
        )
    )
)</f>
        <v>0, no había superávit, y la deje con superávit</v>
      </c>
      <c r="AB97" s="30" t="s">
        <v>211</v>
      </c>
      <c r="AC97" s="29">
        <v>10</v>
      </c>
      <c r="AD97" s="31">
        <v>10</v>
      </c>
      <c r="AE97" s="29">
        <v>12</v>
      </c>
      <c r="AF97" s="29">
        <v>14</v>
      </c>
      <c r="AG97" s="29">
        <v>10</v>
      </c>
      <c r="AH97" s="30">
        <v>-0.61856740376708086</v>
      </c>
      <c r="AI97" s="26" t="s">
        <v>321</v>
      </c>
      <c r="AJ97" s="30">
        <v>15</v>
      </c>
      <c r="AK97" s="29">
        <f>IF(AE97&gt;=AC97,1,0)</f>
        <v>1</v>
      </c>
      <c r="AL97" s="29">
        <f>AE97-AC97</f>
        <v>2</v>
      </c>
      <c r="AM97" s="29" t="str">
        <f>IF(AH97&gt;0,
    IF(OR(AC97&lt;=TRUNC(AJ97/2,0),AC97=0),
        IF(AG97=TRUNC(AJ97/2,0),
            "-1, Déficit y dejo la capacidad media",
            IF(AND(AG97&gt;TRUNC(AJ97/2,0), AG97&gt;AC97),
                "1, Déficit y eliminé déficit",
                IF(AND(AG97&lt;TRUNC(AJ97/2,0), AG97&lt;AC97),
                    "0, Déficit y no elimine déficit",
                    "-2, Déficit y resultado fue bueno")
            )
        ),
        IF(AND(AG97&gt;TRUNC(AJ97/2,0), AG97&gt;AC97),
            "1, no había déficit, pero resultado fue mejor",
            IF(AND(AG97&lt;TRUNC(AJ97/2,0),AG97&lt;AC97),
                "0, no había déficit y la dejo con déficit",
                IF(AG97=TRUNC(AJ97/2,0),
                    "-1, no había déficit y dejo la capacidad media",
                    "-2,no había déficit y resultado fue bueno")
            )
        )
    ),
    IF(AH97&lt;0,
        IF(AC97&gt;TRUNC(AJ97/2,0),
            IF(AG97=TRUNC(AJ97/2,0),
                "-1, Superávit y deje la capacidad media",
                IF(AND(AG97&gt;TRUNC(AJ97/2,0), AG97&gt;=AC97),
                    "0, Superávit y no eliminé superávit",
                    IF(AND(AG97&lt;TRUNC(AJ97/2,0),AG97&lt;AC97),
                        "1, Superávit y eliminé superávit",
                        "-2, Superávit y resultado fue bueno"
                    )
                )
            ),
            IF(AND(AC97&lt;=TRUNC(AJ97/2,0),AC97&gt;=0),
                IF(AG97=TRUNC(AJ97/2,0),
                    "-1, no había superávit y deje la capacidad media",
                    IF(AND(AG97&gt;TRUNC(AJ97/2,0), AG97&gt;=AC97),
                        "0, no había superávit, y la deje con superávit",
                        IF(AND(AG97&lt;TRUNC(AJ97/2,0),AG97&lt;AC97),
                            "1, no había superávit, pero el resultado fue mejor",
                            "-2, no había superávit y resultado fue bueno"
                        )
                    )
                )
            )
        )
    )
)</f>
        <v>0, Superávit y no eliminé superávit</v>
      </c>
      <c r="AO97" s="30" t="s">
        <v>211</v>
      </c>
      <c r="AP97" s="30">
        <v>11</v>
      </c>
      <c r="AQ97" s="31">
        <v>9</v>
      </c>
      <c r="AR97" s="29">
        <v>11</v>
      </c>
      <c r="AS97" s="29">
        <v>11</v>
      </c>
      <c r="AT97" s="30">
        <v>11</v>
      </c>
      <c r="AU97" s="30">
        <v>-0.61856740376708086</v>
      </c>
      <c r="AV97" s="26" t="s">
        <v>321</v>
      </c>
      <c r="AW97" s="30">
        <v>15</v>
      </c>
      <c r="AX97" s="29">
        <f>IF(AR97&gt;=AP97,1,0)</f>
        <v>1</v>
      </c>
      <c r="AY97" s="29">
        <f>AR97-AP97</f>
        <v>0</v>
      </c>
      <c r="AZ97" s="29" t="str">
        <f>IF(AU97&gt;0,
    IF(OR(AP97&lt;=TRUNC(AW97/2,0),AP97=0),
        IF(AT97=TRUNC(AW97/2,0),
            "-1, Déficit y dejo la capacidad media",
            IF(AND(AT97&gt;TRUNC(AW97/2,0), AT97&gt;AP97),
                "1, Déficit y eliminé déficit",
                IF(AND(AT97&lt;TRUNC(AW97/2,0), AT97&lt;AP97),
                    "0, Déficit y no elimine déficit",
                    "-2, Déficit y resultado fue bueno")
            )
        ),
        IF(AND(AT97&gt;TRUNC(AW97/2,0), AT97&gt;AP97),
            "1, no había déficit, pero resultado fue mejor",
            IF(AND(AT97&lt;TRUNC(AW97/2,0),AT97&lt;AP97),
                "0, no había déficit y la dejo con déficit",
                IF(AT97=TRUNC(AW97/2,0),
                    "-1, no había déficit y dejo la capacidad media",
                    "-2,no había déficit y resultado fue bueno")
            )
        )
    ),
    IF(AU97&lt;0,
        IF(AP97&gt;TRUNC(AW97/2,0),
            IF(AT97=TRUNC(AW97/2,0),
                "-1, Superávit y deje la capacidad media",
                IF(AND(AT97&gt;TRUNC(AW97/2,0), AT97&gt;=AP97),
                    "0, Superávit y no eliminé superávit",
                    IF(AND(AT97&lt;TRUNC(AW97/2,0),AT97&lt;AP97),
                        "1, Superávit y eliminé superávit",
                        "-2, Superávit y resultado fue bueno"
                    )
                )
            ),
            IF(AND(AP97&lt;=TRUNC(AW97/2,0),AP97&gt;=0),
                IF(AT97=TRUNC(AW97/2,0),
                    "-1, no había superávit y deje la capacidad media",
                    IF(AND(AT97&gt;TRUNC(AW97/2,0), AT97&gt;=AP97),
                        "0, no había superávit, y la deje con superávit",
                        IF(AND(AT97&lt;TRUNC(AW97/2,0),AT97&lt;AP97),
                            "1, no había superávit, pero el resultado fue mejor",
                            "-2, no había superávit y resultado fue bueno"
                        )
                    )
                )
            )
        )
    )
)</f>
        <v>0, Superávit y no eliminé superávit</v>
      </c>
      <c r="BB97" s="30" t="s">
        <v>211</v>
      </c>
      <c r="BC97" s="30">
        <v>11</v>
      </c>
      <c r="BD97" s="31">
        <v>12.222222222222221</v>
      </c>
      <c r="BE97" s="29">
        <v>13</v>
      </c>
      <c r="BF97" s="29">
        <v>12</v>
      </c>
      <c r="BG97" s="30">
        <v>11</v>
      </c>
      <c r="BH97" s="30">
        <v>-0.61856740376708086</v>
      </c>
      <c r="BI97" s="26" t="s">
        <v>321</v>
      </c>
      <c r="BJ97" s="30">
        <v>15</v>
      </c>
      <c r="BK97" s="29">
        <f>IF(BE97&gt;=BC97,1,0)</f>
        <v>1</v>
      </c>
      <c r="BL97" s="29">
        <f>BE97-BC97</f>
        <v>2</v>
      </c>
      <c r="BM97" s="29" t="str">
        <f>IF(BH97&gt;0,
    IF(OR(BC97&lt;=TRUNC(BJ97/2,0),BC97=0),
        IF(BG97=TRUNC(BJ97/2,0),
            "-1, Déficit y dejo la capacidad media",
            IF(AND(BG97&gt;TRUNC(BJ97/2,0), BG97&gt;BC97),
                "1, Déficit y eliminé déficit",
                IF(AND(BG97&lt;TRUNC(BJ97/2,0), BG97&lt;BC97),
                    "0, Déficit y no elimine déficit",
                    "-2, Déficit y resultado fue bueno")
            )
        ),
        IF(AND(BG97&gt;TRUNC(BJ97/2,0), BG97&gt;BC97),
            "1, no había déficit, pero resultado fue mejor",
            IF(AND(BG97&lt;TRUNC(BJ97/2,0),BG97&lt;BC97),
                "0, no había déficit y la dejo con déficit",
                IF(BG97=TRUNC(BJ97/2,0),
                    "-1, no había déficit y dejo la capacidad media",
                    "-2,no había déficit y resultado fue bueno")
            )
        )
    ),
    IF(BH97&lt;0,
        IF(BC97&gt;TRUNC(BJ97/2,0),
            IF(BG97=TRUNC(BJ97/2,0),
                "-1, Superávit y deje la capacidad media",
                IF(AND(BG97&gt;TRUNC(BJ97/2,0), BG97&gt;=BC97),
                    "0, Superávit y no eliminé superávit",
                    IF(AND(BG97&lt;TRUNC(BJ97/2,0),BG97&lt;BC97),
                        "1, Superávit y eliminé superávit",
                        "-2, Superávit y resultado fue bueno"
                    )
                )
            ),
            IF(AND(BC97&lt;=TRUNC(BJ97/2,0),BC97&gt;=0),
                IF(BG97=TRUNC(BJ97/2,0),
                    "-1, no había superávit y deje la capacidad media",
                    IF(AND(BG97&gt;TRUNC(BJ97/2,0), BG97&gt;=BC97),
                        "0, no había superávit, y la deje con superávit",
                        IF(AND(BG97&lt;TRUNC(BJ97/2,0),BG97&lt;BC97),
                            "1, no había superávit, pero el resultado fue mejor",
                            "-2, no había superávit y resultado fue bueno"
                        )
                    )
                )
            )
        )
    )
)</f>
        <v>0, Superávit y no eliminé superávit</v>
      </c>
      <c r="BO97" s="30" t="s">
        <v>211</v>
      </c>
      <c r="BP97" s="30">
        <v>15</v>
      </c>
      <c r="BQ97" s="31">
        <v>11</v>
      </c>
      <c r="BR97" s="29">
        <v>15</v>
      </c>
      <c r="BS97" s="29">
        <v>15</v>
      </c>
      <c r="BT97" s="30">
        <v>5</v>
      </c>
      <c r="BU97" s="30">
        <v>-0.61856740376708086</v>
      </c>
      <c r="BV97" s="26" t="s">
        <v>321</v>
      </c>
      <c r="BW97" s="30">
        <v>15</v>
      </c>
      <c r="BX97" s="29">
        <f>IF(BR97&gt;=BP97,1,0)</f>
        <v>1</v>
      </c>
      <c r="BY97" s="29">
        <f>BR97-BP97</f>
        <v>0</v>
      </c>
      <c r="BZ97" s="29" t="str">
        <f>IF(BU97&gt;0,
    IF(OR(BP97&lt;=TRUNC(BW97/2,0),BP97=0),
        IF(BT97=TRUNC(BW97/2,0),
            "-1, Déficit y dejo la capacidad media",
            IF(AND(BT97&gt;TRUNC(BW97/2,0), BT97&gt;BP97),
                "1, Déficit y eliminé déficit",
                IF(AND(BT97&lt;TRUNC(BW97/2,0), BT97&lt;BP97),
                    "0, Déficit y no elimine déficit",
                    "-2, Déficit y resultado fue bueno")
            )
        ),
        IF(AND(BT97&gt;TRUNC(BW97/2,0), BT97&gt;BP97),
            "1, no había déficit, pero resultado fue mejor",
            IF(AND(BT97&lt;TRUNC(BW97/2,0),BT97&lt;BP97),
                "0, no había déficit y la dejo con déficit",
                IF(BT97=TRUNC(BW97/2,0),
                    "-1, no había déficit y dejo la capacidad media",
                    "-2,no había déficit y resultado fue bueno")
            )
        )
    ),
    IF(BU97&lt;0,
        IF(BP97&gt;TRUNC(BW97/2,0),
            IF(BT97=TRUNC(BW97/2,0),
                "-1, Superávit y deje la capacidad media",
                IF(AND(BT97&gt;TRUNC(BW97/2,0), BT97&gt;=BP97),
                    "0, Superávit y no eliminé superávit",
                    IF(AND(BT97&lt;TRUNC(BW97/2,0),BT97&lt;BP97),
                        "1, Superávit y eliminé superávit",
                        "-2, Superávit y resultado fue bueno"
                    )
                )
            ),
            IF(AND(BP97&lt;=TRUNC(BW97/2,0),BP97&gt;=0),
                IF(BT97=TRUNC(BW97/2,0),
                    "-1, no había superávit y deje la capacidad media",
                    IF(AND(BT97&gt;TRUNC(BW97/2,0), BT97&gt;=BP97),
                        "0, no había superávit, y la deje con superávit",
                        IF(AND(BT97&lt;TRUNC(BW97/2,0),BT97&lt;BP97),
                            "1, no había superávit, pero el resultado fue mejor",
                            "-2, no había superávit y resultado fue bueno"
                        )
                    )
                )
            )
        )
    )
)</f>
        <v>1, Superávit y eliminé superávit</v>
      </c>
      <c r="CB97" s="30" t="s">
        <v>211</v>
      </c>
      <c r="CC97" s="30">
        <v>14</v>
      </c>
      <c r="CD97" s="31">
        <v>12.555555555555555</v>
      </c>
      <c r="CE97" s="31">
        <v>13</v>
      </c>
      <c r="CF97" s="29">
        <v>12</v>
      </c>
      <c r="CG97" s="30">
        <v>13</v>
      </c>
      <c r="CH97" s="30">
        <v>-0.61856740376708086</v>
      </c>
      <c r="CI97" s="26" t="s">
        <v>321</v>
      </c>
      <c r="CJ97" s="30">
        <v>15</v>
      </c>
      <c r="CK97" s="29">
        <f>IF(CE97&gt;=CC97,1,0)</f>
        <v>0</v>
      </c>
      <c r="CL97" s="32">
        <f>CE97-CC97</f>
        <v>-1</v>
      </c>
      <c r="CM97" s="32" t="str">
        <f>IF(CH97&gt;0,
    IF(OR(CC97&lt;=TRUNC(CJ97/2,0),CC97=0),
        IF(CG97=TRUNC(CJ97/2,0),
            "-1, Déficit y dejo la capacidad media",
            IF(AND(CG97&gt;TRUNC(CJ97/2,0), CG97&gt;CC97),
                "1, Déficit y eliminé déficit",
                IF(AND(CG97&lt;TRUNC(CJ97/2,0), CG97&lt;CC97),
                    "0, Déficit y no elimine déficit",
                    "-2, Déficit y resultado fue bueno")
            )
        ),
        IF(AND(CG97&gt;TRUNC(CJ97/2,0), CG97&gt;CC97),
            "1, no había déficit, pero resultado fue mejor",
            IF(AND(CG97&lt;TRUNC(CJ97/2,0),CG97&lt;CC97),
                "0, no había déficit y la dejo con déficit",
                IF(CG97=TRUNC(CJ97/2,0),
                    "-1, no había déficit y dejo la capacidad media",
                    "-2,no había déficit y resultado fue bueno")
            )
        )
    ),
    IF(CH97&lt;0,
        IF(CC97&gt;TRUNC(CJ97/2,0),
            IF(CG97=TRUNC(CJ97/2,0),
                "-1, Superávit y deje la capacidad media",
                IF(AND(CG97&gt;TRUNC(CJ97/2,0), CG97&gt;=CC97),
                    "0, Superávit y no eliminé superávit",
                    IF(AND(CG97&lt;TRUNC(CJ97/2,0),CG97&lt;CC97),
                        "1, Superávit y eliminé superávit",
                        "-2, Superávit y resultado fue bueno"
                    )
                )
            ),
            IF(AND(CC97&lt;=TRUNC(CJ97/2,0),CC97&gt;=0),
                IF(CG97=TRUNC(CJ97/2,0),
                    "-1, no había superávit y deje la capacidad media",
                    IF(AND(CG97&gt;TRUNC(CJ97/2,0), CG97&gt;=CC97),
                        "0, no había superávit, y la deje con superávit",
                        IF(AND(CG97&lt;TRUNC(CJ97/2,0),CG97&lt;CC97),
                            "1, no había superávit, pero el resultado fue mejor",
                            "-2, no había superávit y resultado fue bueno"
                        )
                    )
                )
            )
        )
    )
)</f>
        <v>-2, Superávit y resultado fue bueno</v>
      </c>
      <c r="CO97" s="30" t="s">
        <v>211</v>
      </c>
      <c r="CP97" s="30">
        <v>9</v>
      </c>
      <c r="CQ97" s="31">
        <v>11.888888888888889</v>
      </c>
      <c r="CR97" s="31">
        <v>10</v>
      </c>
      <c r="CS97" s="29">
        <v>10</v>
      </c>
      <c r="CT97" s="30">
        <v>6</v>
      </c>
      <c r="CU97" s="30">
        <v>-0.61856740376708086</v>
      </c>
      <c r="CV97" s="26" t="s">
        <v>321</v>
      </c>
      <c r="CW97" s="30">
        <v>15</v>
      </c>
      <c r="CX97" s="29">
        <f t="shared" si="5"/>
        <v>1</v>
      </c>
      <c r="CY97" s="32">
        <f>CR97-CP97</f>
        <v>1</v>
      </c>
      <c r="CZ97" s="32" t="str">
        <f>IF(CU97&gt;0,
    IF(OR(CP97&lt;=TRUNC(CW97/2,0),CP97=0),
        IF(CT97=TRUNC(CW97/2,0),
            "-1, Déficit y dejo la capacidad media",
            IF(AND(CT97&gt;TRUNC(CW97/2,0), CT97&gt;CP97),
                "1, Déficit y eliminé déficit",
                IF(AND(CT97&lt;TRUNC(CW97/2,0), CT97&lt;CP97),
                    "0, Déficit y no elimine déficit",
                    "-2, Déficit y resultado fue bueno")
            )
        ),
        IF(AND(CT97&gt;TRUNC(CW97/2,0), CT97&gt;CP97),
            "1, no había déficit, pero resultado fue mejor",
            IF(AND(CT97&lt;TRUNC(CW97/2,0),CT97&lt;CP97),
                "0, no había déficit y la dejo con déficit",
                IF(CT97=TRUNC(CW97/2,0),
                    "-1, no había déficit y dejo la capacidad media",
                    "-2,no había déficit y resultado fue bueno")
            )
        )
    ),
    IF(CU97&lt;0,
        IF(CP97&gt;TRUNC(CW97/2,0),
            IF(CT97=TRUNC(CW97/2,0),
                "-1, Superávit y deje la capacidad media",
                IF(AND(CT97&gt;TRUNC(CW97/2,0), CT97&gt;=CP97),
                    "0, Superávit y no eliminé superávit",
                    IF(AND(CT97&lt;TRUNC(CW97/2,0),CT97&lt;CP97),
                        "1, Superávit y eliminé superávit",
                        "-2, Superávit y resultado fue bueno"
                    )
                )
            ),
            IF(AND(CP97&lt;=TRUNC(CW97/2,0),CP97&gt;=0),
                IF(CT97=TRUNC(CW97/2,0),
                    "-1, no había superávit y deje la capacidad media",
                    IF(AND(CT97&gt;TRUNC(CW97/2,0), CT97&gt;=CP97),
                        "0, no había superávit, y la deje con superávit",
                        IF(AND(CT97&lt;TRUNC(CW97/2,0),CT97&lt;CP97),
                            "1, no había superávit, pero el resultado fue mejor",
                            "-2, no había superávit y resultado fue bueno"
                        )
                    )
                )
            )
        )
    )
)</f>
        <v>1, Superávit y eliminé superávit</v>
      </c>
    </row>
    <row r="98" spans="2:106" ht="14.25" customHeight="1" x14ac:dyDescent="0.3">
      <c r="B98" s="30" t="s">
        <v>225</v>
      </c>
      <c r="C98" s="30">
        <v>10</v>
      </c>
      <c r="D98" s="31">
        <v>8.3333333333333339</v>
      </c>
      <c r="E98" s="29">
        <v>9</v>
      </c>
      <c r="F98" s="29">
        <v>10</v>
      </c>
      <c r="G98" s="30">
        <v>8</v>
      </c>
      <c r="H98" s="30">
        <v>-0.76845746918237878</v>
      </c>
      <c r="I98" s="26" t="s">
        <v>323</v>
      </c>
      <c r="J98" s="30">
        <v>11</v>
      </c>
      <c r="K98" s="29">
        <f>IF(E98&gt;=C98,1,0)</f>
        <v>0</v>
      </c>
      <c r="L98" s="29">
        <f>E98-C98</f>
        <v>-1</v>
      </c>
      <c r="M98" s="29" t="str">
        <f>IF(H98&gt;0,
    IF(OR(C98&lt;=TRUNC(J98/2,0),C98=0),
        IF(G98=TRUNC(J98/2,0),
            "-1, Déficit y dejo la capacidad media",
            IF(AND(G98&gt;TRUNC(J98/2,0), G98&gt;C98),
                "1, Déficit y eliminé déficit",
                IF(AND(G98&lt;TRUNC(J98/2,0), G98&lt;C98),
                    "0, Déficit y no elimine déficit",
                    "-2, Déficit y resultado fue bueno")
            )
        ),
        IF(AND(G98&gt;TRUNC(J98/2,0), G98&gt;C98),
            "1, no había déficit, pero resultado fue mejor",
            IF(AND(G98&lt;TRUNC(J98/2,0),G98&lt;C98),
                "0, no había déficit y la dejo con déficit",
                IF(G98=TRUNC(J98/2,0),
                    "-1, no había déficit y dejo la capacidad media",
                    "-2,no había déficit y resultado fue bueno")
            )
        )
    ),
    IF(H98&lt;0,
        IF(C98&gt;TRUNC(J98/2,0),
            IF(G98=TRUNC(J98/2,0),
                "-1, Superávit y deje la capacidad media",
                IF(AND(G98&gt;TRUNC(J98/2,0), G98&gt;=C98),
                    "0, Superávit y no eliminé superávit",
                    IF(AND(G98&lt;TRUNC(J98/2,0),G98&lt;C98),
                        "1, Superávit y eliminé superávit",
                        "-2, Superávit y resultado fue bueno"
                    )
                )
            ),
            IF(AND(C98&lt;=TRUNC(J98/2,0),C98&gt;=0),
                IF(G98=TRUNC(J98/2,0),
                    "-1, no había superávit y deje la capacidad media",
                    IF(AND(G98&gt;TRUNC(J98/2,0), G98&gt;=C98),
                        "0, no había superávit, y la deje con superávit",
                        IF(AND(G98&lt;TRUNC(J98/2,0),G98&lt;C98),
                            "1, no había superávit, pero el resultado fue mejor",
                            "-2, no había superávit y resultado fue bueno"
                        )
                    )
                )
            )
        )
    )
)</f>
        <v>-2, Superávit y resultado fue bueno</v>
      </c>
      <c r="O98" s="30" t="s">
        <v>225</v>
      </c>
      <c r="P98" s="29">
        <v>10</v>
      </c>
      <c r="Q98" s="31">
        <v>7.333333333333333</v>
      </c>
      <c r="R98" s="29">
        <v>7</v>
      </c>
      <c r="S98" s="29">
        <v>9</v>
      </c>
      <c r="T98" s="29">
        <v>9</v>
      </c>
      <c r="U98" s="30">
        <v>-0.76845746918237878</v>
      </c>
      <c r="V98" s="26" t="s">
        <v>323</v>
      </c>
      <c r="W98" s="30">
        <v>11</v>
      </c>
      <c r="X98" s="29">
        <f>IF(R98&gt;=P98,1,0)</f>
        <v>0</v>
      </c>
      <c r="Y98" s="29">
        <f>R98-P98</f>
        <v>-3</v>
      </c>
      <c r="Z98" s="29" t="str">
        <f>IF(U98&gt;0,
    IF(OR(P98&lt;=TRUNC(W98/2,0),P98=0),
        IF(T98=TRUNC(W98/2,0),
            "-1, Déficit y dejo la capacidad media",
            IF(AND(T98&gt;TRUNC(W98/2,0), T98&gt;P98),
                "1, Déficit y eliminé déficit",
                IF(AND(T98&lt;TRUNC(W98/2,0), T98&lt;P98),
                    "0, Déficit y no elimine déficit",
                    "-2, Déficit y resultado fue bueno")
            )
        ),
        IF(AND(T98&gt;TRUNC(W98/2,0), T98&gt;P98),
            "1, no había déficit, pero resultado fue mejor",
            IF(AND(T98&lt;TRUNC(W98/2,0),T98&lt;P98),
                "0, no había déficit y la dejo con déficit",
                IF(T98=TRUNC(W98/2,0),
                    "-1, no había déficit y dejo la capacidad media",
                    "-2,no había déficit y resultado fue bueno")
            )
        )
    ),
    IF(U98&lt;0,
        IF(P98&gt;TRUNC(W98/2,0),
            IF(T98=TRUNC(W98/2,0),
                "-1, Superávit y deje la capacidad media",
                IF(AND(T98&gt;TRUNC(W98/2,0), T98&gt;=P98),
                    "0, Superávit y no eliminé superávit",
                    IF(AND(T98&lt;TRUNC(W98/2,0),T98&lt;P98),
                        "1, Superávit y eliminé superávit",
                        "-2, Superávit y resultado fue bueno"
                    )
                )
            ),
            IF(AND(P98&lt;=TRUNC(W98/2,0),P98&gt;=0),
                IF(T98=TRUNC(W98/2,0),
                    "-1, no había superávit y deje la capacidad media",
                    IF(AND(T98&gt;TRUNC(W98/2,0), T98&gt;=P98),
                        "0, no había superávit, y la deje con superávit",
                        IF(AND(T98&lt;TRUNC(W98/2,0),T98&lt;P98),
                            "1, no había superávit, pero el resultado fue mejor",
                            "-2, no había superávit y resultado fue bueno"
                        )
                    )
                )
            )
        )
    )
)</f>
        <v>-2, Superávit y resultado fue bueno</v>
      </c>
      <c r="AB98" s="30" t="s">
        <v>225</v>
      </c>
      <c r="AC98" s="29">
        <v>7</v>
      </c>
      <c r="AD98" s="31">
        <v>7.8888888888888893</v>
      </c>
      <c r="AE98" s="29">
        <v>8</v>
      </c>
      <c r="AF98" s="29">
        <v>9</v>
      </c>
      <c r="AG98" s="29">
        <v>7</v>
      </c>
      <c r="AH98" s="30">
        <v>-0.76845746918237878</v>
      </c>
      <c r="AI98" s="26" t="s">
        <v>323</v>
      </c>
      <c r="AJ98" s="30">
        <v>11</v>
      </c>
      <c r="AK98" s="29">
        <f>IF(AE98&gt;=AC98,1,0)</f>
        <v>1</v>
      </c>
      <c r="AL98" s="29">
        <f>AE98-AC98</f>
        <v>1</v>
      </c>
      <c r="AM98" s="29" t="str">
        <f>IF(AH98&gt;0,
    IF(OR(AC98&lt;=TRUNC(AJ98/2,0),AC98=0),
        IF(AG98=TRUNC(AJ98/2,0),
            "-1, Déficit y dejo la capacidad media",
            IF(AND(AG98&gt;TRUNC(AJ98/2,0), AG98&gt;AC98),
                "1, Déficit y eliminé déficit",
                IF(AND(AG98&lt;TRUNC(AJ98/2,0), AG98&lt;AC98),
                    "0, Déficit y no elimine déficit",
                    "-2, Déficit y resultado fue bueno")
            )
        ),
        IF(AND(AG98&gt;TRUNC(AJ98/2,0), AG98&gt;AC98),
            "1, no había déficit, pero resultado fue mejor",
            IF(AND(AG98&lt;TRUNC(AJ98/2,0),AG98&lt;AC98),
                "0, no había déficit y la dejo con déficit",
                IF(AG98=TRUNC(AJ98/2,0),
                    "-1, no había déficit y dejo la capacidad media",
                    "-2,no había déficit y resultado fue bueno")
            )
        )
    ),
    IF(AH98&lt;0,
        IF(AC98&gt;TRUNC(AJ98/2,0),
            IF(AG98=TRUNC(AJ98/2,0),
                "-1, Superávit y deje la capacidad media",
                IF(AND(AG98&gt;TRUNC(AJ98/2,0), AG98&gt;=AC98),
                    "0, Superávit y no eliminé superávit",
                    IF(AND(AG98&lt;TRUNC(AJ98/2,0),AG98&lt;AC98),
                        "1, Superávit y eliminé superávit",
                        "-2, Superávit y resultado fue bueno"
                    )
                )
            ),
            IF(AND(AC98&lt;=TRUNC(AJ98/2,0),AC98&gt;=0),
                IF(AG98=TRUNC(AJ98/2,0),
                    "-1, no había superávit y deje la capacidad media",
                    IF(AND(AG98&gt;TRUNC(AJ98/2,0), AG98&gt;=AC98),
                        "0, no había superávit, y la deje con superávit",
                        IF(AND(AG98&lt;TRUNC(AJ98/2,0),AG98&lt;AC98),
                            "1, no había superávit, pero el resultado fue mejor",
                            "-2, no había superávit y resultado fue bueno"
                        )
                    )
                )
            )
        )
    )
)</f>
        <v>0, Superávit y no eliminé superávit</v>
      </c>
      <c r="AO98" s="30" t="s">
        <v>225</v>
      </c>
      <c r="AP98" s="30">
        <v>8</v>
      </c>
      <c r="AQ98" s="31">
        <v>6.8888888888888893</v>
      </c>
      <c r="AR98" s="29">
        <v>9</v>
      </c>
      <c r="AS98" s="29">
        <v>9</v>
      </c>
      <c r="AT98" s="30">
        <v>3</v>
      </c>
      <c r="AU98" s="30">
        <v>-0.76845746918237878</v>
      </c>
      <c r="AV98" s="26" t="s">
        <v>323</v>
      </c>
      <c r="AW98" s="30">
        <v>11</v>
      </c>
      <c r="AX98" s="29">
        <f>IF(AR98&gt;=AP98,1,0)</f>
        <v>1</v>
      </c>
      <c r="AY98" s="29">
        <f>AR98-AP98</f>
        <v>1</v>
      </c>
      <c r="AZ98" s="29" t="str">
        <f>IF(AU98&gt;0,
    IF(OR(AP98&lt;=TRUNC(AW98/2,0),AP98=0),
        IF(AT98=TRUNC(AW98/2,0),
            "-1, Déficit y dejo la capacidad media",
            IF(AND(AT98&gt;TRUNC(AW98/2,0), AT98&gt;AP98),
                "1, Déficit y eliminé déficit",
                IF(AND(AT98&lt;TRUNC(AW98/2,0), AT98&lt;AP98),
                    "0, Déficit y no elimine déficit",
                    "-2, Déficit y resultado fue bueno")
            )
        ),
        IF(AND(AT98&gt;TRUNC(AW98/2,0), AT98&gt;AP98),
            "1, no había déficit, pero resultado fue mejor",
            IF(AND(AT98&lt;TRUNC(AW98/2,0),AT98&lt;AP98),
                "0, no había déficit y la dejo con déficit",
                IF(AT98=TRUNC(AW98/2,0),
                    "-1, no había déficit y dejo la capacidad media",
                    "-2,no había déficit y resultado fue bueno")
            )
        )
    ),
    IF(AU98&lt;0,
        IF(AP98&gt;TRUNC(AW98/2,0),
            IF(AT98=TRUNC(AW98/2,0),
                "-1, Superávit y deje la capacidad media",
                IF(AND(AT98&gt;TRUNC(AW98/2,0), AT98&gt;=AP98),
                    "0, Superávit y no eliminé superávit",
                    IF(AND(AT98&lt;TRUNC(AW98/2,0),AT98&lt;AP98),
                        "1, Superávit y eliminé superávit",
                        "-2, Superávit y resultado fue bueno"
                    )
                )
            ),
            IF(AND(AP98&lt;=TRUNC(AW98/2,0),AP98&gt;=0),
                IF(AT98=TRUNC(AW98/2,0),
                    "-1, no había superávit y deje la capacidad media",
                    IF(AND(AT98&gt;TRUNC(AW98/2,0), AT98&gt;=AP98),
                        "0, no había superávit, y la deje con superávit",
                        IF(AND(AT98&lt;TRUNC(AW98/2,0),AT98&lt;AP98),
                            "1, no había superávit, pero el resultado fue mejor",
                            "-2, no había superávit y resultado fue bueno"
                        )
                    )
                )
            )
        )
    )
)</f>
        <v>1, Superávit y eliminé superávit</v>
      </c>
      <c r="BB98" s="30" t="s">
        <v>225</v>
      </c>
      <c r="BC98" s="30">
        <v>6</v>
      </c>
      <c r="BD98" s="31">
        <v>8.2222222222222214</v>
      </c>
      <c r="BE98" s="29">
        <v>6</v>
      </c>
      <c r="BF98" s="29">
        <v>7</v>
      </c>
      <c r="BG98" s="30">
        <v>6</v>
      </c>
      <c r="BH98" s="30">
        <v>-0.76845746918237878</v>
      </c>
      <c r="BI98" s="26" t="s">
        <v>323</v>
      </c>
      <c r="BJ98" s="30">
        <v>11</v>
      </c>
      <c r="BK98" s="29">
        <f>IF(BE98&gt;=BC98,1,0)</f>
        <v>1</v>
      </c>
      <c r="BL98" s="29">
        <f>BE98-BC98</f>
        <v>0</v>
      </c>
      <c r="BM98" s="29" t="str">
        <f>IF(BH98&gt;0,
    IF(OR(BC98&lt;=TRUNC(BJ98/2,0),BC98=0),
        IF(BG98=TRUNC(BJ98/2,0),
            "-1, Déficit y dejo la capacidad media",
            IF(AND(BG98&gt;TRUNC(BJ98/2,0), BG98&gt;BC98),
                "1, Déficit y eliminé déficit",
                IF(AND(BG98&lt;TRUNC(BJ98/2,0), BG98&lt;BC98),
                    "0, Déficit y no elimine déficit",
                    "-2, Déficit y resultado fue bueno")
            )
        ),
        IF(AND(BG98&gt;TRUNC(BJ98/2,0), BG98&gt;BC98),
            "1, no había déficit, pero resultado fue mejor",
            IF(AND(BG98&lt;TRUNC(BJ98/2,0),BG98&lt;BC98),
                "0, no había déficit y la dejo con déficit",
                IF(BG98=TRUNC(BJ98/2,0),
                    "-1, no había déficit y dejo la capacidad media",
                    "-2,no había déficit y resultado fue bueno")
            )
        )
    ),
    IF(BH98&lt;0,
        IF(BC98&gt;TRUNC(BJ98/2,0),
            IF(BG98=TRUNC(BJ98/2,0),
                "-1, Superávit y deje la capacidad media",
                IF(AND(BG98&gt;TRUNC(BJ98/2,0), BG98&gt;=BC98),
                    "0, Superávit y no eliminé superávit",
                    IF(AND(BG98&lt;TRUNC(BJ98/2,0),BG98&lt;BC98),
                        "1, Superávit y eliminé superávit",
                        "-2, Superávit y resultado fue bueno"
                    )
                )
            ),
            IF(AND(BC98&lt;=TRUNC(BJ98/2,0),BC98&gt;=0),
                IF(BG98=TRUNC(BJ98/2,0),
                    "-1, no había superávit y deje la capacidad media",
                    IF(AND(BG98&gt;TRUNC(BJ98/2,0), BG98&gt;=BC98),
                        "0, no había superávit, y la deje con superávit",
                        IF(AND(BG98&lt;TRUNC(BJ98/2,0),BG98&lt;BC98),
                            "1, no había superávit, pero el resultado fue mejor",
                            "-2, no había superávit y resultado fue bueno"
                        )
                    )
                )
            )
        )
    )
)</f>
        <v>0, Superávit y no eliminé superávit</v>
      </c>
      <c r="BO98" s="30" t="s">
        <v>225</v>
      </c>
      <c r="BP98" s="30">
        <v>10</v>
      </c>
      <c r="BQ98" s="31">
        <v>6.7777777777777777</v>
      </c>
      <c r="BR98" s="29">
        <v>10</v>
      </c>
      <c r="BS98" s="29">
        <v>10</v>
      </c>
      <c r="BT98" s="30">
        <v>9</v>
      </c>
      <c r="BU98" s="30">
        <v>-0.76845746918237878</v>
      </c>
      <c r="BV98" s="26" t="s">
        <v>323</v>
      </c>
      <c r="BW98" s="30">
        <v>11</v>
      </c>
      <c r="BX98" s="29">
        <f>IF(BR98&gt;=BP98,1,0)</f>
        <v>1</v>
      </c>
      <c r="BY98" s="29">
        <f>BR98-BP98</f>
        <v>0</v>
      </c>
      <c r="BZ98" s="29" t="str">
        <f>IF(BU98&gt;0,
    IF(OR(BP98&lt;=TRUNC(BW98/2,0),BP98=0),
        IF(BT98=TRUNC(BW98/2,0),
            "-1, Déficit y dejo la capacidad media",
            IF(AND(BT98&gt;TRUNC(BW98/2,0), BT98&gt;BP98),
                "1, Déficit y eliminé déficit",
                IF(AND(BT98&lt;TRUNC(BW98/2,0), BT98&lt;BP98),
                    "0, Déficit y no elimine déficit",
                    "-2, Déficit y resultado fue bueno")
            )
        ),
        IF(AND(BT98&gt;TRUNC(BW98/2,0), BT98&gt;BP98),
            "1, no había déficit, pero resultado fue mejor",
            IF(AND(BT98&lt;TRUNC(BW98/2,0),BT98&lt;BP98),
                "0, no había déficit y la dejo con déficit",
                IF(BT98=TRUNC(BW98/2,0),
                    "-1, no había déficit y dejo la capacidad media",
                    "-2,no había déficit y resultado fue bueno")
            )
        )
    ),
    IF(BU98&lt;0,
        IF(BP98&gt;TRUNC(BW98/2,0),
            IF(BT98=TRUNC(BW98/2,0),
                "-1, Superávit y deje la capacidad media",
                IF(AND(BT98&gt;TRUNC(BW98/2,0), BT98&gt;=BP98),
                    "0, Superávit y no eliminé superávit",
                    IF(AND(BT98&lt;TRUNC(BW98/2,0),BT98&lt;BP98),
                        "1, Superávit y eliminé superávit",
                        "-2, Superávit y resultado fue bueno"
                    )
                )
            ),
            IF(AND(BP98&lt;=TRUNC(BW98/2,0),BP98&gt;=0),
                IF(BT98=TRUNC(BW98/2,0),
                    "-1, no había superávit y deje la capacidad media",
                    IF(AND(BT98&gt;TRUNC(BW98/2,0), BT98&gt;=BP98),
                        "0, no había superávit, y la deje con superávit",
                        IF(AND(BT98&lt;TRUNC(BW98/2,0),BT98&lt;BP98),
                            "1, no había superávit, pero el resultado fue mejor",
                            "-2, no había superávit y resultado fue bueno"
                        )
                    )
                )
            )
        )
    )
)</f>
        <v>-2, Superávit y resultado fue bueno</v>
      </c>
      <c r="CB98" s="30" t="s">
        <v>225</v>
      </c>
      <c r="CC98" s="30">
        <v>6</v>
      </c>
      <c r="CD98" s="31">
        <v>8.3333333333333339</v>
      </c>
      <c r="CE98" s="31">
        <v>5</v>
      </c>
      <c r="CF98" s="29">
        <v>6</v>
      </c>
      <c r="CG98" s="30">
        <v>7</v>
      </c>
      <c r="CH98" s="30">
        <v>-0.76845746918237878</v>
      </c>
      <c r="CI98" s="26" t="s">
        <v>323</v>
      </c>
      <c r="CJ98" s="30">
        <v>11</v>
      </c>
      <c r="CK98" s="29">
        <f>IF(CE98&gt;=CC98,1,0)</f>
        <v>0</v>
      </c>
      <c r="CL98" s="32">
        <f>CE98-CC98</f>
        <v>-1</v>
      </c>
      <c r="CM98" s="32" t="str">
        <f>IF(CH98&gt;0,
    IF(OR(CC98&lt;=TRUNC(CJ98/2,0),CC98=0),
        IF(CG98=TRUNC(CJ98/2,0),
            "-1, Déficit y dejo la capacidad media",
            IF(AND(CG98&gt;TRUNC(CJ98/2,0), CG98&gt;CC98),
                "1, Déficit y eliminé déficit",
                IF(AND(CG98&lt;TRUNC(CJ98/2,0), CG98&lt;CC98),
                    "0, Déficit y no elimine déficit",
                    "-2, Déficit y resultado fue bueno")
            )
        ),
        IF(AND(CG98&gt;TRUNC(CJ98/2,0), CG98&gt;CC98),
            "1, no había déficit, pero resultado fue mejor",
            IF(AND(CG98&lt;TRUNC(CJ98/2,0),CG98&lt;CC98),
                "0, no había déficit y la dejo con déficit",
                IF(CG98=TRUNC(CJ98/2,0),
                    "-1, no había déficit y dejo la capacidad media",
                    "-2,no había déficit y resultado fue bueno")
            )
        )
    ),
    IF(CH98&lt;0,
        IF(CC98&gt;TRUNC(CJ98/2,0),
            IF(CG98=TRUNC(CJ98/2,0),
                "-1, Superávit y deje la capacidad media",
                IF(AND(CG98&gt;TRUNC(CJ98/2,0), CG98&gt;=CC98),
                    "0, Superávit y no eliminé superávit",
                    IF(AND(CG98&lt;TRUNC(CJ98/2,0),CG98&lt;CC98),
                        "1, Superávit y eliminé superávit",
                        "-2, Superávit y resultado fue bueno"
                    )
                )
            ),
            IF(AND(CC98&lt;=TRUNC(CJ98/2,0),CC98&gt;=0),
                IF(CG98=TRUNC(CJ98/2,0),
                    "-1, no había superávit y deje la capacidad media",
                    IF(AND(CG98&gt;TRUNC(CJ98/2,0), CG98&gt;=CC98),
                        "0, no había superávit, y la deje con superávit",
                        IF(AND(CG98&lt;TRUNC(CJ98/2,0),CG98&lt;CC98),
                            "1, no había superávit, pero el resultado fue mejor",
                            "-2, no había superávit y resultado fue bueno"
                        )
                    )
                )
            )
        )
    )
)</f>
        <v>0, Superávit y no eliminé superávit</v>
      </c>
      <c r="CO98" s="30" t="s">
        <v>225</v>
      </c>
      <c r="CP98" s="30">
        <v>5</v>
      </c>
      <c r="CQ98" s="31">
        <v>8.3333333333333339</v>
      </c>
      <c r="CR98" s="31">
        <v>3</v>
      </c>
      <c r="CS98" s="29">
        <v>3</v>
      </c>
      <c r="CT98" s="30">
        <v>5</v>
      </c>
      <c r="CU98" s="30">
        <v>-0.76845746918237878</v>
      </c>
      <c r="CV98" s="26" t="s">
        <v>323</v>
      </c>
      <c r="CW98" s="30">
        <v>11</v>
      </c>
      <c r="CX98" s="29">
        <f t="shared" si="5"/>
        <v>0</v>
      </c>
      <c r="CY98" s="32">
        <f>CR98-CP98</f>
        <v>-2</v>
      </c>
      <c r="CZ98" s="32" t="str">
        <f>IF(CU98&gt;0,
    IF(OR(CP98&lt;=TRUNC(CW98/2,0),CP98=0),
        IF(CT98=TRUNC(CW98/2,0),
            "-1, Déficit y dejo la capacidad media",
            IF(AND(CT98&gt;TRUNC(CW98/2,0), CT98&gt;CP98),
                "1, Déficit y eliminé déficit",
                IF(AND(CT98&lt;TRUNC(CW98/2,0), CT98&lt;CP98),
                    "0, Déficit y no elimine déficit",
                    "-2, Déficit y resultado fue bueno")
            )
        ),
        IF(AND(CT98&gt;TRUNC(CW98/2,0), CT98&gt;CP98),
            "1, no había déficit, pero resultado fue mejor",
            IF(AND(CT98&lt;TRUNC(CW98/2,0),CT98&lt;CP98),
                "0, no había déficit y la dejo con déficit",
                IF(CT98=TRUNC(CW98/2,0),
                    "-1, no había déficit y dejo la capacidad media",
                    "-2,no había déficit y resultado fue bueno")
            )
        )
    ),
    IF(CU98&lt;0,
        IF(CP98&gt;TRUNC(CW98/2,0),
            IF(CT98=TRUNC(CW98/2,0),
                "-1, Superávit y deje la capacidad media",
                IF(AND(CT98&gt;TRUNC(CW98/2,0), CT98&gt;=CP98),
                    "0, Superávit y no eliminé superávit",
                    IF(AND(CT98&lt;TRUNC(CW98/2,0),CT98&lt;CP98),
                        "1, Superávit y eliminé superávit",
                        "-2, Superávit y resultado fue bueno"
                    )
                )
            ),
            IF(AND(CP98&lt;=TRUNC(CW98/2,0),CP98&gt;=0),
                IF(CT98=TRUNC(CW98/2,0),
                    "-1, no había superávit y deje la capacidad media",
                    IF(AND(CT98&gt;TRUNC(CW98/2,0), CT98&gt;=CP98),
                        "0, no había superávit, y la deje con superávit",
                        IF(AND(CT98&lt;TRUNC(CW98/2,0),CT98&lt;CP98),
                            "1, no había superávit, pero el resultado fue mejor",
                            "-2, no había superávit y resultado fue bueno"
                        )
                    )
                )
            )
        )
    )
)</f>
        <v>-1, no había superávit y deje la capacidad media</v>
      </c>
    </row>
    <row r="99" spans="2:106" ht="14.25" customHeight="1" x14ac:dyDescent="0.3">
      <c r="B99" s="30" t="s">
        <v>228</v>
      </c>
      <c r="C99" s="30">
        <v>20</v>
      </c>
      <c r="D99" s="31">
        <v>20</v>
      </c>
      <c r="E99" s="29">
        <v>20</v>
      </c>
      <c r="F99" s="29">
        <v>20</v>
      </c>
      <c r="G99" s="30">
        <v>20</v>
      </c>
      <c r="H99" s="30">
        <v>-0.82357176289964173</v>
      </c>
      <c r="I99" s="26" t="s">
        <v>331</v>
      </c>
      <c r="J99" s="30">
        <v>23</v>
      </c>
      <c r="K99" s="29">
        <f>IF(E99&gt;=C99,1,0)</f>
        <v>1</v>
      </c>
      <c r="L99" s="29">
        <f>E99-C99</f>
        <v>0</v>
      </c>
      <c r="M99" s="29" t="str">
        <f>IF(H99&gt;0,
    IF(OR(C99&lt;=TRUNC(J99/2,0),C99=0),
        IF(G99=TRUNC(J99/2,0),
            "-1, Déficit y dejo la capacidad media",
            IF(AND(G99&gt;TRUNC(J99/2,0), G99&gt;C99),
                "1, Déficit y eliminé déficit",
                IF(AND(G99&lt;TRUNC(J99/2,0), G99&lt;C99),
                    "0, Déficit y no elimine déficit",
                    "-2, Déficit y resultado fue bueno")
            )
        ),
        IF(AND(G99&gt;TRUNC(J99/2,0), G99&gt;C99),
            "1, no había déficit, pero resultado fue mejor",
            IF(AND(G99&lt;TRUNC(J99/2,0),G99&lt;C99),
                "0, no había déficit y la dejo con déficit",
                IF(G99=TRUNC(J99/2,0),
                    "-1, no había déficit y dejo la capacidad media",
                    "-2,no había déficit y resultado fue bueno")
            )
        )
    ),
    IF(H99&lt;0,
        IF(C99&gt;TRUNC(J99/2,0),
            IF(G99=TRUNC(J99/2,0),
                "-1, Superávit y deje la capacidad media",
                IF(AND(G99&gt;TRUNC(J99/2,0), G99&gt;=C99),
                    "0, Superávit y no eliminé superávit",
                    IF(AND(G99&lt;TRUNC(J99/2,0),G99&lt;C99),
                        "1, Superávit y eliminé superávit",
                        "-2, Superávit y resultado fue bueno"
                    )
                )
            ),
            IF(AND(C99&lt;=TRUNC(J99/2,0),C99&gt;=0),
                IF(G99=TRUNC(J99/2,0),
                    "-1, no había superávit y deje la capacidad media",
                    IF(AND(G99&gt;TRUNC(J99/2,0), G99&gt;=C99),
                        "0, no había superávit, y la deje con superávit",
                        IF(AND(G99&lt;TRUNC(J99/2,0),G99&lt;C99),
                            "1, no había superávit, pero el resultado fue mejor",
                            "-2, no había superávit y resultado fue bueno"
                        )
                    )
                )
            )
        )
    )
)</f>
        <v>0, Superávit y no eliminé superávit</v>
      </c>
      <c r="O99" s="30" t="s">
        <v>228</v>
      </c>
      <c r="P99" s="29">
        <v>18</v>
      </c>
      <c r="Q99" s="31">
        <v>19.111111111111111</v>
      </c>
      <c r="R99" s="29">
        <v>23</v>
      </c>
      <c r="S99" s="29">
        <v>23</v>
      </c>
      <c r="T99" s="29">
        <v>19</v>
      </c>
      <c r="U99" s="30">
        <v>-0.82357176289964173</v>
      </c>
      <c r="V99" s="26" t="s">
        <v>331</v>
      </c>
      <c r="W99" s="30">
        <v>23</v>
      </c>
      <c r="X99" s="29">
        <f>IF(R99&gt;=P99,1,0)</f>
        <v>1</v>
      </c>
      <c r="Y99" s="29">
        <f>R99-P99</f>
        <v>5</v>
      </c>
      <c r="Z99" s="29" t="str">
        <f>IF(U99&gt;0,
    IF(OR(P99&lt;=TRUNC(W99/2,0),P99=0),
        IF(T99=TRUNC(W99/2,0),
            "-1, Déficit y dejo la capacidad media",
            IF(AND(T99&gt;TRUNC(W99/2,0), T99&gt;P99),
                "1, Déficit y eliminé déficit",
                IF(AND(T99&lt;TRUNC(W99/2,0), T99&lt;P99),
                    "0, Déficit y no elimine déficit",
                    "-2, Déficit y resultado fue bueno")
            )
        ),
        IF(AND(T99&gt;TRUNC(W99/2,0), T99&gt;P99),
            "1, no había déficit, pero resultado fue mejor",
            IF(AND(T99&lt;TRUNC(W99/2,0),T99&lt;P99),
                "0, no había déficit y la dejo con déficit",
                IF(T99=TRUNC(W99/2,0),
                    "-1, no había déficit y dejo la capacidad media",
                    "-2,no había déficit y resultado fue bueno")
            )
        )
    ),
    IF(U99&lt;0,
        IF(P99&gt;TRUNC(W99/2,0),
            IF(T99=TRUNC(W99/2,0),
                "-1, Superávit y deje la capacidad media",
                IF(AND(T99&gt;TRUNC(W99/2,0), T99&gt;=P99),
                    "0, Superávit y no eliminé superávit",
                    IF(AND(T99&lt;TRUNC(W99/2,0),T99&lt;P99),
                        "1, Superávit y eliminé superávit",
                        "-2, Superávit y resultado fue bueno"
                    )
                )
            ),
            IF(AND(P99&lt;=TRUNC(W99/2,0),P99&gt;=0),
                IF(T99=TRUNC(W99/2,0),
                    "-1, no había superávit y deje la capacidad media",
                    IF(AND(T99&gt;TRUNC(W99/2,0), T99&gt;=P99),
                        "0, no había superávit, y la deje con superávit",
                        IF(AND(T99&lt;TRUNC(W99/2,0),T99&lt;P99),
                            "1, no había superávit, pero el resultado fue mejor",
                            "-2, no había superávit y resultado fue bueno"
                        )
                    )
                )
            )
        )
    )
)</f>
        <v>0, Superávit y no eliminé superávit</v>
      </c>
      <c r="AB99" s="30" t="s">
        <v>228</v>
      </c>
      <c r="AC99" s="29">
        <v>9</v>
      </c>
      <c r="AD99" s="31">
        <v>19</v>
      </c>
      <c r="AE99" s="29">
        <v>20</v>
      </c>
      <c r="AF99" s="29">
        <v>10</v>
      </c>
      <c r="AG99" s="29">
        <v>9</v>
      </c>
      <c r="AH99" s="30">
        <v>-0.82357176289964173</v>
      </c>
      <c r="AI99" s="26" t="s">
        <v>331</v>
      </c>
      <c r="AJ99" s="30">
        <v>23</v>
      </c>
      <c r="AK99" s="29">
        <f>IF(AE99&gt;=AC99,1,0)</f>
        <v>1</v>
      </c>
      <c r="AL99" s="29">
        <f>AE99-AC99</f>
        <v>11</v>
      </c>
      <c r="AM99" s="29" t="str">
        <f>IF(AH99&gt;0,
    IF(OR(AC99&lt;=TRUNC(AJ99/2,0),AC99=0),
        IF(AG99=TRUNC(AJ99/2,0),
            "-1, Déficit y dejo la capacidad media",
            IF(AND(AG99&gt;TRUNC(AJ99/2,0), AG99&gt;AC99),
                "1, Déficit y eliminé déficit",
                IF(AND(AG99&lt;TRUNC(AJ99/2,0), AG99&lt;AC99),
                    "0, Déficit y no elimine déficit",
                    "-2, Déficit y resultado fue bueno")
            )
        ),
        IF(AND(AG99&gt;TRUNC(AJ99/2,0), AG99&gt;AC99),
            "1, no había déficit, pero resultado fue mejor",
            IF(AND(AG99&lt;TRUNC(AJ99/2,0),AG99&lt;AC99),
                "0, no había déficit y la dejo con déficit",
                IF(AG99=TRUNC(AJ99/2,0),
                    "-1, no había déficit y dejo la capacidad media",
                    "-2,no había déficit y resultado fue bueno")
            )
        )
    ),
    IF(AH99&lt;0,
        IF(AC99&gt;TRUNC(AJ99/2,0),
            IF(AG99=TRUNC(AJ99/2,0),
                "-1, Superávit y deje la capacidad media",
                IF(AND(AG99&gt;TRUNC(AJ99/2,0), AG99&gt;=AC99),
                    "0, Superávit y no eliminé superávit",
                    IF(AND(AG99&lt;TRUNC(AJ99/2,0),AG99&lt;AC99),
                        "1, Superávit y eliminé superávit",
                        "-2, Superávit y resultado fue bueno"
                    )
                )
            ),
            IF(AND(AC99&lt;=TRUNC(AJ99/2,0),AC99&gt;=0),
                IF(AG99=TRUNC(AJ99/2,0),
                    "-1, no había superávit y deje la capacidad media",
                    IF(AND(AG99&gt;TRUNC(AJ99/2,0), AG99&gt;=AC99),
                        "0, no había superávit, y la deje con superávit",
                        IF(AND(AG99&lt;TRUNC(AJ99/2,0),AG99&lt;AC99),
                            "1, no había superávit, pero el resultado fue mejor",
                            "-2, no había superávit y resultado fue bueno"
                        )
                    )
                )
            )
        )
    )
)</f>
        <v>-2, no había superávit y resultado fue bueno</v>
      </c>
      <c r="AO99" s="30" t="s">
        <v>228</v>
      </c>
      <c r="AP99" s="30">
        <v>17</v>
      </c>
      <c r="AQ99" s="31">
        <v>20</v>
      </c>
      <c r="AR99" s="29">
        <v>21</v>
      </c>
      <c r="AS99" s="29">
        <v>22</v>
      </c>
      <c r="AT99" s="30">
        <v>21</v>
      </c>
      <c r="AU99" s="30">
        <v>-0.82357176289964173</v>
      </c>
      <c r="AV99" s="26" t="s">
        <v>331</v>
      </c>
      <c r="AW99" s="30">
        <v>23</v>
      </c>
      <c r="AX99" s="29">
        <f>IF(AR99&gt;=AP99,1,0)</f>
        <v>1</v>
      </c>
      <c r="AY99" s="29">
        <f>AR99-AP99</f>
        <v>4</v>
      </c>
      <c r="AZ99" s="29" t="str">
        <f>IF(AU99&gt;0,
    IF(OR(AP99&lt;=TRUNC(AW99/2,0),AP99=0),
        IF(AT99=TRUNC(AW99/2,0),
            "-1, Déficit y dejo la capacidad media",
            IF(AND(AT99&gt;TRUNC(AW99/2,0), AT99&gt;AP99),
                "1, Déficit y eliminé déficit",
                IF(AND(AT99&lt;TRUNC(AW99/2,0), AT99&lt;AP99),
                    "0, Déficit y no elimine déficit",
                    "-2, Déficit y resultado fue bueno")
            )
        ),
        IF(AND(AT99&gt;TRUNC(AW99/2,0), AT99&gt;AP99),
            "1, no había déficit, pero resultado fue mejor",
            IF(AND(AT99&lt;TRUNC(AW99/2,0),AT99&lt;AP99),
                "0, no había déficit y la dejo con déficit",
                IF(AT99=TRUNC(AW99/2,0),
                    "-1, no había déficit y dejo la capacidad media",
                    "-2,no había déficit y resultado fue bueno")
            )
        )
    ),
    IF(AU99&lt;0,
        IF(AP99&gt;TRUNC(AW99/2,0),
            IF(AT99=TRUNC(AW99/2,0),
                "-1, Superávit y deje la capacidad media",
                IF(AND(AT99&gt;TRUNC(AW99/2,0), AT99&gt;=AP99),
                    "0, Superávit y no eliminé superávit",
                    IF(AND(AT99&lt;TRUNC(AW99/2,0),AT99&lt;AP99),
                        "1, Superávit y eliminé superávit",
                        "-2, Superávit y resultado fue bueno"
                    )
                )
            ),
            IF(AND(AP99&lt;=TRUNC(AW99/2,0),AP99&gt;=0),
                IF(AT99=TRUNC(AW99/2,0),
                    "-1, no había superávit y deje la capacidad media",
                    IF(AND(AT99&gt;TRUNC(AW99/2,0), AT99&gt;=AP99),
                        "0, no había superávit, y la deje con superávit",
                        IF(AND(AT99&lt;TRUNC(AW99/2,0),AT99&lt;AP99),
                            "1, no había superávit, pero el resultado fue mejor",
                            "-2, no había superávit y resultado fue bueno"
                        )
                    )
                )
            )
        )
    )
)</f>
        <v>0, Superávit y no eliminé superávit</v>
      </c>
      <c r="BB99" s="30" t="s">
        <v>228</v>
      </c>
      <c r="BC99" s="30">
        <v>18</v>
      </c>
      <c r="BD99" s="31">
        <v>18.666666666666668</v>
      </c>
      <c r="BE99" s="29">
        <v>18</v>
      </c>
      <c r="BF99" s="29">
        <v>20</v>
      </c>
      <c r="BG99" s="30">
        <v>20</v>
      </c>
      <c r="BH99" s="30">
        <v>-0.82357176289964173</v>
      </c>
      <c r="BI99" s="26" t="s">
        <v>331</v>
      </c>
      <c r="BJ99" s="30">
        <v>23</v>
      </c>
      <c r="BK99" s="29">
        <f>IF(BE99&gt;=BC99,1,0)</f>
        <v>1</v>
      </c>
      <c r="BL99" s="29">
        <f>BE99-BC99</f>
        <v>0</v>
      </c>
      <c r="BM99" s="29" t="str">
        <f>IF(BH99&gt;0,
    IF(OR(BC99&lt;=TRUNC(BJ99/2,0),BC99=0),
        IF(BG99=TRUNC(BJ99/2,0),
            "-1, Déficit y dejo la capacidad media",
            IF(AND(BG99&gt;TRUNC(BJ99/2,0), BG99&gt;BC99),
                "1, Déficit y eliminé déficit",
                IF(AND(BG99&lt;TRUNC(BJ99/2,0), BG99&lt;BC99),
                    "0, Déficit y no elimine déficit",
                    "-2, Déficit y resultado fue bueno")
            )
        ),
        IF(AND(BG99&gt;TRUNC(BJ99/2,0), BG99&gt;BC99),
            "1, no había déficit, pero resultado fue mejor",
            IF(AND(BG99&lt;TRUNC(BJ99/2,0),BG99&lt;BC99),
                "0, no había déficit y la dejo con déficit",
                IF(BG99=TRUNC(BJ99/2,0),
                    "-1, no había déficit y dejo la capacidad media",
                    "-2,no había déficit y resultado fue bueno")
            )
        )
    ),
    IF(BH99&lt;0,
        IF(BC99&gt;TRUNC(BJ99/2,0),
            IF(BG99=TRUNC(BJ99/2,0),
                "-1, Superávit y deje la capacidad media",
                IF(AND(BG99&gt;TRUNC(BJ99/2,0), BG99&gt;=BC99),
                    "0, Superávit y no eliminé superávit",
                    IF(AND(BG99&lt;TRUNC(BJ99/2,0),BG99&lt;BC99),
                        "1, Superávit y eliminé superávit",
                        "-2, Superávit y resultado fue bueno"
                    )
                )
            ),
            IF(AND(BC99&lt;=TRUNC(BJ99/2,0),BC99&gt;=0),
                IF(BG99=TRUNC(BJ99/2,0),
                    "-1, no había superávit y deje la capacidad media",
                    IF(AND(BG99&gt;TRUNC(BJ99/2,0), BG99&gt;=BC99),
                        "0, no había superávit, y la deje con superávit",
                        IF(AND(BG99&lt;TRUNC(BJ99/2,0),BG99&lt;BC99),
                            "1, no había superávit, pero el resultado fue mejor",
                            "-2, no había superávit y resultado fue bueno"
                        )
                    )
                )
            )
        )
    )
)</f>
        <v>0, Superávit y no eliminé superávit</v>
      </c>
      <c r="BO99" s="30" t="s">
        <v>228</v>
      </c>
      <c r="BP99" s="30">
        <v>20</v>
      </c>
      <c r="BQ99" s="31">
        <v>21.222222222222221</v>
      </c>
      <c r="BR99" s="29">
        <v>22</v>
      </c>
      <c r="BS99" s="29">
        <v>23</v>
      </c>
      <c r="BT99" s="30">
        <v>20</v>
      </c>
      <c r="BU99" s="30">
        <v>-0.82357176289964173</v>
      </c>
      <c r="BV99" s="26" t="s">
        <v>331</v>
      </c>
      <c r="BW99" s="30">
        <v>23</v>
      </c>
      <c r="BX99" s="29">
        <f>IF(BR99&gt;=BP99,1,0)</f>
        <v>1</v>
      </c>
      <c r="BY99" s="29">
        <f>BR99-BP99</f>
        <v>2</v>
      </c>
      <c r="BZ99" s="29" t="str">
        <f>IF(BU99&gt;0,
    IF(OR(BP99&lt;=TRUNC(BW99/2,0),BP99=0),
        IF(BT99=TRUNC(BW99/2,0),
            "-1, Déficit y dejo la capacidad media",
            IF(AND(BT99&gt;TRUNC(BW99/2,0), BT99&gt;BP99),
                "1, Déficit y eliminé déficit",
                IF(AND(BT99&lt;TRUNC(BW99/2,0), BT99&lt;BP99),
                    "0, Déficit y no elimine déficit",
                    "-2, Déficit y resultado fue bueno")
            )
        ),
        IF(AND(BT99&gt;TRUNC(BW99/2,0), BT99&gt;BP99),
            "1, no había déficit, pero resultado fue mejor",
            IF(AND(BT99&lt;TRUNC(BW99/2,0),BT99&lt;BP99),
                "0, no había déficit y la dejo con déficit",
                IF(BT99=TRUNC(BW99/2,0),
                    "-1, no había déficit y dejo la capacidad media",
                    "-2,no había déficit y resultado fue bueno")
            )
        )
    ),
    IF(BU99&lt;0,
        IF(BP99&gt;TRUNC(BW99/2,0),
            IF(BT99=TRUNC(BW99/2,0),
                "-1, Superávit y deje la capacidad media",
                IF(AND(BT99&gt;TRUNC(BW99/2,0), BT99&gt;=BP99),
                    "0, Superávit y no eliminé superávit",
                    IF(AND(BT99&lt;TRUNC(BW99/2,0),BT99&lt;BP99),
                        "1, Superávit y eliminé superávit",
                        "-2, Superávit y resultado fue bueno"
                    )
                )
            ),
            IF(AND(BP99&lt;=TRUNC(BW99/2,0),BP99&gt;=0),
                IF(BT99=TRUNC(BW99/2,0),
                    "-1, no había superávit y deje la capacidad media",
                    IF(AND(BT99&gt;TRUNC(BW99/2,0), BT99&gt;=BP99),
                        "0, no había superávit, y la deje con superávit",
                        IF(AND(BT99&lt;TRUNC(BW99/2,0),BT99&lt;BP99),
                            "1, no había superávit, pero el resultado fue mejor",
                            "-2, no había superávit y resultado fue bueno"
                        )
                    )
                )
            )
        )
    )
)</f>
        <v>0, Superávit y no eliminé superávit</v>
      </c>
      <c r="CB99" s="30" t="s">
        <v>228</v>
      </c>
      <c r="CC99" s="30">
        <v>11</v>
      </c>
      <c r="CD99" s="31">
        <v>16.111111111111111</v>
      </c>
      <c r="CE99" s="31">
        <v>10</v>
      </c>
      <c r="CF99" s="29">
        <v>10</v>
      </c>
      <c r="CG99" s="30">
        <v>11</v>
      </c>
      <c r="CH99" s="30">
        <v>-0.82357176289964173</v>
      </c>
      <c r="CI99" s="26" t="s">
        <v>331</v>
      </c>
      <c r="CJ99" s="30">
        <v>23</v>
      </c>
      <c r="CK99" s="29">
        <f>IF(CE99&gt;=CC99,1,0)</f>
        <v>0</v>
      </c>
      <c r="CL99" s="32">
        <f>CE99-CC99</f>
        <v>-1</v>
      </c>
      <c r="CM99" s="32" t="str">
        <f>IF(CH99&gt;0,
    IF(OR(CC99&lt;=TRUNC(CJ99/2,0),CC99=0),
        IF(CG99=TRUNC(CJ99/2,0),
            "-1, Déficit y dejo la capacidad media",
            IF(AND(CG99&gt;TRUNC(CJ99/2,0), CG99&gt;CC99),
                "1, Déficit y eliminé déficit",
                IF(AND(CG99&lt;TRUNC(CJ99/2,0), CG99&lt;CC99),
                    "0, Déficit y no elimine déficit",
                    "-2, Déficit y resultado fue bueno")
            )
        ),
        IF(AND(CG99&gt;TRUNC(CJ99/2,0), CG99&gt;CC99),
            "1, no había déficit, pero resultado fue mejor",
            IF(AND(CG99&lt;TRUNC(CJ99/2,0),CG99&lt;CC99),
                "0, no había déficit y la dejo con déficit",
                IF(CG99=TRUNC(CJ99/2,0),
                    "-1, no había déficit y dejo la capacidad media",
                    "-2,no había déficit y resultado fue bueno")
            )
        )
    ),
    IF(CH99&lt;0,
        IF(CC99&gt;TRUNC(CJ99/2,0),
            IF(CG99=TRUNC(CJ99/2,0),
                "-1, Superávit y deje la capacidad media",
                IF(AND(CG99&gt;TRUNC(CJ99/2,0), CG99&gt;=CC99),
                    "0, Superávit y no eliminé superávit",
                    IF(AND(CG99&lt;TRUNC(CJ99/2,0),CG99&lt;CC99),
                        "1, Superávit y eliminé superávit",
                        "-2, Superávit y resultado fue bueno"
                    )
                )
            ),
            IF(AND(CC99&lt;=TRUNC(CJ99/2,0),CC99&gt;=0),
                IF(CG99=TRUNC(CJ99/2,0),
                    "-1, no había superávit y deje la capacidad media",
                    IF(AND(CG99&gt;TRUNC(CJ99/2,0), CG99&gt;=CC99),
                        "0, no había superávit, y la deje con superávit",
                        IF(AND(CG99&lt;TRUNC(CJ99/2,0),CG99&lt;CC99),
                            "1, no había superávit, pero el resultado fue mejor",
                            "-2, no había superávit y resultado fue bueno"
                        )
                    )
                )
            )
        )
    )
)</f>
        <v>-1, no había superávit y deje la capacidad media</v>
      </c>
      <c r="CO99" s="30" t="s">
        <v>228</v>
      </c>
      <c r="CP99" s="30">
        <v>15</v>
      </c>
      <c r="CQ99" s="31">
        <v>20</v>
      </c>
      <c r="CR99" s="31">
        <v>16</v>
      </c>
      <c r="CS99" s="29">
        <v>19</v>
      </c>
      <c r="CT99" s="30">
        <v>21</v>
      </c>
      <c r="CU99" s="30">
        <v>-0.82357176289964173</v>
      </c>
      <c r="CV99" s="26" t="s">
        <v>331</v>
      </c>
      <c r="CW99" s="30">
        <v>23</v>
      </c>
      <c r="CX99" s="29">
        <f t="shared" si="5"/>
        <v>1</v>
      </c>
      <c r="CY99" s="32">
        <f>CR99-CP99</f>
        <v>1</v>
      </c>
      <c r="CZ99" s="32" t="str">
        <f>IF(CU99&gt;0,
    IF(OR(CP99&lt;=TRUNC(CW99/2,0),CP99=0),
        IF(CT99=TRUNC(CW99/2,0),
            "-1, Déficit y dejo la capacidad media",
            IF(AND(CT99&gt;TRUNC(CW99/2,0), CT99&gt;CP99),
                "1, Déficit y eliminé déficit",
                IF(AND(CT99&lt;TRUNC(CW99/2,0), CT99&lt;CP99),
                    "0, Déficit y no elimine déficit",
                    "-2, Déficit y resultado fue bueno")
            )
        ),
        IF(AND(CT99&gt;TRUNC(CW99/2,0), CT99&gt;CP99),
            "1, no había déficit, pero resultado fue mejor",
            IF(AND(CT99&lt;TRUNC(CW99/2,0),CT99&lt;CP99),
                "0, no había déficit y la dejo con déficit",
                IF(CT99=TRUNC(CW99/2,0),
                    "-1, no había déficit y dejo la capacidad media",
                    "-2,no había déficit y resultado fue bueno")
            )
        )
    ),
    IF(CU99&lt;0,
        IF(CP99&gt;TRUNC(CW99/2,0),
            IF(CT99=TRUNC(CW99/2,0),
                "-1, Superávit y deje la capacidad media",
                IF(AND(CT99&gt;TRUNC(CW99/2,0), CT99&gt;=CP99),
                    "0, Superávit y no eliminé superávit",
                    IF(AND(CT99&lt;TRUNC(CW99/2,0),CT99&lt;CP99),
                        "1, Superávit y eliminé superávit",
                        "-2, Superávit y resultado fue bueno"
                    )
                )
            ),
            IF(AND(CP99&lt;=TRUNC(CW99/2,0),CP99&gt;=0),
                IF(CT99=TRUNC(CW99/2,0),
                    "-1, no había superávit y deje la capacidad media",
                    IF(AND(CT99&gt;TRUNC(CW99/2,0), CT99&gt;=CP99),
                        "0, no había superávit, y la deje con superávit",
                        IF(AND(CT99&lt;TRUNC(CW99/2,0),CT99&lt;CP99),
                            "1, no había superávit, pero el resultado fue mejor",
                            "-2, no había superávit y resultado fue bueno"
                        )
                    )
                )
            )
        )
    )
)</f>
        <v>0, Superávit y no eliminé superávit</v>
      </c>
    </row>
    <row r="100" spans="2:106" ht="14.25" customHeight="1" x14ac:dyDescent="0.3">
      <c r="B100" s="30" t="s">
        <v>217</v>
      </c>
      <c r="C100" s="30">
        <v>6</v>
      </c>
      <c r="D100" s="31">
        <v>7.8888888888888893</v>
      </c>
      <c r="E100" s="29">
        <v>6</v>
      </c>
      <c r="F100" s="29">
        <v>6</v>
      </c>
      <c r="G100" s="30">
        <v>6</v>
      </c>
      <c r="H100" s="30">
        <v>-0.83166677317607873</v>
      </c>
      <c r="I100" s="26" t="s">
        <v>323</v>
      </c>
      <c r="J100" s="30">
        <v>11</v>
      </c>
      <c r="K100" s="29">
        <f>IF(E100&gt;=C100,1,0)</f>
        <v>1</v>
      </c>
      <c r="L100" s="29">
        <f>E100-C100</f>
        <v>0</v>
      </c>
      <c r="M100" s="29" t="str">
        <f>IF(H100&gt;0,
    IF(OR(C100&lt;=TRUNC(J100/2,0),C100=0),
        IF(G100=TRUNC(J100/2,0),
            "-1, Déficit y dejo la capacidad media",
            IF(AND(G100&gt;TRUNC(J100/2,0), G100&gt;C100),
                "1, Déficit y eliminé déficit",
                IF(AND(G100&lt;TRUNC(J100/2,0), G100&lt;C100),
                    "0, Déficit y no elimine déficit",
                    "-2, Déficit y resultado fue bueno")
            )
        ),
        IF(AND(G100&gt;TRUNC(J100/2,0), G100&gt;C100),
            "1, no había déficit, pero resultado fue mejor",
            IF(AND(G100&lt;TRUNC(J100/2,0),G100&lt;C100),
                "0, no había déficit y la dejo con déficit",
                IF(G100=TRUNC(J100/2,0),
                    "-1, no había déficit y dejo la capacidad media",
                    "-2,no había déficit y resultado fue bueno")
            )
        )
    ),
    IF(H100&lt;0,
        IF(C100&gt;TRUNC(J100/2,0),
            IF(G100=TRUNC(J100/2,0),
                "-1, Superávit y deje la capacidad media",
                IF(AND(G100&gt;TRUNC(J100/2,0), G100&gt;=C100),
                    "0, Superávit y no eliminé superávit",
                    IF(AND(G100&lt;TRUNC(J100/2,0),G100&lt;C100),
                        "1, Superávit y eliminé superávit",
                        "-2, Superávit y resultado fue bueno"
                    )
                )
            ),
            IF(AND(C100&lt;=TRUNC(J100/2,0),C100&gt;=0),
                IF(G100=TRUNC(J100/2,0),
                    "-1, no había superávit y deje la capacidad media",
                    IF(AND(G100&gt;TRUNC(J100/2,0), G100&gt;=C100),
                        "0, no había superávit, y la deje con superávit",
                        IF(AND(G100&lt;TRUNC(J100/2,0),G100&lt;C100),
                            "1, no había superávit, pero el resultado fue mejor",
                            "-2, no había superávit y resultado fue bueno"
                        )
                    )
                )
            )
        )
    )
)</f>
        <v>0, Superávit y no eliminé superávit</v>
      </c>
      <c r="O100" s="30" t="s">
        <v>217</v>
      </c>
      <c r="P100" s="29">
        <v>2</v>
      </c>
      <c r="Q100" s="31">
        <v>7.7777777777777777</v>
      </c>
      <c r="R100" s="29">
        <v>2</v>
      </c>
      <c r="S100" s="29">
        <v>1</v>
      </c>
      <c r="T100" s="29">
        <v>3</v>
      </c>
      <c r="U100" s="30">
        <v>-0.83166677317607873</v>
      </c>
      <c r="V100" s="26" t="s">
        <v>323</v>
      </c>
      <c r="W100" s="30">
        <v>11</v>
      </c>
      <c r="X100" s="29">
        <f>IF(R100&gt;=P100,1,0)</f>
        <v>1</v>
      </c>
      <c r="Y100" s="29">
        <f>R100-P100</f>
        <v>0</v>
      </c>
      <c r="Z100" s="29" t="str">
        <f>IF(U100&gt;0,
    IF(OR(P100&lt;=TRUNC(W100/2,0),P100=0),
        IF(T100=TRUNC(W100/2,0),
            "-1, Déficit y dejo la capacidad media",
            IF(AND(T100&gt;TRUNC(W100/2,0), T100&gt;P100),
                "1, Déficit y eliminé déficit",
                IF(AND(T100&lt;TRUNC(W100/2,0), T100&lt;P100),
                    "0, Déficit y no elimine déficit",
                    "-2, Déficit y resultado fue bueno")
            )
        ),
        IF(AND(T100&gt;TRUNC(W100/2,0), T100&gt;P100),
            "1, no había déficit, pero resultado fue mejor",
            IF(AND(T100&lt;TRUNC(W100/2,0),T100&lt;P100),
                "0, no había déficit y la dejo con déficit",
                IF(T100=TRUNC(W100/2,0),
                    "-1, no había déficit y dejo la capacidad media",
                    "-2,no había déficit y resultado fue bueno")
            )
        )
    ),
    IF(U100&lt;0,
        IF(P100&gt;TRUNC(W100/2,0),
            IF(T100=TRUNC(W100/2,0),
                "-1, Superávit y deje la capacidad media",
                IF(AND(T100&gt;TRUNC(W100/2,0), T100&gt;=P100),
                    "0, Superávit y no eliminé superávit",
                    IF(AND(T100&lt;TRUNC(W100/2,0),T100&lt;P100),
                        "1, Superávit y eliminé superávit",
                        "-2, Superávit y resultado fue bueno"
                    )
                )
            ),
            IF(AND(P100&lt;=TRUNC(W100/2,0),P100&gt;=0),
                IF(T100=TRUNC(W100/2,0),
                    "-1, no había superávit y deje la capacidad media",
                    IF(AND(T100&gt;TRUNC(W100/2,0), T100&gt;=P100),
                        "0, no había superávit, y la deje con superávit",
                        IF(AND(T100&lt;TRUNC(W100/2,0),T100&lt;P100),
                            "1, no había superávit, pero el resultado fue mejor",
                            "-2, no había superávit y resultado fue bueno"
                        )
                    )
                )
            )
        )
    )
)</f>
        <v>-2, no había superávit y resultado fue bueno</v>
      </c>
      <c r="AB100" s="30" t="s">
        <v>217</v>
      </c>
      <c r="AC100" s="29">
        <v>8</v>
      </c>
      <c r="AD100" s="31">
        <v>8.4444444444444446</v>
      </c>
      <c r="AE100" s="29">
        <v>8</v>
      </c>
      <c r="AF100" s="29">
        <v>5</v>
      </c>
      <c r="AG100" s="29">
        <v>8</v>
      </c>
      <c r="AH100" s="30">
        <v>-0.83166677317607873</v>
      </c>
      <c r="AI100" s="26" t="s">
        <v>323</v>
      </c>
      <c r="AJ100" s="30">
        <v>11</v>
      </c>
      <c r="AK100" s="29">
        <f>IF(AE100&gt;=AC100,1,0)</f>
        <v>1</v>
      </c>
      <c r="AL100" s="29">
        <f>AE100-AC100</f>
        <v>0</v>
      </c>
      <c r="AM100" s="29" t="str">
        <f>IF(AH100&gt;0,
    IF(OR(AC100&lt;=TRUNC(AJ100/2,0),AC100=0),
        IF(AG100=TRUNC(AJ100/2,0),
            "-1, Déficit y dejo la capacidad media",
            IF(AND(AG100&gt;TRUNC(AJ100/2,0), AG100&gt;AC100),
                "1, Déficit y eliminé déficit",
                IF(AND(AG100&lt;TRUNC(AJ100/2,0), AG100&lt;AC100),
                    "0, Déficit y no elimine déficit",
                    "-2, Déficit y resultado fue bueno")
            )
        ),
        IF(AND(AG100&gt;TRUNC(AJ100/2,0), AG100&gt;AC100),
            "1, no había déficit, pero resultado fue mejor",
            IF(AND(AG100&lt;TRUNC(AJ100/2,0),AG100&lt;AC100),
                "0, no había déficit y la dejo con déficit",
                IF(AG100=TRUNC(AJ100/2,0),
                    "-1, no había déficit y dejo la capacidad media",
                    "-2,no había déficit y resultado fue bueno")
            )
        )
    ),
    IF(AH100&lt;0,
        IF(AC100&gt;TRUNC(AJ100/2,0),
            IF(AG100=TRUNC(AJ100/2,0),
                "-1, Superávit y deje la capacidad media",
                IF(AND(AG100&gt;TRUNC(AJ100/2,0), AG100&gt;=AC100),
                    "0, Superávit y no eliminé superávit",
                    IF(AND(AG100&lt;TRUNC(AJ100/2,0),AG100&lt;AC100),
                        "1, Superávit y eliminé superávit",
                        "-2, Superávit y resultado fue bueno"
                    )
                )
            ),
            IF(AND(AC100&lt;=TRUNC(AJ100/2,0),AC100&gt;=0),
                IF(AG100=TRUNC(AJ100/2,0),
                    "-1, no había superávit y deje la capacidad media",
                    IF(AND(AG100&gt;TRUNC(AJ100/2,0), AG100&gt;=AC100),
                        "0, no había superávit, y la deje con superávit",
                        IF(AND(AG100&lt;TRUNC(AJ100/2,0),AG100&lt;AC100),
                            "1, no había superávit, pero el resultado fue mejor",
                            "-2, no había superávit y resultado fue bueno"
                        )
                    )
                )
            )
        )
    )
)</f>
        <v>0, Superávit y no eliminé superávit</v>
      </c>
      <c r="AO100" s="30" t="s">
        <v>217</v>
      </c>
      <c r="AP100" s="30">
        <v>9</v>
      </c>
      <c r="AQ100" s="31">
        <v>6.333333333333333</v>
      </c>
      <c r="AR100" s="29">
        <v>5</v>
      </c>
      <c r="AS100" s="29">
        <v>5</v>
      </c>
      <c r="AT100" s="30">
        <v>9</v>
      </c>
      <c r="AU100" s="30">
        <v>-0.83166677317607873</v>
      </c>
      <c r="AV100" s="26" t="s">
        <v>323</v>
      </c>
      <c r="AW100" s="30">
        <v>11</v>
      </c>
      <c r="AX100" s="29">
        <f>IF(AR100&gt;=AP100,1,0)</f>
        <v>0</v>
      </c>
      <c r="AY100" s="29">
        <f>AR100-AP100</f>
        <v>-4</v>
      </c>
      <c r="AZ100" s="29" t="str">
        <f>IF(AU100&gt;0,
    IF(OR(AP100&lt;=TRUNC(AW100/2,0),AP100=0),
        IF(AT100=TRUNC(AW100/2,0),
            "-1, Déficit y dejo la capacidad media",
            IF(AND(AT100&gt;TRUNC(AW100/2,0), AT100&gt;AP100),
                "1, Déficit y eliminé déficit",
                IF(AND(AT100&lt;TRUNC(AW100/2,0), AT100&lt;AP100),
                    "0, Déficit y no elimine déficit",
                    "-2, Déficit y resultado fue bueno")
            )
        ),
        IF(AND(AT100&gt;TRUNC(AW100/2,0), AT100&gt;AP100),
            "1, no había déficit, pero resultado fue mejor",
            IF(AND(AT100&lt;TRUNC(AW100/2,0),AT100&lt;AP100),
                "0, no había déficit y la dejo con déficit",
                IF(AT100=TRUNC(AW100/2,0),
                    "-1, no había déficit y dejo la capacidad media",
                    "-2,no había déficit y resultado fue bueno")
            )
        )
    ),
    IF(AU100&lt;0,
        IF(AP100&gt;TRUNC(AW100/2,0),
            IF(AT100=TRUNC(AW100/2,0),
                "-1, Superávit y deje la capacidad media",
                IF(AND(AT100&gt;TRUNC(AW100/2,0), AT100&gt;=AP100),
                    "0, Superávit y no eliminé superávit",
                    IF(AND(AT100&lt;TRUNC(AW100/2,0),AT100&lt;AP100),
                        "1, Superávit y eliminé superávit",
                        "-2, Superávit y resultado fue bueno"
                    )
                )
            ),
            IF(AND(AP100&lt;=TRUNC(AW100/2,0),AP100&gt;=0),
                IF(AT100=TRUNC(AW100/2,0),
                    "-1, no había superávit y deje la capacidad media",
                    IF(AND(AT100&gt;TRUNC(AW100/2,0), AT100&gt;=AP100),
                        "0, no había superávit, y la deje con superávit",
                        IF(AND(AT100&lt;TRUNC(AW100/2,0),AT100&lt;AP100),
                            "1, no había superávit, pero el resultado fue mejor",
                            "-2, no había superávit y resultado fue bueno"
                        )
                    )
                )
            )
        )
    )
)</f>
        <v>0, Superávit y no eliminé superávit</v>
      </c>
      <c r="BB100" s="30" t="s">
        <v>217</v>
      </c>
      <c r="BC100" s="30">
        <v>7</v>
      </c>
      <c r="BD100" s="31">
        <v>8.3333333333333339</v>
      </c>
      <c r="BE100" s="29">
        <v>7</v>
      </c>
      <c r="BF100" s="29">
        <v>7</v>
      </c>
      <c r="BG100" s="30">
        <v>7</v>
      </c>
      <c r="BH100" s="30">
        <v>-0.83166677317607873</v>
      </c>
      <c r="BI100" s="26" t="s">
        <v>323</v>
      </c>
      <c r="BJ100" s="30">
        <v>11</v>
      </c>
      <c r="BK100" s="29">
        <f>IF(BE100&gt;=BC100,1,0)</f>
        <v>1</v>
      </c>
      <c r="BL100" s="29">
        <f>BE100-BC100</f>
        <v>0</v>
      </c>
      <c r="BM100" s="29" t="str">
        <f>IF(BH100&gt;0,
    IF(OR(BC100&lt;=TRUNC(BJ100/2,0),BC100=0),
        IF(BG100=TRUNC(BJ100/2,0),
            "-1, Déficit y dejo la capacidad media",
            IF(AND(BG100&gt;TRUNC(BJ100/2,0), BG100&gt;BC100),
                "1, Déficit y eliminé déficit",
                IF(AND(BG100&lt;TRUNC(BJ100/2,0), BG100&lt;BC100),
                    "0, Déficit y no elimine déficit",
                    "-2, Déficit y resultado fue bueno")
            )
        ),
        IF(AND(BG100&gt;TRUNC(BJ100/2,0), BG100&gt;BC100),
            "1, no había déficit, pero resultado fue mejor",
            IF(AND(BG100&lt;TRUNC(BJ100/2,0),BG100&lt;BC100),
                "0, no había déficit y la dejo con déficit",
                IF(BG100=TRUNC(BJ100/2,0),
                    "-1, no había déficit y dejo la capacidad media",
                    "-2,no había déficit y resultado fue bueno")
            )
        )
    ),
    IF(BH100&lt;0,
        IF(BC100&gt;TRUNC(BJ100/2,0),
            IF(BG100=TRUNC(BJ100/2,0),
                "-1, Superávit y deje la capacidad media",
                IF(AND(BG100&gt;TRUNC(BJ100/2,0), BG100&gt;=BC100),
                    "0, Superávit y no eliminé superávit",
                    IF(AND(BG100&lt;TRUNC(BJ100/2,0),BG100&lt;BC100),
                        "1, Superávit y eliminé superávit",
                        "-2, Superávit y resultado fue bueno"
                    )
                )
            ),
            IF(AND(BC100&lt;=TRUNC(BJ100/2,0),BC100&gt;=0),
                IF(BG100=TRUNC(BJ100/2,0),
                    "-1, no había superávit y deje la capacidad media",
                    IF(AND(BG100&gt;TRUNC(BJ100/2,0), BG100&gt;=BC100),
                        "0, no había superávit, y la deje con superávit",
                        IF(AND(BG100&lt;TRUNC(BJ100/2,0),BG100&lt;BC100),
                            "1, no había superávit, pero el resultado fue mejor",
                            "-2, no había superávit y resultado fue bueno"
                        )
                    )
                )
            )
        )
    )
)</f>
        <v>0, Superávit y no eliminé superávit</v>
      </c>
      <c r="BO100" s="30" t="s">
        <v>217</v>
      </c>
      <c r="BP100" s="30">
        <v>5</v>
      </c>
      <c r="BQ100" s="31">
        <v>7.4444444444444446</v>
      </c>
      <c r="BR100" s="29">
        <v>3</v>
      </c>
      <c r="BS100" s="29">
        <v>4</v>
      </c>
      <c r="BT100" s="30">
        <v>6</v>
      </c>
      <c r="BU100" s="30">
        <v>-0.83166677317607873</v>
      </c>
      <c r="BV100" s="26" t="s">
        <v>323</v>
      </c>
      <c r="BW100" s="30">
        <v>11</v>
      </c>
      <c r="BX100" s="29">
        <f>IF(BR100&gt;=BP100,1,0)</f>
        <v>0</v>
      </c>
      <c r="BY100" s="29">
        <f>BR100-BP100</f>
        <v>-2</v>
      </c>
      <c r="BZ100" s="29" t="str">
        <f>IF(BU100&gt;0,
    IF(OR(BP100&lt;=TRUNC(BW100/2,0),BP100=0),
        IF(BT100=TRUNC(BW100/2,0),
            "-1, Déficit y dejo la capacidad media",
            IF(AND(BT100&gt;TRUNC(BW100/2,0), BT100&gt;BP100),
                "1, Déficit y eliminé déficit",
                IF(AND(BT100&lt;TRUNC(BW100/2,0), BT100&lt;BP100),
                    "0, Déficit y no elimine déficit",
                    "-2, Déficit y resultado fue bueno")
            )
        ),
        IF(AND(BT100&gt;TRUNC(BW100/2,0), BT100&gt;BP100),
            "1, no había déficit, pero resultado fue mejor",
            IF(AND(BT100&lt;TRUNC(BW100/2,0),BT100&lt;BP100),
                "0, no había déficit y la dejo con déficit",
                IF(BT100=TRUNC(BW100/2,0),
                    "-1, no había déficit y dejo la capacidad media",
                    "-2,no había déficit y resultado fue bueno")
            )
        )
    ),
    IF(BU100&lt;0,
        IF(BP100&gt;TRUNC(BW100/2,0),
            IF(BT100=TRUNC(BW100/2,0),
                "-1, Superávit y deje la capacidad media",
                IF(AND(BT100&gt;TRUNC(BW100/2,0), BT100&gt;=BP100),
                    "0, Superávit y no eliminé superávit",
                    IF(AND(BT100&lt;TRUNC(BW100/2,0),BT100&lt;BP100),
                        "1, Superávit y eliminé superávit",
                        "-2, Superávit y resultado fue bueno"
                    )
                )
            ),
            IF(AND(BP100&lt;=TRUNC(BW100/2,0),BP100&gt;=0),
                IF(BT100=TRUNC(BW100/2,0),
                    "-1, no había superávit y deje la capacidad media",
                    IF(AND(BT100&gt;TRUNC(BW100/2,0), BT100&gt;=BP100),
                        "0, no había superávit, y la deje con superávit",
                        IF(AND(BT100&lt;TRUNC(BW100/2,0),BT100&lt;BP100),
                            "1, no había superávit, pero el resultado fue mejor",
                            "-2, no había superávit y resultado fue bueno"
                        )
                    )
                )
            )
        )
    )
)</f>
        <v>0, no había superávit, y la deje con superávit</v>
      </c>
      <c r="CB100" s="30" t="s">
        <v>217</v>
      </c>
      <c r="CC100" s="30">
        <v>5</v>
      </c>
      <c r="CD100" s="31">
        <v>8</v>
      </c>
      <c r="CE100" s="31">
        <v>6</v>
      </c>
      <c r="CF100" s="29">
        <v>6</v>
      </c>
      <c r="CG100" s="30">
        <v>5</v>
      </c>
      <c r="CH100" s="30">
        <v>-0.83166677317607873</v>
      </c>
      <c r="CI100" s="26" t="s">
        <v>323</v>
      </c>
      <c r="CJ100" s="30">
        <v>11</v>
      </c>
      <c r="CK100" s="29">
        <f>IF(CE100&gt;=CC100,1,0)</f>
        <v>1</v>
      </c>
      <c r="CL100" s="32">
        <f>CE100-CC100</f>
        <v>1</v>
      </c>
      <c r="CM100" s="32" t="str">
        <f>IF(CH100&gt;0,
    IF(OR(CC100&lt;=TRUNC(CJ100/2,0),CC100=0),
        IF(CG100=TRUNC(CJ100/2,0),
            "-1, Déficit y dejo la capacidad media",
            IF(AND(CG100&gt;TRUNC(CJ100/2,0), CG100&gt;CC100),
                "1, Déficit y eliminé déficit",
                IF(AND(CG100&lt;TRUNC(CJ100/2,0), CG100&lt;CC100),
                    "0, Déficit y no elimine déficit",
                    "-2, Déficit y resultado fue bueno")
            )
        ),
        IF(AND(CG100&gt;TRUNC(CJ100/2,0), CG100&gt;CC100),
            "1, no había déficit, pero resultado fue mejor",
            IF(AND(CG100&lt;TRUNC(CJ100/2,0),CG100&lt;CC100),
                "0, no había déficit y la dejo con déficit",
                IF(CG100=TRUNC(CJ100/2,0),
                    "-1, no había déficit y dejo la capacidad media",
                    "-2,no había déficit y resultado fue bueno")
            )
        )
    ),
    IF(CH100&lt;0,
        IF(CC100&gt;TRUNC(CJ100/2,0),
            IF(CG100=TRUNC(CJ100/2,0),
                "-1, Superávit y deje la capacidad media",
                IF(AND(CG100&gt;TRUNC(CJ100/2,0), CG100&gt;=CC100),
                    "0, Superávit y no eliminé superávit",
                    IF(AND(CG100&lt;TRUNC(CJ100/2,0),CG100&lt;CC100),
                        "1, Superávit y eliminé superávit",
                        "-2, Superávit y resultado fue bueno"
                    )
                )
            ),
            IF(AND(CC100&lt;=TRUNC(CJ100/2,0),CC100&gt;=0),
                IF(CG100=TRUNC(CJ100/2,0),
                    "-1, no había superávit y deje la capacidad media",
                    IF(AND(CG100&gt;TRUNC(CJ100/2,0), CG100&gt;=CC100),
                        "0, no había superávit, y la deje con superávit",
                        IF(AND(CG100&lt;TRUNC(CJ100/2,0),CG100&lt;CC100),
                            "1, no había superávit, pero el resultado fue mejor",
                            "-2, no había superávit y resultado fue bueno"
                        )
                    )
                )
            )
        )
    )
)</f>
        <v>-1, no había superávit y deje la capacidad media</v>
      </c>
      <c r="CO100" s="30" t="s">
        <v>217</v>
      </c>
      <c r="CP100" s="30">
        <v>10</v>
      </c>
      <c r="CQ100" s="31">
        <v>7.8888888888888893</v>
      </c>
      <c r="CR100" s="31">
        <v>11</v>
      </c>
      <c r="CS100" s="29">
        <v>8</v>
      </c>
      <c r="CT100" s="30">
        <v>2</v>
      </c>
      <c r="CU100" s="30">
        <v>-0.83166677317607873</v>
      </c>
      <c r="CV100" s="26" t="s">
        <v>323</v>
      </c>
      <c r="CW100" s="30">
        <v>11</v>
      </c>
      <c r="CX100" s="29">
        <f t="shared" si="5"/>
        <v>1</v>
      </c>
      <c r="CY100" s="32">
        <f>CR100-CP100</f>
        <v>1</v>
      </c>
      <c r="CZ100" s="32" t="str">
        <f>IF(CU100&gt;0,
    IF(OR(CP100&lt;=TRUNC(CW100/2,0),CP100=0),
        IF(CT100=TRUNC(CW100/2,0),
            "-1, Déficit y dejo la capacidad media",
            IF(AND(CT100&gt;TRUNC(CW100/2,0), CT100&gt;CP100),
                "1, Déficit y eliminé déficit",
                IF(AND(CT100&lt;TRUNC(CW100/2,0), CT100&lt;CP100),
                    "0, Déficit y no elimine déficit",
                    "-2, Déficit y resultado fue bueno")
            )
        ),
        IF(AND(CT100&gt;TRUNC(CW100/2,0), CT100&gt;CP100),
            "1, no había déficit, pero resultado fue mejor",
            IF(AND(CT100&lt;TRUNC(CW100/2,0),CT100&lt;CP100),
                "0, no había déficit y la dejo con déficit",
                IF(CT100=TRUNC(CW100/2,0),
                    "-1, no había déficit y dejo la capacidad media",
                    "-2,no había déficit y resultado fue bueno")
            )
        )
    ),
    IF(CU100&lt;0,
        IF(CP100&gt;TRUNC(CW100/2,0),
            IF(CT100=TRUNC(CW100/2,0),
                "-1, Superávit y deje la capacidad media",
                IF(AND(CT100&gt;TRUNC(CW100/2,0), CT100&gt;=CP100),
                    "0, Superávit y no eliminé superávit",
                    IF(AND(CT100&lt;TRUNC(CW100/2,0),CT100&lt;CP100),
                        "1, Superávit y eliminé superávit",
                        "-2, Superávit y resultado fue bueno"
                    )
                )
            ),
            IF(AND(CP100&lt;=TRUNC(CW100/2,0),CP100&gt;=0),
                IF(CT100=TRUNC(CW100/2,0),
                    "-1, no había superávit y deje la capacidad media",
                    IF(AND(CT100&gt;TRUNC(CW100/2,0), CT100&gt;=CP100),
                        "0, no había superávit, y la deje con superávit",
                        IF(AND(CT100&lt;TRUNC(CW100/2,0),CT100&lt;CP100),
                            "1, no había superávit, pero el resultado fue mejor",
                            "-2, no había superávit y resultado fue bueno"
                        )
                    )
                )
            )
        )
    )
)</f>
        <v>1, Superávit y eliminé superávit</v>
      </c>
    </row>
    <row r="101" spans="2:106" ht="14.25" customHeight="1" x14ac:dyDescent="0.3">
      <c r="B101" s="30" t="s">
        <v>227</v>
      </c>
      <c r="C101" s="30">
        <v>17</v>
      </c>
      <c r="D101" s="31">
        <v>15.222222222222221</v>
      </c>
      <c r="E101" s="29">
        <v>16</v>
      </c>
      <c r="F101" s="29">
        <v>16</v>
      </c>
      <c r="G101" s="30">
        <v>15</v>
      </c>
      <c r="H101" s="30">
        <v>-0.99035075718315457</v>
      </c>
      <c r="I101" s="26" t="s">
        <v>328</v>
      </c>
      <c r="J101" s="30">
        <v>17</v>
      </c>
      <c r="K101" s="29">
        <f>IF(E101&gt;=C101,1,0)</f>
        <v>0</v>
      </c>
      <c r="L101" s="29">
        <f>E101-C101</f>
        <v>-1</v>
      </c>
      <c r="M101" s="29" t="str">
        <f>IF(H101&gt;0,
    IF(OR(C101&lt;=TRUNC(J101/2,0),C101=0),
        IF(G101=TRUNC(J101/2,0),
            "-1, Déficit y dejo la capacidad media",
            IF(AND(G101&gt;TRUNC(J101/2,0), G101&gt;C101),
                "1, Déficit y eliminé déficit",
                IF(AND(G101&lt;TRUNC(J101/2,0), G101&lt;C101),
                    "0, Déficit y no elimine déficit",
                    "-2, Déficit y resultado fue bueno")
            )
        ),
        IF(AND(G101&gt;TRUNC(J101/2,0), G101&gt;C101),
            "1, no había déficit, pero resultado fue mejor",
            IF(AND(G101&lt;TRUNC(J101/2,0),G101&lt;C101),
                "0, no había déficit y la dejo con déficit",
                IF(G101=TRUNC(J101/2,0),
                    "-1, no había déficit y dejo la capacidad media",
                    "-2,no había déficit y resultado fue bueno")
            )
        )
    ),
    IF(H101&lt;0,
        IF(C101&gt;TRUNC(J101/2,0),
            IF(G101=TRUNC(J101/2,0),
                "-1, Superávit y deje la capacidad media",
                IF(AND(G101&gt;TRUNC(J101/2,0), G101&gt;=C101),
                    "0, Superávit y no eliminé superávit",
                    IF(AND(G101&lt;TRUNC(J101/2,0),G101&lt;C101),
                        "1, Superávit y eliminé superávit",
                        "-2, Superávit y resultado fue bueno"
                    )
                )
            ),
            IF(AND(C101&lt;=TRUNC(J101/2,0),C101&gt;=0),
                IF(G101=TRUNC(J101/2,0),
                    "-1, no había superávit y deje la capacidad media",
                    IF(AND(G101&gt;TRUNC(J101/2,0), G101&gt;=C101),
                        "0, no había superávit, y la deje con superávit",
                        IF(AND(G101&lt;TRUNC(J101/2,0),G101&lt;C101),
                            "1, no había superávit, pero el resultado fue mejor",
                            "-2, no había superávit y resultado fue bueno"
                        )
                    )
                )
            )
        )
    )
)</f>
        <v>-2, Superávit y resultado fue bueno</v>
      </c>
      <c r="O101" s="30" t="s">
        <v>227</v>
      </c>
      <c r="P101" s="29">
        <v>5</v>
      </c>
      <c r="Q101" s="31">
        <v>11</v>
      </c>
      <c r="R101" s="29">
        <v>8</v>
      </c>
      <c r="S101" s="29">
        <v>11</v>
      </c>
      <c r="T101" s="29">
        <v>5</v>
      </c>
      <c r="U101" s="30">
        <v>-0.99035075718315457</v>
      </c>
      <c r="V101" s="26" t="s">
        <v>328</v>
      </c>
      <c r="W101" s="30">
        <v>17</v>
      </c>
      <c r="X101" s="29">
        <f>IF(R101&gt;=P101,1,0)</f>
        <v>1</v>
      </c>
      <c r="Y101" s="29">
        <f>R101-P101</f>
        <v>3</v>
      </c>
      <c r="Z101" s="29" t="str">
        <f>IF(U101&gt;0,
    IF(OR(P101&lt;=TRUNC(W101/2,0),P101=0),
        IF(T101=TRUNC(W101/2,0),
            "-1, Déficit y dejo la capacidad media",
            IF(AND(T101&gt;TRUNC(W101/2,0), T101&gt;P101),
                "1, Déficit y eliminé déficit",
                IF(AND(T101&lt;TRUNC(W101/2,0), T101&lt;P101),
                    "0, Déficit y no elimine déficit",
                    "-2, Déficit y resultado fue bueno")
            )
        ),
        IF(AND(T101&gt;TRUNC(W101/2,0), T101&gt;P101),
            "1, no había déficit, pero resultado fue mejor",
            IF(AND(T101&lt;TRUNC(W101/2,0),T101&lt;P101),
                "0, no había déficit y la dejo con déficit",
                IF(T101=TRUNC(W101/2,0),
                    "-1, no había déficit y dejo la capacidad media",
                    "-2,no había déficit y resultado fue bueno")
            )
        )
    ),
    IF(U101&lt;0,
        IF(P101&gt;TRUNC(W101/2,0),
            IF(T101=TRUNC(W101/2,0),
                "-1, Superávit y deje la capacidad media",
                IF(AND(T101&gt;TRUNC(W101/2,0), T101&gt;=P101),
                    "0, Superávit y no eliminé superávit",
                    IF(AND(T101&lt;TRUNC(W101/2,0),T101&lt;P101),
                        "1, Superávit y eliminé superávit",
                        "-2, Superávit y resultado fue bueno"
                    )
                )
            ),
            IF(AND(P101&lt;=TRUNC(W101/2,0),P101&gt;=0),
                IF(T101=TRUNC(W101/2,0),
                    "-1, no había superávit y deje la capacidad media",
                    IF(AND(T101&gt;TRUNC(W101/2,0), T101&gt;=P101),
                        "0, no había superávit, y la deje con superávit",
                        IF(AND(T101&lt;TRUNC(W101/2,0),T101&lt;P101),
                            "1, no había superávit, pero el resultado fue mejor",
                            "-2, no había superávit y resultado fue bueno"
                        )
                    )
                )
            )
        )
    )
)</f>
        <v>-2, no había superávit y resultado fue bueno</v>
      </c>
      <c r="AB101" s="30" t="s">
        <v>227</v>
      </c>
      <c r="AC101" s="29">
        <v>9</v>
      </c>
      <c r="AD101" s="31">
        <v>10</v>
      </c>
      <c r="AE101" s="29">
        <v>14</v>
      </c>
      <c r="AF101" s="29">
        <v>13</v>
      </c>
      <c r="AG101" s="29">
        <v>9</v>
      </c>
      <c r="AH101" s="30">
        <v>-0.99035075718315457</v>
      </c>
      <c r="AI101" s="26" t="s">
        <v>328</v>
      </c>
      <c r="AJ101" s="30">
        <v>17</v>
      </c>
      <c r="AK101" s="29">
        <f>IF(AE101&gt;=AC101,1,0)</f>
        <v>1</v>
      </c>
      <c r="AL101" s="29">
        <f>AE101-AC101</f>
        <v>5</v>
      </c>
      <c r="AM101" s="29" t="str">
        <f>IF(AH101&gt;0,
    IF(OR(AC101&lt;=TRUNC(AJ101/2,0),AC101=0),
        IF(AG101=TRUNC(AJ101/2,0),
            "-1, Déficit y dejo la capacidad media",
            IF(AND(AG101&gt;TRUNC(AJ101/2,0), AG101&gt;AC101),
                "1, Déficit y eliminé déficit",
                IF(AND(AG101&lt;TRUNC(AJ101/2,0), AG101&lt;AC101),
                    "0, Déficit y no elimine déficit",
                    "-2, Déficit y resultado fue bueno")
            )
        ),
        IF(AND(AG101&gt;TRUNC(AJ101/2,0), AG101&gt;AC101),
            "1, no había déficit, pero resultado fue mejor",
            IF(AND(AG101&lt;TRUNC(AJ101/2,0),AG101&lt;AC101),
                "0, no había déficit y la dejo con déficit",
                IF(AG101=TRUNC(AJ101/2,0),
                    "-1, no había déficit y dejo la capacidad media",
                    "-2,no había déficit y resultado fue bueno")
            )
        )
    ),
    IF(AH101&lt;0,
        IF(AC101&gt;TRUNC(AJ101/2,0),
            IF(AG101=TRUNC(AJ101/2,0),
                "-1, Superávit y deje la capacidad media",
                IF(AND(AG101&gt;TRUNC(AJ101/2,0), AG101&gt;=AC101),
                    "0, Superávit y no eliminé superávit",
                    IF(AND(AG101&lt;TRUNC(AJ101/2,0),AG101&lt;AC101),
                        "1, Superávit y eliminé superávit",
                        "-2, Superávit y resultado fue bueno"
                    )
                )
            ),
            IF(AND(AC101&lt;=TRUNC(AJ101/2,0),AC101&gt;=0),
                IF(AG101=TRUNC(AJ101/2,0),
                    "-1, no había superávit y deje la capacidad media",
                    IF(AND(AG101&gt;TRUNC(AJ101/2,0), AG101&gt;=AC101),
                        "0, no había superávit, y la deje con superávit",
                        IF(AND(AG101&lt;TRUNC(AJ101/2,0),AG101&lt;AC101),
                            "1, no había superávit, pero el resultado fue mejor",
                            "-2, no había superávit y resultado fue bueno"
                        )
                    )
                )
            )
        )
    )
)</f>
        <v>0, Superávit y no eliminé superávit</v>
      </c>
      <c r="AO101" s="30" t="s">
        <v>227</v>
      </c>
      <c r="AP101" s="30">
        <v>13</v>
      </c>
      <c r="AQ101" s="31">
        <v>11.111111111111111</v>
      </c>
      <c r="AR101" s="29">
        <v>14</v>
      </c>
      <c r="AS101" s="29">
        <v>15</v>
      </c>
      <c r="AT101" s="30">
        <v>13</v>
      </c>
      <c r="AU101" s="30">
        <v>-0.99035075718315457</v>
      </c>
      <c r="AV101" s="26" t="s">
        <v>328</v>
      </c>
      <c r="AW101" s="30">
        <v>17</v>
      </c>
      <c r="AX101" s="29">
        <f>IF(AR101&gt;=AP101,1,0)</f>
        <v>1</v>
      </c>
      <c r="AY101" s="29">
        <f>AR101-AP101</f>
        <v>1</v>
      </c>
      <c r="AZ101" s="29" t="str">
        <f>IF(AU101&gt;0,
    IF(OR(AP101&lt;=TRUNC(AW101/2,0),AP101=0),
        IF(AT101=TRUNC(AW101/2,0),
            "-1, Déficit y dejo la capacidad media",
            IF(AND(AT101&gt;TRUNC(AW101/2,0), AT101&gt;AP101),
                "1, Déficit y eliminé déficit",
                IF(AND(AT101&lt;TRUNC(AW101/2,0), AT101&lt;AP101),
                    "0, Déficit y no elimine déficit",
                    "-2, Déficit y resultado fue bueno")
            )
        ),
        IF(AND(AT101&gt;TRUNC(AW101/2,0), AT101&gt;AP101),
            "1, no había déficit, pero resultado fue mejor",
            IF(AND(AT101&lt;TRUNC(AW101/2,0),AT101&lt;AP101),
                "0, no había déficit y la dejo con déficit",
                IF(AT101=TRUNC(AW101/2,0),
                    "-1, no había déficit y dejo la capacidad media",
                    "-2,no había déficit y resultado fue bueno")
            )
        )
    ),
    IF(AU101&lt;0,
        IF(AP101&gt;TRUNC(AW101/2,0),
            IF(AT101=TRUNC(AW101/2,0),
                "-1, Superávit y deje la capacidad media",
                IF(AND(AT101&gt;TRUNC(AW101/2,0), AT101&gt;=AP101),
                    "0, Superávit y no eliminé superávit",
                    IF(AND(AT101&lt;TRUNC(AW101/2,0),AT101&lt;AP101),
                        "1, Superávit y eliminé superávit",
                        "-2, Superávit y resultado fue bueno"
                    )
                )
            ),
            IF(AND(AP101&lt;=TRUNC(AW101/2,0),AP101&gt;=0),
                IF(AT101=TRUNC(AW101/2,0),
                    "-1, no había superávit y deje la capacidad media",
                    IF(AND(AT101&gt;TRUNC(AW101/2,0), AT101&gt;=AP101),
                        "0, no había superávit, y la deje con superávit",
                        IF(AND(AT101&lt;TRUNC(AW101/2,0),AT101&lt;AP101),
                            "1, no había superávit, pero el resultado fue mejor",
                            "-2, no había superávit y resultado fue bueno"
                        )
                    )
                )
            )
        )
    )
)</f>
        <v>0, Superávit y no eliminé superávit</v>
      </c>
      <c r="BB101" s="30" t="s">
        <v>227</v>
      </c>
      <c r="BC101" s="30">
        <v>11</v>
      </c>
      <c r="BD101" s="31">
        <v>12.777777777777779</v>
      </c>
      <c r="BE101" s="29">
        <v>9</v>
      </c>
      <c r="BF101" s="29">
        <v>10</v>
      </c>
      <c r="BG101" s="30">
        <v>11</v>
      </c>
      <c r="BH101" s="30">
        <v>-0.99035075718315457</v>
      </c>
      <c r="BI101" s="26" t="s">
        <v>328</v>
      </c>
      <c r="BJ101" s="30">
        <v>17</v>
      </c>
      <c r="BK101" s="29">
        <f>IF(BE101&gt;=BC101,1,0)</f>
        <v>0</v>
      </c>
      <c r="BL101" s="29">
        <f>BE101-BC101</f>
        <v>-2</v>
      </c>
      <c r="BM101" s="29" t="str">
        <f>IF(BH101&gt;0,
    IF(OR(BC101&lt;=TRUNC(BJ101/2,0),BC101=0),
        IF(BG101=TRUNC(BJ101/2,0),
            "-1, Déficit y dejo la capacidad media",
            IF(AND(BG101&gt;TRUNC(BJ101/2,0), BG101&gt;BC101),
                "1, Déficit y eliminé déficit",
                IF(AND(BG101&lt;TRUNC(BJ101/2,0), BG101&lt;BC101),
                    "0, Déficit y no elimine déficit",
                    "-2, Déficit y resultado fue bueno")
            )
        ),
        IF(AND(BG101&gt;TRUNC(BJ101/2,0), BG101&gt;BC101),
            "1, no había déficit, pero resultado fue mejor",
            IF(AND(BG101&lt;TRUNC(BJ101/2,0),BG101&lt;BC101),
                "0, no había déficit y la dejo con déficit",
                IF(BG101=TRUNC(BJ101/2,0),
                    "-1, no había déficit y dejo la capacidad media",
                    "-2,no había déficit y resultado fue bueno")
            )
        )
    ),
    IF(BH101&lt;0,
        IF(BC101&gt;TRUNC(BJ101/2,0),
            IF(BG101=TRUNC(BJ101/2,0),
                "-1, Superávit y deje la capacidad media",
                IF(AND(BG101&gt;TRUNC(BJ101/2,0), BG101&gt;=BC101),
                    "0, Superávit y no eliminé superávit",
                    IF(AND(BG101&lt;TRUNC(BJ101/2,0),BG101&lt;BC101),
                        "1, Superávit y eliminé superávit",
                        "-2, Superávit y resultado fue bueno"
                    )
                )
            ),
            IF(AND(BC101&lt;=TRUNC(BJ101/2,0),BC101&gt;=0),
                IF(BG101=TRUNC(BJ101/2,0),
                    "-1, no había superávit y deje la capacidad media",
                    IF(AND(BG101&gt;TRUNC(BJ101/2,0), BG101&gt;=BC101),
                        "0, no había superávit, y la deje con superávit",
                        IF(AND(BG101&lt;TRUNC(BJ101/2,0),BG101&lt;BC101),
                            "1, no había superávit, pero el resultado fue mejor",
                            "-2, no había superávit y resultado fue bueno"
                        )
                    )
                )
            )
        )
    )
)</f>
        <v>0, Superávit y no eliminé superávit</v>
      </c>
      <c r="BO101" s="30" t="s">
        <v>227</v>
      </c>
      <c r="BP101" s="30">
        <v>11</v>
      </c>
      <c r="BQ101" s="31">
        <v>11.222222222222221</v>
      </c>
      <c r="BR101" s="29">
        <v>11</v>
      </c>
      <c r="BS101" s="29">
        <v>12</v>
      </c>
      <c r="BT101" s="30">
        <v>11</v>
      </c>
      <c r="BU101" s="30">
        <v>-0.99035075718315457</v>
      </c>
      <c r="BV101" s="26" t="s">
        <v>328</v>
      </c>
      <c r="BW101" s="30">
        <v>17</v>
      </c>
      <c r="BX101" s="29">
        <f>IF(BR101&gt;=BP101,1,0)</f>
        <v>1</v>
      </c>
      <c r="BY101" s="29">
        <f>BR101-BP101</f>
        <v>0</v>
      </c>
      <c r="BZ101" s="29" t="str">
        <f>IF(BU101&gt;0,
    IF(OR(BP101&lt;=TRUNC(BW101/2,0),BP101=0),
        IF(BT101=TRUNC(BW101/2,0),
            "-1, Déficit y dejo la capacidad media",
            IF(AND(BT101&gt;TRUNC(BW101/2,0), BT101&gt;BP101),
                "1, Déficit y eliminé déficit",
                IF(AND(BT101&lt;TRUNC(BW101/2,0), BT101&lt;BP101),
                    "0, Déficit y no elimine déficit",
                    "-2, Déficit y resultado fue bueno")
            )
        ),
        IF(AND(BT101&gt;TRUNC(BW101/2,0), BT101&gt;BP101),
            "1, no había déficit, pero resultado fue mejor",
            IF(AND(BT101&lt;TRUNC(BW101/2,0),BT101&lt;BP101),
                "0, no había déficit y la dejo con déficit",
                IF(BT101=TRUNC(BW101/2,0),
                    "-1, no había déficit y dejo la capacidad media",
                    "-2,no había déficit y resultado fue bueno")
            )
        )
    ),
    IF(BU101&lt;0,
        IF(BP101&gt;TRUNC(BW101/2,0),
            IF(BT101=TRUNC(BW101/2,0),
                "-1, Superávit y deje la capacidad media",
                IF(AND(BT101&gt;TRUNC(BW101/2,0), BT101&gt;=BP101),
                    "0, Superávit y no eliminé superávit",
                    IF(AND(BT101&lt;TRUNC(BW101/2,0),BT101&lt;BP101),
                        "1, Superávit y eliminé superávit",
                        "-2, Superávit y resultado fue bueno"
                    )
                )
            ),
            IF(AND(BP101&lt;=TRUNC(BW101/2,0),BP101&gt;=0),
                IF(BT101=TRUNC(BW101/2,0),
                    "-1, no había superávit y deje la capacidad media",
                    IF(AND(BT101&gt;TRUNC(BW101/2,0), BT101&gt;=BP101),
                        "0, no había superávit, y la deje con superávit",
                        IF(AND(BT101&lt;TRUNC(BW101/2,0),BT101&lt;BP101),
                            "1, no había superávit, pero el resultado fue mejor",
                            "-2, no había superávit y resultado fue bueno"
                        )
                    )
                )
            )
        )
    )
)</f>
        <v>0, Superávit y no eliminé superávit</v>
      </c>
      <c r="CB101" s="30" t="s">
        <v>227</v>
      </c>
      <c r="CC101" s="30">
        <v>10</v>
      </c>
      <c r="CD101" s="31">
        <v>12.888888888888889</v>
      </c>
      <c r="CE101" s="31">
        <v>13</v>
      </c>
      <c r="CF101" s="29">
        <v>14</v>
      </c>
      <c r="CG101" s="30">
        <v>10</v>
      </c>
      <c r="CH101" s="30">
        <v>-0.99035075718315457</v>
      </c>
      <c r="CI101" s="26" t="s">
        <v>328</v>
      </c>
      <c r="CJ101" s="30">
        <v>17</v>
      </c>
      <c r="CK101" s="29">
        <f>IF(CE101&gt;=CC101,1,0)</f>
        <v>1</v>
      </c>
      <c r="CL101" s="32">
        <f>CE101-CC101</f>
        <v>3</v>
      </c>
      <c r="CM101" s="32" t="str">
        <f>IF(CH101&gt;0,
    IF(OR(CC101&lt;=TRUNC(CJ101/2,0),CC101=0),
        IF(CG101=TRUNC(CJ101/2,0),
            "-1, Déficit y dejo la capacidad media",
            IF(AND(CG101&gt;TRUNC(CJ101/2,0), CG101&gt;CC101),
                "1, Déficit y eliminé déficit",
                IF(AND(CG101&lt;TRUNC(CJ101/2,0), CG101&lt;CC101),
                    "0, Déficit y no elimine déficit",
                    "-2, Déficit y resultado fue bueno")
            )
        ),
        IF(AND(CG101&gt;TRUNC(CJ101/2,0), CG101&gt;CC101),
            "1, no había déficit, pero resultado fue mejor",
            IF(AND(CG101&lt;TRUNC(CJ101/2,0),CG101&lt;CC101),
                "0, no había déficit y la dejo con déficit",
                IF(CG101=TRUNC(CJ101/2,0),
                    "-1, no había déficit y dejo la capacidad media",
                    "-2,no había déficit y resultado fue bueno")
            )
        )
    ),
    IF(CH101&lt;0,
        IF(CC101&gt;TRUNC(CJ101/2,0),
            IF(CG101=TRUNC(CJ101/2,0),
                "-1, Superávit y deje la capacidad media",
                IF(AND(CG101&gt;TRUNC(CJ101/2,0), CG101&gt;=CC101),
                    "0, Superávit y no eliminé superávit",
                    IF(AND(CG101&lt;TRUNC(CJ101/2,0),CG101&lt;CC101),
                        "1, Superávit y eliminé superávit",
                        "-2, Superávit y resultado fue bueno"
                    )
                )
            ),
            IF(AND(CC101&lt;=TRUNC(CJ101/2,0),CC101&gt;=0),
                IF(CG101=TRUNC(CJ101/2,0),
                    "-1, no había superávit y deje la capacidad media",
                    IF(AND(CG101&gt;TRUNC(CJ101/2,0), CG101&gt;=CC101),
                        "0, no había superávit, y la deje con superávit",
                        IF(AND(CG101&lt;TRUNC(CJ101/2,0),CG101&lt;CC101),
                            "1, no había superávit, pero el resultado fue mejor",
                            "-2, no había superávit y resultado fue bueno"
                        )
                    )
                )
            )
        )
    )
)</f>
        <v>0, Superávit y no eliminé superávit</v>
      </c>
      <c r="CO101" s="30" t="s">
        <v>227</v>
      </c>
      <c r="CP101" s="30">
        <v>15</v>
      </c>
      <c r="CQ101" s="31">
        <v>15.222222222222221</v>
      </c>
      <c r="CR101" s="31">
        <v>15</v>
      </c>
      <c r="CS101" s="29">
        <v>15</v>
      </c>
      <c r="CT101" s="30">
        <v>2</v>
      </c>
      <c r="CU101" s="30">
        <v>-0.99035075718315457</v>
      </c>
      <c r="CV101" s="26" t="s">
        <v>328</v>
      </c>
      <c r="CW101" s="30">
        <v>17</v>
      </c>
      <c r="CX101" s="29">
        <f t="shared" si="5"/>
        <v>1</v>
      </c>
      <c r="CY101" s="32">
        <f>CR101-CP101</f>
        <v>0</v>
      </c>
      <c r="CZ101" s="32" t="str">
        <f>IF(CU101&gt;0,
    IF(OR(CP101&lt;=TRUNC(CW101/2,0),CP101=0),
        IF(CT101=TRUNC(CW101/2,0),
            "-1, Déficit y dejo la capacidad media",
            IF(AND(CT101&gt;TRUNC(CW101/2,0), CT101&gt;CP101),
                "1, Déficit y eliminé déficit",
                IF(AND(CT101&lt;TRUNC(CW101/2,0), CT101&lt;CP101),
                    "0, Déficit y no elimine déficit",
                    "-2, Déficit y resultado fue bueno")
            )
        ),
        IF(AND(CT101&gt;TRUNC(CW101/2,0), CT101&gt;CP101),
            "1, no había déficit, pero resultado fue mejor",
            IF(AND(CT101&lt;TRUNC(CW101/2,0),CT101&lt;CP101),
                "0, no había déficit y la dejo con déficit",
                IF(CT101=TRUNC(CW101/2,0),
                    "-1, no había déficit y dejo la capacidad media",
                    "-2,no había déficit y resultado fue bueno")
            )
        )
    ),
    IF(CU101&lt;0,
        IF(CP101&gt;TRUNC(CW101/2,0),
            IF(CT101=TRUNC(CW101/2,0),
                "-1, Superávit y deje la capacidad media",
                IF(AND(CT101&gt;TRUNC(CW101/2,0), CT101&gt;=CP101),
                    "0, Superávit y no eliminé superávit",
                    IF(AND(CT101&lt;TRUNC(CW101/2,0),CT101&lt;CP101),
                        "1, Superávit y eliminé superávit",
                        "-2, Superávit y resultado fue bueno"
                    )
                )
            ),
            IF(AND(CP101&lt;=TRUNC(CW101/2,0),CP101&gt;=0),
                IF(CT101=TRUNC(CW101/2,0),
                    "-1, no había superávit y deje la capacidad media",
                    IF(AND(CT101&gt;TRUNC(CW101/2,0), CT101&gt;=CP101),
                        "0, no había superávit, y la deje con superávit",
                        IF(AND(CT101&lt;TRUNC(CW101/2,0),CT101&lt;CP101),
                            "1, no había superávit, pero el resultado fue mejor",
                            "-2, no había superávit y resultado fue bueno"
                        )
                    )
                )
            )
        )
    )
)</f>
        <v>1, Superávit y eliminé superávit</v>
      </c>
    </row>
    <row r="102" spans="2:106" ht="14.25" customHeight="1" x14ac:dyDescent="0.3">
      <c r="B102" s="30" t="s">
        <v>221</v>
      </c>
      <c r="C102" s="30">
        <v>16</v>
      </c>
      <c r="D102" s="31">
        <v>13.222222222222221</v>
      </c>
      <c r="E102" s="29">
        <v>16</v>
      </c>
      <c r="F102" s="29">
        <v>16</v>
      </c>
      <c r="G102" s="30">
        <v>16</v>
      </c>
      <c r="H102" s="30">
        <v>-1.072806810743151</v>
      </c>
      <c r="I102" s="26" t="s">
        <v>329</v>
      </c>
      <c r="J102" s="30">
        <v>19</v>
      </c>
      <c r="K102" s="29">
        <f>IF(E102&gt;=C102,1,0)</f>
        <v>1</v>
      </c>
      <c r="L102" s="29">
        <f>E102-C102</f>
        <v>0</v>
      </c>
      <c r="M102" s="29" t="str">
        <f>IF(H102&gt;0,
    IF(OR(C102&lt;=TRUNC(J102/2,0),C102=0),
        IF(G102=TRUNC(J102/2,0),
            "-1, Déficit y dejo la capacidad media",
            IF(AND(G102&gt;TRUNC(J102/2,0), G102&gt;C102),
                "1, Déficit y eliminé déficit",
                IF(AND(G102&lt;TRUNC(J102/2,0), G102&lt;C102),
                    "0, Déficit y no elimine déficit",
                    "-2, Déficit y resultado fue bueno")
            )
        ),
        IF(AND(G102&gt;TRUNC(J102/2,0), G102&gt;C102),
            "1, no había déficit, pero resultado fue mejor",
            IF(AND(G102&lt;TRUNC(J102/2,0),G102&lt;C102),
                "0, no había déficit y la dejo con déficit",
                IF(G102=TRUNC(J102/2,0),
                    "-1, no había déficit y dejo la capacidad media",
                    "-2,no había déficit y resultado fue bueno")
            )
        )
    ),
    IF(H102&lt;0,
        IF(C102&gt;TRUNC(J102/2,0),
            IF(G102=TRUNC(J102/2,0),
                "-1, Superávit y deje la capacidad media",
                IF(AND(G102&gt;TRUNC(J102/2,0), G102&gt;=C102),
                    "0, Superávit y no eliminé superávit",
                    IF(AND(G102&lt;TRUNC(J102/2,0),G102&lt;C102),
                        "1, Superávit y eliminé superávit",
                        "-2, Superávit y resultado fue bueno"
                    )
                )
            ),
            IF(AND(C102&lt;=TRUNC(J102/2,0),C102&gt;=0),
                IF(G102=TRUNC(J102/2,0),
                    "-1, no había superávit y deje la capacidad media",
                    IF(AND(G102&gt;TRUNC(J102/2,0), G102&gt;=C102),
                        "0, no había superávit, y la deje con superávit",
                        IF(AND(G102&lt;TRUNC(J102/2,0),G102&lt;C102),
                            "1, no había superávit, pero el resultado fue mejor",
                            "-2, no había superávit y resultado fue bueno"
                        )
                    )
                )
            )
        )
    )
)</f>
        <v>0, Superávit y no eliminé superávit</v>
      </c>
      <c r="O102" s="30" t="s">
        <v>221</v>
      </c>
      <c r="P102" s="29">
        <v>11</v>
      </c>
      <c r="Q102" s="31">
        <v>13.555555555555555</v>
      </c>
      <c r="R102" s="29">
        <v>13</v>
      </c>
      <c r="S102" s="29">
        <v>15</v>
      </c>
      <c r="T102" s="29">
        <v>11</v>
      </c>
      <c r="U102" s="30">
        <v>-1.072806810743151</v>
      </c>
      <c r="V102" s="26" t="s">
        <v>329</v>
      </c>
      <c r="W102" s="30">
        <v>19</v>
      </c>
      <c r="X102" s="29">
        <f>IF(R102&gt;=P102,1,0)</f>
        <v>1</v>
      </c>
      <c r="Y102" s="29">
        <f>R102-P102</f>
        <v>2</v>
      </c>
      <c r="Z102" s="29" t="str">
        <f>IF(U102&gt;0,
    IF(OR(P102&lt;=TRUNC(W102/2,0),P102=0),
        IF(T102=TRUNC(W102/2,0),
            "-1, Déficit y dejo la capacidad media",
            IF(AND(T102&gt;TRUNC(W102/2,0), T102&gt;P102),
                "1, Déficit y eliminé déficit",
                IF(AND(T102&lt;TRUNC(W102/2,0), T102&lt;P102),
                    "0, Déficit y no elimine déficit",
                    "-2, Déficit y resultado fue bueno")
            )
        ),
        IF(AND(T102&gt;TRUNC(W102/2,0), T102&gt;P102),
            "1, no había déficit, pero resultado fue mejor",
            IF(AND(T102&lt;TRUNC(W102/2,0),T102&lt;P102),
                "0, no había déficit y la dejo con déficit",
                IF(T102=TRUNC(W102/2,0),
                    "-1, no había déficit y dejo la capacidad media",
                    "-2,no había déficit y resultado fue bueno")
            )
        )
    ),
    IF(U102&lt;0,
        IF(P102&gt;TRUNC(W102/2,0),
            IF(T102=TRUNC(W102/2,0),
                "-1, Superávit y deje la capacidad media",
                IF(AND(T102&gt;TRUNC(W102/2,0), T102&gt;=P102),
                    "0, Superávit y no eliminé superávit",
                    IF(AND(T102&lt;TRUNC(W102/2,0),T102&lt;P102),
                        "1, Superávit y eliminé superávit",
                        "-2, Superávit y resultado fue bueno"
                    )
                )
            ),
            IF(AND(P102&lt;=TRUNC(W102/2,0),P102&gt;=0),
                IF(T102=TRUNC(W102/2,0),
                    "-1, no había superávit y deje la capacidad media",
                    IF(AND(T102&gt;TRUNC(W102/2,0), T102&gt;=P102),
                        "0, no había superávit, y la deje con superávit",
                        IF(AND(T102&lt;TRUNC(W102/2,0),T102&lt;P102),
                            "1, no había superávit, pero el resultado fue mejor",
                            "-2, no había superávit y resultado fue bueno"
                        )
                    )
                )
            )
        )
    )
)</f>
        <v>0, Superávit y no eliminé superávit</v>
      </c>
      <c r="AB102" s="30" t="s">
        <v>221</v>
      </c>
      <c r="AC102" s="29">
        <v>18</v>
      </c>
      <c r="AD102" s="31">
        <v>15</v>
      </c>
      <c r="AE102" s="29">
        <v>15</v>
      </c>
      <c r="AF102" s="29">
        <v>9</v>
      </c>
      <c r="AG102" s="29">
        <v>16</v>
      </c>
      <c r="AH102" s="30">
        <v>-1.072806810743151</v>
      </c>
      <c r="AI102" s="26" t="s">
        <v>329</v>
      </c>
      <c r="AJ102" s="30">
        <v>19</v>
      </c>
      <c r="AK102" s="29">
        <f>IF(AE102&gt;=AC102,1,0)</f>
        <v>0</v>
      </c>
      <c r="AL102" s="29">
        <f>AE102-AC102</f>
        <v>-3</v>
      </c>
      <c r="AM102" s="29" t="str">
        <f>IF(AH102&gt;0,
    IF(OR(AC102&lt;=TRUNC(AJ102/2,0),AC102=0),
        IF(AG102=TRUNC(AJ102/2,0),
            "-1, Déficit y dejo la capacidad media",
            IF(AND(AG102&gt;TRUNC(AJ102/2,0), AG102&gt;AC102),
                "1, Déficit y eliminé déficit",
                IF(AND(AG102&lt;TRUNC(AJ102/2,0), AG102&lt;AC102),
                    "0, Déficit y no elimine déficit",
                    "-2, Déficit y resultado fue bueno")
            )
        ),
        IF(AND(AG102&gt;TRUNC(AJ102/2,0), AG102&gt;AC102),
            "1, no había déficit, pero resultado fue mejor",
            IF(AND(AG102&lt;TRUNC(AJ102/2,0),AG102&lt;AC102),
                "0, no había déficit y la dejo con déficit",
                IF(AG102=TRUNC(AJ102/2,0),
                    "-1, no había déficit y dejo la capacidad media",
                    "-2,no había déficit y resultado fue bueno")
            )
        )
    ),
    IF(AH102&lt;0,
        IF(AC102&gt;TRUNC(AJ102/2,0),
            IF(AG102=TRUNC(AJ102/2,0),
                "-1, Superávit y deje la capacidad media",
                IF(AND(AG102&gt;TRUNC(AJ102/2,0), AG102&gt;=AC102),
                    "0, Superávit y no eliminé superávit",
                    IF(AND(AG102&lt;TRUNC(AJ102/2,0),AG102&lt;AC102),
                        "1, Superávit y eliminé superávit",
                        "-2, Superávit y resultado fue bueno"
                    )
                )
            ),
            IF(AND(AC102&lt;=TRUNC(AJ102/2,0),AC102&gt;=0),
                IF(AG102=TRUNC(AJ102/2,0),
                    "-1, no había superávit y deje la capacidad media",
                    IF(AND(AG102&gt;TRUNC(AJ102/2,0), AG102&gt;=AC102),
                        "0, no había superávit, y la deje con superávit",
                        IF(AND(AG102&lt;TRUNC(AJ102/2,0),AG102&lt;AC102),
                            "1, no había superávit, pero el resultado fue mejor",
                            "-2, no había superávit y resultado fue bueno"
                        )
                    )
                )
            )
        )
    )
)</f>
        <v>-2, Superávit y resultado fue bueno</v>
      </c>
      <c r="AO102" s="30" t="s">
        <v>221</v>
      </c>
      <c r="AP102" s="30">
        <v>8</v>
      </c>
      <c r="AQ102" s="31">
        <v>12.555555555555555</v>
      </c>
      <c r="AR102" s="29">
        <v>8</v>
      </c>
      <c r="AS102" s="29">
        <v>8</v>
      </c>
      <c r="AT102" s="30">
        <v>8</v>
      </c>
      <c r="AU102" s="30">
        <v>-1.072806810743151</v>
      </c>
      <c r="AV102" s="26" t="s">
        <v>329</v>
      </c>
      <c r="AW102" s="30">
        <v>19</v>
      </c>
      <c r="AX102" s="29">
        <f>IF(AR102&gt;=AP102,1,0)</f>
        <v>1</v>
      </c>
      <c r="AY102" s="29">
        <f>AR102-AP102</f>
        <v>0</v>
      </c>
      <c r="AZ102" s="29" t="str">
        <f>IF(AU102&gt;0,
    IF(OR(AP102&lt;=TRUNC(AW102/2,0),AP102=0),
        IF(AT102=TRUNC(AW102/2,0),
            "-1, Déficit y dejo la capacidad media",
            IF(AND(AT102&gt;TRUNC(AW102/2,0), AT102&gt;AP102),
                "1, Déficit y eliminé déficit",
                IF(AND(AT102&lt;TRUNC(AW102/2,0), AT102&lt;AP102),
                    "0, Déficit y no elimine déficit",
                    "-2, Déficit y resultado fue bueno")
            )
        ),
        IF(AND(AT102&gt;TRUNC(AW102/2,0), AT102&gt;AP102),
            "1, no había déficit, pero resultado fue mejor",
            IF(AND(AT102&lt;TRUNC(AW102/2,0),AT102&lt;AP102),
                "0, no había déficit y la dejo con déficit",
                IF(AT102=TRUNC(AW102/2,0),
                    "-1, no había déficit y dejo la capacidad media",
                    "-2,no había déficit y resultado fue bueno")
            )
        )
    ),
    IF(AU102&lt;0,
        IF(AP102&gt;TRUNC(AW102/2,0),
            IF(AT102=TRUNC(AW102/2,0),
                "-1, Superávit y deje la capacidad media",
                IF(AND(AT102&gt;TRUNC(AW102/2,0), AT102&gt;=AP102),
                    "0, Superávit y no eliminé superávit",
                    IF(AND(AT102&lt;TRUNC(AW102/2,0),AT102&lt;AP102),
                        "1, Superávit y eliminé superávit",
                        "-2, Superávit y resultado fue bueno"
                    )
                )
            ),
            IF(AND(AP102&lt;=TRUNC(AW102/2,0),AP102&gt;=0),
                IF(AT102=TRUNC(AW102/2,0),
                    "-1, no había superávit y deje la capacidad media",
                    IF(AND(AT102&gt;TRUNC(AW102/2,0), AT102&gt;=AP102),
                        "0, no había superávit, y la deje con superávit",
                        IF(AND(AT102&lt;TRUNC(AW102/2,0),AT102&lt;AP102),
                            "1, no había superávit, pero el resultado fue mejor",
                            "-2, no había superávit y resultado fue bueno"
                        )
                    )
                )
            )
        )
    )
)</f>
        <v>-2, no había superávit y resultado fue bueno</v>
      </c>
      <c r="BB102" s="30" t="s">
        <v>221</v>
      </c>
      <c r="BC102" s="30">
        <v>14</v>
      </c>
      <c r="BD102" s="31">
        <v>14.222222222222221</v>
      </c>
      <c r="BE102" s="29">
        <v>14</v>
      </c>
      <c r="BF102" s="29">
        <v>14</v>
      </c>
      <c r="BG102" s="30">
        <v>14</v>
      </c>
      <c r="BH102" s="30">
        <v>-1.072806810743151</v>
      </c>
      <c r="BI102" s="26" t="s">
        <v>329</v>
      </c>
      <c r="BJ102" s="30">
        <v>19</v>
      </c>
      <c r="BK102" s="29">
        <f>IF(BE102&gt;=BC102,1,0)</f>
        <v>1</v>
      </c>
      <c r="BL102" s="29">
        <f>BE102-BC102</f>
        <v>0</v>
      </c>
      <c r="BM102" s="29" t="str">
        <f>IF(BH102&gt;0,
    IF(OR(BC102&lt;=TRUNC(BJ102/2,0),BC102=0),
        IF(BG102=TRUNC(BJ102/2,0),
            "-1, Déficit y dejo la capacidad media",
            IF(AND(BG102&gt;TRUNC(BJ102/2,0), BG102&gt;BC102),
                "1, Déficit y eliminé déficit",
                IF(AND(BG102&lt;TRUNC(BJ102/2,0), BG102&lt;BC102),
                    "0, Déficit y no elimine déficit",
                    "-2, Déficit y resultado fue bueno")
            )
        ),
        IF(AND(BG102&gt;TRUNC(BJ102/2,0), BG102&gt;BC102),
            "1, no había déficit, pero resultado fue mejor",
            IF(AND(BG102&lt;TRUNC(BJ102/2,0),BG102&lt;BC102),
                "0, no había déficit y la dejo con déficit",
                IF(BG102=TRUNC(BJ102/2,0),
                    "-1, no había déficit y dejo la capacidad media",
                    "-2,no había déficit y resultado fue bueno")
            )
        )
    ),
    IF(BH102&lt;0,
        IF(BC102&gt;TRUNC(BJ102/2,0),
            IF(BG102=TRUNC(BJ102/2,0),
                "-1, Superávit y deje la capacidad media",
                IF(AND(BG102&gt;TRUNC(BJ102/2,0), BG102&gt;=BC102),
                    "0, Superávit y no eliminé superávit",
                    IF(AND(BG102&lt;TRUNC(BJ102/2,0),BG102&lt;BC102),
                        "1, Superávit y eliminé superávit",
                        "-2, Superávit y resultado fue bueno"
                    )
                )
            ),
            IF(AND(BC102&lt;=TRUNC(BJ102/2,0),BC102&gt;=0),
                IF(BG102=TRUNC(BJ102/2,0),
                    "-1, no había superávit y deje la capacidad media",
                    IF(AND(BG102&gt;TRUNC(BJ102/2,0), BG102&gt;=BC102),
                        "0, no había superávit, y la deje con superávit",
                        IF(AND(BG102&lt;TRUNC(BJ102/2,0),BG102&lt;BC102),
                            "1, no había superávit, pero el resultado fue mejor",
                            "-2, no había superávit y resultado fue bueno"
                        )
                    )
                )
            )
        )
    )
)</f>
        <v>0, Superávit y no eliminé superávit</v>
      </c>
      <c r="BO102" s="30" t="s">
        <v>221</v>
      </c>
      <c r="BP102" s="30">
        <v>13</v>
      </c>
      <c r="BQ102" s="31">
        <v>12.555555555555555</v>
      </c>
      <c r="BR102" s="29">
        <v>12</v>
      </c>
      <c r="BS102" s="29">
        <v>11</v>
      </c>
      <c r="BT102" s="30">
        <v>13</v>
      </c>
      <c r="BU102" s="30">
        <v>-1.072806810743151</v>
      </c>
      <c r="BV102" s="26" t="s">
        <v>329</v>
      </c>
      <c r="BW102" s="30">
        <v>19</v>
      </c>
      <c r="BX102" s="29">
        <f>IF(BR102&gt;=BP102,1,0)</f>
        <v>0</v>
      </c>
      <c r="BY102" s="29">
        <f>BR102-BP102</f>
        <v>-1</v>
      </c>
      <c r="BZ102" s="29" t="str">
        <f>IF(BU102&gt;0,
    IF(OR(BP102&lt;=TRUNC(BW102/2,0),BP102=0),
        IF(BT102=TRUNC(BW102/2,0),
            "-1, Déficit y dejo la capacidad media",
            IF(AND(BT102&gt;TRUNC(BW102/2,0), BT102&gt;BP102),
                "1, Déficit y eliminé déficit",
                IF(AND(BT102&lt;TRUNC(BW102/2,0), BT102&lt;BP102),
                    "0, Déficit y no elimine déficit",
                    "-2, Déficit y resultado fue bueno")
            )
        ),
        IF(AND(BT102&gt;TRUNC(BW102/2,0), BT102&gt;BP102),
            "1, no había déficit, pero resultado fue mejor",
            IF(AND(BT102&lt;TRUNC(BW102/2,0),BT102&lt;BP102),
                "0, no había déficit y la dejo con déficit",
                IF(BT102=TRUNC(BW102/2,0),
                    "-1, no había déficit y dejo la capacidad media",
                    "-2,no había déficit y resultado fue bueno")
            )
        )
    ),
    IF(BU102&lt;0,
        IF(BP102&gt;TRUNC(BW102/2,0),
            IF(BT102=TRUNC(BW102/2,0),
                "-1, Superávit y deje la capacidad media",
                IF(AND(BT102&gt;TRUNC(BW102/2,0), BT102&gt;=BP102),
                    "0, Superávit y no eliminé superávit",
                    IF(AND(BT102&lt;TRUNC(BW102/2,0),BT102&lt;BP102),
                        "1, Superávit y eliminé superávit",
                        "-2, Superávit y resultado fue bueno"
                    )
                )
            ),
            IF(AND(BP102&lt;=TRUNC(BW102/2,0),BP102&gt;=0),
                IF(BT102=TRUNC(BW102/2,0),
                    "-1, no había superávit y deje la capacidad media",
                    IF(AND(BT102&gt;TRUNC(BW102/2,0), BT102&gt;=BP102),
                        "0, no había superávit, y la deje con superávit",
                        IF(AND(BT102&lt;TRUNC(BW102/2,0),BT102&lt;BP102),
                            "1, no había superávit, pero el resultado fue mejor",
                            "-2, no había superávit y resultado fue bueno"
                        )
                    )
                )
            )
        )
    )
)</f>
        <v>0, Superávit y no eliminé superávit</v>
      </c>
      <c r="CB102" s="30" t="s">
        <v>221</v>
      </c>
      <c r="CC102" s="30">
        <v>17</v>
      </c>
      <c r="CD102" s="31">
        <v>12.111111111111111</v>
      </c>
      <c r="CE102" s="31">
        <v>17</v>
      </c>
      <c r="CF102" s="29">
        <v>14</v>
      </c>
      <c r="CG102" s="30">
        <v>16</v>
      </c>
      <c r="CH102" s="30">
        <v>-1.072806810743151</v>
      </c>
      <c r="CI102" s="26" t="s">
        <v>329</v>
      </c>
      <c r="CJ102" s="30">
        <v>19</v>
      </c>
      <c r="CK102" s="29">
        <f>IF(CE102&gt;=CC102,1,0)</f>
        <v>1</v>
      </c>
      <c r="CL102" s="32">
        <f>CE102-CC102</f>
        <v>0</v>
      </c>
      <c r="CM102" s="32" t="str">
        <f>IF(CH102&gt;0,
    IF(OR(CC102&lt;=TRUNC(CJ102/2,0),CC102=0),
        IF(CG102=TRUNC(CJ102/2,0),
            "-1, Déficit y dejo la capacidad media",
            IF(AND(CG102&gt;TRUNC(CJ102/2,0), CG102&gt;CC102),
                "1, Déficit y eliminé déficit",
                IF(AND(CG102&lt;TRUNC(CJ102/2,0), CG102&lt;CC102),
                    "0, Déficit y no elimine déficit",
                    "-2, Déficit y resultado fue bueno")
            )
        ),
        IF(AND(CG102&gt;TRUNC(CJ102/2,0), CG102&gt;CC102),
            "1, no había déficit, pero resultado fue mejor",
            IF(AND(CG102&lt;TRUNC(CJ102/2,0),CG102&lt;CC102),
                "0, no había déficit y la dejo con déficit",
                IF(CG102=TRUNC(CJ102/2,0),
                    "-1, no había déficit y dejo la capacidad media",
                    "-2,no había déficit y resultado fue bueno")
            )
        )
    ),
    IF(CH102&lt;0,
        IF(CC102&gt;TRUNC(CJ102/2,0),
            IF(CG102=TRUNC(CJ102/2,0),
                "-1, Superávit y deje la capacidad media",
                IF(AND(CG102&gt;TRUNC(CJ102/2,0), CG102&gt;=CC102),
                    "0, Superávit y no eliminé superávit",
                    IF(AND(CG102&lt;TRUNC(CJ102/2,0),CG102&lt;CC102),
                        "1, Superávit y eliminé superávit",
                        "-2, Superávit y resultado fue bueno"
                    )
                )
            ),
            IF(AND(CC102&lt;=TRUNC(CJ102/2,0),CC102&gt;=0),
                IF(CG102=TRUNC(CJ102/2,0),
                    "-1, no había superávit y deje la capacidad media",
                    IF(AND(CG102&gt;TRUNC(CJ102/2,0), CG102&gt;=CC102),
                        "0, no había superávit, y la deje con superávit",
                        IF(AND(CG102&lt;TRUNC(CJ102/2,0),CG102&lt;CC102),
                            "1, no había superávit, pero el resultado fue mejor",
                            "-2, no había superávit y resultado fue bueno"
                        )
                    )
                )
            )
        )
    )
)</f>
        <v>-2, Superávit y resultado fue bueno</v>
      </c>
      <c r="CO102" s="30" t="s">
        <v>221</v>
      </c>
      <c r="CP102" s="30">
        <v>3</v>
      </c>
      <c r="CQ102" s="31">
        <v>13.222222222222221</v>
      </c>
      <c r="CR102" s="31">
        <v>3</v>
      </c>
      <c r="CS102" s="29">
        <v>4</v>
      </c>
      <c r="CT102" s="30">
        <v>3</v>
      </c>
      <c r="CU102" s="30">
        <v>-1.072806810743151</v>
      </c>
      <c r="CV102" s="26" t="s">
        <v>329</v>
      </c>
      <c r="CW102" s="30">
        <v>19</v>
      </c>
      <c r="CX102" s="29">
        <f t="shared" si="5"/>
        <v>1</v>
      </c>
      <c r="CY102" s="32">
        <f>CR102-CP102</f>
        <v>0</v>
      </c>
      <c r="CZ102" s="32" t="str">
        <f>IF(CU102&gt;0,
    IF(OR(CP102&lt;=TRUNC(CW102/2,0),CP102=0),
        IF(CT102=TRUNC(CW102/2,0),
            "-1, Déficit y dejo la capacidad media",
            IF(AND(CT102&gt;TRUNC(CW102/2,0), CT102&gt;CP102),
                "1, Déficit y eliminé déficit",
                IF(AND(CT102&lt;TRUNC(CW102/2,0), CT102&lt;CP102),
                    "0, Déficit y no elimine déficit",
                    "-2, Déficit y resultado fue bueno")
            )
        ),
        IF(AND(CT102&gt;TRUNC(CW102/2,0), CT102&gt;CP102),
            "1, no había déficit, pero resultado fue mejor",
            IF(AND(CT102&lt;TRUNC(CW102/2,0),CT102&lt;CP102),
                "0, no había déficit y la dejo con déficit",
                IF(CT102=TRUNC(CW102/2,0),
                    "-1, no había déficit y dejo la capacidad media",
                    "-2,no había déficit y resultado fue bueno")
            )
        )
    ),
    IF(CU102&lt;0,
        IF(CP102&gt;TRUNC(CW102/2,0),
            IF(CT102=TRUNC(CW102/2,0),
                "-1, Superávit y deje la capacidad media",
                IF(AND(CT102&gt;TRUNC(CW102/2,0), CT102&gt;=CP102),
                    "0, Superávit y no eliminé superávit",
                    IF(AND(CT102&lt;TRUNC(CW102/2,0),CT102&lt;CP102),
                        "1, Superávit y eliminé superávit",
                        "-2, Superávit y resultado fue bueno"
                    )
                )
            ),
            IF(AND(CP102&lt;=TRUNC(CW102/2,0),CP102&gt;=0),
                IF(CT102=TRUNC(CW102/2,0),
                    "-1, no había superávit y deje la capacidad media",
                    IF(AND(CT102&gt;TRUNC(CW102/2,0), CT102&gt;=CP102),
                        "0, no había superávit, y la deje con superávit",
                        IF(AND(CT102&lt;TRUNC(CW102/2,0),CT102&lt;CP102),
                            "1, no había superávit, pero el resultado fue mejor",
                            "-2, no había superávit y resultado fue bueno"
                        )
                    )
                )
            )
        )
    )
)</f>
        <v>-2, no había superávit y resultado fue bueno</v>
      </c>
      <c r="DB102" s="3"/>
    </row>
    <row r="103" spans="2:106" ht="14.25" customHeight="1" x14ac:dyDescent="0.3">
      <c r="B103" s="30" t="s">
        <v>224</v>
      </c>
      <c r="C103" s="30">
        <v>14</v>
      </c>
      <c r="D103" s="31">
        <v>13</v>
      </c>
      <c r="E103" s="29">
        <v>15</v>
      </c>
      <c r="F103" s="29">
        <v>14</v>
      </c>
      <c r="G103" s="30">
        <v>13</v>
      </c>
      <c r="H103" s="30">
        <v>-1.1339562965442611</v>
      </c>
      <c r="I103" s="26" t="s">
        <v>321</v>
      </c>
      <c r="J103" s="30">
        <v>15</v>
      </c>
      <c r="K103" s="29">
        <f>IF(E103&gt;=C103,1,0)</f>
        <v>1</v>
      </c>
      <c r="L103" s="29">
        <f>E103-C103</f>
        <v>1</v>
      </c>
      <c r="M103" s="29" t="str">
        <f>IF(H103&gt;0,
    IF(OR(C103&lt;=TRUNC(J103/2,0),C103=0),
        IF(G103=TRUNC(J103/2,0),
            "-1, Déficit y dejo la capacidad media",
            IF(AND(G103&gt;TRUNC(J103/2,0), G103&gt;C103),
                "1, Déficit y eliminé déficit",
                IF(AND(G103&lt;TRUNC(J103/2,0), G103&lt;C103),
                    "0, Déficit y no elimine déficit",
                    "-2, Déficit y resultado fue bueno")
            )
        ),
        IF(AND(G103&gt;TRUNC(J103/2,0), G103&gt;C103),
            "1, no había déficit, pero resultado fue mejor",
            IF(AND(G103&lt;TRUNC(J103/2,0),G103&lt;C103),
                "0, no había déficit y la dejo con déficit",
                IF(G103=TRUNC(J103/2,0),
                    "-1, no había déficit y dejo la capacidad media",
                    "-2,no había déficit y resultado fue bueno")
            )
        )
    ),
    IF(H103&lt;0,
        IF(C103&gt;TRUNC(J103/2,0),
            IF(G103=TRUNC(J103/2,0),
                "-1, Superávit y deje la capacidad media",
                IF(AND(G103&gt;TRUNC(J103/2,0), G103&gt;=C103),
                    "0, Superávit y no eliminé superávit",
                    IF(AND(G103&lt;TRUNC(J103/2,0),G103&lt;C103),
                        "1, Superávit y eliminé superávit",
                        "-2, Superávit y resultado fue bueno"
                    )
                )
            ),
            IF(AND(C103&lt;=TRUNC(J103/2,0),C103&gt;=0),
                IF(G103=TRUNC(J103/2,0),
                    "-1, no había superávit y deje la capacidad media",
                    IF(AND(G103&gt;TRUNC(J103/2,0), G103&gt;=C103),
                        "0, no había superávit, y la deje con superávit",
                        IF(AND(G103&lt;TRUNC(J103/2,0),G103&lt;C103),
                            "1, no había superávit, pero el resultado fue mejor",
                            "-2, no había superávit y resultado fue bueno"
                        )
                    )
                )
            )
        )
    )
)</f>
        <v>-2, Superávit y resultado fue bueno</v>
      </c>
      <c r="O103" s="30" t="s">
        <v>224</v>
      </c>
      <c r="P103" s="29">
        <v>12</v>
      </c>
      <c r="Q103" s="31">
        <v>11.777777777777779</v>
      </c>
      <c r="R103" s="29">
        <v>15</v>
      </c>
      <c r="S103" s="29">
        <v>15</v>
      </c>
      <c r="T103" s="29">
        <v>12</v>
      </c>
      <c r="U103" s="30">
        <v>-1.1339562965442611</v>
      </c>
      <c r="V103" s="26" t="s">
        <v>321</v>
      </c>
      <c r="W103" s="30">
        <v>15</v>
      </c>
      <c r="X103" s="29">
        <f>IF(R103&gt;=P103,1,0)</f>
        <v>1</v>
      </c>
      <c r="Y103" s="29">
        <f>R103-P103</f>
        <v>3</v>
      </c>
      <c r="Z103" s="29" t="str">
        <f>IF(U103&gt;0,
    IF(OR(P103&lt;=TRUNC(W103/2,0),P103=0),
        IF(T103=TRUNC(W103/2,0),
            "-1, Déficit y dejo la capacidad media",
            IF(AND(T103&gt;TRUNC(W103/2,0), T103&gt;P103),
                "1, Déficit y eliminé déficit",
                IF(AND(T103&lt;TRUNC(W103/2,0), T103&lt;P103),
                    "0, Déficit y no elimine déficit",
                    "-2, Déficit y resultado fue bueno")
            )
        ),
        IF(AND(T103&gt;TRUNC(W103/2,0), T103&gt;P103),
            "1, no había déficit, pero resultado fue mejor",
            IF(AND(T103&lt;TRUNC(W103/2,0),T103&lt;P103),
                "0, no había déficit y la dejo con déficit",
                IF(T103=TRUNC(W103/2,0),
                    "-1, no había déficit y dejo la capacidad media",
                    "-2,no había déficit y resultado fue bueno")
            )
        )
    ),
    IF(U103&lt;0,
        IF(P103&gt;TRUNC(W103/2,0),
            IF(T103=TRUNC(W103/2,0),
                "-1, Superávit y deje la capacidad media",
                IF(AND(T103&gt;TRUNC(W103/2,0), T103&gt;=P103),
                    "0, Superávit y no eliminé superávit",
                    IF(AND(T103&lt;TRUNC(W103/2,0),T103&lt;P103),
                        "1, Superávit y eliminé superávit",
                        "-2, Superávit y resultado fue bueno"
                    )
                )
            ),
            IF(AND(P103&lt;=TRUNC(W103/2,0),P103&gt;=0),
                IF(T103=TRUNC(W103/2,0),
                    "-1, no había superávit y deje la capacidad media",
                    IF(AND(T103&gt;TRUNC(W103/2,0), T103&gt;=P103),
                        "0, no había superávit, y la deje con superávit",
                        IF(AND(T103&lt;TRUNC(W103/2,0),T103&lt;P103),
                            "1, no había superávit, pero el resultado fue mejor",
                            "-2, no había superávit y resultado fue bueno"
                        )
                    )
                )
            )
        )
    )
)</f>
        <v>0, Superávit y no eliminé superávit</v>
      </c>
      <c r="AB103" s="30" t="s">
        <v>224</v>
      </c>
      <c r="AC103" s="29">
        <v>8</v>
      </c>
      <c r="AD103" s="31">
        <v>9.3333333333333339</v>
      </c>
      <c r="AE103" s="29">
        <v>12</v>
      </c>
      <c r="AF103" s="29">
        <v>8</v>
      </c>
      <c r="AG103" s="29">
        <v>8</v>
      </c>
      <c r="AH103" s="30">
        <v>-1.1339562965442611</v>
      </c>
      <c r="AI103" s="26" t="s">
        <v>321</v>
      </c>
      <c r="AJ103" s="30">
        <v>15</v>
      </c>
      <c r="AK103" s="29">
        <f>IF(AE103&gt;=AC103,1,0)</f>
        <v>1</v>
      </c>
      <c r="AL103" s="29">
        <f>AE103-AC103</f>
        <v>4</v>
      </c>
      <c r="AM103" s="29" t="str">
        <f>IF(AH103&gt;0,
    IF(OR(AC103&lt;=TRUNC(AJ103/2,0),AC103=0),
        IF(AG103=TRUNC(AJ103/2,0),
            "-1, Déficit y dejo la capacidad media",
            IF(AND(AG103&gt;TRUNC(AJ103/2,0), AG103&gt;AC103),
                "1, Déficit y eliminé déficit",
                IF(AND(AG103&lt;TRUNC(AJ103/2,0), AG103&lt;AC103),
                    "0, Déficit y no elimine déficit",
                    "-2, Déficit y resultado fue bueno")
            )
        ),
        IF(AND(AG103&gt;TRUNC(AJ103/2,0), AG103&gt;AC103),
            "1, no había déficit, pero resultado fue mejor",
            IF(AND(AG103&lt;TRUNC(AJ103/2,0),AG103&lt;AC103),
                "0, no había déficit y la dejo con déficit",
                IF(AG103=TRUNC(AJ103/2,0),
                    "-1, no había déficit y dejo la capacidad media",
                    "-2,no había déficit y resultado fue bueno")
            )
        )
    ),
    IF(AH103&lt;0,
        IF(AC103&gt;TRUNC(AJ103/2,0),
            IF(AG103=TRUNC(AJ103/2,0),
                "-1, Superávit y deje la capacidad media",
                IF(AND(AG103&gt;TRUNC(AJ103/2,0), AG103&gt;=AC103),
                    "0, Superávit y no eliminé superávit",
                    IF(AND(AG103&lt;TRUNC(AJ103/2,0),AG103&lt;AC103),
                        "1, Superávit y eliminé superávit",
                        "-2, Superávit y resultado fue bueno"
                    )
                )
            ),
            IF(AND(AC103&lt;=TRUNC(AJ103/2,0),AC103&gt;=0),
                IF(AG103=TRUNC(AJ103/2,0),
                    "-1, no había superávit y deje la capacidad media",
                    IF(AND(AG103&gt;TRUNC(AJ103/2,0), AG103&gt;=AC103),
                        "0, no había superávit, y la deje con superávit",
                        IF(AND(AG103&lt;TRUNC(AJ103/2,0),AG103&lt;AC103),
                            "1, no había superávit, pero el resultado fue mejor",
                            "-2, no había superávit y resultado fue bueno"
                        )
                    )
                )
            )
        )
    )
)</f>
        <v>0, Superávit y no eliminé superávit</v>
      </c>
      <c r="AO103" s="30" t="s">
        <v>224</v>
      </c>
      <c r="AP103" s="30">
        <v>7</v>
      </c>
      <c r="AQ103" s="31">
        <v>6.4444444444444446</v>
      </c>
      <c r="AR103" s="29">
        <v>13</v>
      </c>
      <c r="AS103" s="29">
        <v>13</v>
      </c>
      <c r="AT103" s="30">
        <v>7</v>
      </c>
      <c r="AU103" s="30">
        <v>-1.1339562965442611</v>
      </c>
      <c r="AV103" s="26" t="s">
        <v>321</v>
      </c>
      <c r="AW103" s="30">
        <v>15</v>
      </c>
      <c r="AX103" s="29">
        <f>IF(AR103&gt;=AP103,1,0)</f>
        <v>1</v>
      </c>
      <c r="AY103" s="29">
        <f>AR103-AP103</f>
        <v>6</v>
      </c>
      <c r="AZ103" s="29" t="str">
        <f>IF(AU103&gt;0,
    IF(OR(AP103&lt;=TRUNC(AW103/2,0),AP103=0),
        IF(AT103=TRUNC(AW103/2,0),
            "-1, Déficit y dejo la capacidad media",
            IF(AND(AT103&gt;TRUNC(AW103/2,0), AT103&gt;AP103),
                "1, Déficit y eliminé déficit",
                IF(AND(AT103&lt;TRUNC(AW103/2,0), AT103&lt;AP103),
                    "0, Déficit y no elimine déficit",
                    "-2, Déficit y resultado fue bueno")
            )
        ),
        IF(AND(AT103&gt;TRUNC(AW103/2,0), AT103&gt;AP103),
            "1, no había déficit, pero resultado fue mejor",
            IF(AND(AT103&lt;TRUNC(AW103/2,0),AT103&lt;AP103),
                "0, no había déficit y la dejo con déficit",
                IF(AT103=TRUNC(AW103/2,0),
                    "-1, no había déficit y dejo la capacidad media",
                    "-2,no había déficit y resultado fue bueno")
            )
        )
    ),
    IF(AU103&lt;0,
        IF(AP103&gt;TRUNC(AW103/2,0),
            IF(AT103=TRUNC(AW103/2,0),
                "-1, Superávit y deje la capacidad media",
                IF(AND(AT103&gt;TRUNC(AW103/2,0), AT103&gt;=AP103),
                    "0, Superávit y no eliminé superávit",
                    IF(AND(AT103&lt;TRUNC(AW103/2,0),AT103&lt;AP103),
                        "1, Superávit y eliminé superávit",
                        "-2, Superávit y resultado fue bueno"
                    )
                )
            ),
            IF(AND(AP103&lt;=TRUNC(AW103/2,0),AP103&gt;=0),
                IF(AT103=TRUNC(AW103/2,0),
                    "-1, no había superávit y deje la capacidad media",
                    IF(AND(AT103&gt;TRUNC(AW103/2,0), AT103&gt;=AP103),
                        "0, no había superávit, y la deje con superávit",
                        IF(AND(AT103&lt;TRUNC(AW103/2,0),AT103&lt;AP103),
                            "1, no había superávit, pero el resultado fue mejor",
                            "-2, no había superávit y resultado fue bueno"
                        )
                    )
                )
            )
        )
    )
)</f>
        <v>-1, no había superávit y deje la capacidad media</v>
      </c>
      <c r="BB103" s="30" t="s">
        <v>224</v>
      </c>
      <c r="BC103" s="30">
        <v>6</v>
      </c>
      <c r="BD103" s="31">
        <v>10.555555555555555</v>
      </c>
      <c r="BE103" s="29">
        <v>12</v>
      </c>
      <c r="BF103" s="29">
        <v>13</v>
      </c>
      <c r="BG103" s="30">
        <v>6</v>
      </c>
      <c r="BH103" s="30">
        <v>-1.1339562965442611</v>
      </c>
      <c r="BI103" s="26" t="s">
        <v>321</v>
      </c>
      <c r="BJ103" s="30">
        <v>15</v>
      </c>
      <c r="BK103" s="29">
        <f>IF(BE103&gt;=BC103,1,0)</f>
        <v>1</v>
      </c>
      <c r="BL103" s="29">
        <f>BE103-BC103</f>
        <v>6</v>
      </c>
      <c r="BM103" s="29" t="str">
        <f>IF(BH103&gt;0,
    IF(OR(BC103&lt;=TRUNC(BJ103/2,0),BC103=0),
        IF(BG103=TRUNC(BJ103/2,0),
            "-1, Déficit y dejo la capacidad media",
            IF(AND(BG103&gt;TRUNC(BJ103/2,0), BG103&gt;BC103),
                "1, Déficit y eliminé déficit",
                IF(AND(BG103&lt;TRUNC(BJ103/2,0), BG103&lt;BC103),
                    "0, Déficit y no elimine déficit",
                    "-2, Déficit y resultado fue bueno")
            )
        ),
        IF(AND(BG103&gt;TRUNC(BJ103/2,0), BG103&gt;BC103),
            "1, no había déficit, pero resultado fue mejor",
            IF(AND(BG103&lt;TRUNC(BJ103/2,0),BG103&lt;BC103),
                "0, no había déficit y la dejo con déficit",
                IF(BG103=TRUNC(BJ103/2,0),
                    "-1, no había déficit y dejo la capacidad media",
                    "-2,no había déficit y resultado fue bueno")
            )
        )
    ),
    IF(BH103&lt;0,
        IF(BC103&gt;TRUNC(BJ103/2,0),
            IF(BG103=TRUNC(BJ103/2,0),
                "-1, Superávit y deje la capacidad media",
                IF(AND(BG103&gt;TRUNC(BJ103/2,0), BG103&gt;=BC103),
                    "0, Superávit y no eliminé superávit",
                    IF(AND(BG103&lt;TRUNC(BJ103/2,0),BG103&lt;BC103),
                        "1, Superávit y eliminé superávit",
                        "-2, Superávit y resultado fue bueno"
                    )
                )
            ),
            IF(AND(BC103&lt;=TRUNC(BJ103/2,0),BC103&gt;=0),
                IF(BG103=TRUNC(BJ103/2,0),
                    "-1, no había superávit y deje la capacidad media",
                    IF(AND(BG103&gt;TRUNC(BJ103/2,0), BG103&gt;=BC103),
                        "0, no había superávit, y la deje con superávit",
                        IF(AND(BG103&lt;TRUNC(BJ103/2,0),BG103&lt;BC103),
                            "1, no había superávit, pero el resultado fue mejor",
                            "-2, no había superávit y resultado fue bueno"
                        )
                    )
                )
            )
        )
    )
)</f>
        <v>-2, no había superávit y resultado fue bueno</v>
      </c>
      <c r="BO103" s="30" t="s">
        <v>224</v>
      </c>
      <c r="BP103" s="30">
        <v>5</v>
      </c>
      <c r="BQ103" s="31">
        <v>8.2222222222222214</v>
      </c>
      <c r="BR103" s="29">
        <v>7</v>
      </c>
      <c r="BS103" s="29">
        <v>7</v>
      </c>
      <c r="BT103" s="30">
        <v>13</v>
      </c>
      <c r="BU103" s="30">
        <v>-1.1339562965442611</v>
      </c>
      <c r="BV103" s="26" t="s">
        <v>321</v>
      </c>
      <c r="BW103" s="30">
        <v>15</v>
      </c>
      <c r="BX103" s="29">
        <f>IF(BR103&gt;=BP103,1,0)</f>
        <v>1</v>
      </c>
      <c r="BY103" s="29">
        <f>BR103-BP103</f>
        <v>2</v>
      </c>
      <c r="BZ103" s="29" t="str">
        <f>IF(BU103&gt;0,
    IF(OR(BP103&lt;=TRUNC(BW103/2,0),BP103=0),
        IF(BT103=TRUNC(BW103/2,0),
            "-1, Déficit y dejo la capacidad media",
            IF(AND(BT103&gt;TRUNC(BW103/2,0), BT103&gt;BP103),
                "1, Déficit y eliminé déficit",
                IF(AND(BT103&lt;TRUNC(BW103/2,0), BT103&lt;BP103),
                    "0, Déficit y no elimine déficit",
                    "-2, Déficit y resultado fue bueno")
            )
        ),
        IF(AND(BT103&gt;TRUNC(BW103/2,0), BT103&gt;BP103),
            "1, no había déficit, pero resultado fue mejor",
            IF(AND(BT103&lt;TRUNC(BW103/2,0),BT103&lt;BP103),
                "0, no había déficit y la dejo con déficit",
                IF(BT103=TRUNC(BW103/2,0),
                    "-1, no había déficit y dejo la capacidad media",
                    "-2,no había déficit y resultado fue bueno")
            )
        )
    ),
    IF(BU103&lt;0,
        IF(BP103&gt;TRUNC(BW103/2,0),
            IF(BT103=TRUNC(BW103/2,0),
                "-1, Superávit y deje la capacidad media",
                IF(AND(BT103&gt;TRUNC(BW103/2,0), BT103&gt;=BP103),
                    "0, Superávit y no eliminé superávit",
                    IF(AND(BT103&lt;TRUNC(BW103/2,0),BT103&lt;BP103),
                        "1, Superávit y eliminé superávit",
                        "-2, Superávit y resultado fue bueno"
                    )
                )
            ),
            IF(AND(BP103&lt;=TRUNC(BW103/2,0),BP103&gt;=0),
                IF(BT103=TRUNC(BW103/2,0),
                    "-1, no había superávit y deje la capacidad media",
                    IF(AND(BT103&gt;TRUNC(BW103/2,0), BT103&gt;=BP103),
                        "0, no había superávit, y la deje con superávit",
                        IF(AND(BT103&lt;TRUNC(BW103/2,0),BT103&lt;BP103),
                            "1, no había superávit, pero el resultado fue mejor",
                            "-2, no había superávit y resultado fue bueno"
                        )
                    )
                )
            )
        )
    )
)</f>
        <v>0, no había superávit, y la deje con superávit</v>
      </c>
      <c r="CB103" s="30" t="s">
        <v>224</v>
      </c>
      <c r="CC103" s="30">
        <v>13</v>
      </c>
      <c r="CD103" s="31">
        <v>12.111111111111111</v>
      </c>
      <c r="CE103" s="31">
        <v>13</v>
      </c>
      <c r="CF103" s="29">
        <v>13</v>
      </c>
      <c r="CG103" s="30">
        <v>13</v>
      </c>
      <c r="CH103" s="30">
        <v>-1.1339562965442611</v>
      </c>
      <c r="CI103" s="26" t="s">
        <v>321</v>
      </c>
      <c r="CJ103" s="30">
        <v>15</v>
      </c>
      <c r="CK103" s="29">
        <f>IF(CE103&gt;=CC103,1,0)</f>
        <v>1</v>
      </c>
      <c r="CL103" s="32">
        <f>CE103-CC103</f>
        <v>0</v>
      </c>
      <c r="CM103" s="32" t="str">
        <f>IF(CH103&gt;0,
    IF(OR(CC103&lt;=TRUNC(CJ103/2,0),CC103=0),
        IF(CG103=TRUNC(CJ103/2,0),
            "-1, Déficit y dejo la capacidad media",
            IF(AND(CG103&gt;TRUNC(CJ103/2,0), CG103&gt;CC103),
                "1, Déficit y eliminé déficit",
                IF(AND(CG103&lt;TRUNC(CJ103/2,0), CG103&lt;CC103),
                    "0, Déficit y no elimine déficit",
                    "-2, Déficit y resultado fue bueno")
            )
        ),
        IF(AND(CG103&gt;TRUNC(CJ103/2,0), CG103&gt;CC103),
            "1, no había déficit, pero resultado fue mejor",
            IF(AND(CG103&lt;TRUNC(CJ103/2,0),CG103&lt;CC103),
                "0, no había déficit y la dejo con déficit",
                IF(CG103=TRUNC(CJ103/2,0),
                    "-1, no había déficit y dejo la capacidad media",
                    "-2,no había déficit y resultado fue bueno")
            )
        )
    ),
    IF(CH103&lt;0,
        IF(CC103&gt;TRUNC(CJ103/2,0),
            IF(CG103=TRUNC(CJ103/2,0),
                "-1, Superávit y deje la capacidad media",
                IF(AND(CG103&gt;TRUNC(CJ103/2,0), CG103&gt;=CC103),
                    "0, Superávit y no eliminé superávit",
                    IF(AND(CG103&lt;TRUNC(CJ103/2,0),CG103&lt;CC103),
                        "1, Superávit y eliminé superávit",
                        "-2, Superávit y resultado fue bueno"
                    )
                )
            ),
            IF(AND(CC103&lt;=TRUNC(CJ103/2,0),CC103&gt;=0),
                IF(CG103=TRUNC(CJ103/2,0),
                    "-1, no había superávit y deje la capacidad media",
                    IF(AND(CG103&gt;TRUNC(CJ103/2,0), CG103&gt;=CC103),
                        "0, no había superávit, y la deje con superávit",
                        IF(AND(CG103&lt;TRUNC(CJ103/2,0),CG103&lt;CC103),
                            "1, no había superávit, pero el resultado fue mejor",
                            "-2, no había superávit y resultado fue bueno"
                        )
                    )
                )
            )
        )
    )
)</f>
        <v>0, Superávit y no eliminé superávit</v>
      </c>
      <c r="CO103" s="30" t="s">
        <v>224</v>
      </c>
      <c r="CP103" s="30">
        <v>13</v>
      </c>
      <c r="CQ103" s="31">
        <v>13</v>
      </c>
      <c r="CR103" s="31">
        <v>13</v>
      </c>
      <c r="CS103" s="29">
        <v>13</v>
      </c>
      <c r="CT103" s="30">
        <v>13</v>
      </c>
      <c r="CU103" s="30">
        <v>-1.1339562965442611</v>
      </c>
      <c r="CV103" s="26" t="s">
        <v>321</v>
      </c>
      <c r="CW103" s="30">
        <v>15</v>
      </c>
      <c r="CX103" s="29">
        <f t="shared" si="5"/>
        <v>1</v>
      </c>
      <c r="CY103" s="32">
        <f>CR103-CP103</f>
        <v>0</v>
      </c>
      <c r="CZ103" s="32" t="str">
        <f>IF(CU103&gt;0,
    IF(OR(CP103&lt;=TRUNC(CW103/2,0),CP103=0),
        IF(CT103=TRUNC(CW103/2,0),
            "-1, Déficit y dejo la capacidad media",
            IF(AND(CT103&gt;TRUNC(CW103/2,0), CT103&gt;CP103),
                "1, Déficit y eliminé déficit",
                IF(AND(CT103&lt;TRUNC(CW103/2,0), CT103&lt;CP103),
                    "0, Déficit y no elimine déficit",
                    "-2, Déficit y resultado fue bueno")
            )
        ),
        IF(AND(CT103&gt;TRUNC(CW103/2,0), CT103&gt;CP103),
            "1, no había déficit, pero resultado fue mejor",
            IF(AND(CT103&lt;TRUNC(CW103/2,0),CT103&lt;CP103),
                "0, no había déficit y la dejo con déficit",
                IF(CT103=TRUNC(CW103/2,0),
                    "-1, no había déficit y dejo la capacidad media",
                    "-2,no había déficit y resultado fue bueno")
            )
        )
    ),
    IF(CU103&lt;0,
        IF(CP103&gt;TRUNC(CW103/2,0),
            IF(CT103=TRUNC(CW103/2,0),
                "-1, Superávit y deje la capacidad media",
                IF(AND(CT103&gt;TRUNC(CW103/2,0), CT103&gt;=CP103),
                    "0, Superávit y no eliminé superávit",
                    IF(AND(CT103&lt;TRUNC(CW103/2,0),CT103&lt;CP103),
                        "1, Superávit y eliminé superávit",
                        "-2, Superávit y resultado fue bueno"
                    )
                )
            ),
            IF(AND(CP103&lt;=TRUNC(CW103/2,0),CP103&gt;=0),
                IF(CT103=TRUNC(CW103/2,0),
                    "-1, no había superávit y deje la capacidad media",
                    IF(AND(CT103&gt;TRUNC(CW103/2,0), CT103&gt;=CP103),
                        "0, no había superávit, y la deje con superávit",
                        IF(AND(CT103&lt;TRUNC(CW103/2,0),CT103&lt;CP103),
                            "1, no había superávit, pero el resultado fue mejor",
                            "-2, no había superávit y resultado fue bueno"
                        )
                    )
                )
            )
        )
    )
)</f>
        <v>0, Superávit y no eliminé superávit</v>
      </c>
    </row>
    <row r="104" spans="2:106" ht="14.25" customHeight="1" x14ac:dyDescent="0.3">
      <c r="B104" s="30" t="s">
        <v>207</v>
      </c>
      <c r="C104" s="30">
        <v>17</v>
      </c>
      <c r="D104" s="31">
        <v>14.777777777777779</v>
      </c>
      <c r="E104" s="29">
        <v>17</v>
      </c>
      <c r="F104" s="29">
        <v>17</v>
      </c>
      <c r="G104" s="30">
        <v>16</v>
      </c>
      <c r="H104" s="30">
        <v>-1.196962071035268</v>
      </c>
      <c r="I104" s="26" t="s">
        <v>329</v>
      </c>
      <c r="J104" s="30">
        <v>19</v>
      </c>
      <c r="K104" s="29">
        <f>IF(E104&gt;=C104,1,0)</f>
        <v>1</v>
      </c>
      <c r="L104" s="29">
        <f>E104-C104</f>
        <v>0</v>
      </c>
      <c r="M104" s="29" t="str">
        <f>IF(H104&gt;0,
    IF(OR(C104&lt;=TRUNC(J104/2,0),C104=0),
        IF(G104=TRUNC(J104/2,0),
            "-1, Déficit y dejo la capacidad media",
            IF(AND(G104&gt;TRUNC(J104/2,0), G104&gt;C104),
                "1, Déficit y eliminé déficit",
                IF(AND(G104&lt;TRUNC(J104/2,0), G104&lt;C104),
                    "0, Déficit y no elimine déficit",
                    "-2, Déficit y resultado fue bueno")
            )
        ),
        IF(AND(G104&gt;TRUNC(J104/2,0), G104&gt;C104),
            "1, no había déficit, pero resultado fue mejor",
            IF(AND(G104&lt;TRUNC(J104/2,0),G104&lt;C104),
                "0, no había déficit y la dejo con déficit",
                IF(G104=TRUNC(J104/2,0),
                    "-1, no había déficit y dejo la capacidad media",
                    "-2,no había déficit y resultado fue bueno")
            )
        )
    ),
    IF(H104&lt;0,
        IF(C104&gt;TRUNC(J104/2,0),
            IF(G104=TRUNC(J104/2,0),
                "-1, Superávit y deje la capacidad media",
                IF(AND(G104&gt;TRUNC(J104/2,0), G104&gt;=C104),
                    "0, Superávit y no eliminé superávit",
                    IF(AND(G104&lt;TRUNC(J104/2,0),G104&lt;C104),
                        "1, Superávit y eliminé superávit",
                        "-2, Superávit y resultado fue bueno"
                    )
                )
            ),
            IF(AND(C104&lt;=TRUNC(J104/2,0),C104&gt;=0),
                IF(G104=TRUNC(J104/2,0),
                    "-1, no había superávit y deje la capacidad media",
                    IF(AND(G104&gt;TRUNC(J104/2,0), G104&gt;=C104),
                        "0, no había superávit, y la deje con superávit",
                        IF(AND(G104&lt;TRUNC(J104/2,0),G104&lt;C104),
                            "1, no había superávit, pero el resultado fue mejor",
                            "-2, no había superávit y resultado fue bueno"
                        )
                    )
                )
            )
        )
    )
)</f>
        <v>-2, Superávit y resultado fue bueno</v>
      </c>
      <c r="O104" s="30" t="s">
        <v>207</v>
      </c>
      <c r="P104" s="29">
        <v>8</v>
      </c>
      <c r="Q104" s="31">
        <v>13.111111111111111</v>
      </c>
      <c r="R104" s="29">
        <v>11</v>
      </c>
      <c r="S104" s="29">
        <v>11</v>
      </c>
      <c r="T104" s="29">
        <v>8</v>
      </c>
      <c r="U104" s="30">
        <v>-1.196962071035268</v>
      </c>
      <c r="V104" s="26" t="s">
        <v>329</v>
      </c>
      <c r="W104" s="30">
        <v>19</v>
      </c>
      <c r="X104" s="29">
        <f>IF(R104&gt;=P104,1,0)</f>
        <v>1</v>
      </c>
      <c r="Y104" s="29">
        <f>R104-P104</f>
        <v>3</v>
      </c>
      <c r="Z104" s="29" t="str">
        <f>IF(U104&gt;0,
    IF(OR(P104&lt;=TRUNC(W104/2,0),P104=0),
        IF(T104=TRUNC(W104/2,0),
            "-1, Déficit y dejo la capacidad media",
            IF(AND(T104&gt;TRUNC(W104/2,0), T104&gt;P104),
                "1, Déficit y eliminé déficit",
                IF(AND(T104&lt;TRUNC(W104/2,0), T104&lt;P104),
                    "0, Déficit y no elimine déficit",
                    "-2, Déficit y resultado fue bueno")
            )
        ),
        IF(AND(T104&gt;TRUNC(W104/2,0), T104&gt;P104),
            "1, no había déficit, pero resultado fue mejor",
            IF(AND(T104&lt;TRUNC(W104/2,0),T104&lt;P104),
                "0, no había déficit y la dejo con déficit",
                IF(T104=TRUNC(W104/2,0),
                    "-1, no había déficit y dejo la capacidad media",
                    "-2,no había déficit y resultado fue bueno")
            )
        )
    ),
    IF(U104&lt;0,
        IF(P104&gt;TRUNC(W104/2,0),
            IF(T104=TRUNC(W104/2,0),
                "-1, Superávit y deje la capacidad media",
                IF(AND(T104&gt;TRUNC(W104/2,0), T104&gt;=P104),
                    "0, Superávit y no eliminé superávit",
                    IF(AND(T104&lt;TRUNC(W104/2,0),T104&lt;P104),
                        "1, Superávit y eliminé superávit",
                        "-2, Superávit y resultado fue bueno"
                    )
                )
            ),
            IF(AND(P104&lt;=TRUNC(W104/2,0),P104&gt;=0),
                IF(T104=TRUNC(W104/2,0),
                    "-1, no había superávit y deje la capacidad media",
                    IF(AND(T104&gt;TRUNC(W104/2,0), T104&gt;=P104),
                        "0, no había superávit, y la deje con superávit",
                        IF(AND(T104&lt;TRUNC(W104/2,0),T104&lt;P104),
                            "1, no había superávit, pero el resultado fue mejor",
                            "-2, no había superávit y resultado fue bueno"
                        )
                    )
                )
            )
        )
    )
)</f>
        <v>-2, no había superávit y resultado fue bueno</v>
      </c>
      <c r="AB104" s="30" t="s">
        <v>207</v>
      </c>
      <c r="AC104" s="29">
        <v>2</v>
      </c>
      <c r="AD104" s="31">
        <v>9.2222222222222214</v>
      </c>
      <c r="AE104" s="29">
        <v>15</v>
      </c>
      <c r="AF104" s="29">
        <v>4</v>
      </c>
      <c r="AG104" s="29">
        <v>4</v>
      </c>
      <c r="AH104" s="30">
        <v>-1.196962071035268</v>
      </c>
      <c r="AI104" s="26" t="s">
        <v>329</v>
      </c>
      <c r="AJ104" s="30">
        <v>19</v>
      </c>
      <c r="AK104" s="29">
        <f>IF(AE104&gt;=AC104,1,0)</f>
        <v>1</v>
      </c>
      <c r="AL104" s="29">
        <f>AE104-AC104</f>
        <v>13</v>
      </c>
      <c r="AM104" s="29" t="str">
        <f>IF(AH104&gt;0,
    IF(OR(AC104&lt;=TRUNC(AJ104/2,0),AC104=0),
        IF(AG104=TRUNC(AJ104/2,0),
            "-1, Déficit y dejo la capacidad media",
            IF(AND(AG104&gt;TRUNC(AJ104/2,0), AG104&gt;AC104),
                "1, Déficit y eliminé déficit",
                IF(AND(AG104&lt;TRUNC(AJ104/2,0), AG104&lt;AC104),
                    "0, Déficit y no elimine déficit",
                    "-2, Déficit y resultado fue bueno")
            )
        ),
        IF(AND(AG104&gt;TRUNC(AJ104/2,0), AG104&gt;AC104),
            "1, no había déficit, pero resultado fue mejor",
            IF(AND(AG104&lt;TRUNC(AJ104/2,0),AG104&lt;AC104),
                "0, no había déficit y la dejo con déficit",
                IF(AG104=TRUNC(AJ104/2,0),
                    "-1, no había déficit y dejo la capacidad media",
                    "-2,no había déficit y resultado fue bueno")
            )
        )
    ),
    IF(AH104&lt;0,
        IF(AC104&gt;TRUNC(AJ104/2,0),
            IF(AG104=TRUNC(AJ104/2,0),
                "-1, Superávit y deje la capacidad media",
                IF(AND(AG104&gt;TRUNC(AJ104/2,0), AG104&gt;=AC104),
                    "0, Superávit y no eliminé superávit",
                    IF(AND(AG104&lt;TRUNC(AJ104/2,0),AG104&lt;AC104),
                        "1, Superávit y eliminé superávit",
                        "-2, Superávit y resultado fue bueno"
                    )
                )
            ),
            IF(AND(AC104&lt;=TRUNC(AJ104/2,0),AC104&gt;=0),
                IF(AG104=TRUNC(AJ104/2,0),
                    "-1, no había superávit y deje la capacidad media",
                    IF(AND(AG104&gt;TRUNC(AJ104/2,0), AG104&gt;=AC104),
                        "0, no había superávit, y la deje con superávit",
                        IF(AND(AG104&lt;TRUNC(AJ104/2,0),AG104&lt;AC104),
                            "1, no había superávit, pero el resultado fue mejor",
                            "-2, no había superávit y resultado fue bueno"
                        )
                    )
                )
            )
        )
    )
)</f>
        <v>-2, no había superávit y resultado fue bueno</v>
      </c>
      <c r="AO104" s="30" t="s">
        <v>207</v>
      </c>
      <c r="AP104" s="30">
        <v>12</v>
      </c>
      <c r="AQ104" s="31">
        <v>11.111111111111111</v>
      </c>
      <c r="AR104" s="29">
        <v>16</v>
      </c>
      <c r="AS104" s="29">
        <v>17</v>
      </c>
      <c r="AT104" s="30">
        <v>12</v>
      </c>
      <c r="AU104" s="30">
        <v>-1.196962071035268</v>
      </c>
      <c r="AV104" s="26" t="s">
        <v>329</v>
      </c>
      <c r="AW104" s="30">
        <v>19</v>
      </c>
      <c r="AX104" s="29">
        <f>IF(AR104&gt;=AP104,1,0)</f>
        <v>1</v>
      </c>
      <c r="AY104" s="29">
        <f>AR104-AP104</f>
        <v>4</v>
      </c>
      <c r="AZ104" s="29" t="str">
        <f>IF(AU104&gt;0,
    IF(OR(AP104&lt;=TRUNC(AW104/2,0),AP104=0),
        IF(AT104=TRUNC(AW104/2,0),
            "-1, Déficit y dejo la capacidad media",
            IF(AND(AT104&gt;TRUNC(AW104/2,0), AT104&gt;AP104),
                "1, Déficit y eliminé déficit",
                IF(AND(AT104&lt;TRUNC(AW104/2,0), AT104&lt;AP104),
                    "0, Déficit y no elimine déficit",
                    "-2, Déficit y resultado fue bueno")
            )
        ),
        IF(AND(AT104&gt;TRUNC(AW104/2,0), AT104&gt;AP104),
            "1, no había déficit, pero resultado fue mejor",
            IF(AND(AT104&lt;TRUNC(AW104/2,0),AT104&lt;AP104),
                "0, no había déficit y la dejo con déficit",
                IF(AT104=TRUNC(AW104/2,0),
                    "-1, no había déficit y dejo la capacidad media",
                    "-2,no había déficit y resultado fue bueno")
            )
        )
    ),
    IF(AU104&lt;0,
        IF(AP104&gt;TRUNC(AW104/2,0),
            IF(AT104=TRUNC(AW104/2,0),
                "-1, Superávit y deje la capacidad media",
                IF(AND(AT104&gt;TRUNC(AW104/2,0), AT104&gt;=AP104),
                    "0, Superávit y no eliminé superávit",
                    IF(AND(AT104&lt;TRUNC(AW104/2,0),AT104&lt;AP104),
                        "1, Superávit y eliminé superávit",
                        "-2, Superávit y resultado fue bueno"
                    )
                )
            ),
            IF(AND(AP104&lt;=TRUNC(AW104/2,0),AP104&gt;=0),
                IF(AT104=TRUNC(AW104/2,0),
                    "-1, no había superávit y deje la capacidad media",
                    IF(AND(AT104&gt;TRUNC(AW104/2,0), AT104&gt;=AP104),
                        "0, no había superávit, y la deje con superávit",
                        IF(AND(AT104&lt;TRUNC(AW104/2,0),AT104&lt;AP104),
                            "1, no había superávit, pero el resultado fue mejor",
                            "-2, no había superávit y resultado fue bueno"
                        )
                    )
                )
            )
        )
    )
)</f>
        <v>0, Superávit y no eliminé superávit</v>
      </c>
      <c r="BB104" s="30" t="s">
        <v>207</v>
      </c>
      <c r="BC104" s="30">
        <v>7</v>
      </c>
      <c r="BD104" s="31">
        <v>12.666666666666666</v>
      </c>
      <c r="BE104" s="29">
        <v>16</v>
      </c>
      <c r="BF104" s="29">
        <v>14</v>
      </c>
      <c r="BG104" s="30">
        <v>7</v>
      </c>
      <c r="BH104" s="30">
        <v>-1.196962071035268</v>
      </c>
      <c r="BI104" s="26" t="s">
        <v>329</v>
      </c>
      <c r="BJ104" s="30">
        <v>19</v>
      </c>
      <c r="BK104" s="29">
        <f>IF(BE104&gt;=BC104,1,0)</f>
        <v>1</v>
      </c>
      <c r="BL104" s="29">
        <f>BE104-BC104</f>
        <v>9</v>
      </c>
      <c r="BM104" s="29" t="str">
        <f>IF(BH104&gt;0,
    IF(OR(BC104&lt;=TRUNC(BJ104/2,0),BC104=0),
        IF(BG104=TRUNC(BJ104/2,0),
            "-1, Déficit y dejo la capacidad media",
            IF(AND(BG104&gt;TRUNC(BJ104/2,0), BG104&gt;BC104),
                "1, Déficit y eliminé déficit",
                IF(AND(BG104&lt;TRUNC(BJ104/2,0), BG104&lt;BC104),
                    "0, Déficit y no elimine déficit",
                    "-2, Déficit y resultado fue bueno")
            )
        ),
        IF(AND(BG104&gt;TRUNC(BJ104/2,0), BG104&gt;BC104),
            "1, no había déficit, pero resultado fue mejor",
            IF(AND(BG104&lt;TRUNC(BJ104/2,0),BG104&lt;BC104),
                "0, no había déficit y la dejo con déficit",
                IF(BG104=TRUNC(BJ104/2,0),
                    "-1, no había déficit y dejo la capacidad media",
                    "-2,no había déficit y resultado fue bueno")
            )
        )
    ),
    IF(BH104&lt;0,
        IF(BC104&gt;TRUNC(BJ104/2,0),
            IF(BG104=TRUNC(BJ104/2,0),
                "-1, Superávit y deje la capacidad media",
                IF(AND(BG104&gt;TRUNC(BJ104/2,0), BG104&gt;=BC104),
                    "0, Superávit y no eliminé superávit",
                    IF(AND(BG104&lt;TRUNC(BJ104/2,0),BG104&lt;BC104),
                        "1, Superávit y eliminé superávit",
                        "-2, Superávit y resultado fue bueno"
                    )
                )
            ),
            IF(AND(BC104&lt;=TRUNC(BJ104/2,0),BC104&gt;=0),
                IF(BG104=TRUNC(BJ104/2,0),
                    "-1, no había superávit y deje la capacidad media",
                    IF(AND(BG104&gt;TRUNC(BJ104/2,0), BG104&gt;=BC104),
                        "0, no había superávit, y la deje con superávit",
                        IF(AND(BG104&lt;TRUNC(BJ104/2,0),BG104&lt;BC104),
                            "1, no había superávit, pero el resultado fue mejor",
                            "-2, no había superávit y resultado fue bueno"
                        )
                    )
                )
            )
        )
    )
)</f>
        <v>-2, no había superávit y resultado fue bueno</v>
      </c>
      <c r="BO104" s="30" t="s">
        <v>207</v>
      </c>
      <c r="BP104" s="30">
        <v>15</v>
      </c>
      <c r="BQ104" s="31">
        <v>13.222222222222221</v>
      </c>
      <c r="BR104" s="29">
        <v>18</v>
      </c>
      <c r="BS104" s="29">
        <v>18</v>
      </c>
      <c r="BT104" s="30">
        <v>15</v>
      </c>
      <c r="BU104" s="30">
        <v>-1.196962071035268</v>
      </c>
      <c r="BV104" s="26" t="s">
        <v>329</v>
      </c>
      <c r="BW104" s="30">
        <v>19</v>
      </c>
      <c r="BX104" s="29">
        <f>IF(BR104&gt;=BP104,1,0)</f>
        <v>1</v>
      </c>
      <c r="BY104" s="29">
        <f>BR104-BP104</f>
        <v>3</v>
      </c>
      <c r="BZ104" s="29" t="str">
        <f>IF(BU104&gt;0,
    IF(OR(BP104&lt;=TRUNC(BW104/2,0),BP104=0),
        IF(BT104=TRUNC(BW104/2,0),
            "-1, Déficit y dejo la capacidad media",
            IF(AND(BT104&gt;TRUNC(BW104/2,0), BT104&gt;BP104),
                "1, Déficit y eliminé déficit",
                IF(AND(BT104&lt;TRUNC(BW104/2,0), BT104&lt;BP104),
                    "0, Déficit y no elimine déficit",
                    "-2, Déficit y resultado fue bueno")
            )
        ),
        IF(AND(BT104&gt;TRUNC(BW104/2,0), BT104&gt;BP104),
            "1, no había déficit, pero resultado fue mejor",
            IF(AND(BT104&lt;TRUNC(BW104/2,0),BT104&lt;BP104),
                "0, no había déficit y la dejo con déficit",
                IF(BT104=TRUNC(BW104/2,0),
                    "-1, no había déficit y dejo la capacidad media",
                    "-2,no había déficit y resultado fue bueno")
            )
        )
    ),
    IF(BU104&lt;0,
        IF(BP104&gt;TRUNC(BW104/2,0),
            IF(BT104=TRUNC(BW104/2,0),
                "-1, Superávit y deje la capacidad media",
                IF(AND(BT104&gt;TRUNC(BW104/2,0), BT104&gt;=BP104),
                    "0, Superávit y no eliminé superávit",
                    IF(AND(BT104&lt;TRUNC(BW104/2,0),BT104&lt;BP104),
                        "1, Superávit y eliminé superávit",
                        "-2, Superávit y resultado fue bueno"
                    )
                )
            ),
            IF(AND(BP104&lt;=TRUNC(BW104/2,0),BP104&gt;=0),
                IF(BT104=TRUNC(BW104/2,0),
                    "-1, no había superávit y deje la capacidad media",
                    IF(AND(BT104&gt;TRUNC(BW104/2,0), BT104&gt;=BP104),
                        "0, no había superávit, y la deje con superávit",
                        IF(AND(BT104&lt;TRUNC(BW104/2,0),BT104&lt;BP104),
                            "1, no había superávit, pero el resultado fue mejor",
                            "-2, no había superávit y resultado fue bueno"
                        )
                    )
                )
            )
        )
    )
)</f>
        <v>0, Superávit y no eliminé superávit</v>
      </c>
      <c r="CB104" s="30" t="s">
        <v>207</v>
      </c>
      <c r="CC104" s="30">
        <v>15</v>
      </c>
      <c r="CD104" s="31">
        <v>15.666666666666666</v>
      </c>
      <c r="CE104" s="31">
        <v>14</v>
      </c>
      <c r="CF104" s="29">
        <v>15</v>
      </c>
      <c r="CG104" s="30">
        <v>16</v>
      </c>
      <c r="CH104" s="30">
        <v>-1.196962071035268</v>
      </c>
      <c r="CI104" s="26" t="s">
        <v>329</v>
      </c>
      <c r="CJ104" s="30">
        <v>19</v>
      </c>
      <c r="CK104" s="29">
        <f>IF(CE104&gt;=CC104,1,0)</f>
        <v>0</v>
      </c>
      <c r="CL104" s="32">
        <f>CE104-CC104</f>
        <v>-1</v>
      </c>
      <c r="CM104" s="32" t="str">
        <f>IF(CH104&gt;0,
    IF(OR(CC104&lt;=TRUNC(CJ104/2,0),CC104=0),
        IF(CG104=TRUNC(CJ104/2,0),
            "-1, Déficit y dejo la capacidad media",
            IF(AND(CG104&gt;TRUNC(CJ104/2,0), CG104&gt;CC104),
                "1, Déficit y eliminé déficit",
                IF(AND(CG104&lt;TRUNC(CJ104/2,0), CG104&lt;CC104),
                    "0, Déficit y no elimine déficit",
                    "-2, Déficit y resultado fue bueno")
            )
        ),
        IF(AND(CG104&gt;TRUNC(CJ104/2,0), CG104&gt;CC104),
            "1, no había déficit, pero resultado fue mejor",
            IF(AND(CG104&lt;TRUNC(CJ104/2,0),CG104&lt;CC104),
                "0, no había déficit y la dejo con déficit",
                IF(CG104=TRUNC(CJ104/2,0),
                    "-1, no había déficit y dejo la capacidad media",
                    "-2,no había déficit y resultado fue bueno")
            )
        )
    ),
    IF(CH104&lt;0,
        IF(CC104&gt;TRUNC(CJ104/2,0),
            IF(CG104=TRUNC(CJ104/2,0),
                "-1, Superávit y deje la capacidad media",
                IF(AND(CG104&gt;TRUNC(CJ104/2,0), CG104&gt;=CC104),
                    "0, Superávit y no eliminé superávit",
                    IF(AND(CG104&lt;TRUNC(CJ104/2,0),CG104&lt;CC104),
                        "1, Superávit y eliminé superávit",
                        "-2, Superávit y resultado fue bueno"
                    )
                )
            ),
            IF(AND(CC104&lt;=TRUNC(CJ104/2,0),CC104&gt;=0),
                IF(CG104=TRUNC(CJ104/2,0),
                    "-1, no había superávit y deje la capacidad media",
                    IF(AND(CG104&gt;TRUNC(CJ104/2,0), CG104&gt;=CC104),
                        "0, no había superávit, y la deje con superávit",
                        IF(AND(CG104&lt;TRUNC(CJ104/2,0),CG104&lt;CC104),
                            "1, no había superávit, pero el resultado fue mejor",
                            "-2, no había superávit y resultado fue bueno"
                        )
                    )
                )
            )
        )
    )
)</f>
        <v>0, Superávit y no eliminé superávit</v>
      </c>
      <c r="CO104" s="30" t="s">
        <v>207</v>
      </c>
      <c r="CP104" s="30">
        <v>16</v>
      </c>
      <c r="CQ104" s="31">
        <v>14.777777777777779</v>
      </c>
      <c r="CR104" s="31">
        <v>16</v>
      </c>
      <c r="CS104" s="29">
        <v>16</v>
      </c>
      <c r="CT104" s="30">
        <v>16</v>
      </c>
      <c r="CU104" s="30">
        <v>-1.196962071035268</v>
      </c>
      <c r="CV104" s="26" t="s">
        <v>329</v>
      </c>
      <c r="CW104" s="30">
        <v>19</v>
      </c>
      <c r="CX104" s="29">
        <f t="shared" si="5"/>
        <v>1</v>
      </c>
      <c r="CY104" s="32">
        <f>CR104-CP104</f>
        <v>0</v>
      </c>
      <c r="CZ104" s="32" t="str">
        <f>IF(CU104&gt;0,
    IF(OR(CP104&lt;=TRUNC(CW104/2,0),CP104=0),
        IF(CT104=TRUNC(CW104/2,0),
            "-1, Déficit y dejo la capacidad media",
            IF(AND(CT104&gt;TRUNC(CW104/2,0), CT104&gt;CP104),
                "1, Déficit y eliminé déficit",
                IF(AND(CT104&lt;TRUNC(CW104/2,0), CT104&lt;CP104),
                    "0, Déficit y no elimine déficit",
                    "-2, Déficit y resultado fue bueno")
            )
        ),
        IF(AND(CT104&gt;TRUNC(CW104/2,0), CT104&gt;CP104),
            "1, no había déficit, pero resultado fue mejor",
            IF(AND(CT104&lt;TRUNC(CW104/2,0),CT104&lt;CP104),
                "0, no había déficit y la dejo con déficit",
                IF(CT104=TRUNC(CW104/2,0),
                    "-1, no había déficit y dejo la capacidad media",
                    "-2,no había déficit y resultado fue bueno")
            )
        )
    ),
    IF(CU104&lt;0,
        IF(CP104&gt;TRUNC(CW104/2,0),
            IF(CT104=TRUNC(CW104/2,0),
                "-1, Superávit y deje la capacidad media",
                IF(AND(CT104&gt;TRUNC(CW104/2,0), CT104&gt;=CP104),
                    "0, Superávit y no eliminé superávit",
                    IF(AND(CT104&lt;TRUNC(CW104/2,0),CT104&lt;CP104),
                        "1, Superávit y eliminé superávit",
                        "-2, Superávit y resultado fue bueno"
                    )
                )
            ),
            IF(AND(CP104&lt;=TRUNC(CW104/2,0),CP104&gt;=0),
                IF(CT104=TRUNC(CW104/2,0),
                    "-1, no había superávit y deje la capacidad media",
                    IF(AND(CT104&gt;TRUNC(CW104/2,0), CT104&gt;=CP104),
                        "0, no había superávit, y la deje con superávit",
                        IF(AND(CT104&lt;TRUNC(CW104/2,0),CT104&lt;CP104),
                            "1, no había superávit, pero el resultado fue mejor",
                            "-2, no había superávit y resultado fue bueno"
                        )
                    )
                )
            )
        )
    )
)</f>
        <v>0, Superávit y no eliminé superávit</v>
      </c>
    </row>
    <row r="105" spans="2:106" ht="14.25" customHeight="1" x14ac:dyDescent="0.3">
      <c r="B105" s="30" t="s">
        <v>222</v>
      </c>
      <c r="C105" s="30">
        <v>26</v>
      </c>
      <c r="D105" s="31">
        <v>21.333333333333332</v>
      </c>
      <c r="E105" s="29">
        <v>26</v>
      </c>
      <c r="F105" s="29">
        <v>27</v>
      </c>
      <c r="G105" s="30">
        <v>24</v>
      </c>
      <c r="H105" s="30">
        <v>-1.679865001322572</v>
      </c>
      <c r="I105" s="26" t="s">
        <v>330</v>
      </c>
      <c r="J105" s="30">
        <v>27</v>
      </c>
      <c r="K105" s="29">
        <f>IF(E105&gt;=C105,1,0)</f>
        <v>1</v>
      </c>
      <c r="L105" s="29">
        <f>E105-C105</f>
        <v>0</v>
      </c>
      <c r="M105" s="29" t="str">
        <f>IF(H105&gt;0,
    IF(OR(C105&lt;=TRUNC(J105/2,0),C105=0),
        IF(G105=TRUNC(J105/2,0),
            "-1, Déficit y dejo la capacidad media",
            IF(AND(G105&gt;TRUNC(J105/2,0), G105&gt;C105),
                "1, Déficit y eliminé déficit",
                IF(AND(G105&lt;TRUNC(J105/2,0), G105&lt;C105),
                    "0, Déficit y no elimine déficit",
                    "-2, Déficit y resultado fue bueno")
            )
        ),
        IF(AND(G105&gt;TRUNC(J105/2,0), G105&gt;C105),
            "1, no había déficit, pero resultado fue mejor",
            IF(AND(G105&lt;TRUNC(J105/2,0),G105&lt;C105),
                "0, no había déficit y la dejo con déficit",
                IF(G105=TRUNC(J105/2,0),
                    "-1, no había déficit y dejo la capacidad media",
                    "-2,no había déficit y resultado fue bueno")
            )
        )
    ),
    IF(H105&lt;0,
        IF(C105&gt;TRUNC(J105/2,0),
            IF(G105=TRUNC(J105/2,0),
                "-1, Superávit y deje la capacidad media",
                IF(AND(G105&gt;TRUNC(J105/2,0), G105&gt;=C105),
                    "0, Superávit y no eliminé superávit",
                    IF(AND(G105&lt;TRUNC(J105/2,0),G105&lt;C105),
                        "1, Superávit y eliminé superávit",
                        "-2, Superávit y resultado fue bueno"
                    )
                )
            ),
            IF(AND(C105&lt;=TRUNC(J105/2,0),C105&gt;=0),
                IF(G105=TRUNC(J105/2,0),
                    "-1, no había superávit y deje la capacidad media",
                    IF(AND(G105&gt;TRUNC(J105/2,0), G105&gt;=C105),
                        "0, no había superávit, y la deje con superávit",
                        IF(AND(G105&lt;TRUNC(J105/2,0),G105&lt;C105),
                            "1, no había superávit, pero el resultado fue mejor",
                            "-2, no había superávit y resultado fue bueno"
                        )
                    )
                )
            )
        )
    )
)</f>
        <v>-2, Superávit y resultado fue bueno</v>
      </c>
      <c r="O105" s="30" t="s">
        <v>222</v>
      </c>
      <c r="P105" s="29">
        <v>25</v>
      </c>
      <c r="Q105" s="31">
        <v>23.111111111111111</v>
      </c>
      <c r="R105" s="29">
        <v>27</v>
      </c>
      <c r="S105" s="29">
        <v>27</v>
      </c>
      <c r="T105" s="29">
        <v>24</v>
      </c>
      <c r="U105" s="30">
        <v>-1.679865001322572</v>
      </c>
      <c r="V105" s="26" t="s">
        <v>330</v>
      </c>
      <c r="W105" s="30">
        <v>27</v>
      </c>
      <c r="X105" s="29">
        <f>IF(R105&gt;=P105,1,0)</f>
        <v>1</v>
      </c>
      <c r="Y105" s="29">
        <f>R105-P105</f>
        <v>2</v>
      </c>
      <c r="Z105" s="29" t="str">
        <f>IF(U105&gt;0,
    IF(OR(P105&lt;=TRUNC(W105/2,0),P105=0),
        IF(T105=TRUNC(W105/2,0),
            "-1, Déficit y dejo la capacidad media",
            IF(AND(T105&gt;TRUNC(W105/2,0), T105&gt;P105),
                "1, Déficit y eliminé déficit",
                IF(AND(T105&lt;TRUNC(W105/2,0), T105&lt;P105),
                    "0, Déficit y no elimine déficit",
                    "-2, Déficit y resultado fue bueno")
            )
        ),
        IF(AND(T105&gt;TRUNC(W105/2,0), T105&gt;P105),
            "1, no había déficit, pero resultado fue mejor",
            IF(AND(T105&lt;TRUNC(W105/2,0),T105&lt;P105),
                "0, no había déficit y la dejo con déficit",
                IF(T105=TRUNC(W105/2,0),
                    "-1, no había déficit y dejo la capacidad media",
                    "-2,no había déficit y resultado fue bueno")
            )
        )
    ),
    IF(U105&lt;0,
        IF(P105&gt;TRUNC(W105/2,0),
            IF(T105=TRUNC(W105/2,0),
                "-1, Superávit y deje la capacidad media",
                IF(AND(T105&gt;TRUNC(W105/2,0), T105&gt;=P105),
                    "0, Superávit y no eliminé superávit",
                    IF(AND(T105&lt;TRUNC(W105/2,0),T105&lt;P105),
                        "1, Superávit y eliminé superávit",
                        "-2, Superávit y resultado fue bueno"
                    )
                )
            ),
            IF(AND(P105&lt;=TRUNC(W105/2,0),P105&gt;=0),
                IF(T105=TRUNC(W105/2,0),
                    "-1, no había superávit y deje la capacidad media",
                    IF(AND(T105&gt;TRUNC(W105/2,0), T105&gt;=P105),
                        "0, no había superávit, y la deje con superávit",
                        IF(AND(T105&lt;TRUNC(W105/2,0),T105&lt;P105),
                            "1, no había superávit, pero el resultado fue mejor",
                            "-2, no había superávit y resultado fue bueno"
                        )
                    )
                )
            )
        )
    )
)</f>
        <v>-2, Superávit y resultado fue bueno</v>
      </c>
      <c r="AB105" s="30" t="s">
        <v>222</v>
      </c>
      <c r="AC105" s="29">
        <v>19</v>
      </c>
      <c r="AD105" s="31">
        <v>23.888888888888889</v>
      </c>
      <c r="AE105" s="29">
        <v>22</v>
      </c>
      <c r="AF105" s="29">
        <v>22</v>
      </c>
      <c r="AG105" s="29">
        <v>19</v>
      </c>
      <c r="AH105" s="30">
        <v>-1.679865001322572</v>
      </c>
      <c r="AI105" s="26" t="s">
        <v>330</v>
      </c>
      <c r="AJ105" s="30">
        <v>27</v>
      </c>
      <c r="AK105" s="29">
        <f>IF(AE105&gt;=AC105,1,0)</f>
        <v>1</v>
      </c>
      <c r="AL105" s="29">
        <f>AE105-AC105</f>
        <v>3</v>
      </c>
      <c r="AM105" s="29" t="str">
        <f>IF(AH105&gt;0,
    IF(OR(AC105&lt;=TRUNC(AJ105/2,0),AC105=0),
        IF(AG105=TRUNC(AJ105/2,0),
            "-1, Déficit y dejo la capacidad media",
            IF(AND(AG105&gt;TRUNC(AJ105/2,0), AG105&gt;AC105),
                "1, Déficit y eliminé déficit",
                IF(AND(AG105&lt;TRUNC(AJ105/2,0), AG105&lt;AC105),
                    "0, Déficit y no elimine déficit",
                    "-2, Déficit y resultado fue bueno")
            )
        ),
        IF(AND(AG105&gt;TRUNC(AJ105/2,0), AG105&gt;AC105),
            "1, no había déficit, pero resultado fue mejor",
            IF(AND(AG105&lt;TRUNC(AJ105/2,0),AG105&lt;AC105),
                "0, no había déficit y la dejo con déficit",
                IF(AG105=TRUNC(AJ105/2,0),
                    "-1, no había déficit y dejo la capacidad media",
                    "-2,no había déficit y resultado fue bueno")
            )
        )
    ),
    IF(AH105&lt;0,
        IF(AC105&gt;TRUNC(AJ105/2,0),
            IF(AG105=TRUNC(AJ105/2,0),
                "-1, Superávit y deje la capacidad media",
                IF(AND(AG105&gt;TRUNC(AJ105/2,0), AG105&gt;=AC105),
                    "0, Superávit y no eliminé superávit",
                    IF(AND(AG105&lt;TRUNC(AJ105/2,0),AG105&lt;AC105),
                        "1, Superávit y eliminé superávit",
                        "-2, Superávit y resultado fue bueno"
                    )
                )
            ),
            IF(AND(AC105&lt;=TRUNC(AJ105/2,0),AC105&gt;=0),
                IF(AG105=TRUNC(AJ105/2,0),
                    "-1, no había superávit y deje la capacidad media",
                    IF(AND(AG105&gt;TRUNC(AJ105/2,0), AG105&gt;=AC105),
                        "0, no había superávit, y la deje con superávit",
                        IF(AND(AG105&lt;TRUNC(AJ105/2,0),AG105&lt;AC105),
                            "1, no había superávit, pero el resultado fue mejor",
                            "-2, no había superávit y resultado fue bueno"
                        )
                    )
                )
            )
        )
    )
)</f>
        <v>0, Superávit y no eliminé superávit</v>
      </c>
      <c r="AO105" s="30" t="s">
        <v>222</v>
      </c>
      <c r="AP105" s="30">
        <v>26</v>
      </c>
      <c r="AQ105" s="31">
        <v>24.111111111111111</v>
      </c>
      <c r="AR105" s="29">
        <v>26</v>
      </c>
      <c r="AS105" s="29">
        <v>26</v>
      </c>
      <c r="AT105" s="30">
        <v>22</v>
      </c>
      <c r="AU105" s="30">
        <v>-1.679865001322572</v>
      </c>
      <c r="AV105" s="26" t="s">
        <v>330</v>
      </c>
      <c r="AW105" s="30">
        <v>27</v>
      </c>
      <c r="AX105" s="29">
        <f>IF(AR105&gt;=AP105,1,0)</f>
        <v>1</v>
      </c>
      <c r="AY105" s="29">
        <f>AR105-AP105</f>
        <v>0</v>
      </c>
      <c r="AZ105" s="29" t="str">
        <f>IF(AU105&gt;0,
    IF(OR(AP105&lt;=TRUNC(AW105/2,0),AP105=0),
        IF(AT105=TRUNC(AW105/2,0),
            "-1, Déficit y dejo la capacidad media",
            IF(AND(AT105&gt;TRUNC(AW105/2,0), AT105&gt;AP105),
                "1, Déficit y eliminé déficit",
                IF(AND(AT105&lt;TRUNC(AW105/2,0), AT105&lt;AP105),
                    "0, Déficit y no elimine déficit",
                    "-2, Déficit y resultado fue bueno")
            )
        ),
        IF(AND(AT105&gt;TRUNC(AW105/2,0), AT105&gt;AP105),
            "1, no había déficit, pero resultado fue mejor",
            IF(AND(AT105&lt;TRUNC(AW105/2,0),AT105&lt;AP105),
                "0, no había déficit y la dejo con déficit",
                IF(AT105=TRUNC(AW105/2,0),
                    "-1, no había déficit y dejo la capacidad media",
                    "-2,no había déficit y resultado fue bueno")
            )
        )
    ),
    IF(AU105&lt;0,
        IF(AP105&gt;TRUNC(AW105/2,0),
            IF(AT105=TRUNC(AW105/2,0),
                "-1, Superávit y deje la capacidad media",
                IF(AND(AT105&gt;TRUNC(AW105/2,0), AT105&gt;=AP105),
                    "0, Superávit y no eliminé superávit",
                    IF(AND(AT105&lt;TRUNC(AW105/2,0),AT105&lt;AP105),
                        "1, Superávit y eliminé superávit",
                        "-2, Superávit y resultado fue bueno"
                    )
                )
            ),
            IF(AND(AP105&lt;=TRUNC(AW105/2,0),AP105&gt;=0),
                IF(AT105=TRUNC(AW105/2,0),
                    "-1, no había superávit y deje la capacidad media",
                    IF(AND(AT105&gt;TRUNC(AW105/2,0), AT105&gt;=AP105),
                        "0, no había superávit, y la deje con superávit",
                        IF(AND(AT105&lt;TRUNC(AW105/2,0),AT105&lt;AP105),
                            "1, no había superávit, pero el resultado fue mejor",
                            "-2, no había superávit y resultado fue bueno"
                        )
                    )
                )
            )
        )
    )
)</f>
        <v>-2, Superávit y resultado fue bueno</v>
      </c>
      <c r="BB105" s="30" t="s">
        <v>222</v>
      </c>
      <c r="BC105" s="30">
        <v>26</v>
      </c>
      <c r="BD105" s="31">
        <v>24</v>
      </c>
      <c r="BE105" s="29">
        <v>24</v>
      </c>
      <c r="BF105" s="29">
        <v>24</v>
      </c>
      <c r="BG105" s="30">
        <v>24</v>
      </c>
      <c r="BH105" s="30">
        <v>-1.679865001322572</v>
      </c>
      <c r="BI105" s="26" t="s">
        <v>330</v>
      </c>
      <c r="BJ105" s="30">
        <v>27</v>
      </c>
      <c r="BK105" s="29">
        <f>IF(BE105&gt;=BC105,1,0)</f>
        <v>0</v>
      </c>
      <c r="BL105" s="29">
        <f>BE105-BC105</f>
        <v>-2</v>
      </c>
      <c r="BM105" s="29" t="str">
        <f>IF(BH105&gt;0,
    IF(OR(BC105&lt;=TRUNC(BJ105/2,0),BC105=0),
        IF(BG105=TRUNC(BJ105/2,0),
            "-1, Déficit y dejo la capacidad media",
            IF(AND(BG105&gt;TRUNC(BJ105/2,0), BG105&gt;BC105),
                "1, Déficit y eliminé déficit",
                IF(AND(BG105&lt;TRUNC(BJ105/2,0), BG105&lt;BC105),
                    "0, Déficit y no elimine déficit",
                    "-2, Déficit y resultado fue bueno")
            )
        ),
        IF(AND(BG105&gt;TRUNC(BJ105/2,0), BG105&gt;BC105),
            "1, no había déficit, pero resultado fue mejor",
            IF(AND(BG105&lt;TRUNC(BJ105/2,0),BG105&lt;BC105),
                "0, no había déficit y la dejo con déficit",
                IF(BG105=TRUNC(BJ105/2,0),
                    "-1, no había déficit y dejo la capacidad media",
                    "-2,no había déficit y resultado fue bueno")
            )
        )
    ),
    IF(BH105&lt;0,
        IF(BC105&gt;TRUNC(BJ105/2,0),
            IF(BG105=TRUNC(BJ105/2,0),
                "-1, Superávit y deje la capacidad media",
                IF(AND(BG105&gt;TRUNC(BJ105/2,0), BG105&gt;=BC105),
                    "0, Superávit y no eliminé superávit",
                    IF(AND(BG105&lt;TRUNC(BJ105/2,0),BG105&lt;BC105),
                        "1, Superávit y eliminé superávit",
                        "-2, Superávit y resultado fue bueno"
                    )
                )
            ),
            IF(AND(BC105&lt;=TRUNC(BJ105/2,0),BC105&gt;=0),
                IF(BG105=TRUNC(BJ105/2,0),
                    "-1, no había superávit y deje la capacidad media",
                    IF(AND(BG105&gt;TRUNC(BJ105/2,0), BG105&gt;=BC105),
                        "0, no había superávit, y la deje con superávit",
                        IF(AND(BG105&lt;TRUNC(BJ105/2,0),BG105&lt;BC105),
                            "1, no había superávit, pero el resultado fue mejor",
                            "-2, no había superávit y resultado fue bueno"
                        )
                    )
                )
            )
        )
    )
)</f>
        <v>-2, Superávit y resultado fue bueno</v>
      </c>
      <c r="BO105" s="30" t="s">
        <v>222</v>
      </c>
      <c r="BP105" s="30">
        <v>27</v>
      </c>
      <c r="BQ105" s="31">
        <v>24.777777777777779</v>
      </c>
      <c r="BR105" s="29">
        <v>27</v>
      </c>
      <c r="BS105" s="29">
        <v>27</v>
      </c>
      <c r="BT105" s="30">
        <v>19</v>
      </c>
      <c r="BU105" s="30">
        <v>-1.679865001322572</v>
      </c>
      <c r="BV105" s="26" t="s">
        <v>330</v>
      </c>
      <c r="BW105" s="30">
        <v>27</v>
      </c>
      <c r="BX105" s="29">
        <f>IF(BR105&gt;=BP105,1,0)</f>
        <v>1</v>
      </c>
      <c r="BY105" s="29">
        <f>BR105-BP105</f>
        <v>0</v>
      </c>
      <c r="BZ105" s="29" t="str">
        <f>IF(BU105&gt;0,
    IF(OR(BP105&lt;=TRUNC(BW105/2,0),BP105=0),
        IF(BT105=TRUNC(BW105/2,0),
            "-1, Déficit y dejo la capacidad media",
            IF(AND(BT105&gt;TRUNC(BW105/2,0), BT105&gt;BP105),
                "1, Déficit y eliminé déficit",
                IF(AND(BT105&lt;TRUNC(BW105/2,0), BT105&lt;BP105),
                    "0, Déficit y no elimine déficit",
                    "-2, Déficit y resultado fue bueno")
            )
        ),
        IF(AND(BT105&gt;TRUNC(BW105/2,0), BT105&gt;BP105),
            "1, no había déficit, pero resultado fue mejor",
            IF(AND(BT105&lt;TRUNC(BW105/2,0),BT105&lt;BP105),
                "0, no había déficit y la dejo con déficit",
                IF(BT105=TRUNC(BW105/2,0),
                    "-1, no había déficit y dejo la capacidad media",
                    "-2,no había déficit y resultado fue bueno")
            )
        )
    ),
    IF(BU105&lt;0,
        IF(BP105&gt;TRUNC(BW105/2,0),
            IF(BT105=TRUNC(BW105/2,0),
                "-1, Superávit y deje la capacidad media",
                IF(AND(BT105&gt;TRUNC(BW105/2,0), BT105&gt;=BP105),
                    "0, Superávit y no eliminé superávit",
                    IF(AND(BT105&lt;TRUNC(BW105/2,0),BT105&lt;BP105),
                        "1, Superávit y eliminé superávit",
                        "-2, Superávit y resultado fue bueno"
                    )
                )
            ),
            IF(AND(BP105&lt;=TRUNC(BW105/2,0),BP105&gt;=0),
                IF(BT105=TRUNC(BW105/2,0),
                    "-1, no había superávit y deje la capacidad media",
                    IF(AND(BT105&gt;TRUNC(BW105/2,0), BT105&gt;=BP105),
                        "0, no había superávit, y la deje con superávit",
                        IF(AND(BT105&lt;TRUNC(BW105/2,0),BT105&lt;BP105),
                            "1, no había superávit, pero el resultado fue mejor",
                            "-2, no había superávit y resultado fue bueno"
                        )
                    )
                )
            )
        )
    )
)</f>
        <v>-2, Superávit y resultado fue bueno</v>
      </c>
      <c r="CB105" s="30" t="s">
        <v>222</v>
      </c>
      <c r="CC105" s="30">
        <v>13</v>
      </c>
      <c r="CD105" s="31">
        <v>18.777777777777779</v>
      </c>
      <c r="CE105" s="31">
        <v>15</v>
      </c>
      <c r="CF105" s="29">
        <v>15</v>
      </c>
      <c r="CG105" s="30">
        <v>13</v>
      </c>
      <c r="CH105" s="30">
        <v>-1.679865001322572</v>
      </c>
      <c r="CI105" s="26" t="s">
        <v>330</v>
      </c>
      <c r="CJ105" s="30">
        <v>27</v>
      </c>
      <c r="CK105" s="29">
        <f>IF(CE105&gt;=CC105,1,0)</f>
        <v>1</v>
      </c>
      <c r="CL105" s="32">
        <f>CE105-CC105</f>
        <v>2</v>
      </c>
      <c r="CM105" s="32" t="str">
        <f>IF(CH105&gt;0,
    IF(OR(CC105&lt;=TRUNC(CJ105/2,0),CC105=0),
        IF(CG105=TRUNC(CJ105/2,0),
            "-1, Déficit y dejo la capacidad media",
            IF(AND(CG105&gt;TRUNC(CJ105/2,0), CG105&gt;CC105),
                "1, Déficit y eliminé déficit",
                IF(AND(CG105&lt;TRUNC(CJ105/2,0), CG105&lt;CC105),
                    "0, Déficit y no elimine déficit",
                    "-2, Déficit y resultado fue bueno")
            )
        ),
        IF(AND(CG105&gt;TRUNC(CJ105/2,0), CG105&gt;CC105),
            "1, no había déficit, pero resultado fue mejor",
            IF(AND(CG105&lt;TRUNC(CJ105/2,0),CG105&lt;CC105),
                "0, no había déficit y la dejo con déficit",
                IF(CG105=TRUNC(CJ105/2,0),
                    "-1, no había déficit y dejo la capacidad media",
                    "-2,no había déficit y resultado fue bueno")
            )
        )
    ),
    IF(CH105&lt;0,
        IF(CC105&gt;TRUNC(CJ105/2,0),
            IF(CG105=TRUNC(CJ105/2,0),
                "-1, Superávit y deje la capacidad media",
                IF(AND(CG105&gt;TRUNC(CJ105/2,0), CG105&gt;=CC105),
                    "0, Superávit y no eliminé superávit",
                    IF(AND(CG105&lt;TRUNC(CJ105/2,0),CG105&lt;CC105),
                        "1, Superávit y eliminé superávit",
                        "-2, Superávit y resultado fue bueno"
                    )
                )
            ),
            IF(AND(CC105&lt;=TRUNC(CJ105/2,0),CC105&gt;=0),
                IF(CG105=TRUNC(CJ105/2,0),
                    "-1, no había superávit y deje la capacidad media",
                    IF(AND(CG105&gt;TRUNC(CJ105/2,0), CG105&gt;=CC105),
                        "0, no había superávit, y la deje con superávit",
                        IF(AND(CG105&lt;TRUNC(CJ105/2,0),CG105&lt;CC105),
                            "1, no había superávit, pero el resultado fue mejor",
                            "-2, no había superávit y resultado fue bueno"
                        )
                    )
                )
            )
        )
    )
)</f>
        <v>-1, no había superávit y deje la capacidad media</v>
      </c>
      <c r="CO105" s="30" t="s">
        <v>222</v>
      </c>
      <c r="CP105" s="30">
        <v>27</v>
      </c>
      <c r="CQ105" s="31">
        <v>21.333333333333332</v>
      </c>
      <c r="CR105" s="31">
        <v>27</v>
      </c>
      <c r="CS105" s="29">
        <v>27</v>
      </c>
      <c r="CT105" s="30">
        <v>21</v>
      </c>
      <c r="CU105" s="30">
        <v>-1.679865001322572</v>
      </c>
      <c r="CV105" s="26" t="s">
        <v>330</v>
      </c>
      <c r="CW105" s="30">
        <v>27</v>
      </c>
      <c r="CX105" s="29">
        <f t="shared" si="5"/>
        <v>1</v>
      </c>
      <c r="CY105" s="32">
        <f>CR105-CP105</f>
        <v>0</v>
      </c>
      <c r="CZ105" s="32" t="str">
        <f>IF(CU105&gt;0,
    IF(OR(CP105&lt;=TRUNC(CW105/2,0),CP105=0),
        IF(CT105=TRUNC(CW105/2,0),
            "-1, Déficit y dejo la capacidad media",
            IF(AND(CT105&gt;TRUNC(CW105/2,0), CT105&gt;CP105),
                "1, Déficit y eliminé déficit",
                IF(AND(CT105&lt;TRUNC(CW105/2,0), CT105&lt;CP105),
                    "0, Déficit y no elimine déficit",
                    "-2, Déficit y resultado fue bueno")
            )
        ),
        IF(AND(CT105&gt;TRUNC(CW105/2,0), CT105&gt;CP105),
            "1, no había déficit, pero resultado fue mejor",
            IF(AND(CT105&lt;TRUNC(CW105/2,0),CT105&lt;CP105),
                "0, no había déficit y la dejo con déficit",
                IF(CT105=TRUNC(CW105/2,0),
                    "-1, no había déficit y dejo la capacidad media",
                    "-2,no había déficit y resultado fue bueno")
            )
        )
    ),
    IF(CU105&lt;0,
        IF(CP105&gt;TRUNC(CW105/2,0),
            IF(CT105=TRUNC(CW105/2,0),
                "-1, Superávit y deje la capacidad media",
                IF(AND(CT105&gt;TRUNC(CW105/2,0), CT105&gt;=CP105),
                    "0, Superávit y no eliminé superávit",
                    IF(AND(CT105&lt;TRUNC(CW105/2,0),CT105&lt;CP105),
                        "1, Superávit y eliminé superávit",
                        "-2, Superávit y resultado fue bueno"
                    )
                )
            ),
            IF(AND(CP105&lt;=TRUNC(CW105/2,0),CP105&gt;=0),
                IF(CT105=TRUNC(CW105/2,0),
                    "-1, no había superávit y deje la capacidad media",
                    IF(AND(CT105&gt;TRUNC(CW105/2,0), CT105&gt;=CP105),
                        "0, no había superávit, y la deje con superávit",
                        IF(AND(CT105&lt;TRUNC(CW105/2,0),CT105&lt;CP105),
                            "1, no había superávit, pero el resultado fue mejor",
                            "-2, no había superávit y resultado fue bueno"
                        )
                    )
                )
            )
        )
    )
)</f>
        <v>-2, Superávit y resultado fue bueno</v>
      </c>
    </row>
    <row r="106" spans="2:106" ht="14.25" customHeight="1" x14ac:dyDescent="0.3">
      <c r="B106" s="28" t="s">
        <v>261</v>
      </c>
      <c r="C106" s="28">
        <f t="shared" ref="C106:G106" si="6">AVERAGE(C86:C95)</f>
        <v>3.6</v>
      </c>
      <c r="D106" s="33">
        <f t="shared" si="6"/>
        <v>4.2333333333333325</v>
      </c>
      <c r="E106" s="28">
        <f t="shared" si="6"/>
        <v>3.8</v>
      </c>
      <c r="F106" s="28">
        <f t="shared" si="6"/>
        <v>3.9</v>
      </c>
      <c r="G106" s="28">
        <f t="shared" si="6"/>
        <v>6.5</v>
      </c>
      <c r="H106" s="24"/>
      <c r="I106" s="24"/>
      <c r="J106" s="24"/>
      <c r="K106" s="24"/>
      <c r="L106" s="24"/>
      <c r="M106" s="24"/>
      <c r="O106" s="28" t="s">
        <v>261</v>
      </c>
      <c r="P106" s="21">
        <f>AVERAGE(P86:P95)</f>
        <v>7.9</v>
      </c>
      <c r="Q106" s="20">
        <f>AVERAGE(Q86:Q95)</f>
        <v>6.3111111111111109</v>
      </c>
      <c r="R106" s="21">
        <f>AVERAGE(R86:R95)</f>
        <v>4.5999999999999996</v>
      </c>
      <c r="S106" s="21">
        <f>AVERAGE(S86:S95)</f>
        <v>3.7</v>
      </c>
      <c r="T106" s="21">
        <f>AVERAGE(T86:T95)</f>
        <v>7.9</v>
      </c>
      <c r="U106" s="24"/>
      <c r="V106" s="24"/>
      <c r="W106" s="24"/>
      <c r="X106" s="24"/>
      <c r="Y106" s="24"/>
      <c r="Z106" s="24"/>
      <c r="AB106" s="28" t="s">
        <v>261</v>
      </c>
      <c r="AC106" s="21">
        <f>AVERAGE(AC86:AC95)</f>
        <v>7.8</v>
      </c>
      <c r="AD106" s="20">
        <f>AVERAGE(AD86:AD95)</f>
        <v>6.1999999999999984</v>
      </c>
      <c r="AE106" s="21">
        <f>AVERAGE(AE86:AE95)</f>
        <v>5.4</v>
      </c>
      <c r="AF106" s="21">
        <f>AVERAGE(AF86:AF95)</f>
        <v>4.4000000000000004</v>
      </c>
      <c r="AG106" s="21">
        <f>AVERAGE(AG86:AG95)</f>
        <v>7.8</v>
      </c>
      <c r="AH106" s="24"/>
      <c r="AI106" s="24"/>
      <c r="AJ106" s="24"/>
      <c r="AK106" s="24"/>
      <c r="AL106" s="24"/>
      <c r="AM106" s="24"/>
      <c r="AO106" s="28" t="s">
        <v>261</v>
      </c>
      <c r="AP106" s="28">
        <f>AVERAGE(AP86:AP95)</f>
        <v>6.2</v>
      </c>
      <c r="AQ106" s="33">
        <f>AVERAGE(AQ86:AQ95)</f>
        <v>6.2444444444444454</v>
      </c>
      <c r="AR106" s="28">
        <f>AVERAGE(AR86:AR95)</f>
        <v>4.9000000000000004</v>
      </c>
      <c r="AS106" s="28">
        <f>AVERAGE(AS86:AS95)</f>
        <v>4.2</v>
      </c>
      <c r="AT106" s="28">
        <f>AVERAGE(AT86:AT95)</f>
        <v>6.7</v>
      </c>
      <c r="AU106" s="24"/>
      <c r="AV106" s="24"/>
      <c r="AW106" s="24"/>
      <c r="AX106" s="24"/>
      <c r="AY106" s="24"/>
      <c r="AZ106" s="24"/>
      <c r="BB106" s="28" t="s">
        <v>261</v>
      </c>
      <c r="BC106" s="28">
        <f>AVERAGE(BC86:BC95)</f>
        <v>6.4</v>
      </c>
      <c r="BD106" s="33">
        <f>AVERAGE(BD86:BD95)</f>
        <v>6</v>
      </c>
      <c r="BE106" s="28">
        <f>AVERAGE(BE86:BE95)</f>
        <v>5.0999999999999996</v>
      </c>
      <c r="BF106" s="28">
        <f>AVERAGE(BF86:BF95)</f>
        <v>4.4000000000000004</v>
      </c>
      <c r="BG106" s="28">
        <f>AVERAGE(BG86:BG95)</f>
        <v>6.8</v>
      </c>
      <c r="BH106" s="24"/>
      <c r="BI106" s="24"/>
      <c r="BJ106" s="24"/>
      <c r="BK106" s="24"/>
      <c r="BL106" s="24"/>
      <c r="BM106" s="24"/>
      <c r="BO106" s="28" t="s">
        <v>261</v>
      </c>
      <c r="BP106" s="28">
        <f>AVERAGE(BP86:BP95)</f>
        <v>8.1999999999999993</v>
      </c>
      <c r="BQ106" s="33">
        <f>AVERAGE(BQ86:BQ95)</f>
        <v>5.4888888888888889</v>
      </c>
      <c r="BR106" s="28">
        <f>AVERAGE(BR86:BR95)</f>
        <v>6.7</v>
      </c>
      <c r="BS106" s="28">
        <f>AVERAGE(BS86:BS95)</f>
        <v>6.5</v>
      </c>
      <c r="BT106" s="28">
        <f>AVERAGE(BT86:BT95)</f>
        <v>8.1999999999999993</v>
      </c>
      <c r="BU106" s="24"/>
      <c r="BV106" s="24"/>
      <c r="BW106" s="24"/>
      <c r="BX106" s="24"/>
      <c r="BY106" s="24"/>
      <c r="BZ106" s="24"/>
      <c r="CB106" s="28" t="s">
        <v>261</v>
      </c>
      <c r="CC106" s="28">
        <f>AVERAGE(CC86:CC95)</f>
        <v>7.2</v>
      </c>
      <c r="CD106" s="33">
        <f>AVERAGE(CD86:CD95)</f>
        <v>5.4666666666666668</v>
      </c>
      <c r="CE106" s="33">
        <f>AVERAGE(CE86:CE95)</f>
        <v>6.6</v>
      </c>
      <c r="CF106" s="28">
        <f>AVERAGE(CF86:CF95)</f>
        <v>6.3</v>
      </c>
      <c r="CG106" s="28">
        <f>AVERAGE(CG86:CG95)</f>
        <v>7.2</v>
      </c>
      <c r="CH106" s="24"/>
      <c r="CI106" s="24"/>
      <c r="CJ106" s="24"/>
      <c r="CK106" s="24"/>
      <c r="CL106" s="24"/>
      <c r="CM106" s="24"/>
      <c r="CO106" s="28" t="s">
        <v>261</v>
      </c>
      <c r="CP106" s="28">
        <f>AVERAGE(CP86:CP95)</f>
        <v>4.3</v>
      </c>
      <c r="CQ106" s="33">
        <f>AVERAGE(CQ86:CQ95)</f>
        <v>4.2333333333333325</v>
      </c>
      <c r="CR106" s="33">
        <f>AVERAGE(CR86:CR95)</f>
        <v>5.0999999999999996</v>
      </c>
      <c r="CS106" s="28">
        <f>AVERAGE(CS86:CS95)</f>
        <v>5.2</v>
      </c>
      <c r="CT106" s="28">
        <f>AVERAGE(CT86:CT95)</f>
        <v>6.4</v>
      </c>
      <c r="CU106" s="24"/>
      <c r="CV106" s="24"/>
      <c r="CW106" s="24"/>
      <c r="CX106" s="24"/>
      <c r="CY106" s="24"/>
      <c r="CZ106" s="24"/>
    </row>
    <row r="107" spans="2:106" ht="14.25" customHeight="1" x14ac:dyDescent="0.3">
      <c r="B107" s="2" t="s">
        <v>264</v>
      </c>
      <c r="C107" s="2">
        <f t="shared" ref="C107:G107" si="7">AVERAGE(C96:C105)</f>
        <v>15.4</v>
      </c>
      <c r="D107" s="7">
        <f t="shared" si="7"/>
        <v>13.622222222222224</v>
      </c>
      <c r="E107" s="2">
        <f t="shared" si="7"/>
        <v>15.4</v>
      </c>
      <c r="F107" s="2">
        <f t="shared" si="7"/>
        <v>15.5</v>
      </c>
      <c r="G107" s="2">
        <f t="shared" si="7"/>
        <v>12.5</v>
      </c>
      <c r="O107" s="2" t="s">
        <v>264</v>
      </c>
      <c r="P107" s="2">
        <f>AVERAGE(P96:P105)</f>
        <v>11.3</v>
      </c>
      <c r="Q107" s="7">
        <f>AVERAGE(Q96:Q105)</f>
        <v>12.5</v>
      </c>
      <c r="R107" s="2">
        <f>AVERAGE(R96:R105)</f>
        <v>12.7</v>
      </c>
      <c r="S107" s="2">
        <f>AVERAGE(S96:S105)</f>
        <v>13</v>
      </c>
      <c r="T107" s="2">
        <f>AVERAGE(T96:T105)</f>
        <v>11.3</v>
      </c>
      <c r="AB107" s="2" t="s">
        <v>264</v>
      </c>
      <c r="AC107" s="2">
        <f>AVERAGE(AC96:AC105)</f>
        <v>10</v>
      </c>
      <c r="AD107" s="7">
        <f>AVERAGE(AD96:AD105)</f>
        <v>12.155555555555555</v>
      </c>
      <c r="AE107" s="2">
        <f>AVERAGE(AE96:AE105)</f>
        <v>13.7</v>
      </c>
      <c r="AF107" s="2">
        <f>AVERAGE(AF96:AF105)</f>
        <v>10.4</v>
      </c>
      <c r="AG107" s="2">
        <f>AVERAGE(AG96:AG105)</f>
        <v>10</v>
      </c>
      <c r="AO107" s="2" t="s">
        <v>264</v>
      </c>
      <c r="AP107" s="2">
        <f>AVERAGE(AP96:AP105)</f>
        <v>11.7</v>
      </c>
      <c r="AQ107" s="7">
        <f>AVERAGE(AQ96:AQ105)</f>
        <v>11.722222222222223</v>
      </c>
      <c r="AR107" s="2">
        <f>AVERAGE(AR96:AR105)</f>
        <v>12.8</v>
      </c>
      <c r="AS107" s="2">
        <f>AVERAGE(AS96:AS105)</f>
        <v>13.2</v>
      </c>
      <c r="AT107" s="2">
        <f>AVERAGE(AT96:AT105)</f>
        <v>11.2</v>
      </c>
      <c r="BB107" s="2" t="s">
        <v>264</v>
      </c>
      <c r="BC107" s="2">
        <f>AVERAGE(BC96:BC105)</f>
        <v>12.1</v>
      </c>
      <c r="BD107" s="7">
        <f>AVERAGE(BD96:BD105)</f>
        <v>13.155555555555557</v>
      </c>
      <c r="BE107" s="2">
        <f>AVERAGE(BE96:BE105)</f>
        <v>13.4</v>
      </c>
      <c r="BF107" s="2">
        <f>AVERAGE(BF96:BF105)</f>
        <v>13.6</v>
      </c>
      <c r="BG107" s="2">
        <f>AVERAGE(BG96:BG105)</f>
        <v>11.7</v>
      </c>
      <c r="BO107" s="2" t="s">
        <v>264</v>
      </c>
      <c r="BP107" s="2">
        <f>AVERAGE(BP96:BP105)</f>
        <v>12.3</v>
      </c>
      <c r="BQ107" s="7">
        <f>AVERAGE(BQ96:BQ105)</f>
        <v>12.455555555555554</v>
      </c>
      <c r="BR107" s="2">
        <f>AVERAGE(BR96:BR105)</f>
        <v>12.8</v>
      </c>
      <c r="BS107" s="2">
        <f>AVERAGE(BS96:BS105)</f>
        <v>13</v>
      </c>
      <c r="BT107" s="2">
        <f>AVERAGE(BT96:BT105)</f>
        <v>12.3</v>
      </c>
      <c r="CB107" s="2" t="s">
        <v>264</v>
      </c>
      <c r="CC107" s="2">
        <f>AVERAGE(CC96:CC105)</f>
        <v>10.7</v>
      </c>
      <c r="CD107" s="7">
        <f>AVERAGE(CD96:CD105)</f>
        <v>12.611111111111111</v>
      </c>
      <c r="CE107" s="7">
        <f>AVERAGE(CE96:CE105)</f>
        <v>10.9</v>
      </c>
      <c r="CF107" s="2">
        <f>AVERAGE(CF96:CF105)</f>
        <v>10.8</v>
      </c>
      <c r="CG107" s="2">
        <f>AVERAGE(CG96:CG105)</f>
        <v>10.7</v>
      </c>
      <c r="CO107" s="2" t="s">
        <v>264</v>
      </c>
      <c r="CP107" s="2">
        <f>AVERAGE(CP96:CP105)</f>
        <v>11.3</v>
      </c>
      <c r="CQ107" s="7">
        <f>AVERAGE(CQ96:CQ105)</f>
        <v>13.622222222222224</v>
      </c>
      <c r="CR107" s="7">
        <f>AVERAGE(CR96:CR105)</f>
        <v>11.4</v>
      </c>
      <c r="CS107" s="2">
        <f>AVERAGE(CS96:CS105)</f>
        <v>11.5</v>
      </c>
      <c r="CT107" s="2">
        <f>AVERAGE(CT96:CT105)</f>
        <v>9.1999999999999993</v>
      </c>
    </row>
    <row r="108" spans="2:106" ht="14.25" customHeight="1" x14ac:dyDescent="0.3">
      <c r="B108" s="2" t="s">
        <v>267</v>
      </c>
      <c r="C108" s="2">
        <f>_xlfn.SKEW.P(C86:C95)</f>
        <v>0.41823369855645742</v>
      </c>
      <c r="D108" s="2"/>
      <c r="E108" s="2"/>
      <c r="F108" s="2"/>
      <c r="G108" s="2">
        <f>_xlfn.SKEW.P(G86:G95)</f>
        <v>1.5812887318081237</v>
      </c>
      <c r="O108" s="2" t="s">
        <v>267</v>
      </c>
      <c r="P108" s="2">
        <f>_xlfn.SKEW.P(P86:P95)</f>
        <v>1.0530124400313241</v>
      </c>
      <c r="Q108" s="2"/>
      <c r="R108" s="2">
        <f>_xlfn.SKEW.P(R86:R95)</f>
        <v>0.10398984063658223</v>
      </c>
      <c r="AB108" s="2" t="s">
        <v>267</v>
      </c>
      <c r="AC108" s="2">
        <f>_xlfn.SKEW.P(AC86:AC95)</f>
        <v>0.90458307217565803</v>
      </c>
      <c r="AD108" s="2"/>
      <c r="AE108" s="2"/>
      <c r="AF108" s="2"/>
      <c r="AG108" s="2">
        <f>_xlfn.SKEW.P(AG86:AG95)</f>
        <v>0.82841305096607853</v>
      </c>
      <c r="AO108" s="2" t="s">
        <v>267</v>
      </c>
      <c r="AP108" s="2">
        <f>_xlfn.SKEW.P(AP86:AP95)</f>
        <v>0.87516880935872943</v>
      </c>
      <c r="AQ108" s="2"/>
      <c r="AR108" s="2"/>
      <c r="AS108" s="2"/>
      <c r="AT108" s="2">
        <f>_xlfn.SKEW.P(AT86:AT95)</f>
        <v>1.1550460651193224</v>
      </c>
      <c r="BB108" s="2" t="s">
        <v>267</v>
      </c>
      <c r="BC108" s="2">
        <f>_xlfn.SKEW.P(BC86:BC95)</f>
        <v>1.2352433108125782</v>
      </c>
      <c r="BD108" s="2"/>
      <c r="BE108" s="2"/>
      <c r="BF108" s="2"/>
      <c r="BG108" s="2">
        <f>_xlfn.SKEW.P(BG86:BG95)</f>
        <v>1.0479149063991311</v>
      </c>
      <c r="BO108" s="2" t="s">
        <v>267</v>
      </c>
      <c r="BP108" s="2">
        <f>_xlfn.SKEW.P(BP86:BP95)</f>
        <v>0.28627285990287127</v>
      </c>
      <c r="BQ108" s="2"/>
      <c r="BR108" s="2"/>
      <c r="BS108" s="2"/>
      <c r="BT108" s="2">
        <f>_xlfn.SKEW.P(BT86:BT95)</f>
        <v>0.93748252966800416</v>
      </c>
      <c r="CB108" s="2" t="s">
        <v>267</v>
      </c>
      <c r="CC108" s="2">
        <f>_xlfn.SKEW.P(CC86:CC95)</f>
        <v>0.4049056935922245</v>
      </c>
      <c r="CD108" s="2"/>
      <c r="CE108" s="2"/>
      <c r="CF108" s="2"/>
      <c r="CG108" s="2">
        <f>_xlfn.SKEW.P(CG86:CG95)</f>
        <v>1.1622698898239523</v>
      </c>
      <c r="CO108" s="2" t="s">
        <v>267</v>
      </c>
      <c r="CP108" s="2">
        <f>_xlfn.SKEW.P(CP86:CP95)</f>
        <v>1.3634574937241333</v>
      </c>
      <c r="CQ108" s="2"/>
      <c r="CR108" s="2"/>
      <c r="CS108" s="2"/>
      <c r="CT108" s="2">
        <f>_xlfn.SKEW.P(CT86:CT95)</f>
        <v>1.439539308611987</v>
      </c>
    </row>
    <row r="109" spans="2:106" ht="14.25" customHeight="1" x14ac:dyDescent="0.3">
      <c r="B109" s="2" t="s">
        <v>268</v>
      </c>
      <c r="C109" s="2">
        <f>_xlfn.SKEW.P(C96:C105)</f>
        <v>0.22354750367896506</v>
      </c>
      <c r="D109" s="2"/>
      <c r="E109" s="2"/>
      <c r="F109" s="2"/>
      <c r="G109" s="2">
        <f>_xlfn.SKEW.P(G96:G105)</f>
        <v>3.2960327898396799E-2</v>
      </c>
      <c r="O109" s="2" t="s">
        <v>268</v>
      </c>
      <c r="P109" s="2">
        <f>_xlfn.SKEW.P(P96:P105)</f>
        <v>0.6816521225485237</v>
      </c>
      <c r="Q109" s="2"/>
      <c r="R109" s="2">
        <f>_xlfn.SKEW.P(R96:R105)</f>
        <v>0.69119637855569371</v>
      </c>
      <c r="AB109" s="2" t="s">
        <v>268</v>
      </c>
      <c r="AC109" s="2">
        <f>_xlfn.SKEW.P(AC96:AC105)</f>
        <v>0.62828086243754333</v>
      </c>
      <c r="AD109" s="2"/>
      <c r="AE109" s="2"/>
      <c r="AF109" s="2"/>
      <c r="AG109" s="2">
        <f>_xlfn.SKEW.P(AG96:AG105)</f>
        <v>0.95887816966442418</v>
      </c>
      <c r="AO109" s="2" t="s">
        <v>268</v>
      </c>
      <c r="AP109" s="2">
        <f>_xlfn.SKEW.P(AP96:AP105)</f>
        <v>1.4443490106349537</v>
      </c>
      <c r="AQ109" s="2"/>
      <c r="AR109" s="2"/>
      <c r="AS109" s="2"/>
      <c r="AT109" s="2">
        <f>_xlfn.SKEW.P(AT96:AT105)</f>
        <v>0.69398946102626802</v>
      </c>
      <c r="BB109" s="2" t="s">
        <v>268</v>
      </c>
      <c r="BC109" s="2">
        <f>_xlfn.SKEW.P(BC96:BC105)</f>
        <v>0.98202572238837038</v>
      </c>
      <c r="BD109" s="2"/>
      <c r="BE109" s="2"/>
      <c r="BF109" s="2"/>
      <c r="BG109" s="2">
        <f>_xlfn.SKEW.P(BG96:BG105)</f>
        <v>0.95753136639429981</v>
      </c>
      <c r="BO109" s="2" t="s">
        <v>268</v>
      </c>
      <c r="BP109" s="2">
        <f>_xlfn.SKEW.P(BP96:BP105)</f>
        <v>0.49067855598033966</v>
      </c>
      <c r="BQ109" s="2"/>
      <c r="BR109" s="2"/>
      <c r="BS109" s="2"/>
      <c r="BT109" s="2">
        <f>_xlfn.SKEW.P(BT96:BT105)</f>
        <v>9.8610510171290328E-2</v>
      </c>
      <c r="CB109" s="2" t="s">
        <v>268</v>
      </c>
      <c r="CC109" s="2">
        <f>_xlfn.SKEW.P(CC96:CC105)</f>
        <v>-0.41635184094789446</v>
      </c>
      <c r="CD109" s="2"/>
      <c r="CE109" s="2"/>
      <c r="CF109" s="2"/>
      <c r="CG109" s="2">
        <f>_xlfn.SKEW.P(CG96:CG105)</f>
        <v>-0.47689260655622989</v>
      </c>
      <c r="CO109" s="2" t="s">
        <v>268</v>
      </c>
      <c r="CP109" s="2">
        <f>_xlfn.SKEW.P(CP96:CP105)</f>
        <v>0.45118641799783277</v>
      </c>
      <c r="CQ109" s="2"/>
      <c r="CR109" s="2"/>
      <c r="CS109" s="2"/>
      <c r="CT109" s="2">
        <f>_xlfn.SKEW.P(CT96:CT105)</f>
        <v>0.57384557676741788</v>
      </c>
    </row>
    <row r="110" spans="2:106" ht="14.25" customHeight="1" x14ac:dyDescent="0.3">
      <c r="B110" s="2" t="s">
        <v>269</v>
      </c>
      <c r="C110" s="3">
        <v>26.10267222923132</v>
      </c>
      <c r="O110" s="2" t="s">
        <v>269</v>
      </c>
      <c r="P110" s="3">
        <v>10.419441029604091</v>
      </c>
      <c r="AB110" s="2" t="s">
        <v>269</v>
      </c>
      <c r="AC110" s="3">
        <v>5.8011690189423248</v>
      </c>
      <c r="AO110" s="2" t="s">
        <v>269</v>
      </c>
      <c r="AP110" s="3">
        <v>15.006242219566451</v>
      </c>
      <c r="BB110" s="2" t="s">
        <v>269</v>
      </c>
      <c r="BC110" s="3">
        <v>12.163092506770299</v>
      </c>
      <c r="BO110" s="2" t="s">
        <v>269</v>
      </c>
      <c r="BP110" s="3">
        <v>9.9447589758097372</v>
      </c>
      <c r="CB110" s="2" t="s">
        <v>269</v>
      </c>
      <c r="CC110" s="2">
        <v>9.5178907458734709</v>
      </c>
      <c r="CO110" s="2" t="s">
        <v>269</v>
      </c>
      <c r="CP110" s="3">
        <v>20.475954709890349</v>
      </c>
    </row>
    <row r="111" spans="2:106" ht="14.25" customHeight="1" x14ac:dyDescent="0.3">
      <c r="B111" s="2" t="s">
        <v>270</v>
      </c>
      <c r="C111" s="2">
        <v>14</v>
      </c>
      <c r="O111" s="2" t="s">
        <v>270</v>
      </c>
      <c r="P111" s="2">
        <v>8</v>
      </c>
      <c r="AB111" s="2" t="s">
        <v>270</v>
      </c>
      <c r="AC111" s="2">
        <v>5</v>
      </c>
      <c r="AO111" s="2" t="s">
        <v>270</v>
      </c>
      <c r="AP111" s="2">
        <v>9</v>
      </c>
      <c r="BB111" s="2" t="s">
        <v>270</v>
      </c>
      <c r="BC111" s="2">
        <v>7</v>
      </c>
      <c r="BO111" s="2" t="s">
        <v>270</v>
      </c>
      <c r="BP111" s="2">
        <v>7</v>
      </c>
      <c r="CB111" s="2" t="s">
        <v>270</v>
      </c>
      <c r="CC111" s="2">
        <v>6</v>
      </c>
      <c r="CO111" s="2" t="s">
        <v>270</v>
      </c>
      <c r="CP111" s="2">
        <v>11</v>
      </c>
    </row>
    <row r="112" spans="2:106" ht="14.25" customHeight="1" x14ac:dyDescent="0.3">
      <c r="B112" s="17" t="s">
        <v>271</v>
      </c>
      <c r="C112" s="2">
        <f>C111*2</f>
        <v>28</v>
      </c>
      <c r="O112" s="17" t="s">
        <v>271</v>
      </c>
      <c r="P112" s="2">
        <f>P111*2</f>
        <v>16</v>
      </c>
      <c r="AB112" s="17" t="s">
        <v>271</v>
      </c>
      <c r="AC112" s="2">
        <f>AC111*2</f>
        <v>10</v>
      </c>
      <c r="AO112" s="17" t="s">
        <v>271</v>
      </c>
      <c r="AP112" s="2">
        <f>AP111*2</f>
        <v>18</v>
      </c>
      <c r="BB112" s="17" t="s">
        <v>271</v>
      </c>
      <c r="BC112" s="2">
        <f>BC111*2</f>
        <v>14</v>
      </c>
      <c r="BO112" s="17" t="s">
        <v>271</v>
      </c>
      <c r="BP112" s="2">
        <f>BP111*2</f>
        <v>14</v>
      </c>
      <c r="CB112" s="17" t="s">
        <v>271</v>
      </c>
      <c r="CC112" s="2">
        <f>CC111*2</f>
        <v>12</v>
      </c>
      <c r="CO112" s="17" t="s">
        <v>271</v>
      </c>
      <c r="CP112" s="2">
        <f>CP111*2</f>
        <v>22</v>
      </c>
    </row>
    <row r="113" spans="2:103" ht="14.25" customHeight="1" x14ac:dyDescent="0.3"/>
    <row r="114" spans="2:103" ht="14.25" customHeight="1" x14ac:dyDescent="0.3"/>
    <row r="115" spans="2:103" ht="14.25" customHeight="1" x14ac:dyDescent="0.3"/>
    <row r="116" spans="2:103" ht="14.25" customHeight="1" x14ac:dyDescent="0.3">
      <c r="B116" s="24"/>
      <c r="C116" s="27" t="s">
        <v>288</v>
      </c>
      <c r="D116" s="27"/>
      <c r="E116" s="27"/>
      <c r="F116" s="27"/>
      <c r="G116" s="27"/>
      <c r="H116" s="24"/>
      <c r="I116" s="24"/>
      <c r="J116" s="24"/>
      <c r="K116" s="24"/>
      <c r="L116" s="24"/>
      <c r="M116" s="24"/>
      <c r="O116" s="24"/>
      <c r="P116" s="27" t="s">
        <v>289</v>
      </c>
      <c r="Q116" s="27"/>
      <c r="R116" s="27"/>
      <c r="S116" s="24"/>
      <c r="T116" s="24"/>
      <c r="U116" s="24"/>
      <c r="V116" s="24"/>
      <c r="W116" s="24"/>
      <c r="X116" s="24"/>
      <c r="Y116" s="24"/>
      <c r="Z116" s="24"/>
      <c r="AB116" s="24"/>
      <c r="AC116" s="27" t="s">
        <v>290</v>
      </c>
      <c r="AD116" s="27"/>
      <c r="AE116" s="27"/>
      <c r="AF116" s="27"/>
      <c r="AG116" s="27"/>
      <c r="AH116" s="24"/>
      <c r="AI116" s="24"/>
      <c r="AJ116" s="24"/>
      <c r="AK116" s="24"/>
      <c r="AL116" s="24"/>
      <c r="AM116" s="24"/>
      <c r="AO116" s="24"/>
      <c r="AP116" s="27" t="s">
        <v>291</v>
      </c>
      <c r="AQ116" s="27"/>
      <c r="AR116" s="27"/>
      <c r="AS116" s="27"/>
      <c r="AT116" s="27"/>
      <c r="AU116" s="24"/>
      <c r="AV116" s="24"/>
      <c r="AW116" s="24"/>
      <c r="AX116" s="24"/>
      <c r="AY116" s="24"/>
      <c r="AZ116" s="24"/>
      <c r="BB116" s="24"/>
      <c r="BC116" s="27" t="s">
        <v>292</v>
      </c>
      <c r="BD116" s="27"/>
      <c r="BE116" s="27"/>
      <c r="BF116" s="27"/>
      <c r="BG116" s="27"/>
      <c r="BH116" s="24"/>
      <c r="BI116" s="24"/>
      <c r="BJ116" s="24"/>
      <c r="BK116" s="24"/>
      <c r="BL116" s="24"/>
      <c r="BM116" s="24"/>
      <c r="BO116" s="24"/>
      <c r="BP116" s="27" t="s">
        <v>293</v>
      </c>
      <c r="BQ116" s="27"/>
      <c r="BR116" s="27"/>
      <c r="BS116" s="27"/>
      <c r="BT116" s="27"/>
      <c r="BU116" s="24"/>
      <c r="BV116" s="24"/>
      <c r="BW116" s="24"/>
      <c r="BX116" s="24"/>
      <c r="BY116" s="24"/>
      <c r="BZ116" s="24"/>
      <c r="CB116" s="24"/>
      <c r="CC116" s="27" t="s">
        <v>294</v>
      </c>
      <c r="CD116" s="27"/>
      <c r="CE116" s="27"/>
      <c r="CF116" s="27"/>
      <c r="CG116" s="27"/>
      <c r="CH116" s="24"/>
      <c r="CI116" s="24"/>
      <c r="CJ116" s="24"/>
      <c r="CK116" s="24"/>
      <c r="CL116" s="24"/>
      <c r="CM116" s="24"/>
    </row>
    <row r="117" spans="2:103" ht="14.25" customHeight="1" x14ac:dyDescent="0.3">
      <c r="B117" s="30" t="s">
        <v>180</v>
      </c>
      <c r="C117" s="30" t="s">
        <v>5</v>
      </c>
      <c r="D117" s="30" t="s">
        <v>190</v>
      </c>
      <c r="E117" s="35" t="s">
        <v>255</v>
      </c>
      <c r="F117" s="35" t="s">
        <v>256</v>
      </c>
      <c r="G117" s="30" t="s">
        <v>257</v>
      </c>
      <c r="H117" s="30" t="s">
        <v>258</v>
      </c>
      <c r="I117" s="26" t="s">
        <v>334</v>
      </c>
      <c r="J117" s="30" t="s">
        <v>12</v>
      </c>
      <c r="K117" s="30" t="s">
        <v>259</v>
      </c>
      <c r="L117" s="30" t="s">
        <v>260</v>
      </c>
      <c r="M117" s="30" t="s">
        <v>333</v>
      </c>
      <c r="O117" s="30" t="s">
        <v>180</v>
      </c>
      <c r="P117" s="30" t="s">
        <v>5</v>
      </c>
      <c r="Q117" s="30" t="s">
        <v>231</v>
      </c>
      <c r="R117" s="35" t="s">
        <v>255</v>
      </c>
      <c r="S117" s="30" t="s">
        <v>256</v>
      </c>
      <c r="T117" s="30" t="s">
        <v>257</v>
      </c>
      <c r="U117" s="30" t="s">
        <v>258</v>
      </c>
      <c r="V117" s="26" t="s">
        <v>334</v>
      </c>
      <c r="W117" s="30" t="s">
        <v>12</v>
      </c>
      <c r="X117" s="30" t="s">
        <v>259</v>
      </c>
      <c r="Y117" s="30" t="s">
        <v>260</v>
      </c>
      <c r="Z117" s="30" t="s">
        <v>333</v>
      </c>
      <c r="AB117" s="30" t="s">
        <v>180</v>
      </c>
      <c r="AC117" s="30" t="s">
        <v>5</v>
      </c>
      <c r="AD117" s="30" t="s">
        <v>233</v>
      </c>
      <c r="AE117" s="35" t="s">
        <v>255</v>
      </c>
      <c r="AF117" s="30" t="s">
        <v>256</v>
      </c>
      <c r="AG117" s="30" t="s">
        <v>257</v>
      </c>
      <c r="AH117" s="30" t="s">
        <v>258</v>
      </c>
      <c r="AI117" s="26" t="s">
        <v>334</v>
      </c>
      <c r="AJ117" s="30" t="s">
        <v>12</v>
      </c>
      <c r="AK117" s="30" t="s">
        <v>259</v>
      </c>
      <c r="AL117" s="30" t="s">
        <v>260</v>
      </c>
      <c r="AM117" s="30" t="s">
        <v>333</v>
      </c>
      <c r="AO117" s="30" t="s">
        <v>180</v>
      </c>
      <c r="AP117" s="30" t="s">
        <v>5</v>
      </c>
      <c r="AQ117" s="30" t="s">
        <v>235</v>
      </c>
      <c r="AR117" s="35" t="s">
        <v>255</v>
      </c>
      <c r="AS117" s="30" t="s">
        <v>256</v>
      </c>
      <c r="AT117" s="30" t="s">
        <v>257</v>
      </c>
      <c r="AU117" s="30" t="s">
        <v>258</v>
      </c>
      <c r="AV117" s="26" t="s">
        <v>334</v>
      </c>
      <c r="AW117" s="30" t="s">
        <v>12</v>
      </c>
      <c r="AX117" s="30" t="s">
        <v>259</v>
      </c>
      <c r="AY117" s="30" t="s">
        <v>260</v>
      </c>
      <c r="AZ117" s="30" t="s">
        <v>333</v>
      </c>
      <c r="BB117" s="30" t="s">
        <v>180</v>
      </c>
      <c r="BC117" s="30" t="s">
        <v>5</v>
      </c>
      <c r="BD117" s="30" t="s">
        <v>238</v>
      </c>
      <c r="BE117" s="35" t="s">
        <v>255</v>
      </c>
      <c r="BF117" s="30" t="s">
        <v>256</v>
      </c>
      <c r="BG117" s="30" t="s">
        <v>257</v>
      </c>
      <c r="BH117" s="30" t="s">
        <v>258</v>
      </c>
      <c r="BI117" s="26" t="s">
        <v>334</v>
      </c>
      <c r="BJ117" s="30" t="s">
        <v>12</v>
      </c>
      <c r="BK117" s="30" t="s">
        <v>259</v>
      </c>
      <c r="BL117" s="30" t="s">
        <v>260</v>
      </c>
      <c r="BM117" s="30" t="s">
        <v>333</v>
      </c>
      <c r="BO117" s="30" t="s">
        <v>180</v>
      </c>
      <c r="BP117" s="30" t="s">
        <v>5</v>
      </c>
      <c r="BQ117" s="30" t="s">
        <v>240</v>
      </c>
      <c r="BR117" s="35" t="s">
        <v>255</v>
      </c>
      <c r="BS117" s="30" t="s">
        <v>256</v>
      </c>
      <c r="BT117" s="30" t="s">
        <v>257</v>
      </c>
      <c r="BU117" s="30" t="s">
        <v>258</v>
      </c>
      <c r="BV117" s="26" t="s">
        <v>334</v>
      </c>
      <c r="BW117" s="30" t="s">
        <v>12</v>
      </c>
      <c r="BX117" s="30" t="s">
        <v>259</v>
      </c>
      <c r="BY117" s="30" t="s">
        <v>260</v>
      </c>
      <c r="BZ117" s="30" t="s">
        <v>333</v>
      </c>
      <c r="CB117" s="30" t="s">
        <v>180</v>
      </c>
      <c r="CC117" s="30" t="s">
        <v>5</v>
      </c>
      <c r="CD117" s="30" t="s">
        <v>245</v>
      </c>
      <c r="CE117" s="35" t="s">
        <v>255</v>
      </c>
      <c r="CF117" s="30" t="s">
        <v>256</v>
      </c>
      <c r="CG117" s="30" t="s">
        <v>257</v>
      </c>
      <c r="CH117" s="30" t="s">
        <v>258</v>
      </c>
      <c r="CI117" s="26" t="s">
        <v>334</v>
      </c>
      <c r="CJ117" s="30" t="s">
        <v>12</v>
      </c>
      <c r="CK117" s="30" t="s">
        <v>259</v>
      </c>
      <c r="CL117" s="30" t="s">
        <v>260</v>
      </c>
      <c r="CM117" s="30" t="s">
        <v>333</v>
      </c>
      <c r="CY117" s="24"/>
    </row>
    <row r="118" spans="2:103" ht="14.25" customHeight="1" x14ac:dyDescent="0.3">
      <c r="B118" s="30" t="s">
        <v>195</v>
      </c>
      <c r="C118" s="30">
        <v>6</v>
      </c>
      <c r="D118" s="31">
        <v>6.7777777777777777</v>
      </c>
      <c r="E118" s="29">
        <v>6</v>
      </c>
      <c r="F118" s="29">
        <v>4</v>
      </c>
      <c r="G118" s="30">
        <v>7</v>
      </c>
      <c r="H118" s="30">
        <v>0.9957863323050703</v>
      </c>
      <c r="I118" s="26" t="s">
        <v>325</v>
      </c>
      <c r="J118" s="30">
        <v>15</v>
      </c>
      <c r="K118" s="29">
        <f>IF(E118&lt;=C118,1,0)</f>
        <v>1</v>
      </c>
      <c r="L118" s="29">
        <f>E118-C118</f>
        <v>0</v>
      </c>
      <c r="M118" s="29" t="str">
        <f>IF(H118&gt;0,
    IF(OR(C118&lt;=TRUNC(J118/2,0),C118=0),
        IF(G118=TRUNC(J118/2,0),
            "-1, Déficit y dejo la capacidad media",
            IF(AND(G118&gt;TRUNC(J118/2,0), G118&gt;C118),
                "1, Déficit y eliminé déficit",
                IF(AND(G118&lt;TRUNC(J118/2,0), G118&lt;C118),
                    "0, Déficit y no elimine déficit",
                    "-2, Déficit y resultado fue bueno")
            )
        ),
        IF(AND(G118&gt;TRUNC(J118/2,0), G118&gt;C118),
            "1, no había déficit, pero resultado fue mejor",
            IF(AND(G118&lt;TRUNC(J118/2,0),G118&lt;C118),
                "0, no había déficit y la dejo con déficit",
                IF(G118=TRUNC(J118/2,0),
                    "-1, no había déficit y dejo la capacidad media",
                    "-2,no había déficit y resultado fue bueno")
            )
        )
    ),
    IF(H118&lt;0,
        IF(C118&gt;TRUNC(J118/2,0),
            IF(G118=TRUNC(J118/2,0),
                "-1, Superávit y deje la capacidad media",
                IF(AND(G118&gt;TRUNC(J118/2,0), G118&gt;=C118),
                    "0, Superávit y no eliminé superávit",
                    IF(AND(G118&lt;TRUNC(J118/2,0),G118&lt;C118),
                        "1, Superávit y eliminé superávit",
                        "-2, Superávit y resultado fue bueno"
                    )
                )
            ),
            IF(AND(C118&lt;=TRUNC(J118/2,0),C118&gt;=0),
                IF(G118=TRUNC(J118/2,0),
                    "-1, no había superávit y deje la capacidad media",
                    IF(AND(G118&gt;TRUNC(J118/2,0), G118&gt;=C118),
                        "0, no había superávit, y la deje con superávit",
                        IF(AND(G118&lt;TRUNC(J118/2,0),G118&lt;C118),
                            "1, no había superávit, pero el resultado fue mejor",
                            "-2, no había superávit y resultado fue bueno"
                        )
                    )
                )
            )
        )
    )
)</f>
        <v>-1, Déficit y dejo la capacidad media</v>
      </c>
      <c r="O118" s="30" t="s">
        <v>195</v>
      </c>
      <c r="P118" s="30">
        <v>4</v>
      </c>
      <c r="Q118" s="31">
        <v>6.2222222222222223</v>
      </c>
      <c r="R118" s="29">
        <v>3</v>
      </c>
      <c r="S118" s="30">
        <v>5</v>
      </c>
      <c r="T118" s="30">
        <v>7</v>
      </c>
      <c r="U118" s="30">
        <v>0.9957863323050703</v>
      </c>
      <c r="V118" s="26" t="s">
        <v>325</v>
      </c>
      <c r="W118" s="30">
        <v>15</v>
      </c>
      <c r="X118" s="29">
        <f>IF(R118&lt;=P118,1,0)</f>
        <v>1</v>
      </c>
      <c r="Y118" s="29">
        <f>R118-P118</f>
        <v>-1</v>
      </c>
      <c r="Z118" s="29" t="str">
        <f>IF(U118&gt;0,
    IF(OR(P118&lt;=TRUNC(W118/2,0),P118=0),
        IF(T118=TRUNC(W118/2,0),
            "-1, Déficit y dejo la capacidad media",
            IF(AND(T118&gt;TRUNC(W118/2,0), T118&gt;P118),
                "1, Déficit y eliminé déficit",
                IF(AND(T118&lt;TRUNC(W118/2,0), T118&lt;P118),
                    "0, Déficit y no elimine déficit",
                    "-2, Déficit y resultado fue bueno")
            )
        ),
        IF(AND(T118&gt;TRUNC(W118/2,0), T118&gt;P118),
            "1, no había déficit, pero resultado fue mejor",
            IF(AND(T118&lt;TRUNC(W118/2,0),T118&lt;P118),
                "0, no había déficit y la dejo con déficit",
                IF(T118=TRUNC(W118/2,0),
                    "-1, no había déficit y dejo la capacidad media",
                    "-2,no había déficit y resultado fue bueno")
            )
        )
    ),
    IF(U118&lt;0,
        IF(P118&gt;TRUNC(W118/2,0),
            IF(T118=TRUNC(W118/2,0),
                "-1, Superávit y deje la capacidad media",
                IF(AND(T118&gt;TRUNC(W118/2,0), T118&gt;=P118),
                    "0, Superávit y no eliminé superávit",
                    IF(AND(T118&lt;TRUNC(W118/2,0),T118&lt;P118),
                        "1, Superávit y eliminé superávit",
                        "-2, Superávit y resultado fue bueno"
                    )
                )
            ),
            IF(AND(P118&lt;=TRUNC(W118/2,0),P118&gt;=0),
                IF(T118=TRUNC(W118/2,0),
                    "-1, no había superávit y deje la capacidad media",
                    IF(AND(T118&gt;TRUNC(W118/2,0), T118&gt;=P118),
                        "0, no había superávit, y la deje con superávit",
                        IF(AND(T118&lt;TRUNC(W118/2,0),T118&lt;P118),
                            "1, no había superávit, pero el resultado fue mejor",
                            "-2, no había superávit y resultado fue bueno"
                        )
                    )
                )
            )
        )
    )
)</f>
        <v>-1, Déficit y dejo la capacidad media</v>
      </c>
      <c r="AB118" s="30" t="s">
        <v>195</v>
      </c>
      <c r="AC118" s="30">
        <v>10</v>
      </c>
      <c r="AD118" s="31">
        <v>9</v>
      </c>
      <c r="AE118" s="29">
        <v>13</v>
      </c>
      <c r="AF118" s="31">
        <v>10</v>
      </c>
      <c r="AG118" s="30">
        <v>7</v>
      </c>
      <c r="AH118" s="30">
        <v>0.9957863323050703</v>
      </c>
      <c r="AI118" s="26" t="s">
        <v>325</v>
      </c>
      <c r="AJ118" s="30">
        <v>15</v>
      </c>
      <c r="AK118" s="29">
        <f>IF(AE118&lt;=AC118,1,0)</f>
        <v>0</v>
      </c>
      <c r="AL118" s="29">
        <f>AE118-AC118</f>
        <v>3</v>
      </c>
      <c r="AM118" s="29" t="str">
        <f>IF(AH118&gt;0,
    IF(OR(AC118&lt;=TRUNC(AJ118/2,0),AC118=0),
        IF(AG118=TRUNC(AJ118/2,0),
            "-1, Déficit y dejo la capacidad media",
            IF(AND(AG118&gt;TRUNC(AJ118/2,0), AG118&gt;AC118),
                "1, Déficit y eliminé déficit",
                IF(AND(AG118&lt;TRUNC(AJ118/2,0), AG118&lt;AC118),
                    "0, Déficit y no elimine déficit",
                    "-2, Déficit y resultado fue bueno")
            )
        ),
        IF(AND(AG118&gt;TRUNC(AJ118/2,0), AG118&gt;AC118),
            "1, no había déficit, pero resultado fue mejor",
            IF(AND(AG118&lt;TRUNC(AJ118/2,0),AG118&lt;AC118),
                "0, no había déficit y la dejo con déficit",
                IF(AG118=TRUNC(AJ118/2,0),
                    "-1, no había déficit y dejo la capacidad media",
                    "-2,no había déficit y resultado fue bueno")
            )
        )
    ),
    IF(AH118&lt;0,
        IF(AC118&gt;TRUNC(AJ118/2,0),
            IF(AG118=TRUNC(AJ118/2,0),
                "-1, Superávit y deje la capacidad media",
                IF(AND(AG118&gt;TRUNC(AJ118/2,0), AG118&gt;=AC118),
                    "0, Superávit y no eliminé superávit",
                    IF(AND(AG118&lt;TRUNC(AJ118/2,0),AG118&lt;AC118),
                        "1, Superávit y eliminé superávit",
                        "-2, Superávit y resultado fue bueno"
                    )
                )
            ),
            IF(AND(AC118&lt;=TRUNC(AJ118/2,0),AC118&gt;=0),
                IF(AG118=TRUNC(AJ118/2,0),
                    "-1, no había superávit y deje la capacidad media",
                    IF(AND(AG118&gt;TRUNC(AJ118/2,0), AG118&gt;=AC118),
                        "0, no había superávit, y la deje con superávit",
                        IF(AND(AG118&lt;TRUNC(AJ118/2,0),AG118&lt;AC118),
                            "1, no había superávit, pero el resultado fue mejor",
                            "-2, no había superávit y resultado fue bueno"
                        )
                    )
                )
            )
        )
    )
)</f>
        <v>-1, no había déficit y dejo la capacidad media</v>
      </c>
      <c r="AO118" s="30" t="s">
        <v>195</v>
      </c>
      <c r="AP118" s="30">
        <v>13</v>
      </c>
      <c r="AQ118" s="31">
        <v>7.8888888888888893</v>
      </c>
      <c r="AR118" s="29">
        <v>13</v>
      </c>
      <c r="AS118" s="29">
        <v>12</v>
      </c>
      <c r="AT118" s="30">
        <v>7</v>
      </c>
      <c r="AU118" s="30">
        <v>0.9957863323050703</v>
      </c>
      <c r="AV118" s="26" t="s">
        <v>325</v>
      </c>
      <c r="AW118" s="30">
        <v>15</v>
      </c>
      <c r="AX118" s="29">
        <f>IF(AR118&lt;=AP118,1,0)</f>
        <v>1</v>
      </c>
      <c r="AY118" s="29">
        <f>AR118-AP118</f>
        <v>0</v>
      </c>
      <c r="AZ118" s="29" t="str">
        <f>IF(AU118&gt;0,
    IF(OR(AP118&lt;=TRUNC(AW118/2,0),AP118=0),
        IF(AT118=TRUNC(AW118/2,0),
            "-1, Déficit y dejo la capacidad media",
            IF(AND(AT118&gt;TRUNC(AW118/2,0), AT118&gt;AP118),
                "1, Déficit y eliminé déficit",
                IF(AND(AT118&lt;TRUNC(AW118/2,0), AT118&lt;AP118),
                    "0, Déficit y no elimine déficit",
                    "-2, Déficit y resultado fue bueno")
            )
        ),
        IF(AND(AT118&gt;TRUNC(AW118/2,0), AT118&gt;AP118),
            "1, no había déficit, pero resultado fue mejor",
            IF(AND(AT118&lt;TRUNC(AW118/2,0),AT118&lt;AP118),
                "0, no había déficit y la dejo con déficit",
                IF(AT118=TRUNC(AW118/2,0),
                    "-1, no había déficit y dejo la capacidad media",
                    "-2,no había déficit y resultado fue bueno")
            )
        )
    ),
    IF(AU118&lt;0,
        IF(AP118&gt;TRUNC(AW118/2,0),
            IF(AT118=TRUNC(AW118/2,0),
                "-1, Superávit y deje la capacidad media",
                IF(AND(AT118&gt;TRUNC(AW118/2,0), AT118&gt;=AP118),
                    "0, Superávit y no eliminé superávit",
                    IF(AND(AT118&lt;TRUNC(AW118/2,0),AT118&lt;AP118),
                        "1, Superávit y eliminé superávit",
                        "-2, Superávit y resultado fue bueno"
                    )
                )
            ),
            IF(AND(AP118&lt;=TRUNC(AW118/2,0),AP118&gt;=0),
                IF(AT118=TRUNC(AW118/2,0),
                    "-1, no había superávit y deje la capacidad media",
                    IF(AND(AT118&gt;TRUNC(AW118/2,0), AT118&gt;=AP118),
                        "0, no había superávit, y la deje con superávit",
                        IF(AND(AT118&lt;TRUNC(AW118/2,0),AT118&lt;AP118),
                            "1, no había superávit, pero el resultado fue mejor",
                            "-2, no había superávit y resultado fue bueno"
                        )
                    )
                )
            )
        )
    )
)</f>
        <v>-1, no había déficit y dejo la capacidad media</v>
      </c>
      <c r="BB118" s="30" t="s">
        <v>195</v>
      </c>
      <c r="BC118" s="30">
        <v>10</v>
      </c>
      <c r="BD118" s="31">
        <v>6.1111111111111107</v>
      </c>
      <c r="BE118" s="29">
        <v>5</v>
      </c>
      <c r="BF118" s="29">
        <v>6</v>
      </c>
      <c r="BG118" s="30">
        <v>7</v>
      </c>
      <c r="BH118" s="30">
        <v>0.9957863323050703</v>
      </c>
      <c r="BI118" s="26" t="s">
        <v>325</v>
      </c>
      <c r="BJ118" s="30">
        <v>15</v>
      </c>
      <c r="BK118" s="29">
        <f>IF(BE118&lt;=BC118,1,0)</f>
        <v>1</v>
      </c>
      <c r="BL118" s="29">
        <f>BE118-BC118</f>
        <v>-5</v>
      </c>
      <c r="BM118" s="29" t="str">
        <f>IF(BH118&gt;0,
    IF(OR(BC118&lt;=TRUNC(BJ118/2,0),BC118=0),
        IF(BG118=TRUNC(BJ118/2,0),
            "-1, Déficit y dejo la capacidad media",
            IF(AND(BG118&gt;TRUNC(BJ118/2,0), BG118&gt;BC118),
                "1, Déficit y eliminé déficit",
                IF(AND(BG118&lt;TRUNC(BJ118/2,0), BG118&lt;BC118),
                    "0, Déficit y no elimine déficit",
                    "-2, Déficit y resultado fue bueno")
            )
        ),
        IF(AND(BG118&gt;TRUNC(BJ118/2,0), BG118&gt;BC118),
            "1, no había déficit, pero resultado fue mejor",
            IF(AND(BG118&lt;TRUNC(BJ118/2,0),BG118&lt;BC118),
                "0, no había déficit y la dejo con déficit",
                IF(BG118=TRUNC(BJ118/2,0),
                    "-1, no había déficit y dejo la capacidad media",
                    "-2,no había déficit y resultado fue bueno")
            )
        )
    ),
    IF(BH118&lt;0,
        IF(BC118&gt;TRUNC(BJ118/2,0),
            IF(BG118=TRUNC(BJ118/2,0),
                "-1, Superávit y deje la capacidad media",
                IF(AND(BG118&gt;TRUNC(BJ118/2,0), BG118&gt;=BC118),
                    "0, Superávit y no eliminé superávit",
                    IF(AND(BG118&lt;TRUNC(BJ118/2,0),BG118&lt;BC118),
                        "1, Superávit y eliminé superávit",
                        "-2, Superávit y resultado fue bueno"
                    )
                )
            ),
            IF(AND(BC118&lt;=TRUNC(BJ118/2,0),BC118&gt;=0),
                IF(BG118=TRUNC(BJ118/2,0),
                    "-1, no había superávit y deje la capacidad media",
                    IF(AND(BG118&gt;TRUNC(BJ118/2,0), BG118&gt;=BC118),
                        "0, no había superávit, y la deje con superávit",
                        IF(AND(BG118&lt;TRUNC(BJ118/2,0),BG118&lt;BC118),
                            "1, no había superávit, pero el resultado fue mejor",
                            "-2, no había superávit y resultado fue bueno"
                        )
                    )
                )
            )
        )
    )
)</f>
        <v>-1, no había déficit y dejo la capacidad media</v>
      </c>
      <c r="BO118" s="30" t="s">
        <v>195</v>
      </c>
      <c r="BP118" s="29">
        <v>4</v>
      </c>
      <c r="BQ118" s="31">
        <v>4.4444444444444446</v>
      </c>
      <c r="BR118" s="29">
        <v>5</v>
      </c>
      <c r="BS118" s="29">
        <v>4</v>
      </c>
      <c r="BT118" s="29">
        <v>7</v>
      </c>
      <c r="BU118" s="30">
        <v>0.9957863323050703</v>
      </c>
      <c r="BV118" s="26" t="s">
        <v>325</v>
      </c>
      <c r="BW118" s="30">
        <v>15</v>
      </c>
      <c r="BX118" s="29">
        <f>IF(BR118&lt;=BP118,1,0)</f>
        <v>0</v>
      </c>
      <c r="BY118" s="29">
        <f>BR118-BP118</f>
        <v>1</v>
      </c>
      <c r="BZ118" s="29" t="str">
        <f>IF(BU118&gt;0,
    IF(OR(BP118&lt;=TRUNC(BW118/2,0),BP118=0),
        IF(BT118=TRUNC(BW118/2,0),
            "-1, Déficit y dejo la capacidad media",
            IF(AND(BT118&gt;TRUNC(BW118/2,0), BT118&gt;BP118),
                "1, Déficit y eliminé déficit",
                IF(AND(BT118&lt;TRUNC(BW118/2,0), BT118&lt;BP118),
                    "0, Déficit y no elimine déficit",
                    "-2, Déficit y resultado fue bueno")
            )
        ),
        IF(AND(BT118&gt;TRUNC(BW118/2,0), BT118&gt;BP118),
            "1, no había déficit, pero resultado fue mejor",
            IF(AND(BT118&lt;TRUNC(BW118/2,0),BT118&lt;BP118),
                "0, no había déficit y la dejo con déficit",
                IF(BT118=TRUNC(BW118/2,0),
                    "-1, no había déficit y dejo la capacidad media",
                    "-2,no había déficit y resultado fue bueno")
            )
        )
    ),
    IF(BU118&lt;0,
        IF(BP118&gt;TRUNC(BW118/2,0),
            IF(BT118=TRUNC(BW118/2,0),
                "-1, Superávit y deje la capacidad media",
                IF(AND(BT118&gt;TRUNC(BW118/2,0), BT118&gt;=BP118),
                    "0, Superávit y no eliminé superávit",
                    IF(AND(BT118&lt;TRUNC(BW118/2,0),BT118&lt;BP118),
                        "1, Superávit y eliminé superávit",
                        "-2, Superávit y resultado fue bueno"
                    )
                )
            ),
            IF(AND(BP118&lt;=TRUNC(BW118/2,0),BP118&gt;=0),
                IF(BT118=TRUNC(BW118/2,0),
                    "-1, no había superávit y deje la capacidad media",
                    IF(AND(BT118&gt;TRUNC(BW118/2,0), BT118&gt;=BP118),
                        "0, no había superávit, y la deje con superávit",
                        IF(AND(BT118&lt;TRUNC(BW118/2,0),BT118&lt;BP118),
                            "1, no había superávit, pero el resultado fue mejor",
                            "-2, no había superávit y resultado fue bueno"
                        )
                    )
                )
            )
        )
    )
)</f>
        <v>-1, Déficit y dejo la capacidad media</v>
      </c>
      <c r="CB118" s="30" t="s">
        <v>195</v>
      </c>
      <c r="CC118" s="30">
        <v>3</v>
      </c>
      <c r="CD118" s="31">
        <v>3</v>
      </c>
      <c r="CE118" s="31">
        <v>1</v>
      </c>
      <c r="CF118" s="31">
        <v>1</v>
      </c>
      <c r="CG118" s="30">
        <v>9</v>
      </c>
      <c r="CH118" s="30">
        <v>0.9957863323050703</v>
      </c>
      <c r="CI118" s="26" t="s">
        <v>325</v>
      </c>
      <c r="CJ118" s="30">
        <v>15</v>
      </c>
      <c r="CK118" s="29">
        <f>IF(CE118&lt;=CC118,1,0)</f>
        <v>1</v>
      </c>
      <c r="CL118" s="32">
        <f>CE118-CC118</f>
        <v>-2</v>
      </c>
      <c r="CM118" s="32" t="str">
        <f>IF(CH118&gt;0,
    IF(OR(CC118&lt;=TRUNC(CJ118/2,0),CC118=0),
        IF(CG118=TRUNC(CJ118/2,0),
            "-1, Déficit y dejo la capacidad media",
            IF(AND(CG118&gt;TRUNC(CJ118/2,0), CG118&gt;CC118),
                "1, Déficit y eliminé déficit",
                IF(AND(CG118&lt;TRUNC(CJ118/2,0), CG118&lt;CC118),
                    "0, Déficit y no elimine déficit",
                    "-2, Déficit y resultado fue bueno")
            )
        ),
        IF(AND(CG118&gt;TRUNC(CJ118/2,0), CG118&gt;CC118),
            "1, no había déficit, pero resultado fue mejor",
            IF(AND(CG118&lt;TRUNC(CJ118/2,0),CG118&lt;CC118),
                "0, no había déficit y la dejo con déficit",
                IF(CG118=TRUNC(CJ118/2,0),
                    "-1, no había déficit y dejo la capacidad media",
                    "-2,no había déficit y resultado fue bueno")
            )
        )
    ),
    IF(CH118&lt;0,
        IF(CC118&gt;TRUNC(CJ118/2,0),
            IF(CG118=TRUNC(CJ118/2,0),
                "-1, Superávit y deje la capacidad media",
                IF(AND(CG118&gt;TRUNC(CJ118/2,0), CG118&gt;=CC118),
                    "0, Superávit y no eliminé superávit",
                    IF(AND(CG118&lt;TRUNC(CJ118/2,0),CG118&lt;CC118),
                        "1, Superávit y eliminé superávit",
                        "-2, Superávit y resultado fue bueno"
                    )
                )
            ),
            IF(AND(CC118&lt;=TRUNC(CJ118/2,0),CC118&gt;=0),
                IF(CG118=TRUNC(CJ118/2,0),
                    "-1, no había superávit y deje la capacidad media",
                    IF(AND(CG118&gt;TRUNC(CJ118/2,0), CG118&gt;=CC118),
                        "0, no había superávit, y la deje con superávit",
                        IF(AND(CG118&lt;TRUNC(CJ118/2,0),CG118&lt;CC118),
                            "1, no había superávit, pero el resultado fue mejor",
                            "-2, no había superávit y resultado fue bueno"
                        )
                    )
                )
            )
        )
    )
)</f>
        <v>1, Déficit y eliminé déficit</v>
      </c>
    </row>
    <row r="119" spans="2:103" ht="14.25" customHeight="1" x14ac:dyDescent="0.3">
      <c r="B119" s="30" t="s">
        <v>199</v>
      </c>
      <c r="C119" s="30">
        <v>2</v>
      </c>
      <c r="D119" s="31">
        <v>1.8888888888888888</v>
      </c>
      <c r="E119" s="29">
        <v>0</v>
      </c>
      <c r="F119" s="29">
        <v>0</v>
      </c>
      <c r="G119" s="30">
        <v>5</v>
      </c>
      <c r="H119" s="30">
        <v>0.98995442105744402</v>
      </c>
      <c r="I119" s="26" t="s">
        <v>332</v>
      </c>
      <c r="J119" s="30">
        <v>11</v>
      </c>
      <c r="K119" s="29">
        <f>IF(E119&lt;=C119,1,0)</f>
        <v>1</v>
      </c>
      <c r="L119" s="29">
        <f>E119-C119</f>
        <v>-2</v>
      </c>
      <c r="M119" s="29" t="str">
        <f>IF(H119&gt;0,
    IF(OR(C119&lt;=TRUNC(J119/2,0),C119=0),
        IF(G119=TRUNC(J119/2,0),
            "-1, Déficit y dejo la capacidad media",
            IF(AND(G119&gt;TRUNC(J119/2,0), G119&gt;C119),
                "1, Déficit y eliminé déficit",
                IF(AND(G119&lt;TRUNC(J119/2,0), G119&lt;C119),
                    "0, Déficit y no elimine déficit",
                    "-2, Déficit y resultado fue bueno")
            )
        ),
        IF(AND(G119&gt;TRUNC(J119/2,0), G119&gt;C119),
            "1, no había déficit, pero resultado fue mejor",
            IF(AND(G119&lt;TRUNC(J119/2,0),G119&lt;C119),
                "0, no había déficit y la dejo con déficit",
                IF(G119=TRUNC(J119/2,0),
                    "-1, no había déficit y dejo la capacidad media",
                    "-2,no había déficit y resultado fue bueno")
            )
        )
    ),
    IF(H119&lt;0,
        IF(C119&gt;TRUNC(J119/2,0),
            IF(G119=TRUNC(J119/2,0),
                "-1, Superávit y deje la capacidad media",
                IF(AND(G119&gt;TRUNC(J119/2,0), G119&gt;=C119),
                    "0, Superávit y no eliminé superávit",
                    IF(AND(G119&lt;TRUNC(J119/2,0),G119&lt;C119),
                        "1, Superávit y eliminé superávit",
                        "-2, Superávit y resultado fue bueno"
                    )
                )
            ),
            IF(AND(C119&lt;=TRUNC(J119/2,0),C119&gt;=0),
                IF(G119=TRUNC(J119/2,0),
                    "-1, no había superávit y deje la capacidad media",
                    IF(AND(G119&gt;TRUNC(J119/2,0), G119&gt;=C119),
                        "0, no había superávit, y la deje con superávit",
                        IF(AND(G119&lt;TRUNC(J119/2,0),G119&lt;C119),
                            "1, no había superávit, pero el resultado fue mejor",
                            "-2, no había superávit y resultado fue bueno"
                        )
                    )
                )
            )
        )
    )
)</f>
        <v>-1, Déficit y dejo la capacidad media</v>
      </c>
      <c r="O119" s="30" t="s">
        <v>199</v>
      </c>
      <c r="P119" s="30">
        <v>3</v>
      </c>
      <c r="Q119" s="31">
        <v>1.5555555555555556</v>
      </c>
      <c r="R119" s="29">
        <v>0</v>
      </c>
      <c r="S119" s="30">
        <v>0</v>
      </c>
      <c r="T119" s="30">
        <v>5</v>
      </c>
      <c r="U119" s="30">
        <v>0.98995442105744402</v>
      </c>
      <c r="V119" s="26" t="s">
        <v>332</v>
      </c>
      <c r="W119" s="30">
        <v>11</v>
      </c>
      <c r="X119" s="29">
        <f>IF(R119&lt;=P119,1,0)</f>
        <v>1</v>
      </c>
      <c r="Y119" s="29">
        <f>R119-P119</f>
        <v>-3</v>
      </c>
      <c r="Z119" s="29" t="str">
        <f>IF(U119&gt;0,
    IF(OR(P119&lt;=TRUNC(W119/2,0),P119=0),
        IF(T119=TRUNC(W119/2,0),
            "-1, Déficit y dejo la capacidad media",
            IF(AND(T119&gt;TRUNC(W119/2,0), T119&gt;P119),
                "1, Déficit y eliminé déficit",
                IF(AND(T119&lt;TRUNC(W119/2,0), T119&lt;P119),
                    "0, Déficit y no elimine déficit",
                    "-2, Déficit y resultado fue bueno")
            )
        ),
        IF(AND(T119&gt;TRUNC(W119/2,0), T119&gt;P119),
            "1, no había déficit, pero resultado fue mejor",
            IF(AND(T119&lt;TRUNC(W119/2,0),T119&lt;P119),
                "0, no había déficit y la dejo con déficit",
                IF(T119=TRUNC(W119/2,0),
                    "-1, no había déficit y dejo la capacidad media",
                    "-2,no había déficit y resultado fue bueno")
            )
        )
    ),
    IF(U119&lt;0,
        IF(P119&gt;TRUNC(W119/2,0),
            IF(T119=TRUNC(W119/2,0),
                "-1, Superávit y deje la capacidad media",
                IF(AND(T119&gt;TRUNC(W119/2,0), T119&gt;=P119),
                    "0, Superávit y no eliminé superávit",
                    IF(AND(T119&lt;TRUNC(W119/2,0),T119&lt;P119),
                        "1, Superávit y eliminé superávit",
                        "-2, Superávit y resultado fue bueno"
                    )
                )
            ),
            IF(AND(P119&lt;=TRUNC(W119/2,0),P119&gt;=0),
                IF(T119=TRUNC(W119/2,0),
                    "-1, no había superávit y deje la capacidad media",
                    IF(AND(T119&gt;TRUNC(W119/2,0), T119&gt;=P119),
                        "0, no había superávit, y la deje con superávit",
                        IF(AND(T119&lt;TRUNC(W119/2,0),T119&lt;P119),
                            "1, no había superávit, pero el resultado fue mejor",
                            "-2, no había superávit y resultado fue bueno"
                        )
                    )
                )
            )
        )
    )
)</f>
        <v>-1, Déficit y dejo la capacidad media</v>
      </c>
      <c r="AB119" s="30" t="s">
        <v>199</v>
      </c>
      <c r="AC119" s="30">
        <v>0</v>
      </c>
      <c r="AD119" s="31">
        <v>0.88888888888888884</v>
      </c>
      <c r="AE119" s="29">
        <v>8</v>
      </c>
      <c r="AF119" s="31">
        <v>7</v>
      </c>
      <c r="AG119" s="30">
        <v>5</v>
      </c>
      <c r="AH119" s="30">
        <v>0.98995442105744402</v>
      </c>
      <c r="AI119" s="26" t="s">
        <v>332</v>
      </c>
      <c r="AJ119" s="30">
        <v>11</v>
      </c>
      <c r="AK119" s="29">
        <f>IF(AE119&lt;=AC119,1,0)</f>
        <v>0</v>
      </c>
      <c r="AL119" s="29">
        <f>AE119-AC119</f>
        <v>8</v>
      </c>
      <c r="AM119" s="29" t="str">
        <f>IF(AH119&gt;0,
    IF(OR(AC119&lt;=TRUNC(AJ119/2,0),AC119=0),
        IF(AG119=TRUNC(AJ119/2,0),
            "-1, Déficit y dejo la capacidad media",
            IF(AND(AG119&gt;TRUNC(AJ119/2,0), AG119&gt;AC119),
                "1, Déficit y eliminé déficit",
                IF(AND(AG119&lt;TRUNC(AJ119/2,0), AG119&lt;AC119),
                    "0, Déficit y no elimine déficit",
                    "-2, Déficit y resultado fue bueno")
            )
        ),
        IF(AND(AG119&gt;TRUNC(AJ119/2,0), AG119&gt;AC119),
            "1, no había déficit, pero resultado fue mejor",
            IF(AND(AG119&lt;TRUNC(AJ119/2,0),AG119&lt;AC119),
                "0, no había déficit y la dejo con déficit",
                IF(AG119=TRUNC(AJ119/2,0),
                    "-1, no había déficit y dejo la capacidad media",
                    "-2,no había déficit y resultado fue bueno")
            )
        )
    ),
    IF(AH119&lt;0,
        IF(AC119&gt;TRUNC(AJ119/2,0),
            IF(AG119=TRUNC(AJ119/2,0),
                "-1, Superávit y deje la capacidad media",
                IF(AND(AG119&gt;TRUNC(AJ119/2,0), AG119&gt;=AC119),
                    "0, Superávit y no eliminé superávit",
                    IF(AND(AG119&lt;TRUNC(AJ119/2,0),AG119&lt;AC119),
                        "1, Superávit y eliminé superávit",
                        "-2, Superávit y resultado fue bueno"
                    )
                )
            ),
            IF(AND(AC119&lt;=TRUNC(AJ119/2,0),AC119&gt;=0),
                IF(AG119=TRUNC(AJ119/2,0),
                    "-1, no había superávit y deje la capacidad media",
                    IF(AND(AG119&gt;TRUNC(AJ119/2,0), AG119&gt;=AC119),
                        "0, no había superávit, y la deje con superávit",
                        IF(AND(AG119&lt;TRUNC(AJ119/2,0),AG119&lt;AC119),
                            "1, no había superávit, pero el resultado fue mejor",
                            "-2, no había superávit y resultado fue bueno"
                        )
                    )
                )
            )
        )
    )
)</f>
        <v>-1, Déficit y dejo la capacidad media</v>
      </c>
      <c r="AO119" s="30" t="s">
        <v>199</v>
      </c>
      <c r="AP119" s="30">
        <v>0</v>
      </c>
      <c r="AQ119" s="31">
        <v>3.1111111111111112</v>
      </c>
      <c r="AR119" s="29">
        <v>0</v>
      </c>
      <c r="AS119" s="29">
        <v>0</v>
      </c>
      <c r="AT119" s="30">
        <v>5</v>
      </c>
      <c r="AU119" s="30">
        <v>0.98995442105744402</v>
      </c>
      <c r="AV119" s="26" t="s">
        <v>332</v>
      </c>
      <c r="AW119" s="30">
        <v>11</v>
      </c>
      <c r="AX119" s="29">
        <f>IF(AR119&lt;=AP119,1,0)</f>
        <v>1</v>
      </c>
      <c r="AY119" s="29">
        <f>AR119-AP119</f>
        <v>0</v>
      </c>
      <c r="AZ119" s="29" t="str">
        <f>IF(AU119&gt;0,
    IF(OR(AP119&lt;=TRUNC(AW119/2,0),AP119=0),
        IF(AT119=TRUNC(AW119/2,0),
            "-1, Déficit y dejo la capacidad media",
            IF(AND(AT119&gt;TRUNC(AW119/2,0), AT119&gt;AP119),
                "1, Déficit y eliminé déficit",
                IF(AND(AT119&lt;TRUNC(AW119/2,0), AT119&lt;AP119),
                    "0, Déficit y no elimine déficit",
                    "-2, Déficit y resultado fue bueno")
            )
        ),
        IF(AND(AT119&gt;TRUNC(AW119/2,0), AT119&gt;AP119),
            "1, no había déficit, pero resultado fue mejor",
            IF(AND(AT119&lt;TRUNC(AW119/2,0),AT119&lt;AP119),
                "0, no había déficit y la dejo con déficit",
                IF(AT119=TRUNC(AW119/2,0),
                    "-1, no había déficit y dejo la capacidad media",
                    "-2,no había déficit y resultado fue bueno")
            )
        )
    ),
    IF(AU119&lt;0,
        IF(AP119&gt;TRUNC(AW119/2,0),
            IF(AT119=TRUNC(AW119/2,0),
                "-1, Superávit y deje la capacidad media",
                IF(AND(AT119&gt;TRUNC(AW119/2,0), AT119&gt;=AP119),
                    "0, Superávit y no eliminé superávit",
                    IF(AND(AT119&lt;TRUNC(AW119/2,0),AT119&lt;AP119),
                        "1, Superávit y eliminé superávit",
                        "-2, Superávit y resultado fue bueno"
                    )
                )
            ),
            IF(AND(AP119&lt;=TRUNC(AW119/2,0),AP119&gt;=0),
                IF(AT119=TRUNC(AW119/2,0),
                    "-1, no había superávit y deje la capacidad media",
                    IF(AND(AT119&gt;TRUNC(AW119/2,0), AT119&gt;=AP119),
                        "0, no había superávit, y la deje con superávit",
                        IF(AND(AT119&lt;TRUNC(AW119/2,0),AT119&lt;AP119),
                            "1, no había superávit, pero el resultado fue mejor",
                            "-2, no había superávit y resultado fue bueno"
                        )
                    )
                )
            )
        )
    )
)</f>
        <v>-1, Déficit y dejo la capacidad media</v>
      </c>
      <c r="BB119" s="30" t="s">
        <v>199</v>
      </c>
      <c r="BC119" s="30">
        <v>1</v>
      </c>
      <c r="BD119" s="31">
        <v>3.2222222222222223</v>
      </c>
      <c r="BE119" s="29">
        <v>0</v>
      </c>
      <c r="BF119" s="29">
        <v>0</v>
      </c>
      <c r="BG119" s="30">
        <v>5</v>
      </c>
      <c r="BH119" s="30">
        <v>0.98995442105744402</v>
      </c>
      <c r="BI119" s="26" t="s">
        <v>332</v>
      </c>
      <c r="BJ119" s="30">
        <v>11</v>
      </c>
      <c r="BK119" s="29">
        <f>IF(BE119&lt;=BC119,1,0)</f>
        <v>1</v>
      </c>
      <c r="BL119" s="29">
        <f>BE119-BC119</f>
        <v>-1</v>
      </c>
      <c r="BM119" s="29" t="str">
        <f>IF(BH119&gt;0,
    IF(OR(BC119&lt;=TRUNC(BJ119/2,0),BC119=0),
        IF(BG119=TRUNC(BJ119/2,0),
            "-1, Déficit y dejo la capacidad media",
            IF(AND(BG119&gt;TRUNC(BJ119/2,0), BG119&gt;BC119),
                "1, Déficit y eliminé déficit",
                IF(AND(BG119&lt;TRUNC(BJ119/2,0), BG119&lt;BC119),
                    "0, Déficit y no elimine déficit",
                    "-2, Déficit y resultado fue bueno")
            )
        ),
        IF(AND(BG119&gt;TRUNC(BJ119/2,0), BG119&gt;BC119),
            "1, no había déficit, pero resultado fue mejor",
            IF(AND(BG119&lt;TRUNC(BJ119/2,0),BG119&lt;BC119),
                "0, no había déficit y la dejo con déficit",
                IF(BG119=TRUNC(BJ119/2,0),
                    "-1, no había déficit y dejo la capacidad media",
                    "-2,no había déficit y resultado fue bueno")
            )
        )
    ),
    IF(BH119&lt;0,
        IF(BC119&gt;TRUNC(BJ119/2,0),
            IF(BG119=TRUNC(BJ119/2,0),
                "-1, Superávit y deje la capacidad media",
                IF(AND(BG119&gt;TRUNC(BJ119/2,0), BG119&gt;=BC119),
                    "0, Superávit y no eliminé superávit",
                    IF(AND(BG119&lt;TRUNC(BJ119/2,0),BG119&lt;BC119),
                        "1, Superávit y eliminé superávit",
                        "-2, Superávit y resultado fue bueno"
                    )
                )
            ),
            IF(AND(BC119&lt;=TRUNC(BJ119/2,0),BC119&gt;=0),
                IF(BG119=TRUNC(BJ119/2,0),
                    "-1, no había superávit y deje la capacidad media",
                    IF(AND(BG119&gt;TRUNC(BJ119/2,0), BG119&gt;=BC119),
                        "0, no había superávit, y la deje con superávit",
                        IF(AND(BG119&lt;TRUNC(BJ119/2,0),BG119&lt;BC119),
                            "1, no había superávit, pero el resultado fue mejor",
                            "-2, no había superávit y resultado fue bueno"
                        )
                    )
                )
            )
        )
    )
)</f>
        <v>-1, Déficit y dejo la capacidad media</v>
      </c>
      <c r="BO119" s="30" t="s">
        <v>199</v>
      </c>
      <c r="BP119" s="29">
        <v>6</v>
      </c>
      <c r="BQ119" s="31">
        <v>3.7777777777777777</v>
      </c>
      <c r="BR119" s="29">
        <v>5</v>
      </c>
      <c r="BS119" s="29">
        <v>4</v>
      </c>
      <c r="BT119" s="29">
        <v>6</v>
      </c>
      <c r="BU119" s="30">
        <v>0.98995442105744402</v>
      </c>
      <c r="BV119" s="26" t="s">
        <v>332</v>
      </c>
      <c r="BW119" s="30">
        <v>11</v>
      </c>
      <c r="BX119" s="29">
        <f>IF(BR119&lt;=BP119,1,0)</f>
        <v>1</v>
      </c>
      <c r="BY119" s="29">
        <f>BR119-BP119</f>
        <v>-1</v>
      </c>
      <c r="BZ119" s="29" t="str">
        <f>IF(BU119&gt;0,
    IF(OR(BP119&lt;=TRUNC(BW119/2,0),BP119=0),
        IF(BT119=TRUNC(BW119/2,0),
            "-1, Déficit y dejo la capacidad media",
            IF(AND(BT119&gt;TRUNC(BW119/2,0), BT119&gt;BP119),
                "1, Déficit y eliminé déficit",
                IF(AND(BT119&lt;TRUNC(BW119/2,0), BT119&lt;BP119),
                    "0, Déficit y no elimine déficit",
                    "-2, Déficit y resultado fue bueno")
            )
        ),
        IF(AND(BT119&gt;TRUNC(BW119/2,0), BT119&gt;BP119),
            "1, no había déficit, pero resultado fue mejor",
            IF(AND(BT119&lt;TRUNC(BW119/2,0),BT119&lt;BP119),
                "0, no había déficit y la dejo con déficit",
                IF(BT119=TRUNC(BW119/2,0),
                    "-1, no había déficit y dejo la capacidad media",
                    "-2,no había déficit y resultado fue bueno")
            )
        )
    ),
    IF(BU119&lt;0,
        IF(BP119&gt;TRUNC(BW119/2,0),
            IF(BT119=TRUNC(BW119/2,0),
                "-1, Superávit y deje la capacidad media",
                IF(AND(BT119&gt;TRUNC(BW119/2,0), BT119&gt;=BP119),
                    "0, Superávit y no eliminé superávit",
                    IF(AND(BT119&lt;TRUNC(BW119/2,0),BT119&lt;BP119),
                        "1, Superávit y eliminé superávit",
                        "-2, Superávit y resultado fue bueno"
                    )
                )
            ),
            IF(AND(BP119&lt;=TRUNC(BW119/2,0),BP119&gt;=0),
                IF(BT119=TRUNC(BW119/2,0),
                    "-1, no había superávit y deje la capacidad media",
                    IF(AND(BT119&gt;TRUNC(BW119/2,0), BT119&gt;=BP119),
                        "0, no había superávit, y la deje con superávit",
                        IF(AND(BT119&lt;TRUNC(BW119/2,0),BT119&lt;BP119),
                            "1, no había superávit, pero el resultado fue mejor",
                            "-2, no había superávit y resultado fue bueno"
                        )
                    )
                )
            )
        )
    )
)</f>
        <v>-2,no había déficit y resultado fue bueno</v>
      </c>
      <c r="CB119" s="30" t="s">
        <v>199</v>
      </c>
      <c r="CC119" s="30">
        <v>4</v>
      </c>
      <c r="CD119" s="31">
        <v>1.8888888888888888</v>
      </c>
      <c r="CE119" s="31">
        <v>2</v>
      </c>
      <c r="CF119" s="31">
        <v>2</v>
      </c>
      <c r="CG119" s="30">
        <v>5</v>
      </c>
      <c r="CH119" s="30">
        <v>0.98995442105744402</v>
      </c>
      <c r="CI119" s="26" t="s">
        <v>332</v>
      </c>
      <c r="CJ119" s="30">
        <v>11</v>
      </c>
      <c r="CK119" s="29">
        <f>IF(CE119&lt;=CC119,1,0)</f>
        <v>1</v>
      </c>
      <c r="CL119" s="32">
        <f>CE119-CC119</f>
        <v>-2</v>
      </c>
      <c r="CM119" s="32" t="str">
        <f>IF(CH119&gt;0,
    IF(OR(CC119&lt;=TRUNC(CJ119/2,0),CC119=0),
        IF(CG119=TRUNC(CJ119/2,0),
            "-1, Déficit y dejo la capacidad media",
            IF(AND(CG119&gt;TRUNC(CJ119/2,0), CG119&gt;CC119),
                "1, Déficit y eliminé déficit",
                IF(AND(CG119&lt;TRUNC(CJ119/2,0), CG119&lt;CC119),
                    "0, Déficit y no elimine déficit",
                    "-2, Déficit y resultado fue bueno")
            )
        ),
        IF(AND(CG119&gt;TRUNC(CJ119/2,0), CG119&gt;CC119),
            "1, no había déficit, pero resultado fue mejor",
            IF(AND(CG119&lt;TRUNC(CJ119/2,0),CG119&lt;CC119),
                "0, no había déficit y la dejo con déficit",
                IF(CG119=TRUNC(CJ119/2,0),
                    "-1, no había déficit y dejo la capacidad media",
                    "-2,no había déficit y resultado fue bueno")
            )
        )
    ),
    IF(CH119&lt;0,
        IF(CC119&gt;TRUNC(CJ119/2,0),
            IF(CG119=TRUNC(CJ119/2,0),
                "-1, Superávit y deje la capacidad media",
                IF(AND(CG119&gt;TRUNC(CJ119/2,0), CG119&gt;=CC119),
                    "0, Superávit y no eliminé superávit",
                    IF(AND(CG119&lt;TRUNC(CJ119/2,0),CG119&lt;CC119),
                        "1, Superávit y eliminé superávit",
                        "-2, Superávit y resultado fue bueno"
                    )
                )
            ),
            IF(AND(CC119&lt;=TRUNC(CJ119/2,0),CC119&gt;=0),
                IF(CG119=TRUNC(CJ119/2,0),
                    "-1, no había superávit y deje la capacidad media",
                    IF(AND(CG119&gt;TRUNC(CJ119/2,0), CG119&gt;=CC119),
                        "0, no había superávit, y la deje con superávit",
                        IF(AND(CG119&lt;TRUNC(CJ119/2,0),CG119&lt;CC119),
                            "1, no había superávit, pero el resultado fue mejor",
                            "-2, no había superávit y resultado fue bueno"
                        )
                    )
                )
            )
        )
    )
)</f>
        <v>-1, Déficit y dejo la capacidad media</v>
      </c>
    </row>
    <row r="120" spans="2:103" ht="14.25" customHeight="1" x14ac:dyDescent="0.3">
      <c r="B120" s="30" t="s">
        <v>203</v>
      </c>
      <c r="C120" s="30">
        <v>4</v>
      </c>
      <c r="D120" s="31">
        <v>4.7777777777777777</v>
      </c>
      <c r="E120" s="29">
        <v>2</v>
      </c>
      <c r="F120" s="29">
        <v>3</v>
      </c>
      <c r="G120" s="30">
        <v>5</v>
      </c>
      <c r="H120" s="30">
        <v>0.8031838310216366</v>
      </c>
      <c r="I120" s="26" t="s">
        <v>332</v>
      </c>
      <c r="J120" s="30">
        <v>11</v>
      </c>
      <c r="K120" s="29">
        <f>IF(E120&lt;=C120,1,0)</f>
        <v>1</v>
      </c>
      <c r="L120" s="29">
        <f>E120-C120</f>
        <v>-2</v>
      </c>
      <c r="M120" s="29" t="str">
        <f>IF(H120&gt;0,
    IF(OR(C120&lt;=TRUNC(J120/2,0),C120=0),
        IF(G120=TRUNC(J120/2,0),
            "-1, Déficit y dejo la capacidad media",
            IF(AND(G120&gt;TRUNC(J120/2,0), G120&gt;C120),
                "1, Déficit y eliminé déficit",
                IF(AND(G120&lt;TRUNC(J120/2,0), G120&lt;C120),
                    "0, Déficit y no elimine déficit",
                    "-2, Déficit y resultado fue bueno")
            )
        ),
        IF(AND(G120&gt;TRUNC(J120/2,0), G120&gt;C120),
            "1, no había déficit, pero resultado fue mejor",
            IF(AND(G120&lt;TRUNC(J120/2,0),G120&lt;C120),
                "0, no había déficit y la dejo con déficit",
                IF(G120=TRUNC(J120/2,0),
                    "-1, no había déficit y dejo la capacidad media",
                    "-2,no había déficit y resultado fue bueno")
            )
        )
    ),
    IF(H120&lt;0,
        IF(C120&gt;TRUNC(J120/2,0),
            IF(G120=TRUNC(J120/2,0),
                "-1, Superávit y deje la capacidad media",
                IF(AND(G120&gt;TRUNC(J120/2,0), G120&gt;=C120),
                    "0, Superávit y no eliminé superávit",
                    IF(AND(G120&lt;TRUNC(J120/2,0),G120&lt;C120),
                        "1, Superávit y eliminé superávit",
                        "-2, Superávit y resultado fue bueno"
                    )
                )
            ),
            IF(AND(C120&lt;=TRUNC(J120/2,0),C120&gt;=0),
                IF(G120=TRUNC(J120/2,0),
                    "-1, no había superávit y deje la capacidad media",
                    IF(AND(G120&gt;TRUNC(J120/2,0), G120&gt;=C120),
                        "0, no había superávit, y la deje con superávit",
                        IF(AND(G120&lt;TRUNC(J120/2,0),G120&lt;C120),
                            "1, no había superávit, pero el resultado fue mejor",
                            "-2, no había superávit y resultado fue bueno"
                        )
                    )
                )
            )
        )
    )
)</f>
        <v>-1, Déficit y dejo la capacidad media</v>
      </c>
      <c r="O120" s="30" t="s">
        <v>203</v>
      </c>
      <c r="P120" s="30">
        <v>3</v>
      </c>
      <c r="Q120" s="31">
        <v>4.333333333333333</v>
      </c>
      <c r="R120" s="29">
        <v>8</v>
      </c>
      <c r="S120" s="30">
        <v>8</v>
      </c>
      <c r="T120" s="30">
        <v>5</v>
      </c>
      <c r="U120" s="30">
        <v>0.8031838310216366</v>
      </c>
      <c r="V120" s="26" t="s">
        <v>332</v>
      </c>
      <c r="W120" s="30">
        <v>11</v>
      </c>
      <c r="X120" s="29">
        <f>IF(R120&lt;=P120,1,0)</f>
        <v>0</v>
      </c>
      <c r="Y120" s="29">
        <f>R120-P120</f>
        <v>5</v>
      </c>
      <c r="Z120" s="29" t="str">
        <f>IF(U120&gt;0,
    IF(OR(P120&lt;=TRUNC(W120/2,0),P120=0),
        IF(T120=TRUNC(W120/2,0),
            "-1, Déficit y dejo la capacidad media",
            IF(AND(T120&gt;TRUNC(W120/2,0), T120&gt;P120),
                "1, Déficit y eliminé déficit",
                IF(AND(T120&lt;TRUNC(W120/2,0), T120&lt;P120),
                    "0, Déficit y no elimine déficit",
                    "-2, Déficit y resultado fue bueno")
            )
        ),
        IF(AND(T120&gt;TRUNC(W120/2,0), T120&gt;P120),
            "1, no había déficit, pero resultado fue mejor",
            IF(AND(T120&lt;TRUNC(W120/2,0),T120&lt;P120),
                "0, no había déficit y la dejo con déficit",
                IF(T120=TRUNC(W120/2,0),
                    "-1, no había déficit y dejo la capacidad media",
                    "-2,no había déficit y resultado fue bueno")
            )
        )
    ),
    IF(U120&lt;0,
        IF(P120&gt;TRUNC(W120/2,0),
            IF(T120=TRUNC(W120/2,0),
                "-1, Superávit y deje la capacidad media",
                IF(AND(T120&gt;TRUNC(W120/2,0), T120&gt;=P120),
                    "0, Superávit y no eliminé superávit",
                    IF(AND(T120&lt;TRUNC(W120/2,0),T120&lt;P120),
                        "1, Superávit y eliminé superávit",
                        "-2, Superávit y resultado fue bueno"
                    )
                )
            ),
            IF(AND(P120&lt;=TRUNC(W120/2,0),P120&gt;=0),
                IF(T120=TRUNC(W120/2,0),
                    "-1, no había superávit y deje la capacidad media",
                    IF(AND(T120&gt;TRUNC(W120/2,0), T120&gt;=P120),
                        "0, no había superávit, y la deje con superávit",
                        IF(AND(T120&lt;TRUNC(W120/2,0),T120&lt;P120),
                            "1, no había superávit, pero el resultado fue mejor",
                            "-2, no había superávit y resultado fue bueno"
                        )
                    )
                )
            )
        )
    )
)</f>
        <v>-1, Déficit y dejo la capacidad media</v>
      </c>
      <c r="AB120" s="30" t="s">
        <v>203</v>
      </c>
      <c r="AC120" s="30">
        <v>4</v>
      </c>
      <c r="AD120" s="31">
        <v>3.5555555555555554</v>
      </c>
      <c r="AE120" s="29">
        <v>0</v>
      </c>
      <c r="AF120" s="31">
        <v>0</v>
      </c>
      <c r="AG120" s="30">
        <v>5</v>
      </c>
      <c r="AH120" s="30">
        <v>0.8031838310216366</v>
      </c>
      <c r="AI120" s="26" t="s">
        <v>332</v>
      </c>
      <c r="AJ120" s="30">
        <v>11</v>
      </c>
      <c r="AK120" s="29">
        <f>IF(AE120&lt;=AC120,1,0)</f>
        <v>1</v>
      </c>
      <c r="AL120" s="29">
        <f>AE120-AC120</f>
        <v>-4</v>
      </c>
      <c r="AM120" s="29" t="str">
        <f>IF(AH120&gt;0,
    IF(OR(AC120&lt;=TRUNC(AJ120/2,0),AC120=0),
        IF(AG120=TRUNC(AJ120/2,0),
            "-1, Déficit y dejo la capacidad media",
            IF(AND(AG120&gt;TRUNC(AJ120/2,0), AG120&gt;AC120),
                "1, Déficit y eliminé déficit",
                IF(AND(AG120&lt;TRUNC(AJ120/2,0), AG120&lt;AC120),
                    "0, Déficit y no elimine déficit",
                    "-2, Déficit y resultado fue bueno")
            )
        ),
        IF(AND(AG120&gt;TRUNC(AJ120/2,0), AG120&gt;AC120),
            "1, no había déficit, pero resultado fue mejor",
            IF(AND(AG120&lt;TRUNC(AJ120/2,0),AG120&lt;AC120),
                "0, no había déficit y la dejo con déficit",
                IF(AG120=TRUNC(AJ120/2,0),
                    "-1, no había déficit y dejo la capacidad media",
                    "-2,no había déficit y resultado fue bueno")
            )
        )
    ),
    IF(AH120&lt;0,
        IF(AC120&gt;TRUNC(AJ120/2,0),
            IF(AG120=TRUNC(AJ120/2,0),
                "-1, Superávit y deje la capacidad media",
                IF(AND(AG120&gt;TRUNC(AJ120/2,0), AG120&gt;=AC120),
                    "0, Superávit y no eliminé superávit",
                    IF(AND(AG120&lt;TRUNC(AJ120/2,0),AG120&lt;AC120),
                        "1, Superávit y eliminé superávit",
                        "-2, Superávit y resultado fue bueno"
                    )
                )
            ),
            IF(AND(AC120&lt;=TRUNC(AJ120/2,0),AC120&gt;=0),
                IF(AG120=TRUNC(AJ120/2,0),
                    "-1, no había superávit y deje la capacidad media",
                    IF(AND(AG120&gt;TRUNC(AJ120/2,0), AG120&gt;=AC120),
                        "0, no había superávit, y la deje con superávit",
                        IF(AND(AG120&lt;TRUNC(AJ120/2,0),AG120&lt;AC120),
                            "1, no había superávit, pero el resultado fue mejor",
                            "-2, no había superávit y resultado fue bueno"
                        )
                    )
                )
            )
        )
    )
)</f>
        <v>-1, Déficit y dejo la capacidad media</v>
      </c>
      <c r="AO120" s="30" t="s">
        <v>203</v>
      </c>
      <c r="AP120" s="30">
        <v>5</v>
      </c>
      <c r="AQ120" s="31">
        <v>2.5555555555555554</v>
      </c>
      <c r="AR120" s="29">
        <v>4</v>
      </c>
      <c r="AS120" s="29">
        <v>4</v>
      </c>
      <c r="AT120" s="30">
        <v>5</v>
      </c>
      <c r="AU120" s="30">
        <v>0.8031838310216366</v>
      </c>
      <c r="AV120" s="26" t="s">
        <v>332</v>
      </c>
      <c r="AW120" s="30">
        <v>11</v>
      </c>
      <c r="AX120" s="29">
        <f>IF(AR120&lt;=AP120,1,0)</f>
        <v>1</v>
      </c>
      <c r="AY120" s="29">
        <f>AR120-AP120</f>
        <v>-1</v>
      </c>
      <c r="AZ120" s="29" t="str">
        <f>IF(AU120&gt;0,
    IF(OR(AP120&lt;=TRUNC(AW120/2,0),AP120=0),
        IF(AT120=TRUNC(AW120/2,0),
            "-1, Déficit y dejo la capacidad media",
            IF(AND(AT120&gt;TRUNC(AW120/2,0), AT120&gt;AP120),
                "1, Déficit y eliminé déficit",
                IF(AND(AT120&lt;TRUNC(AW120/2,0), AT120&lt;AP120),
                    "0, Déficit y no elimine déficit",
                    "-2, Déficit y resultado fue bueno")
            )
        ),
        IF(AND(AT120&gt;TRUNC(AW120/2,0), AT120&gt;AP120),
            "1, no había déficit, pero resultado fue mejor",
            IF(AND(AT120&lt;TRUNC(AW120/2,0),AT120&lt;AP120),
                "0, no había déficit y la dejo con déficit",
                IF(AT120=TRUNC(AW120/2,0),
                    "-1, no había déficit y dejo la capacidad media",
                    "-2,no había déficit y resultado fue bueno")
            )
        )
    ),
    IF(AU120&lt;0,
        IF(AP120&gt;TRUNC(AW120/2,0),
            IF(AT120=TRUNC(AW120/2,0),
                "-1, Superávit y deje la capacidad media",
                IF(AND(AT120&gt;TRUNC(AW120/2,0), AT120&gt;=AP120),
                    "0, Superávit y no eliminé superávit",
                    IF(AND(AT120&lt;TRUNC(AW120/2,0),AT120&lt;AP120),
                        "1, Superávit y eliminé superávit",
                        "-2, Superávit y resultado fue bueno"
                    )
                )
            ),
            IF(AND(AP120&lt;=TRUNC(AW120/2,0),AP120&gt;=0),
                IF(AT120=TRUNC(AW120/2,0),
                    "-1, no había superávit y deje la capacidad media",
                    IF(AND(AT120&gt;TRUNC(AW120/2,0), AT120&gt;=AP120),
                        "0, no había superávit, y la deje con superávit",
                        IF(AND(AT120&lt;TRUNC(AW120/2,0),AT120&lt;AP120),
                            "1, no había superávit, pero el resultado fue mejor",
                            "-2, no había superávit y resultado fue bueno"
                        )
                    )
                )
            )
        )
    )
)</f>
        <v>-1, Déficit y dejo la capacidad media</v>
      </c>
      <c r="BB120" s="30" t="s">
        <v>203</v>
      </c>
      <c r="BC120" s="30">
        <v>1</v>
      </c>
      <c r="BD120" s="31">
        <v>3.8888888888888888</v>
      </c>
      <c r="BE120" s="29">
        <v>1</v>
      </c>
      <c r="BF120" s="29">
        <v>2</v>
      </c>
      <c r="BG120" s="30">
        <v>5</v>
      </c>
      <c r="BH120" s="30">
        <v>0.8031838310216366</v>
      </c>
      <c r="BI120" s="26" t="s">
        <v>332</v>
      </c>
      <c r="BJ120" s="30">
        <v>11</v>
      </c>
      <c r="BK120" s="29">
        <f>IF(BE120&lt;=BC120,1,0)</f>
        <v>1</v>
      </c>
      <c r="BL120" s="29">
        <f>BE120-BC120</f>
        <v>0</v>
      </c>
      <c r="BM120" s="29" t="str">
        <f>IF(BH120&gt;0,
    IF(OR(BC120&lt;=TRUNC(BJ120/2,0),BC120=0),
        IF(BG120=TRUNC(BJ120/2,0),
            "-1, Déficit y dejo la capacidad media",
            IF(AND(BG120&gt;TRUNC(BJ120/2,0), BG120&gt;BC120),
                "1, Déficit y eliminé déficit",
                IF(AND(BG120&lt;TRUNC(BJ120/2,0), BG120&lt;BC120),
                    "0, Déficit y no elimine déficit",
                    "-2, Déficit y resultado fue bueno")
            )
        ),
        IF(AND(BG120&gt;TRUNC(BJ120/2,0), BG120&gt;BC120),
            "1, no había déficit, pero resultado fue mejor",
            IF(AND(BG120&lt;TRUNC(BJ120/2,0),BG120&lt;BC120),
                "0, no había déficit y la dejo con déficit",
                IF(BG120=TRUNC(BJ120/2,0),
                    "-1, no había déficit y dejo la capacidad media",
                    "-2,no había déficit y resultado fue bueno")
            )
        )
    ),
    IF(BH120&lt;0,
        IF(BC120&gt;TRUNC(BJ120/2,0),
            IF(BG120=TRUNC(BJ120/2,0),
                "-1, Superávit y deje la capacidad media",
                IF(AND(BG120&gt;TRUNC(BJ120/2,0), BG120&gt;=BC120),
                    "0, Superávit y no eliminé superávit",
                    IF(AND(BG120&lt;TRUNC(BJ120/2,0),BG120&lt;BC120),
                        "1, Superávit y eliminé superávit",
                        "-2, Superávit y resultado fue bueno"
                    )
                )
            ),
            IF(AND(BC120&lt;=TRUNC(BJ120/2,0),BC120&gt;=0),
                IF(BG120=TRUNC(BJ120/2,0),
                    "-1, no había superávit y deje la capacidad media",
                    IF(AND(BG120&gt;TRUNC(BJ120/2,0), BG120&gt;=BC120),
                        "0, no había superávit, y la deje con superávit",
                        IF(AND(BG120&lt;TRUNC(BJ120/2,0),BG120&lt;BC120),
                            "1, no había superávit, pero el resultado fue mejor",
                            "-2, no había superávit y resultado fue bueno"
                        )
                    )
                )
            )
        )
    )
)</f>
        <v>-1, Déficit y dejo la capacidad media</v>
      </c>
      <c r="BO120" s="30" t="s">
        <v>203</v>
      </c>
      <c r="BP120" s="29">
        <v>2</v>
      </c>
      <c r="BQ120" s="31">
        <v>3.3333333333333335</v>
      </c>
      <c r="BR120" s="29">
        <v>3</v>
      </c>
      <c r="BS120" s="29">
        <v>2</v>
      </c>
      <c r="BT120" s="29">
        <v>5</v>
      </c>
      <c r="BU120" s="30">
        <v>0.8031838310216366</v>
      </c>
      <c r="BV120" s="26" t="s">
        <v>332</v>
      </c>
      <c r="BW120" s="30">
        <v>11</v>
      </c>
      <c r="BX120" s="29">
        <f>IF(BR120&lt;=BP120,1,0)</f>
        <v>0</v>
      </c>
      <c r="BY120" s="29">
        <f>BR120-BP120</f>
        <v>1</v>
      </c>
      <c r="BZ120" s="29" t="str">
        <f>IF(BU120&gt;0,
    IF(OR(BP120&lt;=TRUNC(BW120/2,0),BP120=0),
        IF(BT120=TRUNC(BW120/2,0),
            "-1, Déficit y dejo la capacidad media",
            IF(AND(BT120&gt;TRUNC(BW120/2,0), BT120&gt;BP120),
                "1, Déficit y eliminé déficit",
                IF(AND(BT120&lt;TRUNC(BW120/2,0), BT120&lt;BP120),
                    "0, Déficit y no elimine déficit",
                    "-2, Déficit y resultado fue bueno")
            )
        ),
        IF(AND(BT120&gt;TRUNC(BW120/2,0), BT120&gt;BP120),
            "1, no había déficit, pero resultado fue mejor",
            IF(AND(BT120&lt;TRUNC(BW120/2,0),BT120&lt;BP120),
                "0, no había déficit y la dejo con déficit",
                IF(BT120=TRUNC(BW120/2,0),
                    "-1, no había déficit y dejo la capacidad media",
                    "-2,no había déficit y resultado fue bueno")
            )
        )
    ),
    IF(BU120&lt;0,
        IF(BP120&gt;TRUNC(BW120/2,0),
            IF(BT120=TRUNC(BW120/2,0),
                "-1, Superávit y deje la capacidad media",
                IF(AND(BT120&gt;TRUNC(BW120/2,0), BT120&gt;=BP120),
                    "0, Superávit y no eliminé superávit",
                    IF(AND(BT120&lt;TRUNC(BW120/2,0),BT120&lt;BP120),
                        "1, Superávit y eliminé superávit",
                        "-2, Superávit y resultado fue bueno"
                    )
                )
            ),
            IF(AND(BP120&lt;=TRUNC(BW120/2,0),BP120&gt;=0),
                IF(BT120=TRUNC(BW120/2,0),
                    "-1, no había superávit y deje la capacidad media",
                    IF(AND(BT120&gt;TRUNC(BW120/2,0), BT120&gt;=BP120),
                        "0, no había superávit, y la deje con superávit",
                        IF(AND(BT120&lt;TRUNC(BW120/2,0),BT120&lt;BP120),
                            "1, no había superávit, pero el resultado fue mejor",
                            "-2, no había superávit y resultado fue bueno"
                        )
                    )
                )
            )
        )
    )
)</f>
        <v>-1, Déficit y dejo la capacidad media</v>
      </c>
      <c r="CB120" s="30" t="s">
        <v>203</v>
      </c>
      <c r="CC120" s="30">
        <v>2</v>
      </c>
      <c r="CD120" s="31">
        <v>2</v>
      </c>
      <c r="CE120" s="31">
        <v>1</v>
      </c>
      <c r="CF120" s="31">
        <v>1</v>
      </c>
      <c r="CG120" s="30">
        <v>5</v>
      </c>
      <c r="CH120" s="30">
        <v>0.8031838310216366</v>
      </c>
      <c r="CI120" s="26" t="s">
        <v>332</v>
      </c>
      <c r="CJ120" s="30">
        <v>11</v>
      </c>
      <c r="CK120" s="29">
        <f>IF(CE120&lt;=CC120,1,0)</f>
        <v>1</v>
      </c>
      <c r="CL120" s="32">
        <f>CE120-CC120</f>
        <v>-1</v>
      </c>
      <c r="CM120" s="32" t="str">
        <f>IF(CH120&gt;0,
    IF(OR(CC120&lt;=TRUNC(CJ120/2,0),CC120=0),
        IF(CG120=TRUNC(CJ120/2,0),
            "-1, Déficit y dejo la capacidad media",
            IF(AND(CG120&gt;TRUNC(CJ120/2,0), CG120&gt;CC120),
                "1, Déficit y eliminé déficit",
                IF(AND(CG120&lt;TRUNC(CJ120/2,0), CG120&lt;CC120),
                    "0, Déficit y no elimine déficit",
                    "-2, Déficit y resultado fue bueno")
            )
        ),
        IF(AND(CG120&gt;TRUNC(CJ120/2,0), CG120&gt;CC120),
            "1, no había déficit, pero resultado fue mejor",
            IF(AND(CG120&lt;TRUNC(CJ120/2,0),CG120&lt;CC120),
                "0, no había déficit y la dejo con déficit",
                IF(CG120=TRUNC(CJ120/2,0),
                    "-1, no había déficit y dejo la capacidad media",
                    "-2,no había déficit y resultado fue bueno")
            )
        )
    ),
    IF(CH120&lt;0,
        IF(CC120&gt;TRUNC(CJ120/2,0),
            IF(CG120=TRUNC(CJ120/2,0),
                "-1, Superávit y deje la capacidad media",
                IF(AND(CG120&gt;TRUNC(CJ120/2,0), CG120&gt;=CC120),
                    "0, Superávit y no eliminé superávit",
                    IF(AND(CG120&lt;TRUNC(CJ120/2,0),CG120&lt;CC120),
                        "1, Superávit y eliminé superávit",
                        "-2, Superávit y resultado fue bueno"
                    )
                )
            ),
            IF(AND(CC120&lt;=TRUNC(CJ120/2,0),CC120&gt;=0),
                IF(CG120=TRUNC(CJ120/2,0),
                    "-1, no había superávit y deje la capacidad media",
                    IF(AND(CG120&gt;TRUNC(CJ120/2,0), CG120&gt;=CC120),
                        "0, no había superávit, y la deje con superávit",
                        IF(AND(CG120&lt;TRUNC(CJ120/2,0),CG120&lt;CC120),
                            "1, no había superávit, pero el resultado fue mejor",
                            "-2, no había superávit y resultado fue bueno"
                        )
                    )
                )
            )
        )
    )
)</f>
        <v>-1, Déficit y dejo la capacidad media</v>
      </c>
    </row>
    <row r="121" spans="2:103" ht="14.25" customHeight="1" x14ac:dyDescent="0.3">
      <c r="B121" s="30" t="s">
        <v>206</v>
      </c>
      <c r="C121" s="30">
        <v>12</v>
      </c>
      <c r="D121" s="31">
        <v>17.333333333333332</v>
      </c>
      <c r="E121" s="29">
        <v>6</v>
      </c>
      <c r="F121" s="29">
        <v>3</v>
      </c>
      <c r="G121" s="30">
        <v>15</v>
      </c>
      <c r="H121" s="30">
        <v>0.7952330657044463</v>
      </c>
      <c r="I121" s="26" t="s">
        <v>324</v>
      </c>
      <c r="J121" s="30">
        <v>41</v>
      </c>
      <c r="K121" s="29">
        <f>IF(E121&lt;=C121,1,0)</f>
        <v>1</v>
      </c>
      <c r="L121" s="29">
        <f>E121-C121</f>
        <v>-6</v>
      </c>
      <c r="M121" s="29" t="str">
        <f>IF(H121&gt;0,
    IF(OR(C121&lt;=TRUNC(J121/2,0),C121=0),
        IF(G121=TRUNC(J121/2,0),
            "-1, Déficit y dejo la capacidad media",
            IF(AND(G121&gt;TRUNC(J121/2,0), G121&gt;C121),
                "1, Déficit y eliminé déficit",
                IF(AND(G121&lt;TRUNC(J121/2,0), G121&lt;C121),
                    "0, Déficit y no elimine déficit",
                    "-2, Déficit y resultado fue bueno")
            )
        ),
        IF(AND(G121&gt;TRUNC(J121/2,0), G121&gt;C121),
            "1, no había déficit, pero resultado fue mejor",
            IF(AND(G121&lt;TRUNC(J121/2,0),G121&lt;C121),
                "0, no había déficit y la dejo con déficit",
                IF(G121=TRUNC(J121/2,0),
                    "-1, no había déficit y dejo la capacidad media",
                    "-2,no había déficit y resultado fue bueno")
            )
        )
    ),
    IF(H121&lt;0,
        IF(C121&gt;TRUNC(J121/2,0),
            IF(G121=TRUNC(J121/2,0),
                "-1, Superávit y deje la capacidad media",
                IF(AND(G121&gt;TRUNC(J121/2,0), G121&gt;=C121),
                    "0, Superávit y no eliminé superávit",
                    IF(AND(G121&lt;TRUNC(J121/2,0),G121&lt;C121),
                        "1, Superávit y eliminé superávit",
                        "-2, Superávit y resultado fue bueno"
                    )
                )
            ),
            IF(AND(C121&lt;=TRUNC(J121/2,0),C121&gt;=0),
                IF(G121=TRUNC(J121/2,0),
                    "-1, no había superávit y deje la capacidad media",
                    IF(AND(G121&gt;TRUNC(J121/2,0), G121&gt;=C121),
                        "0, no había superávit, y la deje con superávit",
                        IF(AND(G121&lt;TRUNC(J121/2,0),G121&lt;C121),
                            "1, no había superávit, pero el resultado fue mejor",
                            "-2, no había superávit y resultado fue bueno"
                        )
                    )
                )
            )
        )
    )
)</f>
        <v>-2, Déficit y resultado fue bueno</v>
      </c>
      <c r="O121" s="30" t="s">
        <v>206</v>
      </c>
      <c r="P121" s="30">
        <v>14</v>
      </c>
      <c r="Q121" s="31">
        <v>18.222222222222221</v>
      </c>
      <c r="R121" s="29">
        <v>22</v>
      </c>
      <c r="S121" s="30">
        <v>19</v>
      </c>
      <c r="T121" s="30">
        <v>15</v>
      </c>
      <c r="U121" s="30">
        <v>0.7952330657044463</v>
      </c>
      <c r="V121" s="26" t="s">
        <v>324</v>
      </c>
      <c r="W121" s="30">
        <v>41</v>
      </c>
      <c r="X121" s="29">
        <f>IF(R121&lt;=P121,1,0)</f>
        <v>0</v>
      </c>
      <c r="Y121" s="29">
        <f>R121-P121</f>
        <v>8</v>
      </c>
      <c r="Z121" s="29" t="str">
        <f>IF(U121&gt;0,
    IF(OR(P121&lt;=TRUNC(W121/2,0),P121=0),
        IF(T121=TRUNC(W121/2,0),
            "-1, Déficit y dejo la capacidad media",
            IF(AND(T121&gt;TRUNC(W121/2,0), T121&gt;P121),
                "1, Déficit y eliminé déficit",
                IF(AND(T121&lt;TRUNC(W121/2,0), T121&lt;P121),
                    "0, Déficit y no elimine déficit",
                    "-2, Déficit y resultado fue bueno")
            )
        ),
        IF(AND(T121&gt;TRUNC(W121/2,0), T121&gt;P121),
            "1, no había déficit, pero resultado fue mejor",
            IF(AND(T121&lt;TRUNC(W121/2,0),T121&lt;P121),
                "0, no había déficit y la dejo con déficit",
                IF(T121=TRUNC(W121/2,0),
                    "-1, no había déficit y dejo la capacidad media",
                    "-2,no había déficit y resultado fue bueno")
            )
        )
    ),
    IF(U121&lt;0,
        IF(P121&gt;TRUNC(W121/2,0),
            IF(T121=TRUNC(W121/2,0),
                "-1, Superávit y deje la capacidad media",
                IF(AND(T121&gt;TRUNC(W121/2,0), T121&gt;=P121),
                    "0, Superávit y no eliminé superávit",
                    IF(AND(T121&lt;TRUNC(W121/2,0),T121&lt;P121),
                        "1, Superávit y eliminé superávit",
                        "-2, Superávit y resultado fue bueno"
                    )
                )
            ),
            IF(AND(P121&lt;=TRUNC(W121/2,0),P121&gt;=0),
                IF(T121=TRUNC(W121/2,0),
                    "-1, no había superávit y deje la capacidad media",
                    IF(AND(T121&gt;TRUNC(W121/2,0), T121&gt;=P121),
                        "0, no había superávit, y la deje con superávit",
                        IF(AND(T121&lt;TRUNC(W121/2,0),T121&lt;P121),
                            "1, no había superávit, pero el resultado fue mejor",
                            "-2, no había superávit y resultado fue bueno"
                        )
                    )
                )
            )
        )
    )
)</f>
        <v>-2, Déficit y resultado fue bueno</v>
      </c>
      <c r="AB121" s="30" t="s">
        <v>206</v>
      </c>
      <c r="AC121" s="30">
        <v>17</v>
      </c>
      <c r="AD121" s="31">
        <v>19.444444444444443</v>
      </c>
      <c r="AE121" s="29">
        <v>8</v>
      </c>
      <c r="AF121" s="31">
        <v>6</v>
      </c>
      <c r="AG121" s="30">
        <v>15</v>
      </c>
      <c r="AH121" s="30">
        <v>0.7952330657044463</v>
      </c>
      <c r="AI121" s="26" t="s">
        <v>324</v>
      </c>
      <c r="AJ121" s="30">
        <v>41</v>
      </c>
      <c r="AK121" s="29">
        <f>IF(AE121&lt;=AC121,1,0)</f>
        <v>1</v>
      </c>
      <c r="AL121" s="29">
        <f>AE121-AC121</f>
        <v>-9</v>
      </c>
      <c r="AM121" s="29" t="str">
        <f>IF(AH121&gt;0,
    IF(OR(AC121&lt;=TRUNC(AJ121/2,0),AC121=0),
        IF(AG121=TRUNC(AJ121/2,0),
            "-1, Déficit y dejo la capacidad media",
            IF(AND(AG121&gt;TRUNC(AJ121/2,0), AG121&gt;AC121),
                "1, Déficit y eliminé déficit",
                IF(AND(AG121&lt;TRUNC(AJ121/2,0), AG121&lt;AC121),
                    "0, Déficit y no elimine déficit",
                    "-2, Déficit y resultado fue bueno")
            )
        ),
        IF(AND(AG121&gt;TRUNC(AJ121/2,0), AG121&gt;AC121),
            "1, no había déficit, pero resultado fue mejor",
            IF(AND(AG121&lt;TRUNC(AJ121/2,0),AG121&lt;AC121),
                "0, no había déficit y la dejo con déficit",
                IF(AG121=TRUNC(AJ121/2,0),
                    "-1, no había déficit y dejo la capacidad media",
                    "-2,no había déficit y resultado fue bueno")
            )
        )
    ),
    IF(AH121&lt;0,
        IF(AC121&gt;TRUNC(AJ121/2,0),
            IF(AG121=TRUNC(AJ121/2,0),
                "-1, Superávit y deje la capacidad media",
                IF(AND(AG121&gt;TRUNC(AJ121/2,0), AG121&gt;=AC121),
                    "0, Superávit y no eliminé superávit",
                    IF(AND(AG121&lt;TRUNC(AJ121/2,0),AG121&lt;AC121),
                        "1, Superávit y eliminé superávit",
                        "-2, Superávit y resultado fue bueno"
                    )
                )
            ),
            IF(AND(AC121&lt;=TRUNC(AJ121/2,0),AC121&gt;=0),
                IF(AG121=TRUNC(AJ121/2,0),
                    "-1, no había superávit y deje la capacidad media",
                    IF(AND(AG121&gt;TRUNC(AJ121/2,0), AG121&gt;=AC121),
                        "0, no había superávit, y la deje con superávit",
                        IF(AND(AG121&lt;TRUNC(AJ121/2,0),AG121&lt;AC121),
                            "1, no había superávit, pero el resultado fue mejor",
                            "-2, no había superávit y resultado fue bueno"
                        )
                    )
                )
            )
        )
    )
)</f>
        <v>0, Déficit y no elimine déficit</v>
      </c>
      <c r="AO121" s="30" t="s">
        <v>206</v>
      </c>
      <c r="AP121" s="30">
        <v>7</v>
      </c>
      <c r="AQ121" s="31">
        <v>19.333333333333332</v>
      </c>
      <c r="AR121" s="29">
        <v>10</v>
      </c>
      <c r="AS121" s="29">
        <v>4</v>
      </c>
      <c r="AT121" s="30">
        <v>17</v>
      </c>
      <c r="AU121" s="30">
        <v>0.7952330657044463</v>
      </c>
      <c r="AV121" s="26" t="s">
        <v>324</v>
      </c>
      <c r="AW121" s="30">
        <v>41</v>
      </c>
      <c r="AX121" s="29">
        <f>IF(AR121&lt;=AP121,1,0)</f>
        <v>0</v>
      </c>
      <c r="AY121" s="29">
        <f>AR121-AP121</f>
        <v>3</v>
      </c>
      <c r="AZ121" s="29" t="str">
        <f>IF(AU121&gt;0,
    IF(OR(AP121&lt;=TRUNC(AW121/2,0),AP121=0),
        IF(AT121=TRUNC(AW121/2,0),
            "-1, Déficit y dejo la capacidad media",
            IF(AND(AT121&gt;TRUNC(AW121/2,0), AT121&gt;AP121),
                "1, Déficit y eliminé déficit",
                IF(AND(AT121&lt;TRUNC(AW121/2,0), AT121&lt;AP121),
                    "0, Déficit y no elimine déficit",
                    "-2, Déficit y resultado fue bueno")
            )
        ),
        IF(AND(AT121&gt;TRUNC(AW121/2,0), AT121&gt;AP121),
            "1, no había déficit, pero resultado fue mejor",
            IF(AND(AT121&lt;TRUNC(AW121/2,0),AT121&lt;AP121),
                "0, no había déficit y la dejo con déficit",
                IF(AT121=TRUNC(AW121/2,0),
                    "-1, no había déficit y dejo la capacidad media",
                    "-2,no había déficit y resultado fue bueno")
            )
        )
    ),
    IF(AU121&lt;0,
        IF(AP121&gt;TRUNC(AW121/2,0),
            IF(AT121=TRUNC(AW121/2,0),
                "-1, Superávit y deje la capacidad media",
                IF(AND(AT121&gt;TRUNC(AW121/2,0), AT121&gt;=AP121),
                    "0, Superávit y no eliminé superávit",
                    IF(AND(AT121&lt;TRUNC(AW121/2,0),AT121&lt;AP121),
                        "1, Superávit y eliminé superávit",
                        "-2, Superávit y resultado fue bueno"
                    )
                )
            ),
            IF(AND(AP121&lt;=TRUNC(AW121/2,0),AP121&gt;=0),
                IF(AT121=TRUNC(AW121/2,0),
                    "-1, no había superávit y deje la capacidad media",
                    IF(AND(AT121&gt;TRUNC(AW121/2,0), AT121&gt;=AP121),
                        "0, no había superávit, y la deje con superávit",
                        IF(AND(AT121&lt;TRUNC(AW121/2,0),AT121&lt;AP121),
                            "1, no había superávit, pero el resultado fue mejor",
                            "-2, no había superávit y resultado fue bueno"
                        )
                    )
                )
            )
        )
    )
)</f>
        <v>-2, Déficit y resultado fue bueno</v>
      </c>
      <c r="BB121" s="30" t="s">
        <v>206</v>
      </c>
      <c r="BC121" s="30">
        <v>26</v>
      </c>
      <c r="BD121" s="31">
        <v>16.777777777777779</v>
      </c>
      <c r="BE121" s="29">
        <v>27</v>
      </c>
      <c r="BF121" s="29">
        <v>28</v>
      </c>
      <c r="BG121" s="30">
        <v>15</v>
      </c>
      <c r="BH121" s="30">
        <v>0.7952330657044463</v>
      </c>
      <c r="BI121" s="26" t="s">
        <v>324</v>
      </c>
      <c r="BJ121" s="30">
        <v>41</v>
      </c>
      <c r="BK121" s="29">
        <f>IF(BE121&lt;=BC121,1,0)</f>
        <v>0</v>
      </c>
      <c r="BL121" s="29">
        <f>BE121-BC121</f>
        <v>1</v>
      </c>
      <c r="BM121" s="29" t="str">
        <f>IF(BH121&gt;0,
    IF(OR(BC121&lt;=TRUNC(BJ121/2,0),BC121=0),
        IF(BG121=TRUNC(BJ121/2,0),
            "-1, Déficit y dejo la capacidad media",
            IF(AND(BG121&gt;TRUNC(BJ121/2,0), BG121&gt;BC121),
                "1, Déficit y eliminé déficit",
                IF(AND(BG121&lt;TRUNC(BJ121/2,0), BG121&lt;BC121),
                    "0, Déficit y no elimine déficit",
                    "-2, Déficit y resultado fue bueno")
            )
        ),
        IF(AND(BG121&gt;TRUNC(BJ121/2,0), BG121&gt;BC121),
            "1, no había déficit, pero resultado fue mejor",
            IF(AND(BG121&lt;TRUNC(BJ121/2,0),BG121&lt;BC121),
                "0, no había déficit y la dejo con déficit",
                IF(BG121=TRUNC(BJ121/2,0),
                    "-1, no había déficit y dejo la capacidad media",
                    "-2,no había déficit y resultado fue bueno")
            )
        )
    ),
    IF(BH121&lt;0,
        IF(BC121&gt;TRUNC(BJ121/2,0),
            IF(BG121=TRUNC(BJ121/2,0),
                "-1, Superávit y deje la capacidad media",
                IF(AND(BG121&gt;TRUNC(BJ121/2,0), BG121&gt;=BC121),
                    "0, Superávit y no eliminé superávit",
                    IF(AND(BG121&lt;TRUNC(BJ121/2,0),BG121&lt;BC121),
                        "1, Superávit y eliminé superávit",
                        "-2, Superávit y resultado fue bueno"
                    )
                )
            ),
            IF(AND(BC121&lt;=TRUNC(BJ121/2,0),BC121&gt;=0),
                IF(BG121=TRUNC(BJ121/2,0),
                    "-1, no había superávit y deje la capacidad media",
                    IF(AND(BG121&gt;TRUNC(BJ121/2,0), BG121&gt;=BC121),
                        "0, no había superávit, y la deje con superávit",
                        IF(AND(BG121&lt;TRUNC(BJ121/2,0),BG121&lt;BC121),
                            "1, no había superávit, pero el resultado fue mejor",
                            "-2, no había superávit y resultado fue bueno"
                        )
                    )
                )
            )
        )
    )
)</f>
        <v>0, no había déficit y la dejo con déficit</v>
      </c>
      <c r="BO121" s="30" t="s">
        <v>206</v>
      </c>
      <c r="BP121" s="29">
        <v>5</v>
      </c>
      <c r="BQ121" s="31">
        <v>14.555555555555555</v>
      </c>
      <c r="BR121" s="29">
        <v>28</v>
      </c>
      <c r="BS121" s="29">
        <v>30</v>
      </c>
      <c r="BT121" s="29">
        <v>17</v>
      </c>
      <c r="BU121" s="30">
        <v>0.7952330657044463</v>
      </c>
      <c r="BV121" s="26" t="s">
        <v>324</v>
      </c>
      <c r="BW121" s="30">
        <v>41</v>
      </c>
      <c r="BX121" s="29">
        <f>IF(BR121&lt;=BP121,1,0)</f>
        <v>0</v>
      </c>
      <c r="BY121" s="29">
        <f>BR121-BP121</f>
        <v>23</v>
      </c>
      <c r="BZ121" s="29" t="str">
        <f>IF(BU121&gt;0,
    IF(OR(BP121&lt;=TRUNC(BW121/2,0),BP121=0),
        IF(BT121=TRUNC(BW121/2,0),
            "-1, Déficit y dejo la capacidad media",
            IF(AND(BT121&gt;TRUNC(BW121/2,0), BT121&gt;BP121),
                "1, Déficit y eliminé déficit",
                IF(AND(BT121&lt;TRUNC(BW121/2,0), BT121&lt;BP121),
                    "0, Déficit y no elimine déficit",
                    "-2, Déficit y resultado fue bueno")
            )
        ),
        IF(AND(BT121&gt;TRUNC(BW121/2,0), BT121&gt;BP121),
            "1, no había déficit, pero resultado fue mejor",
            IF(AND(BT121&lt;TRUNC(BW121/2,0),BT121&lt;BP121),
                "0, no había déficit y la dejo con déficit",
                IF(BT121=TRUNC(BW121/2,0),
                    "-1, no había déficit y dejo la capacidad media",
                    "-2,no había déficit y resultado fue bueno")
            )
        )
    ),
    IF(BU121&lt;0,
        IF(BP121&gt;TRUNC(BW121/2,0),
            IF(BT121=TRUNC(BW121/2,0),
                "-1, Superávit y deje la capacidad media",
                IF(AND(BT121&gt;TRUNC(BW121/2,0), BT121&gt;=BP121),
                    "0, Superávit y no eliminé superávit",
                    IF(AND(BT121&lt;TRUNC(BW121/2,0),BT121&lt;BP121),
                        "1, Superávit y eliminé superávit",
                        "-2, Superávit y resultado fue bueno"
                    )
                )
            ),
            IF(AND(BP121&lt;=TRUNC(BW121/2,0),BP121&gt;=0),
                IF(BT121=TRUNC(BW121/2,0),
                    "-1, no había superávit y deje la capacidad media",
                    IF(AND(BT121&gt;TRUNC(BW121/2,0), BT121&gt;=BP121),
                        "0, no había superávit, y la deje con superávit",
                        IF(AND(BT121&lt;TRUNC(BW121/2,0),BT121&lt;BP121),
                            "1, no había superávit, pero el resultado fue mejor",
                            "-2, no había superávit y resultado fue bueno"
                        )
                    )
                )
            )
        )
    )
)</f>
        <v>-2, Déficit y resultado fue bueno</v>
      </c>
      <c r="CB121" s="30" t="s">
        <v>206</v>
      </c>
      <c r="CC121" s="30">
        <v>18</v>
      </c>
      <c r="CD121" s="31">
        <v>12.222222222222221</v>
      </c>
      <c r="CE121" s="31">
        <v>23</v>
      </c>
      <c r="CF121" s="31">
        <v>27</v>
      </c>
      <c r="CG121" s="30">
        <v>18</v>
      </c>
      <c r="CH121" s="30">
        <v>0.7952330657044463</v>
      </c>
      <c r="CI121" s="26" t="s">
        <v>324</v>
      </c>
      <c r="CJ121" s="30">
        <v>41</v>
      </c>
      <c r="CK121" s="29">
        <f>IF(CE121&lt;=CC121,1,0)</f>
        <v>0</v>
      </c>
      <c r="CL121" s="32">
        <f>CE121-CC121</f>
        <v>5</v>
      </c>
      <c r="CM121" s="32" t="str">
        <f>IF(CH121&gt;0,
    IF(OR(CC121&lt;=TRUNC(CJ121/2,0),CC121=0),
        IF(CG121=TRUNC(CJ121/2,0),
            "-1, Déficit y dejo la capacidad media",
            IF(AND(CG121&gt;TRUNC(CJ121/2,0), CG121&gt;CC121),
                "1, Déficit y eliminé déficit",
                IF(AND(CG121&lt;TRUNC(CJ121/2,0), CG121&lt;CC121),
                    "0, Déficit y no elimine déficit",
                    "-2, Déficit y resultado fue bueno")
            )
        ),
        IF(AND(CG121&gt;TRUNC(CJ121/2,0), CG121&gt;CC121),
            "1, no había déficit, pero resultado fue mejor",
            IF(AND(CG121&lt;TRUNC(CJ121/2,0),CG121&lt;CC121),
                "0, no había déficit y la dejo con déficit",
                IF(CG121=TRUNC(CJ121/2,0),
                    "-1, no había déficit y dejo la capacidad media",
                    "-2,no había déficit y resultado fue bueno")
            )
        )
    ),
    IF(CH121&lt;0,
        IF(CC121&gt;TRUNC(CJ121/2,0),
            IF(CG121=TRUNC(CJ121/2,0),
                "-1, Superávit y deje la capacidad media",
                IF(AND(CG121&gt;TRUNC(CJ121/2,0), CG121&gt;=CC121),
                    "0, Superávit y no eliminé superávit",
                    IF(AND(CG121&lt;TRUNC(CJ121/2,0),CG121&lt;CC121),
                        "1, Superávit y eliminé superávit",
                        "-2, Superávit y resultado fue bueno"
                    )
                )
            ),
            IF(AND(CC121&lt;=TRUNC(CJ121/2,0),CC121&gt;=0),
                IF(CG121=TRUNC(CJ121/2,0),
                    "-1, no había superávit y deje la capacidad media",
                    IF(AND(CG121&gt;TRUNC(CJ121/2,0), CG121&gt;=CC121),
                        "0, no había superávit, y la deje con superávit",
                        IF(AND(CG121&lt;TRUNC(CJ121/2,0),CG121&lt;CC121),
                            "1, no había superávit, pero el resultado fue mejor",
                            "-2, no había superávit y resultado fue bueno"
                        )
                    )
                )
            )
        )
    )
)</f>
        <v>-2, Déficit y resultado fue bueno</v>
      </c>
    </row>
    <row r="122" spans="2:103" ht="14.25" customHeight="1" x14ac:dyDescent="0.3">
      <c r="B122" s="30" t="s">
        <v>202</v>
      </c>
      <c r="C122" s="30">
        <v>5</v>
      </c>
      <c r="D122" s="31">
        <v>3.5555555555555554</v>
      </c>
      <c r="E122" s="29">
        <v>1</v>
      </c>
      <c r="F122" s="29">
        <v>0</v>
      </c>
      <c r="G122" s="30">
        <v>4</v>
      </c>
      <c r="H122" s="30">
        <v>0.65812761495518723</v>
      </c>
      <c r="I122" s="26" t="s">
        <v>318</v>
      </c>
      <c r="J122" s="30">
        <v>11</v>
      </c>
      <c r="K122" s="29">
        <f>IF(E122&lt;=C122,1,0)</f>
        <v>1</v>
      </c>
      <c r="L122" s="29">
        <f>E122-C122</f>
        <v>-4</v>
      </c>
      <c r="M122" s="29" t="str">
        <f>IF(H122&gt;0,
    IF(OR(C122&lt;=TRUNC(J122/2,0),C122=0),
        IF(G122=TRUNC(J122/2,0),
            "-1, Déficit y dejo la capacidad media",
            IF(AND(G122&gt;TRUNC(J122/2,0), G122&gt;C122),
                "1, Déficit y eliminé déficit",
                IF(AND(G122&lt;TRUNC(J122/2,0), G122&lt;C122),
                    "0, Déficit y no elimine déficit",
                    "-2, Déficit y resultado fue bueno")
            )
        ),
        IF(AND(G122&gt;TRUNC(J122/2,0), G122&gt;C122),
            "1, no había déficit, pero resultado fue mejor",
            IF(AND(G122&lt;TRUNC(J122/2,0),G122&lt;C122),
                "0, no había déficit y la dejo con déficit",
                IF(G122=TRUNC(J122/2,0),
                    "-1, no había déficit y dejo la capacidad media",
                    "-2,no había déficit y resultado fue bueno")
            )
        )
    ),
    IF(H122&lt;0,
        IF(C122&gt;TRUNC(J122/2,0),
            IF(G122=TRUNC(J122/2,0),
                "-1, Superávit y deje la capacidad media",
                IF(AND(G122&gt;TRUNC(J122/2,0), G122&gt;=C122),
                    "0, Superávit y no eliminé superávit",
                    IF(AND(G122&lt;TRUNC(J122/2,0),G122&lt;C122),
                        "1, Superávit y eliminé superávit",
                        "-2, Superávit y resultado fue bueno"
                    )
                )
            ),
            IF(AND(C122&lt;=TRUNC(J122/2,0),C122&gt;=0),
                IF(G122=TRUNC(J122/2,0),
                    "-1, no había superávit y deje la capacidad media",
                    IF(AND(G122&gt;TRUNC(J122/2,0), G122&gt;=C122),
                        "0, no había superávit, y la deje con superávit",
                        IF(AND(G122&lt;TRUNC(J122/2,0),G122&lt;C122),
                            "1, no había superávit, pero el resultado fue mejor",
                            "-2, no había superávit y resultado fue bueno"
                        )
                    )
                )
            )
        )
    )
)</f>
        <v>0, Déficit y no elimine déficit</v>
      </c>
      <c r="O122" s="30" t="s">
        <v>202</v>
      </c>
      <c r="P122" s="30">
        <v>4</v>
      </c>
      <c r="Q122" s="31">
        <v>4.1111111111111107</v>
      </c>
      <c r="R122" s="29">
        <v>1</v>
      </c>
      <c r="S122" s="30">
        <v>1</v>
      </c>
      <c r="T122" s="30">
        <v>4</v>
      </c>
      <c r="U122" s="30">
        <v>0.65812761495518723</v>
      </c>
      <c r="V122" s="26" t="s">
        <v>318</v>
      </c>
      <c r="W122" s="30">
        <v>11</v>
      </c>
      <c r="X122" s="29">
        <f>IF(R122&lt;=P122,1,0)</f>
        <v>1</v>
      </c>
      <c r="Y122" s="29">
        <f>R122-P122</f>
        <v>-3</v>
      </c>
      <c r="Z122" s="29" t="str">
        <f>IF(U122&gt;0,
    IF(OR(P122&lt;=TRUNC(W122/2,0),P122=0),
        IF(T122=TRUNC(W122/2,0),
            "-1, Déficit y dejo la capacidad media",
            IF(AND(T122&gt;TRUNC(W122/2,0), T122&gt;P122),
                "1, Déficit y eliminé déficit",
                IF(AND(T122&lt;TRUNC(W122/2,0), T122&lt;P122),
                    "0, Déficit y no elimine déficit",
                    "-2, Déficit y resultado fue bueno")
            )
        ),
        IF(AND(T122&gt;TRUNC(W122/2,0), T122&gt;P122),
            "1, no había déficit, pero resultado fue mejor",
            IF(AND(T122&lt;TRUNC(W122/2,0),T122&lt;P122),
                "0, no había déficit y la dejo con déficit",
                IF(T122=TRUNC(W122/2,0),
                    "-1, no había déficit y dejo la capacidad media",
                    "-2,no había déficit y resultado fue bueno")
            )
        )
    ),
    IF(U122&lt;0,
        IF(P122&gt;TRUNC(W122/2,0),
            IF(T122=TRUNC(W122/2,0),
                "-1, Superávit y deje la capacidad media",
                IF(AND(T122&gt;TRUNC(W122/2,0), T122&gt;=P122),
                    "0, Superávit y no eliminé superávit",
                    IF(AND(T122&lt;TRUNC(W122/2,0),T122&lt;P122),
                        "1, Superávit y eliminé superávit",
                        "-2, Superávit y resultado fue bueno"
                    )
                )
            ),
            IF(AND(P122&lt;=TRUNC(W122/2,0),P122&gt;=0),
                IF(T122=TRUNC(W122/2,0),
                    "-1, no había superávit y deje la capacidad media",
                    IF(AND(T122&gt;TRUNC(W122/2,0), T122&gt;=P122),
                        "0, no había superávit, y la deje con superávit",
                        IF(AND(T122&lt;TRUNC(W122/2,0),T122&lt;P122),
                            "1, no había superávit, pero el resultado fue mejor",
                            "-2, no había superávit y resultado fue bueno"
                        )
                    )
                )
            )
        )
    )
)</f>
        <v>-2, Déficit y resultado fue bueno</v>
      </c>
      <c r="AB122" s="30" t="s">
        <v>202</v>
      </c>
      <c r="AC122" s="30">
        <v>1</v>
      </c>
      <c r="AD122" s="31">
        <v>3.4444444444444446</v>
      </c>
      <c r="AE122" s="29">
        <v>0</v>
      </c>
      <c r="AF122" s="31">
        <v>0</v>
      </c>
      <c r="AG122" s="30">
        <v>4</v>
      </c>
      <c r="AH122" s="30">
        <v>0.65812761495518723</v>
      </c>
      <c r="AI122" s="26" t="s">
        <v>318</v>
      </c>
      <c r="AJ122" s="30">
        <v>11</v>
      </c>
      <c r="AK122" s="29">
        <f>IF(AE122&lt;=AC122,1,0)</f>
        <v>1</v>
      </c>
      <c r="AL122" s="29">
        <f>AE122-AC122</f>
        <v>-1</v>
      </c>
      <c r="AM122" s="29" t="str">
        <f>IF(AH122&gt;0,
    IF(OR(AC122&lt;=TRUNC(AJ122/2,0),AC122=0),
        IF(AG122=TRUNC(AJ122/2,0),
            "-1, Déficit y dejo la capacidad media",
            IF(AND(AG122&gt;TRUNC(AJ122/2,0), AG122&gt;AC122),
                "1, Déficit y eliminé déficit",
                IF(AND(AG122&lt;TRUNC(AJ122/2,0), AG122&lt;AC122),
                    "0, Déficit y no elimine déficit",
                    "-2, Déficit y resultado fue bueno")
            )
        ),
        IF(AND(AG122&gt;TRUNC(AJ122/2,0), AG122&gt;AC122),
            "1, no había déficit, pero resultado fue mejor",
            IF(AND(AG122&lt;TRUNC(AJ122/2,0),AG122&lt;AC122),
                "0, no había déficit y la dejo con déficit",
                IF(AG122=TRUNC(AJ122/2,0),
                    "-1, no había déficit y dejo la capacidad media",
                    "-2,no había déficit y resultado fue bueno")
            )
        )
    ),
    IF(AH122&lt;0,
        IF(AC122&gt;TRUNC(AJ122/2,0),
            IF(AG122=TRUNC(AJ122/2,0),
                "-1, Superávit y deje la capacidad media",
                IF(AND(AG122&gt;TRUNC(AJ122/2,0), AG122&gt;=AC122),
                    "0, Superávit y no eliminé superávit",
                    IF(AND(AG122&lt;TRUNC(AJ122/2,0),AG122&lt;AC122),
                        "1, Superávit y eliminé superávit",
                        "-2, Superávit y resultado fue bueno"
                    )
                )
            ),
            IF(AND(AC122&lt;=TRUNC(AJ122/2,0),AC122&gt;=0),
                IF(AG122=TRUNC(AJ122/2,0),
                    "-1, no había superávit y deje la capacidad media",
                    IF(AND(AG122&gt;TRUNC(AJ122/2,0), AG122&gt;=AC122),
                        "0, no había superávit, y la deje con superávit",
                        IF(AND(AG122&lt;TRUNC(AJ122/2,0),AG122&lt;AC122),
                            "1, no había superávit, pero el resultado fue mejor",
                            "-2, no había superávit y resultado fue bueno"
                        )
                    )
                )
            )
        )
    )
)</f>
        <v>-2, Déficit y resultado fue bueno</v>
      </c>
      <c r="AO122" s="30" t="s">
        <v>202</v>
      </c>
      <c r="AP122" s="30">
        <v>5</v>
      </c>
      <c r="AQ122" s="31">
        <v>4.333333333333333</v>
      </c>
      <c r="AR122" s="29">
        <v>1</v>
      </c>
      <c r="AS122" s="29">
        <v>0</v>
      </c>
      <c r="AT122" s="30">
        <v>4</v>
      </c>
      <c r="AU122" s="30">
        <v>0.65812761495518723</v>
      </c>
      <c r="AV122" s="26" t="s">
        <v>318</v>
      </c>
      <c r="AW122" s="30">
        <v>11</v>
      </c>
      <c r="AX122" s="29">
        <f>IF(AR122&lt;=AP122,1,0)</f>
        <v>1</v>
      </c>
      <c r="AY122" s="29">
        <f>AR122-AP122</f>
        <v>-4</v>
      </c>
      <c r="AZ122" s="29" t="str">
        <f>IF(AU122&gt;0,
    IF(OR(AP122&lt;=TRUNC(AW122/2,0),AP122=0),
        IF(AT122=TRUNC(AW122/2,0),
            "-1, Déficit y dejo la capacidad media",
            IF(AND(AT122&gt;TRUNC(AW122/2,0), AT122&gt;AP122),
                "1, Déficit y eliminé déficit",
                IF(AND(AT122&lt;TRUNC(AW122/2,0), AT122&lt;AP122),
                    "0, Déficit y no elimine déficit",
                    "-2, Déficit y resultado fue bueno")
            )
        ),
        IF(AND(AT122&gt;TRUNC(AW122/2,0), AT122&gt;AP122),
            "1, no había déficit, pero resultado fue mejor",
            IF(AND(AT122&lt;TRUNC(AW122/2,0),AT122&lt;AP122),
                "0, no había déficit y la dejo con déficit",
                IF(AT122=TRUNC(AW122/2,0),
                    "-1, no había déficit y dejo la capacidad media",
                    "-2,no había déficit y resultado fue bueno")
            )
        )
    ),
    IF(AU122&lt;0,
        IF(AP122&gt;TRUNC(AW122/2,0),
            IF(AT122=TRUNC(AW122/2,0),
                "-1, Superávit y deje la capacidad media",
                IF(AND(AT122&gt;TRUNC(AW122/2,0), AT122&gt;=AP122),
                    "0, Superávit y no eliminé superávit",
                    IF(AND(AT122&lt;TRUNC(AW122/2,0),AT122&lt;AP122),
                        "1, Superávit y eliminé superávit",
                        "-2, Superávit y resultado fue bueno"
                    )
                )
            ),
            IF(AND(AP122&lt;=TRUNC(AW122/2,0),AP122&gt;=0),
                IF(AT122=TRUNC(AW122/2,0),
                    "-1, no había superávit y deje la capacidad media",
                    IF(AND(AT122&gt;TRUNC(AW122/2,0), AT122&gt;=AP122),
                        "0, no había superávit, y la deje con superávit",
                        IF(AND(AT122&lt;TRUNC(AW122/2,0),AT122&lt;AP122),
                            "1, no había superávit, pero el resultado fue mejor",
                            "-2, no había superávit y resultado fue bueno"
                        )
                    )
                )
            )
        )
    )
)</f>
        <v>0, Déficit y no elimine déficit</v>
      </c>
      <c r="BB122" s="30" t="s">
        <v>202</v>
      </c>
      <c r="BC122" s="30">
        <v>1</v>
      </c>
      <c r="BD122" s="31">
        <v>2.5555555555555554</v>
      </c>
      <c r="BE122" s="29">
        <v>1</v>
      </c>
      <c r="BF122" s="29">
        <v>1</v>
      </c>
      <c r="BG122" s="30">
        <v>4</v>
      </c>
      <c r="BH122" s="30">
        <v>0.65812761495518723</v>
      </c>
      <c r="BI122" s="26" t="s">
        <v>318</v>
      </c>
      <c r="BJ122" s="30">
        <v>11</v>
      </c>
      <c r="BK122" s="29">
        <f>IF(BE122&lt;=BC122,1,0)</f>
        <v>1</v>
      </c>
      <c r="BL122" s="29">
        <f>BE122-BC122</f>
        <v>0</v>
      </c>
      <c r="BM122" s="29" t="str">
        <f>IF(BH122&gt;0,
    IF(OR(BC122&lt;=TRUNC(BJ122/2,0),BC122=0),
        IF(BG122=TRUNC(BJ122/2,0),
            "-1, Déficit y dejo la capacidad media",
            IF(AND(BG122&gt;TRUNC(BJ122/2,0), BG122&gt;BC122),
                "1, Déficit y eliminé déficit",
                IF(AND(BG122&lt;TRUNC(BJ122/2,0), BG122&lt;BC122),
                    "0, Déficit y no elimine déficit",
                    "-2, Déficit y resultado fue bueno")
            )
        ),
        IF(AND(BG122&gt;TRUNC(BJ122/2,0), BG122&gt;BC122),
            "1, no había déficit, pero resultado fue mejor",
            IF(AND(BG122&lt;TRUNC(BJ122/2,0),BG122&lt;BC122),
                "0, no había déficit y la dejo con déficit",
                IF(BG122=TRUNC(BJ122/2,0),
                    "-1, no había déficit y dejo la capacidad media",
                    "-2,no había déficit y resultado fue bueno")
            )
        )
    ),
    IF(BH122&lt;0,
        IF(BC122&gt;TRUNC(BJ122/2,0),
            IF(BG122=TRUNC(BJ122/2,0),
                "-1, Superávit y deje la capacidad media",
                IF(AND(BG122&gt;TRUNC(BJ122/2,0), BG122&gt;=BC122),
                    "0, Superávit y no eliminé superávit",
                    IF(AND(BG122&lt;TRUNC(BJ122/2,0),BG122&lt;BC122),
                        "1, Superávit y eliminé superávit",
                        "-2, Superávit y resultado fue bueno"
                    )
                )
            ),
            IF(AND(BC122&lt;=TRUNC(BJ122/2,0),BC122&gt;=0),
                IF(BG122=TRUNC(BJ122/2,0),
                    "-1, no había superávit y deje la capacidad media",
                    IF(AND(BG122&gt;TRUNC(BJ122/2,0), BG122&gt;=BC122),
                        "0, no había superávit, y la deje con superávit",
                        IF(AND(BG122&lt;TRUNC(BJ122/2,0),BG122&lt;BC122),
                            "1, no había superávit, pero el resultado fue mejor",
                            "-2, no había superávit y resultado fue bueno"
                        )
                    )
                )
            )
        )
    )
)</f>
        <v>-2, Déficit y resultado fue bueno</v>
      </c>
      <c r="BO122" s="30" t="s">
        <v>202</v>
      </c>
      <c r="BP122" s="29">
        <v>10</v>
      </c>
      <c r="BQ122" s="31">
        <v>4.5555555555555554</v>
      </c>
      <c r="BR122" s="29">
        <v>10</v>
      </c>
      <c r="BS122" s="29">
        <v>10</v>
      </c>
      <c r="BT122" s="29">
        <v>4</v>
      </c>
      <c r="BU122" s="30">
        <v>0.65812761495518723</v>
      </c>
      <c r="BV122" s="26" t="s">
        <v>318</v>
      </c>
      <c r="BW122" s="30">
        <v>11</v>
      </c>
      <c r="BX122" s="29">
        <f>IF(BR122&lt;=BP122,1,0)</f>
        <v>1</v>
      </c>
      <c r="BY122" s="29">
        <f>BR122-BP122</f>
        <v>0</v>
      </c>
      <c r="BZ122" s="29" t="str">
        <f>IF(BU122&gt;0,
    IF(OR(BP122&lt;=TRUNC(BW122/2,0),BP122=0),
        IF(BT122=TRUNC(BW122/2,0),
            "-1, Déficit y dejo la capacidad media",
            IF(AND(BT122&gt;TRUNC(BW122/2,0), BT122&gt;BP122),
                "1, Déficit y eliminé déficit",
                IF(AND(BT122&lt;TRUNC(BW122/2,0), BT122&lt;BP122),
                    "0, Déficit y no elimine déficit",
                    "-2, Déficit y resultado fue bueno")
            )
        ),
        IF(AND(BT122&gt;TRUNC(BW122/2,0), BT122&gt;BP122),
            "1, no había déficit, pero resultado fue mejor",
            IF(AND(BT122&lt;TRUNC(BW122/2,0),BT122&lt;BP122),
                "0, no había déficit y la dejo con déficit",
                IF(BT122=TRUNC(BW122/2,0),
                    "-1, no había déficit y dejo la capacidad media",
                    "-2,no había déficit y resultado fue bueno")
            )
        )
    ),
    IF(BU122&lt;0,
        IF(BP122&gt;TRUNC(BW122/2,0),
            IF(BT122=TRUNC(BW122/2,0),
                "-1, Superávit y deje la capacidad media",
                IF(AND(BT122&gt;TRUNC(BW122/2,0), BT122&gt;=BP122),
                    "0, Superávit y no eliminé superávit",
                    IF(AND(BT122&lt;TRUNC(BW122/2,0),BT122&lt;BP122),
                        "1, Superávit y eliminé superávit",
                        "-2, Superávit y resultado fue bueno"
                    )
                )
            ),
            IF(AND(BP122&lt;=TRUNC(BW122/2,0),BP122&gt;=0),
                IF(BT122=TRUNC(BW122/2,0),
                    "-1, no había superávit y deje la capacidad media",
                    IF(AND(BT122&gt;TRUNC(BW122/2,0), BT122&gt;=BP122),
                        "0, no había superávit, y la deje con superávit",
                        IF(AND(BT122&lt;TRUNC(BW122/2,0),BT122&lt;BP122),
                            "1, no había superávit, pero el resultado fue mejor",
                            "-2, no había superávit y resultado fue bueno"
                        )
                    )
                )
            )
        )
    )
)</f>
        <v>0, no había déficit y la dejo con déficit</v>
      </c>
      <c r="CB122" s="30" t="s">
        <v>202</v>
      </c>
      <c r="CC122" s="30">
        <v>11</v>
      </c>
      <c r="CD122" s="31">
        <v>4.2222222222222223</v>
      </c>
      <c r="CE122" s="31">
        <v>11</v>
      </c>
      <c r="CF122" s="31">
        <v>11</v>
      </c>
      <c r="CG122" s="30">
        <v>4</v>
      </c>
      <c r="CH122" s="30">
        <v>0.65812761495518723</v>
      </c>
      <c r="CI122" s="26" t="s">
        <v>318</v>
      </c>
      <c r="CJ122" s="30">
        <v>11</v>
      </c>
      <c r="CK122" s="29">
        <f>IF(CE122&lt;=CC122,1,0)</f>
        <v>1</v>
      </c>
      <c r="CL122" s="32">
        <f>CE122-CC122</f>
        <v>0</v>
      </c>
      <c r="CM122" s="32" t="str">
        <f>IF(CH122&gt;0,
    IF(OR(CC122&lt;=TRUNC(CJ122/2,0),CC122=0),
        IF(CG122=TRUNC(CJ122/2,0),
            "-1, Déficit y dejo la capacidad media",
            IF(AND(CG122&gt;TRUNC(CJ122/2,0), CG122&gt;CC122),
                "1, Déficit y eliminé déficit",
                IF(AND(CG122&lt;TRUNC(CJ122/2,0), CG122&lt;CC122),
                    "0, Déficit y no elimine déficit",
                    "-2, Déficit y resultado fue bueno")
            )
        ),
        IF(AND(CG122&gt;TRUNC(CJ122/2,0), CG122&gt;CC122),
            "1, no había déficit, pero resultado fue mejor",
            IF(AND(CG122&lt;TRUNC(CJ122/2,0),CG122&lt;CC122),
                "0, no había déficit y la dejo con déficit",
                IF(CG122=TRUNC(CJ122/2,0),
                    "-1, no había déficit y dejo la capacidad media",
                    "-2,no había déficit y resultado fue bueno")
            )
        )
    ),
    IF(CH122&lt;0,
        IF(CC122&gt;TRUNC(CJ122/2,0),
            IF(CG122=TRUNC(CJ122/2,0),
                "-1, Superávit y deje la capacidad media",
                IF(AND(CG122&gt;TRUNC(CJ122/2,0), CG122&gt;=CC122),
                    "0, Superávit y no eliminé superávit",
                    IF(AND(CG122&lt;TRUNC(CJ122/2,0),CG122&lt;CC122),
                        "1, Superávit y eliminé superávit",
                        "-2, Superávit y resultado fue bueno"
                    )
                )
            ),
            IF(AND(CC122&lt;=TRUNC(CJ122/2,0),CC122&gt;=0),
                IF(CG122=TRUNC(CJ122/2,0),
                    "-1, no había superávit y deje la capacidad media",
                    IF(AND(CG122&gt;TRUNC(CJ122/2,0), CG122&gt;=CC122),
                        "0, no había superávit, y la deje con superávit",
                        IF(AND(CG122&lt;TRUNC(CJ122/2,0),CG122&lt;CC122),
                            "1, no había superávit, pero el resultado fue mejor",
                            "-2, no había superávit y resultado fue bueno"
                        )
                    )
                )
            )
        )
    )
)</f>
        <v>0, no había déficit y la dejo con déficit</v>
      </c>
    </row>
    <row r="123" spans="2:103" ht="14.25" customHeight="1" x14ac:dyDescent="0.3">
      <c r="B123" s="30" t="s">
        <v>205</v>
      </c>
      <c r="C123" s="30">
        <v>1</v>
      </c>
      <c r="D123" s="31">
        <v>1.8888888888888899</v>
      </c>
      <c r="E123" s="29">
        <v>0</v>
      </c>
      <c r="F123" s="29">
        <v>0</v>
      </c>
      <c r="G123" s="30">
        <v>4</v>
      </c>
      <c r="H123" s="30">
        <v>0.65757862978307635</v>
      </c>
      <c r="I123" s="26" t="s">
        <v>319</v>
      </c>
      <c r="J123" s="30">
        <v>7</v>
      </c>
      <c r="K123" s="29">
        <f>IF(E123&lt;=C123,1,0)</f>
        <v>1</v>
      </c>
      <c r="L123" s="29">
        <f>E123-C123</f>
        <v>-1</v>
      </c>
      <c r="M123" s="29" t="str">
        <f>IF(H123&gt;0,
    IF(OR(C123&lt;=TRUNC(J123/2,0),C123=0),
        IF(G123=TRUNC(J123/2,0),
            "-1, Déficit y dejo la capacidad media",
            IF(AND(G123&gt;TRUNC(J123/2,0), G123&gt;C123),
                "1, Déficit y eliminé déficit",
                IF(AND(G123&lt;TRUNC(J123/2,0), G123&lt;C123),
                    "0, Déficit y no elimine déficit",
                    "-2, Déficit y resultado fue bueno")
            )
        ),
        IF(AND(G123&gt;TRUNC(J123/2,0), G123&gt;C123),
            "1, no había déficit, pero resultado fue mejor",
            IF(AND(G123&lt;TRUNC(J123/2,0),G123&lt;C123),
                "0, no había déficit y la dejo con déficit",
                IF(G123=TRUNC(J123/2,0),
                    "-1, no había déficit y dejo la capacidad media",
                    "-2,no había déficit y resultado fue bueno")
            )
        )
    ),
    IF(H123&lt;0,
        IF(C123&gt;TRUNC(J123/2,0),
            IF(G123=TRUNC(J123/2,0),
                "-1, Superávit y deje la capacidad media",
                IF(AND(G123&gt;TRUNC(J123/2,0), G123&gt;=C123),
                    "0, Superávit y no eliminé superávit",
                    IF(AND(G123&lt;TRUNC(J123/2,0),G123&lt;C123),
                        "1, Superávit y eliminé superávit",
                        "-2, Superávit y resultado fue bueno"
                    )
                )
            ),
            IF(AND(C123&lt;=TRUNC(J123/2,0),C123&gt;=0),
                IF(G123=TRUNC(J123/2,0),
                    "-1, no había superávit y deje la capacidad media",
                    IF(AND(G123&gt;TRUNC(J123/2,0), G123&gt;=C123),
                        "0, no había superávit, y la deje con superávit",
                        IF(AND(G123&lt;TRUNC(J123/2,0),G123&lt;C123),
                            "1, no había superávit, pero el resultado fue mejor",
                            "-2, no había superávit y resultado fue bueno"
                        )
                    )
                )
            )
        )
    )
)</f>
        <v>1, Déficit y eliminé déficit</v>
      </c>
      <c r="O123" s="30" t="s">
        <v>205</v>
      </c>
      <c r="P123" s="30">
        <v>2</v>
      </c>
      <c r="Q123" s="31">
        <v>1.8888888888888888</v>
      </c>
      <c r="R123" s="29">
        <v>0</v>
      </c>
      <c r="S123" s="30">
        <v>0</v>
      </c>
      <c r="T123" s="30">
        <v>4</v>
      </c>
      <c r="U123" s="30">
        <v>0.65757862978307635</v>
      </c>
      <c r="V123" s="26" t="s">
        <v>319</v>
      </c>
      <c r="W123" s="30">
        <v>7</v>
      </c>
      <c r="X123" s="29">
        <f>IF(R123&lt;=P123,1,0)</f>
        <v>1</v>
      </c>
      <c r="Y123" s="29">
        <f>R123-P123</f>
        <v>-2</v>
      </c>
      <c r="Z123" s="29" t="str">
        <f>IF(U123&gt;0,
    IF(OR(P123&lt;=TRUNC(W123/2,0),P123=0),
        IF(T123=TRUNC(W123/2,0),
            "-1, Déficit y dejo la capacidad media",
            IF(AND(T123&gt;TRUNC(W123/2,0), T123&gt;P123),
                "1, Déficit y eliminé déficit",
                IF(AND(T123&lt;TRUNC(W123/2,0), T123&lt;P123),
                    "0, Déficit y no elimine déficit",
                    "-2, Déficit y resultado fue bueno")
            )
        ),
        IF(AND(T123&gt;TRUNC(W123/2,0), T123&gt;P123),
            "1, no había déficit, pero resultado fue mejor",
            IF(AND(T123&lt;TRUNC(W123/2,0),T123&lt;P123),
                "0, no había déficit y la dejo con déficit",
                IF(T123=TRUNC(W123/2,0),
                    "-1, no había déficit y dejo la capacidad media",
                    "-2,no había déficit y resultado fue bueno")
            )
        )
    ),
    IF(U123&lt;0,
        IF(P123&gt;TRUNC(W123/2,0),
            IF(T123=TRUNC(W123/2,0),
                "-1, Superávit y deje la capacidad media",
                IF(AND(T123&gt;TRUNC(W123/2,0), T123&gt;=P123),
                    "0, Superávit y no eliminé superávit",
                    IF(AND(T123&lt;TRUNC(W123/2,0),T123&lt;P123),
                        "1, Superávit y eliminé superávit",
                        "-2, Superávit y resultado fue bueno"
                    )
                )
            ),
            IF(AND(P123&lt;=TRUNC(W123/2,0),P123&gt;=0),
                IF(T123=TRUNC(W123/2,0),
                    "-1, no había superávit y deje la capacidad media",
                    IF(AND(T123&gt;TRUNC(W123/2,0), T123&gt;=P123),
                        "0, no había superávit, y la deje con superávit",
                        IF(AND(T123&lt;TRUNC(W123/2,0),T123&lt;P123),
                            "1, no había superávit, pero el resultado fue mejor",
                            "-2, no había superávit y resultado fue bueno"
                        )
                    )
                )
            )
        )
    )
)</f>
        <v>1, Déficit y eliminé déficit</v>
      </c>
      <c r="AB123" s="30" t="s">
        <v>205</v>
      </c>
      <c r="AC123" s="30">
        <v>1</v>
      </c>
      <c r="AD123" s="31">
        <v>1.5555555555555556</v>
      </c>
      <c r="AE123" s="29">
        <v>0</v>
      </c>
      <c r="AF123" s="31">
        <v>0</v>
      </c>
      <c r="AG123" s="30">
        <v>4</v>
      </c>
      <c r="AH123" s="30">
        <v>0.65757862978307635</v>
      </c>
      <c r="AI123" s="26" t="s">
        <v>319</v>
      </c>
      <c r="AJ123" s="30">
        <v>7</v>
      </c>
      <c r="AK123" s="29">
        <f>IF(AE123&lt;=AC123,1,0)</f>
        <v>1</v>
      </c>
      <c r="AL123" s="29">
        <f>AE123-AC123</f>
        <v>-1</v>
      </c>
      <c r="AM123" s="29" t="str">
        <f>IF(AH123&gt;0,
    IF(OR(AC123&lt;=TRUNC(AJ123/2,0),AC123=0),
        IF(AG123=TRUNC(AJ123/2,0),
            "-1, Déficit y dejo la capacidad media",
            IF(AND(AG123&gt;TRUNC(AJ123/2,0), AG123&gt;AC123),
                "1, Déficit y eliminé déficit",
                IF(AND(AG123&lt;TRUNC(AJ123/2,0), AG123&lt;AC123),
                    "0, Déficit y no elimine déficit",
                    "-2, Déficit y resultado fue bueno")
            )
        ),
        IF(AND(AG123&gt;TRUNC(AJ123/2,0), AG123&gt;AC123),
            "1, no había déficit, pero resultado fue mejor",
            IF(AND(AG123&lt;TRUNC(AJ123/2,0),AG123&lt;AC123),
                "0, no había déficit y la dejo con déficit",
                IF(AG123=TRUNC(AJ123/2,0),
                    "-1, no había déficit y dejo la capacidad media",
                    "-2,no había déficit y resultado fue bueno")
            )
        )
    ),
    IF(AH123&lt;0,
        IF(AC123&gt;TRUNC(AJ123/2,0),
            IF(AG123=TRUNC(AJ123/2,0),
                "-1, Superávit y deje la capacidad media",
                IF(AND(AG123&gt;TRUNC(AJ123/2,0), AG123&gt;=AC123),
                    "0, Superávit y no eliminé superávit",
                    IF(AND(AG123&lt;TRUNC(AJ123/2,0),AG123&lt;AC123),
                        "1, Superávit y eliminé superávit",
                        "-2, Superávit y resultado fue bueno"
                    )
                )
            ),
            IF(AND(AC123&lt;=TRUNC(AJ123/2,0),AC123&gt;=0),
                IF(AG123=TRUNC(AJ123/2,0),
                    "-1, no había superávit y deje la capacidad media",
                    IF(AND(AG123&gt;TRUNC(AJ123/2,0), AG123&gt;=AC123),
                        "0, no había superávit, y la deje con superávit",
                        IF(AND(AG123&lt;TRUNC(AJ123/2,0),AG123&lt;AC123),
                            "1, no había superávit, pero el resultado fue mejor",
                            "-2, no había superávit y resultado fue bueno"
                        )
                    )
                )
            )
        )
    )
)</f>
        <v>1, Déficit y eliminé déficit</v>
      </c>
      <c r="AO123" s="30" t="s">
        <v>205</v>
      </c>
      <c r="AP123" s="30">
        <v>3</v>
      </c>
      <c r="AQ123" s="31">
        <v>1.6666666666666667</v>
      </c>
      <c r="AR123" s="29">
        <v>0</v>
      </c>
      <c r="AS123" s="29">
        <v>1</v>
      </c>
      <c r="AT123" s="30">
        <v>4</v>
      </c>
      <c r="AU123" s="30">
        <v>0.65757862978307635</v>
      </c>
      <c r="AV123" s="26" t="s">
        <v>319</v>
      </c>
      <c r="AW123" s="30">
        <v>7</v>
      </c>
      <c r="AX123" s="29">
        <f>IF(AR123&lt;=AP123,1,0)</f>
        <v>1</v>
      </c>
      <c r="AY123" s="29">
        <f>AR123-AP123</f>
        <v>-3</v>
      </c>
      <c r="AZ123" s="29" t="str">
        <f>IF(AU123&gt;0,
    IF(OR(AP123&lt;=TRUNC(AW123/2,0),AP123=0),
        IF(AT123=TRUNC(AW123/2,0),
            "-1, Déficit y dejo la capacidad media",
            IF(AND(AT123&gt;TRUNC(AW123/2,0), AT123&gt;AP123),
                "1, Déficit y eliminé déficit",
                IF(AND(AT123&lt;TRUNC(AW123/2,0), AT123&lt;AP123),
                    "0, Déficit y no elimine déficit",
                    "-2, Déficit y resultado fue bueno")
            )
        ),
        IF(AND(AT123&gt;TRUNC(AW123/2,0), AT123&gt;AP123),
            "1, no había déficit, pero resultado fue mejor",
            IF(AND(AT123&lt;TRUNC(AW123/2,0),AT123&lt;AP123),
                "0, no había déficit y la dejo con déficit",
                IF(AT123=TRUNC(AW123/2,0),
                    "-1, no había déficit y dejo la capacidad media",
                    "-2,no había déficit y resultado fue bueno")
            )
        )
    ),
    IF(AU123&lt;0,
        IF(AP123&gt;TRUNC(AW123/2,0),
            IF(AT123=TRUNC(AW123/2,0),
                "-1, Superávit y deje la capacidad media",
                IF(AND(AT123&gt;TRUNC(AW123/2,0), AT123&gt;=AP123),
                    "0, Superávit y no eliminé superávit",
                    IF(AND(AT123&lt;TRUNC(AW123/2,0),AT123&lt;AP123),
                        "1, Superávit y eliminé superávit",
                        "-2, Superávit y resultado fue bueno"
                    )
                )
            ),
            IF(AND(AP123&lt;=TRUNC(AW123/2,0),AP123&gt;=0),
                IF(AT123=TRUNC(AW123/2,0),
                    "-1, no había superávit y deje la capacidad media",
                    IF(AND(AT123&gt;TRUNC(AW123/2,0), AT123&gt;=AP123),
                        "0, no había superávit, y la deje con superávit",
                        IF(AND(AT123&lt;TRUNC(AW123/2,0),AT123&lt;AP123),
                            "1, no había superávit, pero el resultado fue mejor",
                            "-2, no había superávit y resultado fue bueno"
                        )
                    )
                )
            )
        )
    )
)</f>
        <v>1, Déficit y eliminé déficit</v>
      </c>
      <c r="BB123" s="30" t="s">
        <v>205</v>
      </c>
      <c r="BC123" s="30">
        <v>1</v>
      </c>
      <c r="BD123" s="31">
        <v>1.2222222222222223</v>
      </c>
      <c r="BE123" s="29">
        <v>1</v>
      </c>
      <c r="BF123" s="29">
        <v>0</v>
      </c>
      <c r="BG123" s="30">
        <v>4</v>
      </c>
      <c r="BH123" s="30">
        <v>0.65757862978307635</v>
      </c>
      <c r="BI123" s="26" t="s">
        <v>319</v>
      </c>
      <c r="BJ123" s="30">
        <v>7</v>
      </c>
      <c r="BK123" s="29">
        <f>IF(BE123&lt;=BC123,1,0)</f>
        <v>1</v>
      </c>
      <c r="BL123" s="29">
        <f>BE123-BC123</f>
        <v>0</v>
      </c>
      <c r="BM123" s="29" t="str">
        <f>IF(BH123&gt;0,
    IF(OR(BC123&lt;=TRUNC(BJ123/2,0),BC123=0),
        IF(BG123=TRUNC(BJ123/2,0),
            "-1, Déficit y dejo la capacidad media",
            IF(AND(BG123&gt;TRUNC(BJ123/2,0), BG123&gt;BC123),
                "1, Déficit y eliminé déficit",
                IF(AND(BG123&lt;TRUNC(BJ123/2,0), BG123&lt;BC123),
                    "0, Déficit y no elimine déficit",
                    "-2, Déficit y resultado fue bueno")
            )
        ),
        IF(AND(BG123&gt;TRUNC(BJ123/2,0), BG123&gt;BC123),
            "1, no había déficit, pero resultado fue mejor",
            IF(AND(BG123&lt;TRUNC(BJ123/2,0),BG123&lt;BC123),
                "0, no había déficit y la dejo con déficit",
                IF(BG123=TRUNC(BJ123/2,0),
                    "-1, no había déficit y dejo la capacidad media",
                    "-2,no había déficit y resultado fue bueno")
            )
        )
    ),
    IF(BH123&lt;0,
        IF(BC123&gt;TRUNC(BJ123/2,0),
            IF(BG123=TRUNC(BJ123/2,0),
                "-1, Superávit y deje la capacidad media",
                IF(AND(BG123&gt;TRUNC(BJ123/2,0), BG123&gt;=BC123),
                    "0, Superávit y no eliminé superávit",
                    IF(AND(BG123&lt;TRUNC(BJ123/2,0),BG123&lt;BC123),
                        "1, Superávit y eliminé superávit",
                        "-2, Superávit y resultado fue bueno"
                    )
                )
            ),
            IF(AND(BC123&lt;=TRUNC(BJ123/2,0),BC123&gt;=0),
                IF(BG123=TRUNC(BJ123/2,0),
                    "-1, no había superávit y deje la capacidad media",
                    IF(AND(BG123&gt;TRUNC(BJ123/2,0), BG123&gt;=BC123),
                        "0, no había superávit, y la deje con superávit",
                        IF(AND(BG123&lt;TRUNC(BJ123/2,0),BG123&lt;BC123),
                            "1, no había superávit, pero el resultado fue mejor",
                            "-2, no había superávit y resultado fue bueno"
                        )
                    )
                )
            )
        )
    )
)</f>
        <v>1, Déficit y eliminé déficit</v>
      </c>
      <c r="BO123" s="30" t="s">
        <v>205</v>
      </c>
      <c r="BP123" s="29">
        <v>3</v>
      </c>
      <c r="BQ123" s="31">
        <v>1.5555555555555556</v>
      </c>
      <c r="BR123" s="29">
        <v>3</v>
      </c>
      <c r="BS123" s="29">
        <v>3</v>
      </c>
      <c r="BT123" s="29">
        <v>4</v>
      </c>
      <c r="BU123" s="30">
        <v>0.65757862978307635</v>
      </c>
      <c r="BV123" s="26" t="s">
        <v>319</v>
      </c>
      <c r="BW123" s="30">
        <v>7</v>
      </c>
      <c r="BX123" s="29">
        <f>IF(BR123&lt;=BP123,1,0)</f>
        <v>1</v>
      </c>
      <c r="BY123" s="29">
        <f>BR123-BP123</f>
        <v>0</v>
      </c>
      <c r="BZ123" s="29" t="str">
        <f>IF(BU123&gt;0,
    IF(OR(BP123&lt;=TRUNC(BW123/2,0),BP123=0),
        IF(BT123=TRUNC(BW123/2,0),
            "-1, Déficit y dejo la capacidad media",
            IF(AND(BT123&gt;TRUNC(BW123/2,0), BT123&gt;BP123),
                "1, Déficit y eliminé déficit",
                IF(AND(BT123&lt;TRUNC(BW123/2,0), BT123&lt;BP123),
                    "0, Déficit y no elimine déficit",
                    "-2, Déficit y resultado fue bueno")
            )
        ),
        IF(AND(BT123&gt;TRUNC(BW123/2,0), BT123&gt;BP123),
            "1, no había déficit, pero resultado fue mejor",
            IF(AND(BT123&lt;TRUNC(BW123/2,0),BT123&lt;BP123),
                "0, no había déficit y la dejo con déficit",
                IF(BT123=TRUNC(BW123/2,0),
                    "-1, no había déficit y dejo la capacidad media",
                    "-2,no había déficit y resultado fue bueno")
            )
        )
    ),
    IF(BU123&lt;0,
        IF(BP123&gt;TRUNC(BW123/2,0),
            IF(BT123=TRUNC(BW123/2,0),
                "-1, Superávit y deje la capacidad media",
                IF(AND(BT123&gt;TRUNC(BW123/2,0), BT123&gt;=BP123),
                    "0, Superávit y no eliminé superávit",
                    IF(AND(BT123&lt;TRUNC(BW123/2,0),BT123&lt;BP123),
                        "1, Superávit y eliminé superávit",
                        "-2, Superávit y resultado fue bueno"
                    )
                )
            ),
            IF(AND(BP123&lt;=TRUNC(BW123/2,0),BP123&gt;=0),
                IF(BT123=TRUNC(BW123/2,0),
                    "-1, no había superávit y deje la capacidad media",
                    IF(AND(BT123&gt;TRUNC(BW123/2,0), BT123&gt;=BP123),
                        "0, no había superávit, y la deje con superávit",
                        IF(AND(BT123&lt;TRUNC(BW123/2,0),BT123&lt;BP123),
                            "1, no había superávit, pero el resultado fue mejor",
                            "-2, no había superávit y resultado fue bueno"
                        )
                    )
                )
            )
        )
    )
)</f>
        <v>1, Déficit y eliminé déficit</v>
      </c>
      <c r="CB123" s="30" t="s">
        <v>205</v>
      </c>
      <c r="CC123" s="30">
        <v>3</v>
      </c>
      <c r="CD123" s="31">
        <v>1.6666666666666667</v>
      </c>
      <c r="CE123" s="31">
        <v>3</v>
      </c>
      <c r="CF123" s="31">
        <v>3</v>
      </c>
      <c r="CG123" s="30">
        <v>4</v>
      </c>
      <c r="CH123" s="30">
        <v>0.65757862978307635</v>
      </c>
      <c r="CI123" s="26" t="s">
        <v>319</v>
      </c>
      <c r="CJ123" s="30">
        <v>7</v>
      </c>
      <c r="CK123" s="29">
        <f>IF(CE123&lt;=CC123,1,0)</f>
        <v>1</v>
      </c>
      <c r="CL123" s="32">
        <f>CE123-CC123</f>
        <v>0</v>
      </c>
      <c r="CM123" s="32" t="str">
        <f>IF(CH123&gt;0,
    IF(OR(CC123&lt;=TRUNC(CJ123/2,0),CC123=0),
        IF(CG123=TRUNC(CJ123/2,0),
            "-1, Déficit y dejo la capacidad media",
            IF(AND(CG123&gt;TRUNC(CJ123/2,0), CG123&gt;CC123),
                "1, Déficit y eliminé déficit",
                IF(AND(CG123&lt;TRUNC(CJ123/2,0), CG123&lt;CC123),
                    "0, Déficit y no elimine déficit",
                    "-2, Déficit y resultado fue bueno")
            )
        ),
        IF(AND(CG123&gt;TRUNC(CJ123/2,0), CG123&gt;CC123),
            "1, no había déficit, pero resultado fue mejor",
            IF(AND(CG123&lt;TRUNC(CJ123/2,0),CG123&lt;CC123),
                "0, no había déficit y la dejo con déficit",
                IF(CG123=TRUNC(CJ123/2,0),
                    "-1, no había déficit y dejo la capacidad media",
                    "-2,no había déficit y resultado fue bueno")
            )
        )
    ),
    IF(CH123&lt;0,
        IF(CC123&gt;TRUNC(CJ123/2,0),
            IF(CG123=TRUNC(CJ123/2,0),
                "-1, Superávit y deje la capacidad media",
                IF(AND(CG123&gt;TRUNC(CJ123/2,0), CG123&gt;=CC123),
                    "0, Superávit y no eliminé superávit",
                    IF(AND(CG123&lt;TRUNC(CJ123/2,0),CG123&lt;CC123),
                        "1, Superávit y eliminé superávit",
                        "-2, Superávit y resultado fue bueno"
                    )
                )
            ),
            IF(AND(CC123&lt;=TRUNC(CJ123/2,0),CC123&gt;=0),
                IF(CG123=TRUNC(CJ123/2,0),
                    "-1, no había superávit y deje la capacidad media",
                    IF(AND(CG123&gt;TRUNC(CJ123/2,0), CG123&gt;=CC123),
                        "0, no había superávit, y la deje con superávit",
                        IF(AND(CG123&lt;TRUNC(CJ123/2,0),CG123&lt;CC123),
                            "1, no había superávit, pero el resultado fue mejor",
                            "-2, no había superávit y resultado fue bueno"
                        )
                    )
                )
            )
        )
    )
)</f>
        <v>1, Déficit y eliminé déficit</v>
      </c>
    </row>
    <row r="124" spans="2:103" ht="14.25" customHeight="1" x14ac:dyDescent="0.3">
      <c r="B124" s="30" t="s">
        <v>215</v>
      </c>
      <c r="C124" s="30">
        <v>2</v>
      </c>
      <c r="D124" s="31">
        <v>9.3333333333333339</v>
      </c>
      <c r="E124" s="29">
        <v>0</v>
      </c>
      <c r="F124" s="29">
        <v>0</v>
      </c>
      <c r="G124" s="30">
        <v>10</v>
      </c>
      <c r="H124" s="30">
        <v>0.44467337167202509</v>
      </c>
      <c r="I124" s="26" t="s">
        <v>327</v>
      </c>
      <c r="J124" s="30">
        <v>23</v>
      </c>
      <c r="K124" s="29">
        <f>IF(E124&lt;=C124,1,0)</f>
        <v>1</v>
      </c>
      <c r="L124" s="29">
        <f>E124-C124</f>
        <v>-2</v>
      </c>
      <c r="M124" s="29" t="str">
        <f>IF(H124&gt;0,
    IF(OR(C124&lt;=TRUNC(J124/2,0),C124=0),
        IF(G124=TRUNC(J124/2,0),
            "-1, Déficit y dejo la capacidad media",
            IF(AND(G124&gt;TRUNC(J124/2,0), G124&gt;C124),
                "1, Déficit y eliminé déficit",
                IF(AND(G124&lt;TRUNC(J124/2,0), G124&lt;C124),
                    "0, Déficit y no elimine déficit",
                    "-2, Déficit y resultado fue bueno")
            )
        ),
        IF(AND(G124&gt;TRUNC(J124/2,0), G124&gt;C124),
            "1, no había déficit, pero resultado fue mejor",
            IF(AND(G124&lt;TRUNC(J124/2,0),G124&lt;C124),
                "0, no había déficit y la dejo con déficit",
                IF(G124=TRUNC(J124/2,0),
                    "-1, no había déficit y dejo la capacidad media",
                    "-2,no había déficit y resultado fue bueno")
            )
        )
    ),
    IF(H124&lt;0,
        IF(C124&gt;TRUNC(J124/2,0),
            IF(G124=TRUNC(J124/2,0),
                "-1, Superávit y deje la capacidad media",
                IF(AND(G124&gt;TRUNC(J124/2,0), G124&gt;=C124),
                    "0, Superávit y no eliminé superávit",
                    IF(AND(G124&lt;TRUNC(J124/2,0),G124&lt;C124),
                        "1, Superávit y eliminé superávit",
                        "-2, Superávit y resultado fue bueno"
                    )
                )
            ),
            IF(AND(C124&lt;=TRUNC(J124/2,0),C124&gt;=0),
                IF(G124=TRUNC(J124/2,0),
                    "-1, no había superávit y deje la capacidad media",
                    IF(AND(G124&gt;TRUNC(J124/2,0), G124&gt;=C124),
                        "0, no había superávit, y la deje con superávit",
                        IF(AND(G124&lt;TRUNC(J124/2,0),G124&lt;C124),
                            "1, no había superávit, pero el resultado fue mejor",
                            "-2, no había superávit y resultado fue bueno"
                        )
                    )
                )
            )
        )
    )
)</f>
        <v>-2, Déficit y resultado fue bueno</v>
      </c>
      <c r="O124" s="30" t="s">
        <v>215</v>
      </c>
      <c r="P124" s="30">
        <v>9</v>
      </c>
      <c r="Q124" s="31">
        <v>8.8888888888888893</v>
      </c>
      <c r="R124" s="29">
        <v>7</v>
      </c>
      <c r="S124" s="30">
        <v>6</v>
      </c>
      <c r="T124" s="30">
        <v>9</v>
      </c>
      <c r="U124" s="30">
        <v>0.44467337167202509</v>
      </c>
      <c r="V124" s="26" t="s">
        <v>327</v>
      </c>
      <c r="W124" s="30">
        <v>23</v>
      </c>
      <c r="X124" s="29">
        <f>IF(R124&lt;=P124,1,0)</f>
        <v>1</v>
      </c>
      <c r="Y124" s="29">
        <f>R124-P124</f>
        <v>-2</v>
      </c>
      <c r="Z124" s="29" t="str">
        <f>IF(U124&gt;0,
    IF(OR(P124&lt;=TRUNC(W124/2,0),P124=0),
        IF(T124=TRUNC(W124/2,0),
            "-1, Déficit y dejo la capacidad media",
            IF(AND(T124&gt;TRUNC(W124/2,0), T124&gt;P124),
                "1, Déficit y eliminé déficit",
                IF(AND(T124&lt;TRUNC(W124/2,0), T124&lt;P124),
                    "0, Déficit y no elimine déficit",
                    "-2, Déficit y resultado fue bueno")
            )
        ),
        IF(AND(T124&gt;TRUNC(W124/2,0), T124&gt;P124),
            "1, no había déficit, pero resultado fue mejor",
            IF(AND(T124&lt;TRUNC(W124/2,0),T124&lt;P124),
                "0, no había déficit y la dejo con déficit",
                IF(T124=TRUNC(W124/2,0),
                    "-1, no había déficit y dejo la capacidad media",
                    "-2,no había déficit y resultado fue bueno")
            )
        )
    ),
    IF(U124&lt;0,
        IF(P124&gt;TRUNC(W124/2,0),
            IF(T124=TRUNC(W124/2,0),
                "-1, Superávit y deje la capacidad media",
                IF(AND(T124&gt;TRUNC(W124/2,0), T124&gt;=P124),
                    "0, Superávit y no eliminé superávit",
                    IF(AND(T124&lt;TRUNC(W124/2,0),T124&lt;P124),
                        "1, Superávit y eliminé superávit",
                        "-2, Superávit y resultado fue bueno"
                    )
                )
            ),
            IF(AND(P124&lt;=TRUNC(W124/2,0),P124&gt;=0),
                IF(T124=TRUNC(W124/2,0),
                    "-1, no había superávit y deje la capacidad media",
                    IF(AND(T124&gt;TRUNC(W124/2,0), T124&gt;=P124),
                        "0, no había superávit, y la deje con superávit",
                        IF(AND(T124&lt;TRUNC(W124/2,0),T124&lt;P124),
                            "1, no había superávit, pero el resultado fue mejor",
                            "-2, no había superávit y resultado fue bueno"
                        )
                    )
                )
            )
        )
    )
)</f>
        <v>-2, Déficit y resultado fue bueno</v>
      </c>
      <c r="AB124" s="30" t="s">
        <v>215</v>
      </c>
      <c r="AC124" s="30">
        <v>7</v>
      </c>
      <c r="AD124" s="31">
        <v>9.3333333333333339</v>
      </c>
      <c r="AE124" s="29">
        <v>4</v>
      </c>
      <c r="AF124" s="31">
        <v>4</v>
      </c>
      <c r="AG124" s="30">
        <v>8</v>
      </c>
      <c r="AH124" s="30">
        <v>0.44467337167202509</v>
      </c>
      <c r="AI124" s="26" t="s">
        <v>327</v>
      </c>
      <c r="AJ124" s="30">
        <v>23</v>
      </c>
      <c r="AK124" s="29">
        <f>IF(AE124&lt;=AC124,1,0)</f>
        <v>1</v>
      </c>
      <c r="AL124" s="29">
        <f>AE124-AC124</f>
        <v>-3</v>
      </c>
      <c r="AM124" s="29" t="str">
        <f>IF(AH124&gt;0,
    IF(OR(AC124&lt;=TRUNC(AJ124/2,0),AC124=0),
        IF(AG124=TRUNC(AJ124/2,0),
            "-1, Déficit y dejo la capacidad media",
            IF(AND(AG124&gt;TRUNC(AJ124/2,0), AG124&gt;AC124),
                "1, Déficit y eliminé déficit",
                IF(AND(AG124&lt;TRUNC(AJ124/2,0), AG124&lt;AC124),
                    "0, Déficit y no elimine déficit",
                    "-2, Déficit y resultado fue bueno")
            )
        ),
        IF(AND(AG124&gt;TRUNC(AJ124/2,0), AG124&gt;AC124),
            "1, no había déficit, pero resultado fue mejor",
            IF(AND(AG124&lt;TRUNC(AJ124/2,0),AG124&lt;AC124),
                "0, no había déficit y la dejo con déficit",
                IF(AG124=TRUNC(AJ124/2,0),
                    "-1, no había déficit y dejo la capacidad media",
                    "-2,no había déficit y resultado fue bueno")
            )
        )
    ),
    IF(AH124&lt;0,
        IF(AC124&gt;TRUNC(AJ124/2,0),
            IF(AG124=TRUNC(AJ124/2,0),
                "-1, Superávit y deje la capacidad media",
                IF(AND(AG124&gt;TRUNC(AJ124/2,0), AG124&gt;=AC124),
                    "0, Superávit y no eliminé superávit",
                    IF(AND(AG124&lt;TRUNC(AJ124/2,0),AG124&lt;AC124),
                        "1, Superávit y eliminé superávit",
                        "-2, Superávit y resultado fue bueno"
                    )
                )
            ),
            IF(AND(AC124&lt;=TRUNC(AJ124/2,0),AC124&gt;=0),
                IF(AG124=TRUNC(AJ124/2,0),
                    "-1, no había superávit y deje la capacidad media",
                    IF(AND(AG124&gt;TRUNC(AJ124/2,0), AG124&gt;=AC124),
                        "0, no había superávit, y la deje con superávit",
                        IF(AND(AG124&lt;TRUNC(AJ124/2,0),AG124&lt;AC124),
                            "1, no había superávit, pero el resultado fue mejor",
                            "-2, no había superávit y resultado fue bueno"
                        )
                    )
                )
            )
        )
    )
)</f>
        <v>-2, Déficit y resultado fue bueno</v>
      </c>
      <c r="AO124" s="30" t="s">
        <v>215</v>
      </c>
      <c r="AP124" s="30">
        <v>10</v>
      </c>
      <c r="AQ124" s="31">
        <v>7.1111111111111107</v>
      </c>
      <c r="AR124" s="29">
        <v>4</v>
      </c>
      <c r="AS124" s="29">
        <v>4</v>
      </c>
      <c r="AT124" s="30">
        <v>10</v>
      </c>
      <c r="AU124" s="30">
        <v>0.44467337167202509</v>
      </c>
      <c r="AV124" s="26" t="s">
        <v>327</v>
      </c>
      <c r="AW124" s="30">
        <v>23</v>
      </c>
      <c r="AX124" s="29">
        <f>IF(AR124&lt;=AP124,1,0)</f>
        <v>1</v>
      </c>
      <c r="AY124" s="29">
        <f>AR124-AP124</f>
        <v>-6</v>
      </c>
      <c r="AZ124" s="29" t="str">
        <f>IF(AU124&gt;0,
    IF(OR(AP124&lt;=TRUNC(AW124/2,0),AP124=0),
        IF(AT124=TRUNC(AW124/2,0),
            "-1, Déficit y dejo la capacidad media",
            IF(AND(AT124&gt;TRUNC(AW124/2,0), AT124&gt;AP124),
                "1, Déficit y eliminé déficit",
                IF(AND(AT124&lt;TRUNC(AW124/2,0), AT124&lt;AP124),
                    "0, Déficit y no elimine déficit",
                    "-2, Déficit y resultado fue bueno")
            )
        ),
        IF(AND(AT124&gt;TRUNC(AW124/2,0), AT124&gt;AP124),
            "1, no había déficit, pero resultado fue mejor",
            IF(AND(AT124&lt;TRUNC(AW124/2,0),AT124&lt;AP124),
                "0, no había déficit y la dejo con déficit",
                IF(AT124=TRUNC(AW124/2,0),
                    "-1, no había déficit y dejo la capacidad media",
                    "-2,no había déficit y resultado fue bueno")
            )
        )
    ),
    IF(AU124&lt;0,
        IF(AP124&gt;TRUNC(AW124/2,0),
            IF(AT124=TRUNC(AW124/2,0),
                "-1, Superávit y deje la capacidad media",
                IF(AND(AT124&gt;TRUNC(AW124/2,0), AT124&gt;=AP124),
                    "0, Superávit y no eliminé superávit",
                    IF(AND(AT124&lt;TRUNC(AW124/2,0),AT124&lt;AP124),
                        "1, Superávit y eliminé superávit",
                        "-2, Superávit y resultado fue bueno"
                    )
                )
            ),
            IF(AND(AP124&lt;=TRUNC(AW124/2,0),AP124&gt;=0),
                IF(AT124=TRUNC(AW124/2,0),
                    "-1, no había superávit y deje la capacidad media",
                    IF(AND(AT124&gt;TRUNC(AW124/2,0), AT124&gt;=AP124),
                        "0, no había superávit, y la deje con superávit",
                        IF(AND(AT124&lt;TRUNC(AW124/2,0),AT124&lt;AP124),
                            "1, no había superávit, pero el resultado fue mejor",
                            "-2, no había superávit y resultado fue bueno"
                        )
                    )
                )
            )
        )
    )
)</f>
        <v>-2, Déficit y resultado fue bueno</v>
      </c>
      <c r="BB124" s="30" t="s">
        <v>215</v>
      </c>
      <c r="BC124" s="30">
        <v>5</v>
      </c>
      <c r="BD124" s="31">
        <v>7.5555555555555554</v>
      </c>
      <c r="BE124" s="29">
        <v>5</v>
      </c>
      <c r="BF124" s="29">
        <v>5</v>
      </c>
      <c r="BG124" s="30">
        <v>8</v>
      </c>
      <c r="BH124" s="30">
        <v>0.44467337167202509</v>
      </c>
      <c r="BI124" s="26" t="s">
        <v>327</v>
      </c>
      <c r="BJ124" s="30">
        <v>23</v>
      </c>
      <c r="BK124" s="29">
        <f>IF(BE124&lt;=BC124,1,0)</f>
        <v>1</v>
      </c>
      <c r="BL124" s="29">
        <f>BE124-BC124</f>
        <v>0</v>
      </c>
      <c r="BM124" s="29" t="str">
        <f>IF(BH124&gt;0,
    IF(OR(BC124&lt;=TRUNC(BJ124/2,0),BC124=0),
        IF(BG124=TRUNC(BJ124/2,0),
            "-1, Déficit y dejo la capacidad media",
            IF(AND(BG124&gt;TRUNC(BJ124/2,0), BG124&gt;BC124),
                "1, Déficit y eliminé déficit",
                IF(AND(BG124&lt;TRUNC(BJ124/2,0), BG124&lt;BC124),
                    "0, Déficit y no elimine déficit",
                    "-2, Déficit y resultado fue bueno")
            )
        ),
        IF(AND(BG124&gt;TRUNC(BJ124/2,0), BG124&gt;BC124),
            "1, no había déficit, pero resultado fue mejor",
            IF(AND(BG124&lt;TRUNC(BJ124/2,0),BG124&lt;BC124),
                "0, no había déficit y la dejo con déficit",
                IF(BG124=TRUNC(BJ124/2,0),
                    "-1, no había déficit y dejo la capacidad media",
                    "-2,no había déficit y resultado fue bueno")
            )
        )
    ),
    IF(BH124&lt;0,
        IF(BC124&gt;TRUNC(BJ124/2,0),
            IF(BG124=TRUNC(BJ124/2,0),
                "-1, Superávit y deje la capacidad media",
                IF(AND(BG124&gt;TRUNC(BJ124/2,0), BG124&gt;=BC124),
                    "0, Superávit y no eliminé superávit",
                    IF(AND(BG124&lt;TRUNC(BJ124/2,0),BG124&lt;BC124),
                        "1, Superávit y eliminé superávit",
                        "-2, Superávit y resultado fue bueno"
                    )
                )
            ),
            IF(AND(BC124&lt;=TRUNC(BJ124/2,0),BC124&gt;=0),
                IF(BG124=TRUNC(BJ124/2,0),
                    "-1, no había superávit y deje la capacidad media",
                    IF(AND(BG124&gt;TRUNC(BJ124/2,0), BG124&gt;=BC124),
                        "0, no había superávit, y la deje con superávit",
                        IF(AND(BG124&lt;TRUNC(BJ124/2,0),BG124&lt;BC124),
                            "1, no había superávit, pero el resultado fue mejor",
                            "-2, no había superávit y resultado fue bueno"
                        )
                    )
                )
            )
        )
    )
)</f>
        <v>-2, Déficit y resultado fue bueno</v>
      </c>
      <c r="BO124" s="30" t="s">
        <v>215</v>
      </c>
      <c r="BP124" s="29">
        <v>5</v>
      </c>
      <c r="BQ124" s="31">
        <v>6.8888888888888893</v>
      </c>
      <c r="BR124" s="29">
        <v>5</v>
      </c>
      <c r="BS124" s="29">
        <v>6</v>
      </c>
      <c r="BT124" s="29">
        <v>8</v>
      </c>
      <c r="BU124" s="30">
        <v>0.44467337167202509</v>
      </c>
      <c r="BV124" s="26" t="s">
        <v>327</v>
      </c>
      <c r="BW124" s="30">
        <v>23</v>
      </c>
      <c r="BX124" s="29">
        <f>IF(BR124&lt;=BP124,1,0)</f>
        <v>1</v>
      </c>
      <c r="BY124" s="29">
        <f>BR124-BP124</f>
        <v>0</v>
      </c>
      <c r="BZ124" s="29" t="str">
        <f>IF(BU124&gt;0,
    IF(OR(BP124&lt;=TRUNC(BW124/2,0),BP124=0),
        IF(BT124=TRUNC(BW124/2,0),
            "-1, Déficit y dejo la capacidad media",
            IF(AND(BT124&gt;TRUNC(BW124/2,0), BT124&gt;BP124),
                "1, Déficit y eliminé déficit",
                IF(AND(BT124&lt;TRUNC(BW124/2,0), BT124&lt;BP124),
                    "0, Déficit y no elimine déficit",
                    "-2, Déficit y resultado fue bueno")
            )
        ),
        IF(AND(BT124&gt;TRUNC(BW124/2,0), BT124&gt;BP124),
            "1, no había déficit, pero resultado fue mejor",
            IF(AND(BT124&lt;TRUNC(BW124/2,0),BT124&lt;BP124),
                "0, no había déficit y la dejo con déficit",
                IF(BT124=TRUNC(BW124/2,0),
                    "-1, no había déficit y dejo la capacidad media",
                    "-2,no había déficit y resultado fue bueno")
            )
        )
    ),
    IF(BU124&lt;0,
        IF(BP124&gt;TRUNC(BW124/2,0),
            IF(BT124=TRUNC(BW124/2,0),
                "-1, Superávit y deje la capacidad media",
                IF(AND(BT124&gt;TRUNC(BW124/2,0), BT124&gt;=BP124),
                    "0, Superávit y no eliminé superávit",
                    IF(AND(BT124&lt;TRUNC(BW124/2,0),BT124&lt;BP124),
                        "1, Superávit y eliminé superávit",
                        "-2, Superávit y resultado fue bueno"
                    )
                )
            ),
            IF(AND(BP124&lt;=TRUNC(BW124/2,0),BP124&gt;=0),
                IF(BT124=TRUNC(BW124/2,0),
                    "-1, no había superávit y deje la capacidad media",
                    IF(AND(BT124&gt;TRUNC(BW124/2,0), BT124&gt;=BP124),
                        "0, no había superávit, y la deje con superávit",
                        IF(AND(BT124&lt;TRUNC(BW124/2,0),BT124&lt;BP124),
                            "1, no había superávit, pero el resultado fue mejor",
                            "-2, no había superávit y resultado fue bueno"
                        )
                    )
                )
            )
        )
    )
)</f>
        <v>-2, Déficit y resultado fue bueno</v>
      </c>
      <c r="CB124" s="30" t="s">
        <v>215</v>
      </c>
      <c r="CC124" s="30">
        <v>3</v>
      </c>
      <c r="CD124" s="31">
        <v>5</v>
      </c>
      <c r="CE124" s="31">
        <v>3</v>
      </c>
      <c r="CF124" s="31">
        <v>3</v>
      </c>
      <c r="CG124" s="30">
        <v>15</v>
      </c>
      <c r="CH124" s="30">
        <v>0.44467337167202509</v>
      </c>
      <c r="CI124" s="26" t="s">
        <v>327</v>
      </c>
      <c r="CJ124" s="30">
        <v>23</v>
      </c>
      <c r="CK124" s="29">
        <f>IF(CE124&lt;=CC124,1,0)</f>
        <v>1</v>
      </c>
      <c r="CL124" s="32">
        <f>CE124-CC124</f>
        <v>0</v>
      </c>
      <c r="CM124" s="32" t="str">
        <f>IF(CH124&gt;0,
    IF(OR(CC124&lt;=TRUNC(CJ124/2,0),CC124=0),
        IF(CG124=TRUNC(CJ124/2,0),
            "-1, Déficit y dejo la capacidad media",
            IF(AND(CG124&gt;TRUNC(CJ124/2,0), CG124&gt;CC124),
                "1, Déficit y eliminé déficit",
                IF(AND(CG124&lt;TRUNC(CJ124/2,0), CG124&lt;CC124),
                    "0, Déficit y no elimine déficit",
                    "-2, Déficit y resultado fue bueno")
            )
        ),
        IF(AND(CG124&gt;TRUNC(CJ124/2,0), CG124&gt;CC124),
            "1, no había déficit, pero resultado fue mejor",
            IF(AND(CG124&lt;TRUNC(CJ124/2,0),CG124&lt;CC124),
                "0, no había déficit y la dejo con déficit",
                IF(CG124=TRUNC(CJ124/2,0),
                    "-1, no había déficit y dejo la capacidad media",
                    "-2,no había déficit y resultado fue bueno")
            )
        )
    ),
    IF(CH124&lt;0,
        IF(CC124&gt;TRUNC(CJ124/2,0),
            IF(CG124=TRUNC(CJ124/2,0),
                "-1, Superávit y deje la capacidad media",
                IF(AND(CG124&gt;TRUNC(CJ124/2,0), CG124&gt;=CC124),
                    "0, Superávit y no eliminé superávit",
                    IF(AND(CG124&lt;TRUNC(CJ124/2,0),CG124&lt;CC124),
                        "1, Superávit y eliminé superávit",
                        "-2, Superávit y resultado fue bueno"
                    )
                )
            ),
            IF(AND(CC124&lt;=TRUNC(CJ124/2,0),CC124&gt;=0),
                IF(CG124=TRUNC(CJ124/2,0),
                    "-1, no había superávit y deje la capacidad media",
                    IF(AND(CG124&gt;TRUNC(CJ124/2,0), CG124&gt;=CC124),
                        "0, no había superávit, y la deje con superávit",
                        IF(AND(CG124&lt;TRUNC(CJ124/2,0),CG124&lt;CC124),
                            "1, no había superávit, pero el resultado fue mejor",
                            "-2, no había superávit y resultado fue bueno"
                        )
                    )
                )
            )
        )
    )
)</f>
        <v>1, Déficit y eliminé déficit</v>
      </c>
    </row>
    <row r="125" spans="2:103" ht="14.25" customHeight="1" x14ac:dyDescent="0.3">
      <c r="B125" s="30" t="s">
        <v>218</v>
      </c>
      <c r="C125" s="30">
        <v>10</v>
      </c>
      <c r="D125" s="31">
        <v>11.555555555555555</v>
      </c>
      <c r="E125" s="29">
        <v>7</v>
      </c>
      <c r="F125" s="29">
        <v>8</v>
      </c>
      <c r="G125" s="30">
        <v>10</v>
      </c>
      <c r="H125" s="30">
        <v>0.28220965544261112</v>
      </c>
      <c r="I125" s="26" t="s">
        <v>326</v>
      </c>
      <c r="J125" s="30">
        <v>23</v>
      </c>
      <c r="K125" s="29">
        <f>IF(E125&lt;=C125,1,0)</f>
        <v>1</v>
      </c>
      <c r="L125" s="29">
        <f>E125-C125</f>
        <v>-3</v>
      </c>
      <c r="M125" s="29" t="str">
        <f>IF(H125&gt;0,
    IF(OR(C125&lt;=TRUNC(J125/2,0),C125=0),
        IF(G125=TRUNC(J125/2,0),
            "-1, Déficit y dejo la capacidad media",
            IF(AND(G125&gt;TRUNC(J125/2,0), G125&gt;C125),
                "1, Déficit y eliminé déficit",
                IF(AND(G125&lt;TRUNC(J125/2,0), G125&lt;C125),
                    "0, Déficit y no elimine déficit",
                    "-2, Déficit y resultado fue bueno")
            )
        ),
        IF(AND(G125&gt;TRUNC(J125/2,0), G125&gt;C125),
            "1, no había déficit, pero resultado fue mejor",
            IF(AND(G125&lt;TRUNC(J125/2,0),G125&lt;C125),
                "0, no había déficit y la dejo con déficit",
                IF(G125=TRUNC(J125/2,0),
                    "-1, no había déficit y dejo la capacidad media",
                    "-2,no había déficit y resultado fue bueno")
            )
        )
    ),
    IF(H125&lt;0,
        IF(C125&gt;TRUNC(J125/2,0),
            IF(G125=TRUNC(J125/2,0),
                "-1, Superávit y deje la capacidad media",
                IF(AND(G125&gt;TRUNC(J125/2,0), G125&gt;=C125),
                    "0, Superávit y no eliminé superávit",
                    IF(AND(G125&lt;TRUNC(J125/2,0),G125&lt;C125),
                        "1, Superávit y eliminé superávit",
                        "-2, Superávit y resultado fue bueno"
                    )
                )
            ),
            IF(AND(C125&lt;=TRUNC(J125/2,0),C125&gt;=0),
                IF(G125=TRUNC(J125/2,0),
                    "-1, no había superávit y deje la capacidad media",
                    IF(AND(G125&gt;TRUNC(J125/2,0), G125&gt;=C125),
                        "0, no había superávit, y la deje con superávit",
                        IF(AND(G125&lt;TRUNC(J125/2,0),G125&lt;C125),
                            "1, no había superávit, pero el resultado fue mejor",
                            "-2, no había superávit y resultado fue bueno"
                        )
                    )
                )
            )
        )
    )
)</f>
        <v>-2, Déficit y resultado fue bueno</v>
      </c>
      <c r="O125" s="30" t="s">
        <v>218</v>
      </c>
      <c r="P125" s="30">
        <v>7</v>
      </c>
      <c r="Q125" s="31">
        <v>9.2222222222222214</v>
      </c>
      <c r="R125" s="29">
        <v>5</v>
      </c>
      <c r="S125" s="30">
        <v>8</v>
      </c>
      <c r="T125" s="30">
        <v>9</v>
      </c>
      <c r="U125" s="30">
        <v>0.28220965544261112</v>
      </c>
      <c r="V125" s="26" t="s">
        <v>326</v>
      </c>
      <c r="W125" s="30">
        <v>23</v>
      </c>
      <c r="X125" s="29">
        <f>IF(R125&lt;=P125,1,0)</f>
        <v>1</v>
      </c>
      <c r="Y125" s="29">
        <f>R125-P125</f>
        <v>-2</v>
      </c>
      <c r="Z125" s="29" t="str">
        <f>IF(U125&gt;0,
    IF(OR(P125&lt;=TRUNC(W125/2,0),P125=0),
        IF(T125=TRUNC(W125/2,0),
            "-1, Déficit y dejo la capacidad media",
            IF(AND(T125&gt;TRUNC(W125/2,0), T125&gt;P125),
                "1, Déficit y eliminé déficit",
                IF(AND(T125&lt;TRUNC(W125/2,0), T125&lt;P125),
                    "0, Déficit y no elimine déficit",
                    "-2, Déficit y resultado fue bueno")
            )
        ),
        IF(AND(T125&gt;TRUNC(W125/2,0), T125&gt;P125),
            "1, no había déficit, pero resultado fue mejor",
            IF(AND(T125&lt;TRUNC(W125/2,0),T125&lt;P125),
                "0, no había déficit y la dejo con déficit",
                IF(T125=TRUNC(W125/2,0),
                    "-1, no había déficit y dejo la capacidad media",
                    "-2,no había déficit y resultado fue bueno")
            )
        )
    ),
    IF(U125&lt;0,
        IF(P125&gt;TRUNC(W125/2,0),
            IF(T125=TRUNC(W125/2,0),
                "-1, Superávit y deje la capacidad media",
                IF(AND(T125&gt;TRUNC(W125/2,0), T125&gt;=P125),
                    "0, Superávit y no eliminé superávit",
                    IF(AND(T125&lt;TRUNC(W125/2,0),T125&lt;P125),
                        "1, Superávit y eliminé superávit",
                        "-2, Superávit y resultado fue bueno"
                    )
                )
            ),
            IF(AND(P125&lt;=TRUNC(W125/2,0),P125&gt;=0),
                IF(T125=TRUNC(W125/2,0),
                    "-1, no había superávit y deje la capacidad media",
                    IF(AND(T125&gt;TRUNC(W125/2,0), T125&gt;=P125),
                        "0, no había superávit, y la deje con superávit",
                        IF(AND(T125&lt;TRUNC(W125/2,0),T125&lt;P125),
                            "1, no había superávit, pero el resultado fue mejor",
                            "-2, no había superávit y resultado fue bueno"
                        )
                    )
                )
            )
        )
    )
)</f>
        <v>-2, Déficit y resultado fue bueno</v>
      </c>
      <c r="AB125" s="30" t="s">
        <v>218</v>
      </c>
      <c r="AC125" s="30">
        <v>5</v>
      </c>
      <c r="AD125" s="31">
        <v>9.8888888888888893</v>
      </c>
      <c r="AE125" s="29">
        <v>3</v>
      </c>
      <c r="AF125" s="31">
        <v>6</v>
      </c>
      <c r="AG125" s="30">
        <v>9</v>
      </c>
      <c r="AH125" s="30">
        <v>0.28220965544261112</v>
      </c>
      <c r="AI125" s="26" t="s">
        <v>326</v>
      </c>
      <c r="AJ125" s="30">
        <v>23</v>
      </c>
      <c r="AK125" s="29">
        <f>IF(AE125&lt;=AC125,1,0)</f>
        <v>1</v>
      </c>
      <c r="AL125" s="29">
        <f>AE125-AC125</f>
        <v>-2</v>
      </c>
      <c r="AM125" s="29" t="str">
        <f>IF(AH125&gt;0,
    IF(OR(AC125&lt;=TRUNC(AJ125/2,0),AC125=0),
        IF(AG125=TRUNC(AJ125/2,0),
            "-1, Déficit y dejo la capacidad media",
            IF(AND(AG125&gt;TRUNC(AJ125/2,0), AG125&gt;AC125),
                "1, Déficit y eliminé déficit",
                IF(AND(AG125&lt;TRUNC(AJ125/2,0), AG125&lt;AC125),
                    "0, Déficit y no elimine déficit",
                    "-2, Déficit y resultado fue bueno")
            )
        ),
        IF(AND(AG125&gt;TRUNC(AJ125/2,0), AG125&gt;AC125),
            "1, no había déficit, pero resultado fue mejor",
            IF(AND(AG125&lt;TRUNC(AJ125/2,0),AG125&lt;AC125),
                "0, no había déficit y la dejo con déficit",
                IF(AG125=TRUNC(AJ125/2,0),
                    "-1, no había déficit y dejo la capacidad media",
                    "-2,no había déficit y resultado fue bueno")
            )
        )
    ),
    IF(AH125&lt;0,
        IF(AC125&gt;TRUNC(AJ125/2,0),
            IF(AG125=TRUNC(AJ125/2,0),
                "-1, Superávit y deje la capacidad media",
                IF(AND(AG125&gt;TRUNC(AJ125/2,0), AG125&gt;=AC125),
                    "0, Superávit y no eliminé superávit",
                    IF(AND(AG125&lt;TRUNC(AJ125/2,0),AG125&lt;AC125),
                        "1, Superávit y eliminé superávit",
                        "-2, Superávit y resultado fue bueno"
                    )
                )
            ),
            IF(AND(AC125&lt;=TRUNC(AJ125/2,0),AC125&gt;=0),
                IF(AG125=TRUNC(AJ125/2,0),
                    "-1, no había superávit y deje la capacidad media",
                    IF(AND(AG125&gt;TRUNC(AJ125/2,0), AG125&gt;=AC125),
                        "0, no había superávit, y la deje con superávit",
                        IF(AND(AG125&lt;TRUNC(AJ125/2,0),AG125&lt;AC125),
                            "1, no había superávit, pero el resultado fue mejor",
                            "-2, no había superávit y resultado fue bueno"
                        )
                    )
                )
            )
        )
    )
)</f>
        <v>-2, Déficit y resultado fue bueno</v>
      </c>
      <c r="AO125" s="30" t="s">
        <v>218</v>
      </c>
      <c r="AP125" s="30">
        <v>0</v>
      </c>
      <c r="AQ125" s="31">
        <v>8.2222222222222214</v>
      </c>
      <c r="AR125" s="29">
        <v>0</v>
      </c>
      <c r="AS125" s="29">
        <v>1</v>
      </c>
      <c r="AT125" s="30">
        <v>10</v>
      </c>
      <c r="AU125" s="30">
        <v>0.28220965544261112</v>
      </c>
      <c r="AV125" s="26" t="s">
        <v>326</v>
      </c>
      <c r="AW125" s="30">
        <v>23</v>
      </c>
      <c r="AX125" s="29">
        <f>IF(AR125&lt;=AP125,1,0)</f>
        <v>1</v>
      </c>
      <c r="AY125" s="29">
        <f>AR125-AP125</f>
        <v>0</v>
      </c>
      <c r="AZ125" s="29" t="str">
        <f>IF(AU125&gt;0,
    IF(OR(AP125&lt;=TRUNC(AW125/2,0),AP125=0),
        IF(AT125=TRUNC(AW125/2,0),
            "-1, Déficit y dejo la capacidad media",
            IF(AND(AT125&gt;TRUNC(AW125/2,0), AT125&gt;AP125),
                "1, Déficit y eliminé déficit",
                IF(AND(AT125&lt;TRUNC(AW125/2,0), AT125&lt;AP125),
                    "0, Déficit y no elimine déficit",
                    "-2, Déficit y resultado fue bueno")
            )
        ),
        IF(AND(AT125&gt;TRUNC(AW125/2,0), AT125&gt;AP125),
            "1, no había déficit, pero resultado fue mejor",
            IF(AND(AT125&lt;TRUNC(AW125/2,0),AT125&lt;AP125),
                "0, no había déficit y la dejo con déficit",
                IF(AT125=TRUNC(AW125/2,0),
                    "-1, no había déficit y dejo la capacidad media",
                    "-2,no había déficit y resultado fue bueno")
            )
        )
    ),
    IF(AU125&lt;0,
        IF(AP125&gt;TRUNC(AW125/2,0),
            IF(AT125=TRUNC(AW125/2,0),
                "-1, Superávit y deje la capacidad media",
                IF(AND(AT125&gt;TRUNC(AW125/2,0), AT125&gt;=AP125),
                    "0, Superávit y no eliminé superávit",
                    IF(AND(AT125&lt;TRUNC(AW125/2,0),AT125&lt;AP125),
                        "1, Superávit y eliminé superávit",
                        "-2, Superávit y resultado fue bueno"
                    )
                )
            ),
            IF(AND(AP125&lt;=TRUNC(AW125/2,0),AP125&gt;=0),
                IF(AT125=TRUNC(AW125/2,0),
                    "-1, no había superávit y deje la capacidad media",
                    IF(AND(AT125&gt;TRUNC(AW125/2,0), AT125&gt;=AP125),
                        "0, no había superávit, y la deje con superávit",
                        IF(AND(AT125&lt;TRUNC(AW125/2,0),AT125&lt;AP125),
                            "1, no había superávit, pero el resultado fue mejor",
                            "-2, no había superávit y resultado fue bueno"
                        )
                    )
                )
            )
        )
    )
)</f>
        <v>-2, Déficit y resultado fue bueno</v>
      </c>
      <c r="BB125" s="30" t="s">
        <v>218</v>
      </c>
      <c r="BC125" s="30">
        <v>21</v>
      </c>
      <c r="BD125" s="31">
        <v>8.2222222222222214</v>
      </c>
      <c r="BE125" s="29">
        <v>19</v>
      </c>
      <c r="BF125" s="29">
        <v>16</v>
      </c>
      <c r="BG125" s="30">
        <v>11</v>
      </c>
      <c r="BH125" s="30">
        <v>0.28220965544261112</v>
      </c>
      <c r="BI125" s="26" t="s">
        <v>326</v>
      </c>
      <c r="BJ125" s="30">
        <v>23</v>
      </c>
      <c r="BK125" s="29">
        <f>IF(BE125&lt;=BC125,1,0)</f>
        <v>1</v>
      </c>
      <c r="BL125" s="29">
        <f>BE125-BC125</f>
        <v>-2</v>
      </c>
      <c r="BM125" s="29" t="str">
        <f>IF(BH125&gt;0,
    IF(OR(BC125&lt;=TRUNC(BJ125/2,0),BC125=0),
        IF(BG125=TRUNC(BJ125/2,0),
            "-1, Déficit y dejo la capacidad media",
            IF(AND(BG125&gt;TRUNC(BJ125/2,0), BG125&gt;BC125),
                "1, Déficit y eliminé déficit",
                IF(AND(BG125&lt;TRUNC(BJ125/2,0), BG125&lt;BC125),
                    "0, Déficit y no elimine déficit",
                    "-2, Déficit y resultado fue bueno")
            )
        ),
        IF(AND(BG125&gt;TRUNC(BJ125/2,0), BG125&gt;BC125),
            "1, no había déficit, pero resultado fue mejor",
            IF(AND(BG125&lt;TRUNC(BJ125/2,0),BG125&lt;BC125),
                "0, no había déficit y la dejo con déficit",
                IF(BG125=TRUNC(BJ125/2,0),
                    "-1, no había déficit y dejo la capacidad media",
                    "-2,no había déficit y resultado fue bueno")
            )
        )
    ),
    IF(BH125&lt;0,
        IF(BC125&gt;TRUNC(BJ125/2,0),
            IF(BG125=TRUNC(BJ125/2,0),
                "-1, Superávit y deje la capacidad media",
                IF(AND(BG125&gt;TRUNC(BJ125/2,0), BG125&gt;=BC125),
                    "0, Superávit y no eliminé superávit",
                    IF(AND(BG125&lt;TRUNC(BJ125/2,0),BG125&lt;BC125),
                        "1, Superávit y eliminé superávit",
                        "-2, Superávit y resultado fue bueno"
                    )
                )
            ),
            IF(AND(BC125&lt;=TRUNC(BJ125/2,0),BC125&gt;=0),
                IF(BG125=TRUNC(BJ125/2,0),
                    "-1, no había superávit y deje la capacidad media",
                    IF(AND(BG125&gt;TRUNC(BJ125/2,0), BG125&gt;=BC125),
                        "0, no había superávit, y la deje con superávit",
                        IF(AND(BG125&lt;TRUNC(BJ125/2,0),BG125&lt;BC125),
                            "1, no había superávit, pero el resultado fue mejor",
                            "-2, no había superávit y resultado fue bueno"
                        )
                    )
                )
            )
        )
    )
)</f>
        <v>-1, no había déficit y dejo la capacidad media</v>
      </c>
      <c r="BO125" s="30" t="s">
        <v>218</v>
      </c>
      <c r="BP125" s="29">
        <v>15</v>
      </c>
      <c r="BQ125" s="31">
        <v>7</v>
      </c>
      <c r="BR125" s="29">
        <v>15</v>
      </c>
      <c r="BS125" s="29">
        <v>15</v>
      </c>
      <c r="BT125" s="29">
        <v>15</v>
      </c>
      <c r="BU125" s="30">
        <v>0.28220965544261112</v>
      </c>
      <c r="BV125" s="26" t="s">
        <v>326</v>
      </c>
      <c r="BW125" s="30">
        <v>23</v>
      </c>
      <c r="BX125" s="29">
        <f>IF(BR125&lt;=BP125,1,0)</f>
        <v>1</v>
      </c>
      <c r="BY125" s="29">
        <f>BR125-BP125</f>
        <v>0</v>
      </c>
      <c r="BZ125" s="29" t="str">
        <f>IF(BU125&gt;0,
    IF(OR(BP125&lt;=TRUNC(BW125/2,0),BP125=0),
        IF(BT125=TRUNC(BW125/2,0),
            "-1, Déficit y dejo la capacidad media",
            IF(AND(BT125&gt;TRUNC(BW125/2,0), BT125&gt;BP125),
                "1, Déficit y eliminé déficit",
                IF(AND(BT125&lt;TRUNC(BW125/2,0), BT125&lt;BP125),
                    "0, Déficit y no elimine déficit",
                    "-2, Déficit y resultado fue bueno")
            )
        ),
        IF(AND(BT125&gt;TRUNC(BW125/2,0), BT125&gt;BP125),
            "1, no había déficit, pero resultado fue mejor",
            IF(AND(BT125&lt;TRUNC(BW125/2,0),BT125&lt;BP125),
                "0, no había déficit y la dejo con déficit",
                IF(BT125=TRUNC(BW125/2,0),
                    "-1, no había déficit y dejo la capacidad media",
                    "-2,no había déficit y resultado fue bueno")
            )
        )
    ),
    IF(BU125&lt;0,
        IF(BP125&gt;TRUNC(BW125/2,0),
            IF(BT125=TRUNC(BW125/2,0),
                "-1, Superávit y deje la capacidad media",
                IF(AND(BT125&gt;TRUNC(BW125/2,0), BT125&gt;=BP125),
                    "0, Superávit y no eliminé superávit",
                    IF(AND(BT125&lt;TRUNC(BW125/2,0),BT125&lt;BP125),
                        "1, Superávit y eliminé superávit",
                        "-2, Superávit y resultado fue bueno"
                    )
                )
            ),
            IF(AND(BP125&lt;=TRUNC(BW125/2,0),BP125&gt;=0),
                IF(BT125=TRUNC(BW125/2,0),
                    "-1, no había superávit y deje la capacidad media",
                    IF(AND(BT125&gt;TRUNC(BW125/2,0), BT125&gt;=BP125),
                        "0, no había superávit, y la deje con superávit",
                        IF(AND(BT125&lt;TRUNC(BW125/2,0),BT125&lt;BP125),
                            "1, no había superávit, pero el resultado fue mejor",
                            "-2, no había superávit y resultado fue bueno"
                        )
                    )
                )
            )
        )
    )
)</f>
        <v>-2,no había déficit y resultado fue bueno</v>
      </c>
      <c r="CB125" s="30" t="s">
        <v>218</v>
      </c>
      <c r="CC125" s="30">
        <v>8</v>
      </c>
      <c r="CD125" s="31">
        <v>6.2222222222222223</v>
      </c>
      <c r="CE125" s="31">
        <v>8</v>
      </c>
      <c r="CF125" s="31">
        <v>8</v>
      </c>
      <c r="CG125" s="30">
        <v>9</v>
      </c>
      <c r="CH125" s="30">
        <v>0.28220965544261112</v>
      </c>
      <c r="CI125" s="26" t="s">
        <v>326</v>
      </c>
      <c r="CJ125" s="30">
        <v>23</v>
      </c>
      <c r="CK125" s="29">
        <f>IF(CE125&lt;=CC125,1,0)</f>
        <v>1</v>
      </c>
      <c r="CL125" s="32">
        <f>CE125-CC125</f>
        <v>0</v>
      </c>
      <c r="CM125" s="32" t="str">
        <f>IF(CH125&gt;0,
    IF(OR(CC125&lt;=TRUNC(CJ125/2,0),CC125=0),
        IF(CG125=TRUNC(CJ125/2,0),
            "-1, Déficit y dejo la capacidad media",
            IF(AND(CG125&gt;TRUNC(CJ125/2,0), CG125&gt;CC125),
                "1, Déficit y eliminé déficit",
                IF(AND(CG125&lt;TRUNC(CJ125/2,0), CG125&lt;CC125),
                    "0, Déficit y no elimine déficit",
                    "-2, Déficit y resultado fue bueno")
            )
        ),
        IF(AND(CG125&gt;TRUNC(CJ125/2,0), CG125&gt;CC125),
            "1, no había déficit, pero resultado fue mejor",
            IF(AND(CG125&lt;TRUNC(CJ125/2,0),CG125&lt;CC125),
                "0, no había déficit y la dejo con déficit",
                IF(CG125=TRUNC(CJ125/2,0),
                    "-1, no había déficit y dejo la capacidad media",
                    "-2,no había déficit y resultado fue bueno")
            )
        )
    ),
    IF(CH125&lt;0,
        IF(CC125&gt;TRUNC(CJ125/2,0),
            IF(CG125=TRUNC(CJ125/2,0),
                "-1, Superávit y deje la capacidad media",
                IF(AND(CG125&gt;TRUNC(CJ125/2,0), CG125&gt;=CC125),
                    "0, Superávit y no eliminé superávit",
                    IF(AND(CG125&lt;TRUNC(CJ125/2,0),CG125&lt;CC125),
                        "1, Superávit y eliminé superávit",
                        "-2, Superávit y resultado fue bueno"
                    )
                )
            ),
            IF(AND(CC125&lt;=TRUNC(CJ125/2,0),CC125&gt;=0),
                IF(CG125=TRUNC(CJ125/2,0),
                    "-1, no había superávit y deje la capacidad media",
                    IF(AND(CG125&gt;TRUNC(CJ125/2,0), CG125&gt;=CC125),
                        "0, no había superávit, y la deje con superávit",
                        IF(AND(CG125&lt;TRUNC(CJ125/2,0),CG125&lt;CC125),
                            "1, no había superávit, pero el resultado fue mejor",
                            "-2, no había superávit y resultado fue bueno"
                        )
                    )
                )
            )
        )
    )
)</f>
        <v>-2, Déficit y resultado fue bueno</v>
      </c>
    </row>
    <row r="126" spans="2:103" ht="14.25" customHeight="1" x14ac:dyDescent="0.3">
      <c r="B126" s="30" t="s">
        <v>198</v>
      </c>
      <c r="C126" s="30">
        <v>2</v>
      </c>
      <c r="D126" s="31">
        <v>2.8888888888888888</v>
      </c>
      <c r="E126" s="29">
        <v>1</v>
      </c>
      <c r="F126" s="29">
        <v>1</v>
      </c>
      <c r="G126" s="30">
        <v>4</v>
      </c>
      <c r="H126" s="30">
        <v>0.26647717855960468</v>
      </c>
      <c r="I126" s="26" t="s">
        <v>318</v>
      </c>
      <c r="J126" s="30">
        <v>11</v>
      </c>
      <c r="K126" s="29">
        <f>IF(E126&lt;=C126,1,0)</f>
        <v>1</v>
      </c>
      <c r="L126" s="29">
        <f>E126-C126</f>
        <v>-1</v>
      </c>
      <c r="M126" s="29" t="str">
        <f>IF(H126&gt;0,
    IF(OR(C126&lt;=TRUNC(J126/2,0),C126=0),
        IF(G126=TRUNC(J126/2,0),
            "-1, Déficit y dejo la capacidad media",
            IF(AND(G126&gt;TRUNC(J126/2,0), G126&gt;C126),
                "1, Déficit y eliminé déficit",
                IF(AND(G126&lt;TRUNC(J126/2,0), G126&lt;C126),
                    "0, Déficit y no elimine déficit",
                    "-2, Déficit y resultado fue bueno")
            )
        ),
        IF(AND(G126&gt;TRUNC(J126/2,0), G126&gt;C126),
            "1, no había déficit, pero resultado fue mejor",
            IF(AND(G126&lt;TRUNC(J126/2,0),G126&lt;C126),
                "0, no había déficit y la dejo con déficit",
                IF(G126=TRUNC(J126/2,0),
                    "-1, no había déficit y dejo la capacidad media",
                    "-2,no había déficit y resultado fue bueno")
            )
        )
    ),
    IF(H126&lt;0,
        IF(C126&gt;TRUNC(J126/2,0),
            IF(G126=TRUNC(J126/2,0),
                "-1, Superávit y deje la capacidad media",
                IF(AND(G126&gt;TRUNC(J126/2,0), G126&gt;=C126),
                    "0, Superávit y no eliminé superávit",
                    IF(AND(G126&lt;TRUNC(J126/2,0),G126&lt;C126),
                        "1, Superávit y eliminé superávit",
                        "-2, Superávit y resultado fue bueno"
                    )
                )
            ),
            IF(AND(C126&lt;=TRUNC(J126/2,0),C126&gt;=0),
                IF(G126=TRUNC(J126/2,0),
                    "-1, no había superávit y deje la capacidad media",
                    IF(AND(G126&gt;TRUNC(J126/2,0), G126&gt;=C126),
                        "0, no había superávit, y la deje con superávit",
                        IF(AND(G126&lt;TRUNC(J126/2,0),G126&lt;C126),
                            "1, no había superávit, pero el resultado fue mejor",
                            "-2, no había superávit y resultado fue bueno"
                        )
                    )
                )
            )
        )
    )
)</f>
        <v>-2, Déficit y resultado fue bueno</v>
      </c>
      <c r="O126" s="30" t="s">
        <v>198</v>
      </c>
      <c r="P126" s="30">
        <v>5</v>
      </c>
      <c r="Q126" s="31">
        <v>3.8888888888888888</v>
      </c>
      <c r="R126" s="29">
        <v>0</v>
      </c>
      <c r="S126" s="30">
        <v>0</v>
      </c>
      <c r="T126" s="30">
        <v>4</v>
      </c>
      <c r="U126" s="30">
        <v>0.26647717855960468</v>
      </c>
      <c r="V126" s="26" t="s">
        <v>318</v>
      </c>
      <c r="W126" s="30">
        <v>11</v>
      </c>
      <c r="X126" s="29">
        <f>IF(R126&lt;=P126,1,0)</f>
        <v>1</v>
      </c>
      <c r="Y126" s="29">
        <f>R126-P126</f>
        <v>-5</v>
      </c>
      <c r="Z126" s="29" t="str">
        <f>IF(U126&gt;0,
    IF(OR(P126&lt;=TRUNC(W126/2,0),P126=0),
        IF(T126=TRUNC(W126/2,0),
            "-1, Déficit y dejo la capacidad media",
            IF(AND(T126&gt;TRUNC(W126/2,0), T126&gt;P126),
                "1, Déficit y eliminé déficit",
                IF(AND(T126&lt;TRUNC(W126/2,0), T126&lt;P126),
                    "0, Déficit y no elimine déficit",
                    "-2, Déficit y resultado fue bueno")
            )
        ),
        IF(AND(T126&gt;TRUNC(W126/2,0), T126&gt;P126),
            "1, no había déficit, pero resultado fue mejor",
            IF(AND(T126&lt;TRUNC(W126/2,0),T126&lt;P126),
                "0, no había déficit y la dejo con déficit",
                IF(T126=TRUNC(W126/2,0),
                    "-1, no había déficit y dejo la capacidad media",
                    "-2,no había déficit y resultado fue bueno")
            )
        )
    ),
    IF(U126&lt;0,
        IF(P126&gt;TRUNC(W126/2,0),
            IF(T126=TRUNC(W126/2,0),
                "-1, Superávit y deje la capacidad media",
                IF(AND(T126&gt;TRUNC(W126/2,0), T126&gt;=P126),
                    "0, Superávit y no eliminé superávit",
                    IF(AND(T126&lt;TRUNC(W126/2,0),T126&lt;P126),
                        "1, Superávit y eliminé superávit",
                        "-2, Superávit y resultado fue bueno"
                    )
                )
            ),
            IF(AND(P126&lt;=TRUNC(W126/2,0),P126&gt;=0),
                IF(T126=TRUNC(W126/2,0),
                    "-1, no había superávit y deje la capacidad media",
                    IF(AND(T126&gt;TRUNC(W126/2,0), T126&gt;=P126),
                        "0, no había superávit, y la deje con superávit",
                        IF(AND(T126&lt;TRUNC(W126/2,0),T126&lt;P126),
                            "1, no había superávit, pero el resultado fue mejor",
                            "-2, no había superávit y resultado fue bueno"
                        )
                    )
                )
            )
        )
    )
)</f>
        <v>0, Déficit y no elimine déficit</v>
      </c>
      <c r="AB126" s="30" t="s">
        <v>198</v>
      </c>
      <c r="AC126" s="30">
        <v>0</v>
      </c>
      <c r="AD126" s="31">
        <v>2.2222222222222223</v>
      </c>
      <c r="AE126" s="29">
        <v>0</v>
      </c>
      <c r="AF126" s="31">
        <v>0</v>
      </c>
      <c r="AG126" s="30">
        <v>4</v>
      </c>
      <c r="AH126" s="30">
        <v>0.26647717855960468</v>
      </c>
      <c r="AI126" s="26" t="s">
        <v>318</v>
      </c>
      <c r="AJ126" s="30">
        <v>11</v>
      </c>
      <c r="AK126" s="29">
        <f>IF(AE126&lt;=AC126,1,0)</f>
        <v>1</v>
      </c>
      <c r="AL126" s="29">
        <f>AE126-AC126</f>
        <v>0</v>
      </c>
      <c r="AM126" s="29" t="str">
        <f>IF(AH126&gt;0,
    IF(OR(AC126&lt;=TRUNC(AJ126/2,0),AC126=0),
        IF(AG126=TRUNC(AJ126/2,0),
            "-1, Déficit y dejo la capacidad media",
            IF(AND(AG126&gt;TRUNC(AJ126/2,0), AG126&gt;AC126),
                "1, Déficit y eliminé déficit",
                IF(AND(AG126&lt;TRUNC(AJ126/2,0), AG126&lt;AC126),
                    "0, Déficit y no elimine déficit",
                    "-2, Déficit y resultado fue bueno")
            )
        ),
        IF(AND(AG126&gt;TRUNC(AJ126/2,0), AG126&gt;AC126),
            "1, no había déficit, pero resultado fue mejor",
            IF(AND(AG126&lt;TRUNC(AJ126/2,0),AG126&lt;AC126),
                "0, no había déficit y la dejo con déficit",
                IF(AG126=TRUNC(AJ126/2,0),
                    "-1, no había déficit y dejo la capacidad media",
                    "-2,no había déficit y resultado fue bueno")
            )
        )
    ),
    IF(AH126&lt;0,
        IF(AC126&gt;TRUNC(AJ126/2,0),
            IF(AG126=TRUNC(AJ126/2,0),
                "-1, Superávit y deje la capacidad media",
                IF(AND(AG126&gt;TRUNC(AJ126/2,0), AG126&gt;=AC126),
                    "0, Superávit y no eliminé superávit",
                    IF(AND(AG126&lt;TRUNC(AJ126/2,0),AG126&lt;AC126),
                        "1, Superávit y eliminé superávit",
                        "-2, Superávit y resultado fue bueno"
                    )
                )
            ),
            IF(AND(AC126&lt;=TRUNC(AJ126/2,0),AC126&gt;=0),
                IF(AG126=TRUNC(AJ126/2,0),
                    "-1, no había superávit y deje la capacidad media",
                    IF(AND(AG126&gt;TRUNC(AJ126/2,0), AG126&gt;=AC126),
                        "0, no había superávit, y la deje con superávit",
                        IF(AND(AG126&lt;TRUNC(AJ126/2,0),AG126&lt;AC126),
                            "1, no había superávit, pero el resultado fue mejor",
                            "-2, no había superávit y resultado fue bueno"
                        )
                    )
                )
            )
        )
    )
)</f>
        <v>-2, Déficit y resultado fue bueno</v>
      </c>
      <c r="AO126" s="30" t="s">
        <v>198</v>
      </c>
      <c r="AP126" s="30">
        <v>0</v>
      </c>
      <c r="AQ126" s="31">
        <v>1.3333333333333333</v>
      </c>
      <c r="AR126" s="29">
        <v>1</v>
      </c>
      <c r="AS126" s="29">
        <v>0</v>
      </c>
      <c r="AT126" s="30">
        <v>4</v>
      </c>
      <c r="AU126" s="30">
        <v>0.26647717855960468</v>
      </c>
      <c r="AV126" s="26" t="s">
        <v>318</v>
      </c>
      <c r="AW126" s="30">
        <v>11</v>
      </c>
      <c r="AX126" s="29">
        <f>IF(AR126&lt;=AP126,1,0)</f>
        <v>0</v>
      </c>
      <c r="AY126" s="29">
        <f>AR126-AP126</f>
        <v>1</v>
      </c>
      <c r="AZ126" s="29" t="str">
        <f>IF(AU126&gt;0,
    IF(OR(AP126&lt;=TRUNC(AW126/2,0),AP126=0),
        IF(AT126=TRUNC(AW126/2,0),
            "-1, Déficit y dejo la capacidad media",
            IF(AND(AT126&gt;TRUNC(AW126/2,0), AT126&gt;AP126),
                "1, Déficit y eliminé déficit",
                IF(AND(AT126&lt;TRUNC(AW126/2,0), AT126&lt;AP126),
                    "0, Déficit y no elimine déficit",
                    "-2, Déficit y resultado fue bueno")
            )
        ),
        IF(AND(AT126&gt;TRUNC(AW126/2,0), AT126&gt;AP126),
            "1, no había déficit, pero resultado fue mejor",
            IF(AND(AT126&lt;TRUNC(AW126/2,0),AT126&lt;AP126),
                "0, no había déficit y la dejo con déficit",
                IF(AT126=TRUNC(AW126/2,0),
                    "-1, no había déficit y dejo la capacidad media",
                    "-2,no había déficit y resultado fue bueno")
            )
        )
    ),
    IF(AU126&lt;0,
        IF(AP126&gt;TRUNC(AW126/2,0),
            IF(AT126=TRUNC(AW126/2,0),
                "-1, Superávit y deje la capacidad media",
                IF(AND(AT126&gt;TRUNC(AW126/2,0), AT126&gt;=AP126),
                    "0, Superávit y no eliminé superávit",
                    IF(AND(AT126&lt;TRUNC(AW126/2,0),AT126&lt;AP126),
                        "1, Superávit y eliminé superávit",
                        "-2, Superávit y resultado fue bueno"
                    )
                )
            ),
            IF(AND(AP126&lt;=TRUNC(AW126/2,0),AP126&gt;=0),
                IF(AT126=TRUNC(AW126/2,0),
                    "-1, no había superávit y deje la capacidad media",
                    IF(AND(AT126&gt;TRUNC(AW126/2,0), AT126&gt;=AP126),
                        "0, no había superávit, y la deje con superávit",
                        IF(AND(AT126&lt;TRUNC(AW126/2,0),AT126&lt;AP126),
                            "1, no había superávit, pero el resultado fue mejor",
                            "-2, no había superávit y resultado fue bueno"
                        )
                    )
                )
            )
        )
    )
)</f>
        <v>-2, Déficit y resultado fue bueno</v>
      </c>
      <c r="BB126" s="30" t="s">
        <v>198</v>
      </c>
      <c r="BC126" s="30">
        <v>0</v>
      </c>
      <c r="BD126" s="31">
        <v>2.1111111111111112</v>
      </c>
      <c r="BE126" s="29">
        <v>6</v>
      </c>
      <c r="BF126" s="29">
        <v>6</v>
      </c>
      <c r="BG126" s="30">
        <v>4</v>
      </c>
      <c r="BH126" s="30">
        <v>0.26647717855960468</v>
      </c>
      <c r="BI126" s="26" t="s">
        <v>318</v>
      </c>
      <c r="BJ126" s="30">
        <v>11</v>
      </c>
      <c r="BK126" s="29">
        <f>IF(BE126&lt;=BC126,1,0)</f>
        <v>0</v>
      </c>
      <c r="BL126" s="29">
        <f>BE126-BC126</f>
        <v>6</v>
      </c>
      <c r="BM126" s="29" t="str">
        <f>IF(BH126&gt;0,
    IF(OR(BC126&lt;=TRUNC(BJ126/2,0),BC126=0),
        IF(BG126=TRUNC(BJ126/2,0),
            "-1, Déficit y dejo la capacidad media",
            IF(AND(BG126&gt;TRUNC(BJ126/2,0), BG126&gt;BC126),
                "1, Déficit y eliminé déficit",
                IF(AND(BG126&lt;TRUNC(BJ126/2,0), BG126&lt;BC126),
                    "0, Déficit y no elimine déficit",
                    "-2, Déficit y resultado fue bueno")
            )
        ),
        IF(AND(BG126&gt;TRUNC(BJ126/2,0), BG126&gt;BC126),
            "1, no había déficit, pero resultado fue mejor",
            IF(AND(BG126&lt;TRUNC(BJ126/2,0),BG126&lt;BC126),
                "0, no había déficit y la dejo con déficit",
                IF(BG126=TRUNC(BJ126/2,0),
                    "-1, no había déficit y dejo la capacidad media",
                    "-2,no había déficit y resultado fue bueno")
            )
        )
    ),
    IF(BH126&lt;0,
        IF(BC126&gt;TRUNC(BJ126/2,0),
            IF(BG126=TRUNC(BJ126/2,0),
                "-1, Superávit y deje la capacidad media",
                IF(AND(BG126&gt;TRUNC(BJ126/2,0), BG126&gt;=BC126),
                    "0, Superávit y no eliminé superávit",
                    IF(AND(BG126&lt;TRUNC(BJ126/2,0),BG126&lt;BC126),
                        "1, Superávit y eliminé superávit",
                        "-2, Superávit y resultado fue bueno"
                    )
                )
            ),
            IF(AND(BC126&lt;=TRUNC(BJ126/2,0),BC126&gt;=0),
                IF(BG126=TRUNC(BJ126/2,0),
                    "-1, no había superávit y deje la capacidad media",
                    IF(AND(BG126&gt;TRUNC(BJ126/2,0), BG126&gt;=BC126),
                        "0, no había superávit, y la deje con superávit",
                        IF(AND(BG126&lt;TRUNC(BJ126/2,0),BG126&lt;BC126),
                            "1, no había superávit, pero el resultado fue mejor",
                            "-2, no había superávit y resultado fue bueno"
                        )
                    )
                )
            )
        )
    )
)</f>
        <v>-2, Déficit y resultado fue bueno</v>
      </c>
      <c r="BO126" s="30" t="s">
        <v>198</v>
      </c>
      <c r="BP126" s="29">
        <v>11</v>
      </c>
      <c r="BQ126" s="31">
        <v>5.7777777777777777</v>
      </c>
      <c r="BR126" s="29">
        <v>10</v>
      </c>
      <c r="BS126" s="29">
        <v>10</v>
      </c>
      <c r="BT126" s="29">
        <v>7</v>
      </c>
      <c r="BU126" s="30">
        <v>0.26647717855960468</v>
      </c>
      <c r="BV126" s="26" t="s">
        <v>318</v>
      </c>
      <c r="BW126" s="30">
        <v>11</v>
      </c>
      <c r="BX126" s="29">
        <f>IF(BR126&lt;=BP126,1,0)</f>
        <v>1</v>
      </c>
      <c r="BY126" s="29">
        <f>BR126-BP126</f>
        <v>-1</v>
      </c>
      <c r="BZ126" s="29" t="str">
        <f>IF(BU126&gt;0,
    IF(OR(BP126&lt;=TRUNC(BW126/2,0),BP126=0),
        IF(BT126=TRUNC(BW126/2,0),
            "-1, Déficit y dejo la capacidad media",
            IF(AND(BT126&gt;TRUNC(BW126/2,0), BT126&gt;BP126),
                "1, Déficit y eliminé déficit",
                IF(AND(BT126&lt;TRUNC(BW126/2,0), BT126&lt;BP126),
                    "0, Déficit y no elimine déficit",
                    "-2, Déficit y resultado fue bueno")
            )
        ),
        IF(AND(BT126&gt;TRUNC(BW126/2,0), BT126&gt;BP126),
            "1, no había déficit, pero resultado fue mejor",
            IF(AND(BT126&lt;TRUNC(BW126/2,0),BT126&lt;BP126),
                "0, no había déficit y la dejo con déficit",
                IF(BT126=TRUNC(BW126/2,0),
                    "-1, no había déficit y dejo la capacidad media",
                    "-2,no había déficit y resultado fue bueno")
            )
        )
    ),
    IF(BU126&lt;0,
        IF(BP126&gt;TRUNC(BW126/2,0),
            IF(BT126=TRUNC(BW126/2,0),
                "-1, Superávit y deje la capacidad media",
                IF(AND(BT126&gt;TRUNC(BW126/2,0), BT126&gt;=BP126),
                    "0, Superávit y no eliminé superávit",
                    IF(AND(BT126&lt;TRUNC(BW126/2,0),BT126&lt;BP126),
                        "1, Superávit y eliminé superávit",
                        "-2, Superávit y resultado fue bueno"
                    )
                )
            ),
            IF(AND(BP126&lt;=TRUNC(BW126/2,0),BP126&gt;=0),
                IF(BT126=TRUNC(BW126/2,0),
                    "-1, no había superávit y deje la capacidad media",
                    IF(AND(BT126&gt;TRUNC(BW126/2,0), BT126&gt;=BP126),
                        "0, no había superávit, y la deje con superávit",
                        IF(AND(BT126&lt;TRUNC(BW126/2,0),BT126&lt;BP126),
                            "1, no había superávit, pero el resultado fue mejor",
                            "-2, no había superávit y resultado fue bueno"
                        )
                    )
                )
            )
        )
    )
)</f>
        <v>-2,no había déficit y resultado fue bueno</v>
      </c>
      <c r="CB126" s="30" t="s">
        <v>198</v>
      </c>
      <c r="CC126" s="30">
        <v>10</v>
      </c>
      <c r="CD126" s="31">
        <v>3.4444444444444446</v>
      </c>
      <c r="CE126" s="31">
        <v>8</v>
      </c>
      <c r="CF126" s="31">
        <v>8</v>
      </c>
      <c r="CG126" s="30">
        <v>6</v>
      </c>
      <c r="CH126" s="30">
        <v>0.26647717855960468</v>
      </c>
      <c r="CI126" s="26" t="s">
        <v>318</v>
      </c>
      <c r="CJ126" s="30">
        <v>11</v>
      </c>
      <c r="CK126" s="29">
        <f>IF(CE126&lt;=CC126,1,0)</f>
        <v>1</v>
      </c>
      <c r="CL126" s="32">
        <f>CE126-CC126</f>
        <v>-2</v>
      </c>
      <c r="CM126" s="32" t="str">
        <f>IF(CH126&gt;0,
    IF(OR(CC126&lt;=TRUNC(CJ126/2,0),CC126=0),
        IF(CG126=TRUNC(CJ126/2,0),
            "-1, Déficit y dejo la capacidad media",
            IF(AND(CG126&gt;TRUNC(CJ126/2,0), CG126&gt;CC126),
                "1, Déficit y eliminé déficit",
                IF(AND(CG126&lt;TRUNC(CJ126/2,0), CG126&lt;CC126),
                    "0, Déficit y no elimine déficit",
                    "-2, Déficit y resultado fue bueno")
            )
        ),
        IF(AND(CG126&gt;TRUNC(CJ126/2,0), CG126&gt;CC126),
            "1, no había déficit, pero resultado fue mejor",
            IF(AND(CG126&lt;TRUNC(CJ126/2,0),CG126&lt;CC126),
                "0, no había déficit y la dejo con déficit",
                IF(CG126=TRUNC(CJ126/2,0),
                    "-1, no había déficit y dejo la capacidad media",
                    "-2,no había déficit y resultado fue bueno")
            )
        )
    ),
    IF(CH126&lt;0,
        IF(CC126&gt;TRUNC(CJ126/2,0),
            IF(CG126=TRUNC(CJ126/2,0),
                "-1, Superávit y deje la capacidad media",
                IF(AND(CG126&gt;TRUNC(CJ126/2,0), CG126&gt;=CC126),
                    "0, Superávit y no eliminé superávit",
                    IF(AND(CG126&lt;TRUNC(CJ126/2,0),CG126&lt;CC126),
                        "1, Superávit y eliminé superávit",
                        "-2, Superávit y resultado fue bueno"
                    )
                )
            ),
            IF(AND(CC126&lt;=TRUNC(CJ126/2,0),CC126&gt;=0),
                IF(CG126=TRUNC(CJ126/2,0),
                    "-1, no había superávit y deje la capacidad media",
                    IF(AND(CG126&gt;TRUNC(CJ126/2,0), CG126&gt;=CC126),
                        "0, no había superávit, y la deje con superávit",
                        IF(AND(CG126&lt;TRUNC(CJ126/2,0),CG126&lt;CC126),
                            "1, no había superávit, pero el resultado fue mejor",
                            "-2, no había superávit y resultado fue bueno"
                        )
                    )
                )
            )
        )
    )
)</f>
        <v>-2,no había déficit y resultado fue bueno</v>
      </c>
    </row>
    <row r="127" spans="2:103" ht="14.25" customHeight="1" x14ac:dyDescent="0.3">
      <c r="B127" s="30" t="s">
        <v>209</v>
      </c>
      <c r="C127" s="30">
        <v>2</v>
      </c>
      <c r="D127" s="31">
        <v>3.1111111111111112</v>
      </c>
      <c r="E127" s="29">
        <v>2</v>
      </c>
      <c r="F127" s="29">
        <v>1</v>
      </c>
      <c r="G127" s="30">
        <v>3</v>
      </c>
      <c r="H127" s="30">
        <v>2.6646209564781631E-3</v>
      </c>
      <c r="I127" s="26" t="s">
        <v>320</v>
      </c>
      <c r="J127" s="30">
        <v>7</v>
      </c>
      <c r="K127" s="29">
        <f>IF(E127&lt;=C127,1,0)</f>
        <v>1</v>
      </c>
      <c r="L127" s="29">
        <f>E127-C127</f>
        <v>0</v>
      </c>
      <c r="M127" s="29" t="str">
        <f>IF(H127&gt;0,
    IF(OR(C127&lt;=TRUNC(J127/2,0),C127=0),
        IF(G127=TRUNC(J127/2,0),
            "-1, Déficit y dejo la capacidad media",
            IF(AND(G127&gt;TRUNC(J127/2,0), G127&gt;C127),
                "1, Déficit y eliminé déficit",
                IF(AND(G127&lt;TRUNC(J127/2,0), G127&lt;C127),
                    "0, Déficit y no elimine déficit",
                    "-2, Déficit y resultado fue bueno")
            )
        ),
        IF(AND(G127&gt;TRUNC(J127/2,0), G127&gt;C127),
            "1, no había déficit, pero resultado fue mejor",
            IF(AND(G127&lt;TRUNC(J127/2,0),G127&lt;C127),
                "0, no había déficit y la dejo con déficit",
                IF(G127=TRUNC(J127/2,0),
                    "-1, no había déficit y dejo la capacidad media",
                    "-2,no había déficit y resultado fue bueno")
            )
        )
    ),
    IF(H127&lt;0,
        IF(C127&gt;TRUNC(J127/2,0),
            IF(G127=TRUNC(J127/2,0),
                "-1, Superávit y deje la capacidad media",
                IF(AND(G127&gt;TRUNC(J127/2,0), G127&gt;=C127),
                    "0, Superávit y no eliminé superávit",
                    IF(AND(G127&lt;TRUNC(J127/2,0),G127&lt;C127),
                        "1, Superávit y eliminé superávit",
                        "-2, Superávit y resultado fue bueno"
                    )
                )
            ),
            IF(AND(C127&lt;=TRUNC(J127/2,0),C127&gt;=0),
                IF(G127=TRUNC(J127/2,0),
                    "-1, no había superávit y deje la capacidad media",
                    IF(AND(G127&gt;TRUNC(J127/2,0), G127&gt;=C127),
                        "0, no había superávit, y la deje con superávit",
                        IF(AND(G127&lt;TRUNC(J127/2,0),G127&lt;C127),
                            "1, no había superávit, pero el resultado fue mejor",
                            "-2, no había superávit y resultado fue bueno"
                        )
                    )
                )
            )
        )
    )
)</f>
        <v>-1, Déficit y dejo la capacidad media</v>
      </c>
      <c r="O127" s="30" t="s">
        <v>209</v>
      </c>
      <c r="P127" s="30">
        <v>3</v>
      </c>
      <c r="Q127" s="31">
        <v>3.6666666666666665</v>
      </c>
      <c r="R127" s="29">
        <v>2</v>
      </c>
      <c r="S127" s="30">
        <v>0</v>
      </c>
      <c r="T127" s="30">
        <v>3</v>
      </c>
      <c r="U127" s="30">
        <v>2.6646209564781631E-3</v>
      </c>
      <c r="V127" s="26" t="s">
        <v>320</v>
      </c>
      <c r="W127" s="30">
        <v>7</v>
      </c>
      <c r="X127" s="29">
        <f>IF(R127&lt;=P127,1,0)</f>
        <v>1</v>
      </c>
      <c r="Y127" s="29">
        <f>R127-P127</f>
        <v>-1</v>
      </c>
      <c r="Z127" s="29" t="str">
        <f>IF(U127&gt;0,
    IF(OR(P127&lt;=TRUNC(W127/2,0),P127=0),
        IF(T127=TRUNC(W127/2,0),
            "-1, Déficit y dejo la capacidad media",
            IF(AND(T127&gt;TRUNC(W127/2,0), T127&gt;P127),
                "1, Déficit y eliminé déficit",
                IF(AND(T127&lt;TRUNC(W127/2,0), T127&lt;P127),
                    "0, Déficit y no elimine déficit",
                    "-2, Déficit y resultado fue bueno")
            )
        ),
        IF(AND(T127&gt;TRUNC(W127/2,0), T127&gt;P127),
            "1, no había déficit, pero resultado fue mejor",
            IF(AND(T127&lt;TRUNC(W127/2,0),T127&lt;P127),
                "0, no había déficit y la dejo con déficit",
                IF(T127=TRUNC(W127/2,0),
                    "-1, no había déficit y dejo la capacidad media",
                    "-2,no había déficit y resultado fue bueno")
            )
        )
    ),
    IF(U127&lt;0,
        IF(P127&gt;TRUNC(W127/2,0),
            IF(T127=TRUNC(W127/2,0),
                "-1, Superávit y deje la capacidad media",
                IF(AND(T127&gt;TRUNC(W127/2,0), T127&gt;=P127),
                    "0, Superávit y no eliminé superávit",
                    IF(AND(T127&lt;TRUNC(W127/2,0),T127&lt;P127),
                        "1, Superávit y eliminé superávit",
                        "-2, Superávit y resultado fue bueno"
                    )
                )
            ),
            IF(AND(P127&lt;=TRUNC(W127/2,0),P127&gt;=0),
                IF(T127=TRUNC(W127/2,0),
                    "-1, no había superávit y deje la capacidad media",
                    IF(AND(T127&gt;TRUNC(W127/2,0), T127&gt;=P127),
                        "0, no había superávit, y la deje con superávit",
                        IF(AND(T127&lt;TRUNC(W127/2,0),T127&lt;P127),
                            "1, no había superávit, pero el resultado fue mejor",
                            "-2, no había superávit y resultado fue bueno"
                        )
                    )
                )
            )
        )
    )
)</f>
        <v>-1, Déficit y dejo la capacidad media</v>
      </c>
      <c r="AB127" s="30" t="s">
        <v>209</v>
      </c>
      <c r="AC127" s="30">
        <v>3</v>
      </c>
      <c r="AD127" s="31">
        <v>3.1111111111111112</v>
      </c>
      <c r="AE127" s="29">
        <v>0</v>
      </c>
      <c r="AF127" s="31">
        <v>1</v>
      </c>
      <c r="AG127" s="30">
        <v>3</v>
      </c>
      <c r="AH127" s="30">
        <v>2.6646209564781631E-3</v>
      </c>
      <c r="AI127" s="26" t="s">
        <v>320</v>
      </c>
      <c r="AJ127" s="30">
        <v>7</v>
      </c>
      <c r="AK127" s="29">
        <f>IF(AE127&lt;=AC127,1,0)</f>
        <v>1</v>
      </c>
      <c r="AL127" s="29">
        <f>AE127-AC127</f>
        <v>-3</v>
      </c>
      <c r="AM127" s="29" t="str">
        <f>IF(AH127&gt;0,
    IF(OR(AC127&lt;=TRUNC(AJ127/2,0),AC127=0),
        IF(AG127=TRUNC(AJ127/2,0),
            "-1, Déficit y dejo la capacidad media",
            IF(AND(AG127&gt;TRUNC(AJ127/2,0), AG127&gt;AC127),
                "1, Déficit y eliminé déficit",
                IF(AND(AG127&lt;TRUNC(AJ127/2,0), AG127&lt;AC127),
                    "0, Déficit y no elimine déficit",
                    "-2, Déficit y resultado fue bueno")
            )
        ),
        IF(AND(AG127&gt;TRUNC(AJ127/2,0), AG127&gt;AC127),
            "1, no había déficit, pero resultado fue mejor",
            IF(AND(AG127&lt;TRUNC(AJ127/2,0),AG127&lt;AC127),
                "0, no había déficit y la dejo con déficit",
                IF(AG127=TRUNC(AJ127/2,0),
                    "-1, no había déficit y dejo la capacidad media",
                    "-2,no había déficit y resultado fue bueno")
            )
        )
    ),
    IF(AH127&lt;0,
        IF(AC127&gt;TRUNC(AJ127/2,0),
            IF(AG127=TRUNC(AJ127/2,0),
                "-1, Superávit y deje la capacidad media",
                IF(AND(AG127&gt;TRUNC(AJ127/2,0), AG127&gt;=AC127),
                    "0, Superávit y no eliminé superávit",
                    IF(AND(AG127&lt;TRUNC(AJ127/2,0),AG127&lt;AC127),
                        "1, Superávit y eliminé superávit",
                        "-2, Superávit y resultado fue bueno"
                    )
                )
            ),
            IF(AND(AC127&lt;=TRUNC(AJ127/2,0),AC127&gt;=0),
                IF(AG127=TRUNC(AJ127/2,0),
                    "-1, no había superávit y deje la capacidad media",
                    IF(AND(AG127&gt;TRUNC(AJ127/2,0), AG127&gt;=AC127),
                        "0, no había superávit, y la deje con superávit",
                        IF(AND(AG127&lt;TRUNC(AJ127/2,0),AG127&lt;AC127),
                            "1, no había superávit, pero el resultado fue mejor",
                            "-2, no había superávit y resultado fue bueno"
                        )
                    )
                )
            )
        )
    )
)</f>
        <v>-1, Déficit y dejo la capacidad media</v>
      </c>
      <c r="AO127" s="30" t="s">
        <v>209</v>
      </c>
      <c r="AP127" s="30">
        <v>1</v>
      </c>
      <c r="AQ127" s="31">
        <v>4.4444444444444446</v>
      </c>
      <c r="AR127" s="29">
        <v>0</v>
      </c>
      <c r="AS127" s="29">
        <v>0</v>
      </c>
      <c r="AT127" s="30">
        <v>3</v>
      </c>
      <c r="AU127" s="30">
        <v>2.6646209564781631E-3</v>
      </c>
      <c r="AV127" s="26" t="s">
        <v>320</v>
      </c>
      <c r="AW127" s="30">
        <v>7</v>
      </c>
      <c r="AX127" s="29">
        <f>IF(AR127&lt;=AP127,1,0)</f>
        <v>1</v>
      </c>
      <c r="AY127" s="29">
        <f>AR127-AP127</f>
        <v>-1</v>
      </c>
      <c r="AZ127" s="29" t="str">
        <f>IF(AU127&gt;0,
    IF(OR(AP127&lt;=TRUNC(AW127/2,0),AP127=0),
        IF(AT127=TRUNC(AW127/2,0),
            "-1, Déficit y dejo la capacidad media",
            IF(AND(AT127&gt;TRUNC(AW127/2,0), AT127&gt;AP127),
                "1, Déficit y eliminé déficit",
                IF(AND(AT127&lt;TRUNC(AW127/2,0), AT127&lt;AP127),
                    "0, Déficit y no elimine déficit",
                    "-2, Déficit y resultado fue bueno")
            )
        ),
        IF(AND(AT127&gt;TRUNC(AW127/2,0), AT127&gt;AP127),
            "1, no había déficit, pero resultado fue mejor",
            IF(AND(AT127&lt;TRUNC(AW127/2,0),AT127&lt;AP127),
                "0, no había déficit y la dejo con déficit",
                IF(AT127=TRUNC(AW127/2,0),
                    "-1, no había déficit y dejo la capacidad media",
                    "-2,no había déficit y resultado fue bueno")
            )
        )
    ),
    IF(AU127&lt;0,
        IF(AP127&gt;TRUNC(AW127/2,0),
            IF(AT127=TRUNC(AW127/2,0),
                "-1, Superávit y deje la capacidad media",
                IF(AND(AT127&gt;TRUNC(AW127/2,0), AT127&gt;=AP127),
                    "0, Superávit y no eliminé superávit",
                    IF(AND(AT127&lt;TRUNC(AW127/2,0),AT127&lt;AP127),
                        "1, Superávit y eliminé superávit",
                        "-2, Superávit y resultado fue bueno"
                    )
                )
            ),
            IF(AND(AP127&lt;=TRUNC(AW127/2,0),AP127&gt;=0),
                IF(AT127=TRUNC(AW127/2,0),
                    "-1, no había superávit y deje la capacidad media",
                    IF(AND(AT127&gt;TRUNC(AW127/2,0), AT127&gt;=AP127),
                        "0, no había superávit, y la deje con superávit",
                        IF(AND(AT127&lt;TRUNC(AW127/2,0),AT127&lt;AP127),
                            "1, no había superávit, pero el resultado fue mejor",
                            "-2, no había superávit y resultado fue bueno"
                        )
                    )
                )
            )
        )
    )
)</f>
        <v>-1, Déficit y dejo la capacidad media</v>
      </c>
      <c r="BB127" s="30" t="s">
        <v>209</v>
      </c>
      <c r="BC127" s="30">
        <v>0</v>
      </c>
      <c r="BD127" s="31">
        <v>3.2222222222222223</v>
      </c>
      <c r="BE127" s="29">
        <v>4</v>
      </c>
      <c r="BF127" s="29">
        <v>4</v>
      </c>
      <c r="BG127" s="30">
        <v>3</v>
      </c>
      <c r="BH127" s="30">
        <v>2.6646209564781631E-3</v>
      </c>
      <c r="BI127" s="26" t="s">
        <v>320</v>
      </c>
      <c r="BJ127" s="30">
        <v>7</v>
      </c>
      <c r="BK127" s="29">
        <f>IF(BE127&lt;=BC127,1,0)</f>
        <v>0</v>
      </c>
      <c r="BL127" s="29">
        <f>BE127-BC127</f>
        <v>4</v>
      </c>
      <c r="BM127" s="29" t="str">
        <f>IF(BH127&gt;0,
    IF(OR(BC127&lt;=TRUNC(BJ127/2,0),BC127=0),
        IF(BG127=TRUNC(BJ127/2,0),
            "-1, Déficit y dejo la capacidad media",
            IF(AND(BG127&gt;TRUNC(BJ127/2,0), BG127&gt;BC127),
                "1, Déficit y eliminé déficit",
                IF(AND(BG127&lt;TRUNC(BJ127/2,0), BG127&lt;BC127),
                    "0, Déficit y no elimine déficit",
                    "-2, Déficit y resultado fue bueno")
            )
        ),
        IF(AND(BG127&gt;TRUNC(BJ127/2,0), BG127&gt;BC127),
            "1, no había déficit, pero resultado fue mejor",
            IF(AND(BG127&lt;TRUNC(BJ127/2,0),BG127&lt;BC127),
                "0, no había déficit y la dejo con déficit",
                IF(BG127=TRUNC(BJ127/2,0),
                    "-1, no había déficit y dejo la capacidad media",
                    "-2,no había déficit y resultado fue bueno")
            )
        )
    ),
    IF(BH127&lt;0,
        IF(BC127&gt;TRUNC(BJ127/2,0),
            IF(BG127=TRUNC(BJ127/2,0),
                "-1, Superávit y deje la capacidad media",
                IF(AND(BG127&gt;TRUNC(BJ127/2,0), BG127&gt;=BC127),
                    "0, Superávit y no eliminé superávit",
                    IF(AND(BG127&lt;TRUNC(BJ127/2,0),BG127&lt;BC127),
                        "1, Superávit y eliminé superávit",
                        "-2, Superávit y resultado fue bueno"
                    )
                )
            ),
            IF(AND(BC127&lt;=TRUNC(BJ127/2,0),BC127&gt;=0),
                IF(BG127=TRUNC(BJ127/2,0),
                    "-1, no había superávit y deje la capacidad media",
                    IF(AND(BG127&gt;TRUNC(BJ127/2,0), BG127&gt;=BC127),
                        "0, no había superávit, y la deje con superávit",
                        IF(AND(BG127&lt;TRUNC(BJ127/2,0),BG127&lt;BC127),
                            "1, no había superávit, pero el resultado fue mejor",
                            "-2, no había superávit y resultado fue bueno"
                        )
                    )
                )
            )
        )
    )
)</f>
        <v>-1, Déficit y dejo la capacidad media</v>
      </c>
      <c r="BO127" s="30" t="s">
        <v>209</v>
      </c>
      <c r="BP127" s="29">
        <v>4</v>
      </c>
      <c r="BQ127" s="31">
        <v>2.7777777777777777</v>
      </c>
      <c r="BR127" s="29">
        <v>4</v>
      </c>
      <c r="BS127" s="29">
        <v>4</v>
      </c>
      <c r="BT127" s="29">
        <v>4</v>
      </c>
      <c r="BU127" s="30">
        <v>2.6646209564781631E-3</v>
      </c>
      <c r="BV127" s="26" t="s">
        <v>320</v>
      </c>
      <c r="BW127" s="30">
        <v>7</v>
      </c>
      <c r="BX127" s="29">
        <f>IF(BR127&lt;=BP127,1,0)</f>
        <v>1</v>
      </c>
      <c r="BY127" s="29">
        <f>BR127-BP127</f>
        <v>0</v>
      </c>
      <c r="BZ127" s="29" t="str">
        <f>IF(BU127&gt;0,
    IF(OR(BP127&lt;=TRUNC(BW127/2,0),BP127=0),
        IF(BT127=TRUNC(BW127/2,0),
            "-1, Déficit y dejo la capacidad media",
            IF(AND(BT127&gt;TRUNC(BW127/2,0), BT127&gt;BP127),
                "1, Déficit y eliminé déficit",
                IF(AND(BT127&lt;TRUNC(BW127/2,0), BT127&lt;BP127),
                    "0, Déficit y no elimine déficit",
                    "-2, Déficit y resultado fue bueno")
            )
        ),
        IF(AND(BT127&gt;TRUNC(BW127/2,0), BT127&gt;BP127),
            "1, no había déficit, pero resultado fue mejor",
            IF(AND(BT127&lt;TRUNC(BW127/2,0),BT127&lt;BP127),
                "0, no había déficit y la dejo con déficit",
                IF(BT127=TRUNC(BW127/2,0),
                    "-1, no había déficit y dejo la capacidad media",
                    "-2,no había déficit y resultado fue bueno")
            )
        )
    ),
    IF(BU127&lt;0,
        IF(BP127&gt;TRUNC(BW127/2,0),
            IF(BT127=TRUNC(BW127/2,0),
                "-1, Superávit y deje la capacidad media",
                IF(AND(BT127&gt;TRUNC(BW127/2,0), BT127&gt;=BP127),
                    "0, Superávit y no eliminé superávit",
                    IF(AND(BT127&lt;TRUNC(BW127/2,0),BT127&lt;BP127),
                        "1, Superávit y eliminé superávit",
                        "-2, Superávit y resultado fue bueno"
                    )
                )
            ),
            IF(AND(BP127&lt;=TRUNC(BW127/2,0),BP127&gt;=0),
                IF(BT127=TRUNC(BW127/2,0),
                    "-1, no había superávit y deje la capacidad media",
                    IF(AND(BT127&gt;TRUNC(BW127/2,0), BT127&gt;=BP127),
                        "0, no había superávit, y la deje con superávit",
                        IF(AND(BT127&lt;TRUNC(BW127/2,0),BT127&lt;BP127),
                            "1, no había superávit, pero el resultado fue mejor",
                            "-2, no había superávit y resultado fue bueno"
                        )
                    )
                )
            )
        )
    )
)</f>
        <v>-2,no había déficit y resultado fue bueno</v>
      </c>
      <c r="CB127" s="30" t="s">
        <v>209</v>
      </c>
      <c r="CC127" s="30">
        <v>4</v>
      </c>
      <c r="CD127" s="31">
        <v>2.6666666666666665</v>
      </c>
      <c r="CE127" s="31">
        <v>3</v>
      </c>
      <c r="CF127" s="31">
        <v>3</v>
      </c>
      <c r="CG127" s="30">
        <v>3</v>
      </c>
      <c r="CH127" s="30">
        <v>2.6646209564781631E-3</v>
      </c>
      <c r="CI127" s="26" t="s">
        <v>320</v>
      </c>
      <c r="CJ127" s="30">
        <v>7</v>
      </c>
      <c r="CK127" s="29">
        <f>IF(CE127&lt;=CC127,1,0)</f>
        <v>1</v>
      </c>
      <c r="CL127" s="32">
        <f>CE127-CC127</f>
        <v>-1</v>
      </c>
      <c r="CM127" s="32" t="str">
        <f>IF(CH127&gt;0,
    IF(OR(CC127&lt;=TRUNC(CJ127/2,0),CC127=0),
        IF(CG127=TRUNC(CJ127/2,0),
            "-1, Déficit y dejo la capacidad media",
            IF(AND(CG127&gt;TRUNC(CJ127/2,0), CG127&gt;CC127),
                "1, Déficit y eliminé déficit",
                IF(AND(CG127&lt;TRUNC(CJ127/2,0), CG127&lt;CC127),
                    "0, Déficit y no elimine déficit",
                    "-2, Déficit y resultado fue bueno")
            )
        ),
        IF(AND(CG127&gt;TRUNC(CJ127/2,0), CG127&gt;CC127),
            "1, no había déficit, pero resultado fue mejor",
            IF(AND(CG127&lt;TRUNC(CJ127/2,0),CG127&lt;CC127),
                "0, no había déficit y la dejo con déficit",
                IF(CG127=TRUNC(CJ127/2,0),
                    "-1, no había déficit y dejo la capacidad media",
                    "-2,no había déficit y resultado fue bueno")
            )
        )
    ),
    IF(CH127&lt;0,
        IF(CC127&gt;TRUNC(CJ127/2,0),
            IF(CG127=TRUNC(CJ127/2,0),
                "-1, Superávit y deje la capacidad media",
                IF(AND(CG127&gt;TRUNC(CJ127/2,0), CG127&gt;=CC127),
                    "0, Superávit y no eliminé superávit",
                    IF(AND(CG127&lt;TRUNC(CJ127/2,0),CG127&lt;CC127),
                        "1, Superávit y eliminé superávit",
                        "-2, Superávit y resultado fue bueno"
                    )
                )
            ),
            IF(AND(CC127&lt;=TRUNC(CJ127/2,0),CC127&gt;=0),
                IF(CG127=TRUNC(CJ127/2,0),
                    "-1, no había superávit y deje la capacidad media",
                    IF(AND(CG127&gt;TRUNC(CJ127/2,0), CG127&gt;=CC127),
                        "0, no había superávit, y la deje con superávit",
                        IF(AND(CG127&lt;TRUNC(CJ127/2,0),CG127&lt;CC127),
                            "1, no había superávit, pero el resultado fue mejor",
                            "-2, no había superávit y resultado fue bueno"
                        )
                    )
                )
            )
        )
    )
)</f>
        <v>-1, no había déficit y dejo la capacidad media</v>
      </c>
    </row>
    <row r="128" spans="2:103" ht="14.25" customHeight="1" x14ac:dyDescent="0.3">
      <c r="B128" s="30" t="s">
        <v>214</v>
      </c>
      <c r="C128" s="30">
        <v>3</v>
      </c>
      <c r="D128" s="31">
        <v>9.2222222222222214</v>
      </c>
      <c r="E128" s="29">
        <v>4</v>
      </c>
      <c r="F128" s="29">
        <v>5</v>
      </c>
      <c r="G128" s="30">
        <v>3</v>
      </c>
      <c r="H128" s="30">
        <v>-0.3761105231824623</v>
      </c>
      <c r="I128" s="26" t="s">
        <v>322</v>
      </c>
      <c r="J128" s="30">
        <v>15</v>
      </c>
      <c r="K128" s="29">
        <f>IF(E128&gt;=C128,1,0)</f>
        <v>1</v>
      </c>
      <c r="L128" s="29">
        <f>E128-C128</f>
        <v>1</v>
      </c>
      <c r="M128" s="29" t="str">
        <f>IF(H128&gt;0,
    IF(OR(C128&lt;=TRUNC(J128/2,0),C128=0),
        IF(G128=TRUNC(J128/2,0),
            "-1, Déficit y dejo la capacidad media",
            IF(AND(G128&gt;TRUNC(J128/2,0), G128&gt;C128),
                "1, Déficit y eliminé déficit",
                IF(AND(G128&lt;TRUNC(J128/2,0), G128&lt;C128),
                    "0, Déficit y no elimine déficit",
                    "-2, Déficit y resultado fue bueno")
            )
        ),
        IF(AND(G128&gt;TRUNC(J128/2,0), G128&gt;C128),
            "1, no había déficit, pero resultado fue mejor",
            IF(AND(G128&lt;TRUNC(J128/2,0),G128&lt;C128),
                "0, no había déficit y la dejo con déficit",
                IF(G128=TRUNC(J128/2,0),
                    "-1, no había déficit y dejo la capacidad media",
                    "-2,no había déficit y resultado fue bueno")
            )
        )
    ),
    IF(H128&lt;0,
        IF(C128&gt;TRUNC(J128/2,0),
            IF(G128=TRUNC(J128/2,0),
                "-1, Superávit y deje la capacidad media",
                IF(AND(G128&gt;TRUNC(J128/2,0), G128&gt;=C128),
                    "0, Superávit y no eliminé superávit",
                    IF(AND(G128&lt;TRUNC(J128/2,0),G128&lt;C128),
                        "1, Superávit y eliminé superávit",
                        "-2, Superávit y resultado fue bueno"
                    )
                )
            ),
            IF(AND(C128&lt;=TRUNC(J128/2,0),C128&gt;=0),
                IF(G128=TRUNC(J128/2,0),
                    "-1, no había superávit y deje la capacidad media",
                    IF(AND(G128&gt;TRUNC(J128/2,0), G128&gt;=C128),
                        "0, no había superávit, y la deje con superávit",
                        IF(AND(G128&lt;TRUNC(J128/2,0),G128&lt;C128),
                            "1, no había superávit, pero el resultado fue mejor",
                            "-2, no había superávit y resultado fue bueno"
                        )
                    )
                )
            )
        )
    )
)</f>
        <v>-2, no había superávit y resultado fue bueno</v>
      </c>
      <c r="O128" s="30" t="s">
        <v>214</v>
      </c>
      <c r="P128" s="30">
        <v>11</v>
      </c>
      <c r="Q128" s="31">
        <v>8.7777777777777786</v>
      </c>
      <c r="R128" s="29">
        <v>9</v>
      </c>
      <c r="S128" s="30">
        <v>10</v>
      </c>
      <c r="T128" s="30">
        <v>11</v>
      </c>
      <c r="U128" s="30">
        <v>-0.3761105231824623</v>
      </c>
      <c r="V128" s="26" t="s">
        <v>322</v>
      </c>
      <c r="W128" s="30">
        <v>15</v>
      </c>
      <c r="X128" s="29">
        <f>IF(R128&gt;=P128,1,0)</f>
        <v>0</v>
      </c>
      <c r="Y128" s="29">
        <f>R128-P128</f>
        <v>-2</v>
      </c>
      <c r="Z128" s="29" t="str">
        <f>IF(U128&gt;0,
    IF(OR(P128&lt;=TRUNC(W128/2,0),P128=0),
        IF(T128=TRUNC(W128/2,0),
            "-1, Déficit y dejo la capacidad media",
            IF(AND(T128&gt;TRUNC(W128/2,0), T128&gt;P128),
                "1, Déficit y eliminé déficit",
                IF(AND(T128&lt;TRUNC(W128/2,0), T128&lt;P128),
                    "0, Déficit y no elimine déficit",
                    "-2, Déficit y resultado fue bueno")
            )
        ),
        IF(AND(T128&gt;TRUNC(W128/2,0), T128&gt;P128),
            "1, no había déficit, pero resultado fue mejor",
            IF(AND(T128&lt;TRUNC(W128/2,0),T128&lt;P128),
                "0, no había déficit y la dejo con déficit",
                IF(T128=TRUNC(W128/2,0),
                    "-1, no había déficit y dejo la capacidad media",
                    "-2,no había déficit y resultado fue bueno")
            )
        )
    ),
    IF(U128&lt;0,
        IF(P128&gt;TRUNC(W128/2,0),
            IF(T128=TRUNC(W128/2,0),
                "-1, Superávit y deje la capacidad media",
                IF(AND(T128&gt;TRUNC(W128/2,0), T128&gt;=P128),
                    "0, Superávit y no eliminé superávit",
                    IF(AND(T128&lt;TRUNC(W128/2,0),T128&lt;P128),
                        "1, Superávit y eliminé superávit",
                        "-2, Superávit y resultado fue bueno"
                    )
                )
            ),
            IF(AND(P128&lt;=TRUNC(W128/2,0),P128&gt;=0),
                IF(T128=TRUNC(W128/2,0),
                    "-1, no había superávit y deje la capacidad media",
                    IF(AND(T128&gt;TRUNC(W128/2,0), T128&gt;=P128),
                        "0, no había superávit, y la deje con superávit",
                        IF(AND(T128&lt;TRUNC(W128/2,0),T128&lt;P128),
                            "1, no había superávit, pero el resultado fue mejor",
                            "-2, no había superávit y resultado fue bueno"
                        )
                    )
                )
            )
        )
    )
)</f>
        <v>0, Superávit y no eliminé superávit</v>
      </c>
      <c r="AB128" s="30" t="s">
        <v>214</v>
      </c>
      <c r="AC128" s="30">
        <v>10</v>
      </c>
      <c r="AD128" s="31">
        <v>9.6666666666666661</v>
      </c>
      <c r="AE128" s="29">
        <v>11</v>
      </c>
      <c r="AF128" s="31">
        <v>11</v>
      </c>
      <c r="AG128" s="30">
        <v>10</v>
      </c>
      <c r="AH128" s="30">
        <v>-0.3761105231824623</v>
      </c>
      <c r="AI128" s="26" t="s">
        <v>322</v>
      </c>
      <c r="AJ128" s="30">
        <v>15</v>
      </c>
      <c r="AK128" s="29">
        <f>IF(AE128&gt;=AC128,1,0)</f>
        <v>1</v>
      </c>
      <c r="AL128" s="29">
        <f>AE128-AC128</f>
        <v>1</v>
      </c>
      <c r="AM128" s="29" t="str">
        <f>IF(AH128&gt;0,
    IF(OR(AC128&lt;=TRUNC(AJ128/2,0),AC128=0),
        IF(AG128=TRUNC(AJ128/2,0),
            "-1, Déficit y dejo la capacidad media",
            IF(AND(AG128&gt;TRUNC(AJ128/2,0), AG128&gt;AC128),
                "1, Déficit y eliminé déficit",
                IF(AND(AG128&lt;TRUNC(AJ128/2,0), AG128&lt;AC128),
                    "0, Déficit y no elimine déficit",
                    "-2, Déficit y resultado fue bueno")
            )
        ),
        IF(AND(AG128&gt;TRUNC(AJ128/2,0), AG128&gt;AC128),
            "1, no había déficit, pero resultado fue mejor",
            IF(AND(AG128&lt;TRUNC(AJ128/2,0),AG128&lt;AC128),
                "0, no había déficit y la dejo con déficit",
                IF(AG128=TRUNC(AJ128/2,0),
                    "-1, no había déficit y dejo la capacidad media",
                    "-2,no había déficit y resultado fue bueno")
            )
        )
    ),
    IF(AH128&lt;0,
        IF(AC128&gt;TRUNC(AJ128/2,0),
            IF(AG128=TRUNC(AJ128/2,0),
                "-1, Superávit y deje la capacidad media",
                IF(AND(AG128&gt;TRUNC(AJ128/2,0), AG128&gt;=AC128),
                    "0, Superávit y no eliminé superávit",
                    IF(AND(AG128&lt;TRUNC(AJ128/2,0),AG128&lt;AC128),
                        "1, Superávit y eliminé superávit",
                        "-2, Superávit y resultado fue bueno"
                    )
                )
            ),
            IF(AND(AC128&lt;=TRUNC(AJ128/2,0),AC128&gt;=0),
                IF(AG128=TRUNC(AJ128/2,0),
                    "-1, no había superávit y deje la capacidad media",
                    IF(AND(AG128&gt;TRUNC(AJ128/2,0), AG128&gt;=AC128),
                        "0, no había superávit, y la deje con superávit",
                        IF(AND(AG128&lt;TRUNC(AJ128/2,0),AG128&lt;AC128),
                            "1, no había superávit, pero el resultado fue mejor",
                            "-2, no había superávit y resultado fue bueno"
                        )
                    )
                )
            )
        )
    )
)</f>
        <v>0, Superávit y no eliminé superávit</v>
      </c>
      <c r="AO128" s="30" t="s">
        <v>214</v>
      </c>
      <c r="AP128" s="30">
        <v>11</v>
      </c>
      <c r="AQ128" s="31">
        <v>9.8888888888888893</v>
      </c>
      <c r="AR128" s="29">
        <v>12</v>
      </c>
      <c r="AS128" s="29">
        <v>12</v>
      </c>
      <c r="AT128" s="30">
        <v>11</v>
      </c>
      <c r="AU128" s="30">
        <v>-0.3761105231824623</v>
      </c>
      <c r="AV128" s="26" t="s">
        <v>322</v>
      </c>
      <c r="AW128" s="30">
        <v>15</v>
      </c>
      <c r="AX128" s="29">
        <f>IF(AR128&lt;=AP128,1,0)</f>
        <v>0</v>
      </c>
      <c r="AY128" s="29">
        <f>AR128-AP128</f>
        <v>1</v>
      </c>
      <c r="AZ128" s="29" t="str">
        <f>IF(AU128&gt;0,
    IF(OR(AP128&lt;=TRUNC(AW128/2,0),AP128=0),
        IF(AT128=TRUNC(AW128/2,0),
            "-1, Déficit y dejo la capacidad media",
            IF(AND(AT128&gt;TRUNC(AW128/2,0), AT128&gt;AP128),
                "1, Déficit y eliminé déficit",
                IF(AND(AT128&lt;TRUNC(AW128/2,0), AT128&lt;AP128),
                    "0, Déficit y no elimine déficit",
                    "-2, Déficit y resultado fue bueno")
            )
        ),
        IF(AND(AT128&gt;TRUNC(AW128/2,0), AT128&gt;AP128),
            "1, no había déficit, pero resultado fue mejor",
            IF(AND(AT128&lt;TRUNC(AW128/2,0),AT128&lt;AP128),
                "0, no había déficit y la dejo con déficit",
                IF(AT128=TRUNC(AW128/2,0),
                    "-1, no había déficit y dejo la capacidad media",
                    "-2,no había déficit y resultado fue bueno")
            )
        )
    ),
    IF(AU128&lt;0,
        IF(AP128&gt;TRUNC(AW128/2,0),
            IF(AT128=TRUNC(AW128/2,0),
                "-1, Superávit y deje la capacidad media",
                IF(AND(AT128&gt;TRUNC(AW128/2,0), AT128&gt;=AP128),
                    "0, Superávit y no eliminé superávit",
                    IF(AND(AT128&lt;TRUNC(AW128/2,0),AT128&lt;AP128),
                        "1, Superávit y eliminé superávit",
                        "-2, Superávit y resultado fue bueno"
                    )
                )
            ),
            IF(AND(AP128&lt;=TRUNC(AW128/2,0),AP128&gt;=0),
                IF(AT128=TRUNC(AW128/2,0),
                    "-1, no había superávit y deje la capacidad media",
                    IF(AND(AT128&gt;TRUNC(AW128/2,0), AT128&gt;=AP128),
                        "0, no había superávit, y la deje con superávit",
                        IF(AND(AT128&lt;TRUNC(AW128/2,0),AT128&lt;AP128),
                            "1, no había superávit, pero el resultado fue mejor",
                            "-2, no había superávit y resultado fue bueno"
                        )
                    )
                )
            )
        )
    )
)</f>
        <v>0, Superávit y no eliminé superávit</v>
      </c>
      <c r="BB128" s="30" t="s">
        <v>214</v>
      </c>
      <c r="BC128" s="30">
        <v>4</v>
      </c>
      <c r="BD128" s="31">
        <v>8.1111111111111107</v>
      </c>
      <c r="BE128" s="29">
        <v>5</v>
      </c>
      <c r="BF128" s="29">
        <v>6</v>
      </c>
      <c r="BG128" s="30">
        <v>4</v>
      </c>
      <c r="BH128" s="30">
        <v>-0.3761105231824623</v>
      </c>
      <c r="BI128" s="26" t="s">
        <v>322</v>
      </c>
      <c r="BJ128" s="30">
        <v>15</v>
      </c>
      <c r="BK128" s="29">
        <f>IF(BE128&gt;=BC128,1,0)</f>
        <v>1</v>
      </c>
      <c r="BL128" s="29">
        <f>BE128-BC128</f>
        <v>1</v>
      </c>
      <c r="BM128" s="29" t="str">
        <f>IF(BH128&gt;0,
    IF(OR(BC128&lt;=TRUNC(BJ128/2,0),BC128=0),
        IF(BG128=TRUNC(BJ128/2,0),
            "-1, Déficit y dejo la capacidad media",
            IF(AND(BG128&gt;TRUNC(BJ128/2,0), BG128&gt;BC128),
                "1, Déficit y eliminé déficit",
                IF(AND(BG128&lt;TRUNC(BJ128/2,0), BG128&lt;BC128),
                    "0, Déficit y no elimine déficit",
                    "-2, Déficit y resultado fue bueno")
            )
        ),
        IF(AND(BG128&gt;TRUNC(BJ128/2,0), BG128&gt;BC128),
            "1, no había déficit, pero resultado fue mejor",
            IF(AND(BG128&lt;TRUNC(BJ128/2,0),BG128&lt;BC128),
                "0, no había déficit y la dejo con déficit",
                IF(BG128=TRUNC(BJ128/2,0),
                    "-1, no había déficit y dejo la capacidad media",
                    "-2,no había déficit y resultado fue bueno")
            )
        )
    ),
    IF(BH128&lt;0,
        IF(BC128&gt;TRUNC(BJ128/2,0),
            IF(BG128=TRUNC(BJ128/2,0),
                "-1, Superávit y deje la capacidad media",
                IF(AND(BG128&gt;TRUNC(BJ128/2,0), BG128&gt;=BC128),
                    "0, Superávit y no eliminé superávit",
                    IF(AND(BG128&lt;TRUNC(BJ128/2,0),BG128&lt;BC128),
                        "1, Superávit y eliminé superávit",
                        "-2, Superávit y resultado fue bueno"
                    )
                )
            ),
            IF(AND(BC128&lt;=TRUNC(BJ128/2,0),BC128&gt;=0),
                IF(BG128=TRUNC(BJ128/2,0),
                    "-1, no había superávit y deje la capacidad media",
                    IF(AND(BG128&gt;TRUNC(BJ128/2,0), BG128&gt;=BC128),
                        "0, no había superávit, y la deje con superávit",
                        IF(AND(BG128&lt;TRUNC(BJ128/2,0),BG128&lt;BC128),
                            "1, no había superávit, pero el resultado fue mejor",
                            "-2, no había superávit y resultado fue bueno"
                        )
                    )
                )
            )
        )
    )
)</f>
        <v>-2, no había superávit y resultado fue bueno</v>
      </c>
      <c r="BO128" s="30" t="s">
        <v>214</v>
      </c>
      <c r="BP128" s="29">
        <v>7</v>
      </c>
      <c r="BQ128" s="31">
        <v>9.5555555555555554</v>
      </c>
      <c r="BR128" s="29">
        <v>7</v>
      </c>
      <c r="BS128" s="29">
        <v>7</v>
      </c>
      <c r="BT128" s="29">
        <v>7</v>
      </c>
      <c r="BU128" s="30">
        <v>-0.3761105231824623</v>
      </c>
      <c r="BV128" s="26" t="s">
        <v>322</v>
      </c>
      <c r="BW128" s="30">
        <v>15</v>
      </c>
      <c r="BX128" s="29">
        <f>IF(BR128&gt;=BP128,1,0)</f>
        <v>1</v>
      </c>
      <c r="BY128" s="29">
        <f>BR128-BP128</f>
        <v>0</v>
      </c>
      <c r="BZ128" s="29" t="str">
        <f>IF(BU128&gt;0,
    IF(OR(BP128&lt;=TRUNC(BW128/2,0),BP128=0),
        IF(BT128=TRUNC(BW128/2,0),
            "-1, Déficit y dejo la capacidad media",
            IF(AND(BT128&gt;TRUNC(BW128/2,0), BT128&gt;BP128),
                "1, Déficit y eliminé déficit",
                IF(AND(BT128&lt;TRUNC(BW128/2,0), BT128&lt;BP128),
                    "0, Déficit y no elimine déficit",
                    "-2, Déficit y resultado fue bueno")
            )
        ),
        IF(AND(BT128&gt;TRUNC(BW128/2,0), BT128&gt;BP128),
            "1, no había déficit, pero resultado fue mejor",
            IF(AND(BT128&lt;TRUNC(BW128/2,0),BT128&lt;BP128),
                "0, no había déficit y la dejo con déficit",
                IF(BT128=TRUNC(BW128/2,0),
                    "-1, no había déficit y dejo la capacidad media",
                    "-2,no había déficit y resultado fue bueno")
            )
        )
    ),
    IF(BU128&lt;0,
        IF(BP128&gt;TRUNC(BW128/2,0),
            IF(BT128=TRUNC(BW128/2,0),
                "-1, Superávit y deje la capacidad media",
                IF(AND(BT128&gt;TRUNC(BW128/2,0), BT128&gt;=BP128),
                    "0, Superávit y no eliminé superávit",
                    IF(AND(BT128&lt;TRUNC(BW128/2,0),BT128&lt;BP128),
                        "1, Superávit y eliminé superávit",
                        "-2, Superávit y resultado fue bueno"
                    )
                )
            ),
            IF(AND(BP128&lt;=TRUNC(BW128/2,0),BP128&gt;=0),
                IF(BT128=TRUNC(BW128/2,0),
                    "-1, no había superávit y deje la capacidad media",
                    IF(AND(BT128&gt;TRUNC(BW128/2,0), BT128&gt;=BP128),
                        "0, no había superávit, y la deje con superávit",
                        IF(AND(BT128&lt;TRUNC(BW128/2,0),BT128&lt;BP128),
                            "1, no había superávit, pero el resultado fue mejor",
                            "-2, no había superávit y resultado fue bueno"
                        )
                    )
                )
            )
        )
    )
)</f>
        <v>-1, no había superávit y deje la capacidad media</v>
      </c>
      <c r="CB128" s="30" t="s">
        <v>214</v>
      </c>
      <c r="CC128" s="30">
        <v>15</v>
      </c>
      <c r="CD128" s="31">
        <v>10.555555555555555</v>
      </c>
      <c r="CE128" s="31">
        <v>15</v>
      </c>
      <c r="CF128" s="31">
        <v>15</v>
      </c>
      <c r="CG128" s="30">
        <v>12</v>
      </c>
      <c r="CH128" s="30">
        <v>-0.3761105231824623</v>
      </c>
      <c r="CI128" s="26" t="s">
        <v>322</v>
      </c>
      <c r="CJ128" s="30">
        <v>15</v>
      </c>
      <c r="CK128" s="29">
        <f>IF(CE128&gt;=CC128,1,0)</f>
        <v>1</v>
      </c>
      <c r="CL128" s="32">
        <f>CE128-CC128</f>
        <v>0</v>
      </c>
      <c r="CM128" s="32" t="str">
        <f>IF(CH128&gt;0,
    IF(OR(CC128&lt;=TRUNC(CJ128/2,0),CC128=0),
        IF(CG128=TRUNC(CJ128/2,0),
            "-1, Déficit y dejo la capacidad media",
            IF(AND(CG128&gt;TRUNC(CJ128/2,0), CG128&gt;CC128),
                "1, Déficit y eliminé déficit",
                IF(AND(CG128&lt;TRUNC(CJ128/2,0), CG128&lt;CC128),
                    "0, Déficit y no elimine déficit",
                    "-2, Déficit y resultado fue bueno")
            )
        ),
        IF(AND(CG128&gt;TRUNC(CJ128/2,0), CG128&gt;CC128),
            "1, no había déficit, pero resultado fue mejor",
            IF(AND(CG128&lt;TRUNC(CJ128/2,0),CG128&lt;CC128),
                "0, no había déficit y la dejo con déficit",
                IF(CG128=TRUNC(CJ128/2,0),
                    "-1, no había déficit y dejo la capacidad media",
                    "-2,no había déficit y resultado fue bueno")
            )
        )
    ),
    IF(CH128&lt;0,
        IF(CC128&gt;TRUNC(CJ128/2,0),
            IF(CG128=TRUNC(CJ128/2,0),
                "-1, Superávit y deje la capacidad media",
                IF(AND(CG128&gt;TRUNC(CJ128/2,0), CG128&gt;=CC128),
                    "0, Superávit y no eliminé superávit",
                    IF(AND(CG128&lt;TRUNC(CJ128/2,0),CG128&lt;CC128),
                        "1, Superávit y eliminé superávit",
                        "-2, Superávit y resultado fue bueno"
                    )
                )
            ),
            IF(AND(CC128&lt;=TRUNC(CJ128/2,0),CC128&gt;=0),
                IF(CG128=TRUNC(CJ128/2,0),
                    "-1, no había superávit y deje la capacidad media",
                    IF(AND(CG128&gt;TRUNC(CJ128/2,0), CG128&gt;=CC128),
                        "0, no había superávit, y la deje con superávit",
                        IF(AND(CG128&lt;TRUNC(CJ128/2,0),CG128&lt;CC128),
                            "1, no había superávit, pero el resultado fue mejor",
                            "-2, no había superávit y resultado fue bueno"
                        )
                    )
                )
            )
        )
    )
)</f>
        <v>-2, Superávit y resultado fue bueno</v>
      </c>
    </row>
    <row r="129" spans="2:91" ht="14.25" customHeight="1" x14ac:dyDescent="0.3">
      <c r="B129" s="30" t="s">
        <v>211</v>
      </c>
      <c r="C129" s="30">
        <v>6</v>
      </c>
      <c r="D129" s="31">
        <v>9</v>
      </c>
      <c r="E129" s="29">
        <v>8</v>
      </c>
      <c r="F129" s="29">
        <v>9</v>
      </c>
      <c r="G129" s="30">
        <v>6</v>
      </c>
      <c r="H129" s="30">
        <v>-0.61856740376708086</v>
      </c>
      <c r="I129" s="26" t="s">
        <v>321</v>
      </c>
      <c r="J129" s="30">
        <v>15</v>
      </c>
      <c r="K129" s="29">
        <f>IF(E129&gt;=C129,1,0)</f>
        <v>1</v>
      </c>
      <c r="L129" s="29">
        <f>E129-C129</f>
        <v>2</v>
      </c>
      <c r="M129" s="29" t="str">
        <f>IF(H129&gt;0,
    IF(OR(C129&lt;=TRUNC(J129/2,0),C129=0),
        IF(G129=TRUNC(J129/2,0),
            "-1, Déficit y dejo la capacidad media",
            IF(AND(G129&gt;TRUNC(J129/2,0), G129&gt;C129),
                "1, Déficit y eliminé déficit",
                IF(AND(G129&lt;TRUNC(J129/2,0), G129&lt;C129),
                    "0, Déficit y no elimine déficit",
                    "-2, Déficit y resultado fue bueno")
            )
        ),
        IF(AND(G129&gt;TRUNC(J129/2,0), G129&gt;C129),
            "1, no había déficit, pero resultado fue mejor",
            IF(AND(G129&lt;TRUNC(J129/2,0),G129&lt;C129),
                "0, no había déficit y la dejo con déficit",
                IF(G129=TRUNC(J129/2,0),
                    "-1, no había déficit y dejo la capacidad media",
                    "-2,no había déficit y resultado fue bueno")
            )
        )
    ),
    IF(H129&lt;0,
        IF(C129&gt;TRUNC(J129/2,0),
            IF(G129=TRUNC(J129/2,0),
                "-1, Superávit y deje la capacidad media",
                IF(AND(G129&gt;TRUNC(J129/2,0), G129&gt;=C129),
                    "0, Superávit y no eliminé superávit",
                    IF(AND(G129&lt;TRUNC(J129/2,0),G129&lt;C129),
                        "1, Superávit y eliminé superávit",
                        "-2, Superávit y resultado fue bueno"
                    )
                )
            ),
            IF(AND(C129&lt;=TRUNC(J129/2,0),C129&gt;=0),
                IF(G129=TRUNC(J129/2,0),
                    "-1, no había superávit y deje la capacidad media",
                    IF(AND(G129&gt;TRUNC(J129/2,0), G129&gt;=C129),
                        "0, no había superávit, y la deje con superávit",
                        IF(AND(G129&lt;TRUNC(J129/2,0),G129&lt;C129),
                            "1, no había superávit, pero el resultado fue mejor",
                            "-2, no había superávit y resultado fue bueno"
                        )
                    )
                )
            )
        )
    )
)</f>
        <v>-2, no había superávit y resultado fue bueno</v>
      </c>
      <c r="O129" s="30" t="s">
        <v>211</v>
      </c>
      <c r="P129" s="30">
        <v>12</v>
      </c>
      <c r="Q129" s="31">
        <v>10</v>
      </c>
      <c r="R129" s="29">
        <v>14</v>
      </c>
      <c r="S129" s="30">
        <v>14</v>
      </c>
      <c r="T129" s="30">
        <v>12</v>
      </c>
      <c r="U129" s="30">
        <v>-0.61856740376708086</v>
      </c>
      <c r="V129" s="26" t="s">
        <v>321</v>
      </c>
      <c r="W129" s="30">
        <v>15</v>
      </c>
      <c r="X129" s="29">
        <f>IF(R129&gt;=P129,1,0)</f>
        <v>1</v>
      </c>
      <c r="Y129" s="29">
        <f>R129-P129</f>
        <v>2</v>
      </c>
      <c r="Z129" s="29" t="str">
        <f>IF(U129&gt;0,
    IF(OR(P129&lt;=TRUNC(W129/2,0),P129=0),
        IF(T129=TRUNC(W129/2,0),
            "-1, Déficit y dejo la capacidad media",
            IF(AND(T129&gt;TRUNC(W129/2,0), T129&gt;P129),
                "1, Déficit y eliminé déficit",
                IF(AND(T129&lt;TRUNC(W129/2,0), T129&lt;P129),
                    "0, Déficit y no elimine déficit",
                    "-2, Déficit y resultado fue bueno")
            )
        ),
        IF(AND(T129&gt;TRUNC(W129/2,0), T129&gt;P129),
            "1, no había déficit, pero resultado fue mejor",
            IF(AND(T129&lt;TRUNC(W129/2,0),T129&lt;P129),
                "0, no había déficit y la dejo con déficit",
                IF(T129=TRUNC(W129/2,0),
                    "-1, no había déficit y dejo la capacidad media",
                    "-2,no había déficit y resultado fue bueno")
            )
        )
    ),
    IF(U129&lt;0,
        IF(P129&gt;TRUNC(W129/2,0),
            IF(T129=TRUNC(W129/2,0),
                "-1, Superávit y deje la capacidad media",
                IF(AND(T129&gt;TRUNC(W129/2,0), T129&gt;=P129),
                    "0, Superávit y no eliminé superávit",
                    IF(AND(T129&lt;TRUNC(W129/2,0),T129&lt;P129),
                        "1, Superávit y eliminé superávit",
                        "-2, Superávit y resultado fue bueno"
                    )
                )
            ),
            IF(AND(P129&lt;=TRUNC(W129/2,0),P129&gt;=0),
                IF(T129=TRUNC(W129/2,0),
                    "-1, no había superávit y deje la capacidad media",
                    IF(AND(T129&gt;TRUNC(W129/2,0), T129&gt;=P129),
                        "0, no había superávit, y la deje con superávit",
                        IF(AND(T129&lt;TRUNC(W129/2,0),T129&lt;P129),
                            "1, no había superávit, pero el resultado fue mejor",
                            "-2, no había superávit y resultado fue bueno"
                        )
                    )
                )
            )
        )
    )
)</f>
        <v>0, Superávit y no eliminé superávit</v>
      </c>
      <c r="AB129" s="30" t="s">
        <v>211</v>
      </c>
      <c r="AC129" s="30">
        <v>9</v>
      </c>
      <c r="AD129" s="31">
        <v>9</v>
      </c>
      <c r="AE129" s="29">
        <v>9</v>
      </c>
      <c r="AF129" s="31">
        <v>11</v>
      </c>
      <c r="AG129" s="30">
        <v>9</v>
      </c>
      <c r="AH129" s="30">
        <v>-0.61856740376708086</v>
      </c>
      <c r="AI129" s="26" t="s">
        <v>321</v>
      </c>
      <c r="AJ129" s="30">
        <v>15</v>
      </c>
      <c r="AK129" s="29">
        <f>IF(AE129&gt;=AC129,1,0)</f>
        <v>1</v>
      </c>
      <c r="AL129" s="29">
        <f>AE129-AC129</f>
        <v>0</v>
      </c>
      <c r="AM129" s="29" t="str">
        <f>IF(AH129&gt;0,
    IF(OR(AC129&lt;=TRUNC(AJ129/2,0),AC129=0),
        IF(AG129=TRUNC(AJ129/2,0),
            "-1, Déficit y dejo la capacidad media",
            IF(AND(AG129&gt;TRUNC(AJ129/2,0), AG129&gt;AC129),
                "1, Déficit y eliminé déficit",
                IF(AND(AG129&lt;TRUNC(AJ129/2,0), AG129&lt;AC129),
                    "0, Déficit y no elimine déficit",
                    "-2, Déficit y resultado fue bueno")
            )
        ),
        IF(AND(AG129&gt;TRUNC(AJ129/2,0), AG129&gt;AC129),
            "1, no había déficit, pero resultado fue mejor",
            IF(AND(AG129&lt;TRUNC(AJ129/2,0),AG129&lt;AC129),
                "0, no había déficit y la dejo con déficit",
                IF(AG129=TRUNC(AJ129/2,0),
                    "-1, no había déficit y dejo la capacidad media",
                    "-2,no había déficit y resultado fue bueno")
            )
        )
    ),
    IF(AH129&lt;0,
        IF(AC129&gt;TRUNC(AJ129/2,0),
            IF(AG129=TRUNC(AJ129/2,0),
                "-1, Superávit y deje la capacidad media",
                IF(AND(AG129&gt;TRUNC(AJ129/2,0), AG129&gt;=AC129),
                    "0, Superávit y no eliminé superávit",
                    IF(AND(AG129&lt;TRUNC(AJ129/2,0),AG129&lt;AC129),
                        "1, Superávit y eliminé superávit",
                        "-2, Superávit y resultado fue bueno"
                    )
                )
            ),
            IF(AND(AC129&lt;=TRUNC(AJ129/2,0),AC129&gt;=0),
                IF(AG129=TRUNC(AJ129/2,0),
                    "-1, no había superávit y deje la capacidad media",
                    IF(AND(AG129&gt;TRUNC(AJ129/2,0), AG129&gt;=AC129),
                        "0, no había superávit, y la deje con superávit",
                        IF(AND(AG129&lt;TRUNC(AJ129/2,0),AG129&lt;AC129),
                            "1, no había superávit, pero el resultado fue mejor",
                            "-2, no había superávit y resultado fue bueno"
                        )
                    )
                )
            )
        )
    )
)</f>
        <v>0, Superávit y no eliminé superávit</v>
      </c>
      <c r="AO129" s="30" t="s">
        <v>211</v>
      </c>
      <c r="AP129" s="30">
        <v>12</v>
      </c>
      <c r="AQ129" s="31">
        <v>12.222222222222221</v>
      </c>
      <c r="AR129" s="29">
        <v>13</v>
      </c>
      <c r="AS129" s="29">
        <v>13</v>
      </c>
      <c r="AT129" s="30">
        <v>2</v>
      </c>
      <c r="AU129" s="30">
        <v>-0.61856740376708086</v>
      </c>
      <c r="AV129" s="26" t="s">
        <v>321</v>
      </c>
      <c r="AW129" s="30">
        <v>15</v>
      </c>
      <c r="AX129" s="29">
        <f>IF(AR129&lt;=AP129,1,0)</f>
        <v>0</v>
      </c>
      <c r="AY129" s="29">
        <f>AR129-AP129</f>
        <v>1</v>
      </c>
      <c r="AZ129" s="29" t="str">
        <f>IF(AU129&gt;0,
    IF(OR(AP129&lt;=TRUNC(AW129/2,0),AP129=0),
        IF(AT129=TRUNC(AW129/2,0),
            "-1, Déficit y dejo la capacidad media",
            IF(AND(AT129&gt;TRUNC(AW129/2,0), AT129&gt;AP129),
                "1, Déficit y eliminé déficit",
                IF(AND(AT129&lt;TRUNC(AW129/2,0), AT129&lt;AP129),
                    "0, Déficit y no elimine déficit",
                    "-2, Déficit y resultado fue bueno")
            )
        ),
        IF(AND(AT129&gt;TRUNC(AW129/2,0), AT129&gt;AP129),
            "1, no había déficit, pero resultado fue mejor",
            IF(AND(AT129&lt;TRUNC(AW129/2,0),AT129&lt;AP129),
                "0, no había déficit y la dejo con déficit",
                IF(AT129=TRUNC(AW129/2,0),
                    "-1, no había déficit y dejo la capacidad media",
                    "-2,no había déficit y resultado fue bueno")
            )
        )
    ),
    IF(AU129&lt;0,
        IF(AP129&gt;TRUNC(AW129/2,0),
            IF(AT129=TRUNC(AW129/2,0),
                "-1, Superávit y deje la capacidad media",
                IF(AND(AT129&gt;TRUNC(AW129/2,0), AT129&gt;=AP129),
                    "0, Superávit y no eliminé superávit",
                    IF(AND(AT129&lt;TRUNC(AW129/2,0),AT129&lt;AP129),
                        "1, Superávit y eliminé superávit",
                        "-2, Superávit y resultado fue bueno"
                    )
                )
            ),
            IF(AND(AP129&lt;=TRUNC(AW129/2,0),AP129&gt;=0),
                IF(AT129=TRUNC(AW129/2,0),
                    "-1, no había superávit y deje la capacidad media",
                    IF(AND(AT129&gt;TRUNC(AW129/2,0), AT129&gt;=AP129),
                        "0, no había superávit, y la deje con superávit",
                        IF(AND(AT129&lt;TRUNC(AW129/2,0),AT129&lt;AP129),
                            "1, no había superávit, pero el resultado fue mejor",
                            "-2, no había superávit y resultado fue bueno"
                        )
                    )
                )
            )
        )
    )
)</f>
        <v>1, Superávit y eliminé superávit</v>
      </c>
      <c r="BB129" s="30" t="s">
        <v>211</v>
      </c>
      <c r="BC129" s="30">
        <v>9</v>
      </c>
      <c r="BD129" s="31">
        <v>11</v>
      </c>
      <c r="BE129" s="29">
        <v>11</v>
      </c>
      <c r="BF129" s="29">
        <v>11</v>
      </c>
      <c r="BG129" s="30">
        <v>9</v>
      </c>
      <c r="BH129" s="30">
        <v>-0.61856740376708086</v>
      </c>
      <c r="BI129" s="26" t="s">
        <v>321</v>
      </c>
      <c r="BJ129" s="30">
        <v>15</v>
      </c>
      <c r="BK129" s="29">
        <f>IF(BE129&gt;=BC129,1,0)</f>
        <v>1</v>
      </c>
      <c r="BL129" s="29">
        <f>BE129-BC129</f>
        <v>2</v>
      </c>
      <c r="BM129" s="29" t="str">
        <f>IF(BH129&gt;0,
    IF(OR(BC129&lt;=TRUNC(BJ129/2,0),BC129=0),
        IF(BG129=TRUNC(BJ129/2,0),
            "-1, Déficit y dejo la capacidad media",
            IF(AND(BG129&gt;TRUNC(BJ129/2,0), BG129&gt;BC129),
                "1, Déficit y eliminé déficit",
                IF(AND(BG129&lt;TRUNC(BJ129/2,0), BG129&lt;BC129),
                    "0, Déficit y no elimine déficit",
                    "-2, Déficit y resultado fue bueno")
            )
        ),
        IF(AND(BG129&gt;TRUNC(BJ129/2,0), BG129&gt;BC129),
            "1, no había déficit, pero resultado fue mejor",
            IF(AND(BG129&lt;TRUNC(BJ129/2,0),BG129&lt;BC129),
                "0, no había déficit y la dejo con déficit",
                IF(BG129=TRUNC(BJ129/2,0),
                    "-1, no había déficit y dejo la capacidad media",
                    "-2,no había déficit y resultado fue bueno")
            )
        )
    ),
    IF(BH129&lt;0,
        IF(BC129&gt;TRUNC(BJ129/2,0),
            IF(BG129=TRUNC(BJ129/2,0),
                "-1, Superávit y deje la capacidad media",
                IF(AND(BG129&gt;TRUNC(BJ129/2,0), BG129&gt;=BC129),
                    "0, Superávit y no eliminé superávit",
                    IF(AND(BG129&lt;TRUNC(BJ129/2,0),BG129&lt;BC129),
                        "1, Superávit y eliminé superávit",
                        "-2, Superávit y resultado fue bueno"
                    )
                )
            ),
            IF(AND(BC129&lt;=TRUNC(BJ129/2,0),BC129&gt;=0),
                IF(BG129=TRUNC(BJ129/2,0),
                    "-1, no había superávit y deje la capacidad media",
                    IF(AND(BG129&gt;TRUNC(BJ129/2,0), BG129&gt;=BC129),
                        "0, no había superávit, y la deje con superávit",
                        IF(AND(BG129&lt;TRUNC(BJ129/2,0),BG129&lt;BC129),
                            "1, no había superávit, pero el resultado fue mejor",
                            "-2, no había superávit y resultado fue bueno"
                        )
                    )
                )
            )
        )
    )
)</f>
        <v>0, Superávit y no eliminé superávit</v>
      </c>
      <c r="BO129" s="30" t="s">
        <v>211</v>
      </c>
      <c r="BP129" s="29">
        <v>14</v>
      </c>
      <c r="BQ129" s="31">
        <v>12.555555555555555</v>
      </c>
      <c r="BR129" s="29">
        <v>14</v>
      </c>
      <c r="BS129" s="29">
        <v>14</v>
      </c>
      <c r="BT129" s="29">
        <v>2</v>
      </c>
      <c r="BU129" s="30">
        <v>-0.61856740376708086</v>
      </c>
      <c r="BV129" s="26" t="s">
        <v>321</v>
      </c>
      <c r="BW129" s="30">
        <v>15</v>
      </c>
      <c r="BX129" s="29">
        <f>IF(BR129&gt;=BP129,1,0)</f>
        <v>1</v>
      </c>
      <c r="BY129" s="29">
        <f>BR129-BP129</f>
        <v>0</v>
      </c>
      <c r="BZ129" s="29" t="str">
        <f>IF(BU129&gt;0,
    IF(OR(BP129&lt;=TRUNC(BW129/2,0),BP129=0),
        IF(BT129=TRUNC(BW129/2,0),
            "-1, Déficit y dejo la capacidad media",
            IF(AND(BT129&gt;TRUNC(BW129/2,0), BT129&gt;BP129),
                "1, Déficit y eliminé déficit",
                IF(AND(BT129&lt;TRUNC(BW129/2,0), BT129&lt;BP129),
                    "0, Déficit y no elimine déficit",
                    "-2, Déficit y resultado fue bueno")
            )
        ),
        IF(AND(BT129&gt;TRUNC(BW129/2,0), BT129&gt;BP129),
            "1, no había déficit, pero resultado fue mejor",
            IF(AND(BT129&lt;TRUNC(BW129/2,0),BT129&lt;BP129),
                "0, no había déficit y la dejo con déficit",
                IF(BT129=TRUNC(BW129/2,0),
                    "-1, no había déficit y dejo la capacidad media",
                    "-2,no había déficit y resultado fue bueno")
            )
        )
    ),
    IF(BU129&lt;0,
        IF(BP129&gt;TRUNC(BW129/2,0),
            IF(BT129=TRUNC(BW129/2,0),
                "-1, Superávit y deje la capacidad media",
                IF(AND(BT129&gt;TRUNC(BW129/2,0), BT129&gt;=BP129),
                    "0, Superávit y no eliminé superávit",
                    IF(AND(BT129&lt;TRUNC(BW129/2,0),BT129&lt;BP129),
                        "1, Superávit y eliminé superávit",
                        "-2, Superávit y resultado fue bueno"
                    )
                )
            ),
            IF(AND(BP129&lt;=TRUNC(BW129/2,0),BP129&gt;=0),
                IF(BT129=TRUNC(BW129/2,0),
                    "-1, no había superávit y deje la capacidad media",
                    IF(AND(BT129&gt;TRUNC(BW129/2,0), BT129&gt;=BP129),
                        "0, no había superávit, y la deje con superávit",
                        IF(AND(BT129&lt;TRUNC(BW129/2,0),BT129&lt;BP129),
                            "1, no había superávit, pero el resultado fue mejor",
                            "-2, no había superávit y resultado fue bueno"
                        )
                    )
                )
            )
        )
    )
)</f>
        <v>1, Superávit y eliminé superávit</v>
      </c>
      <c r="CB129" s="30" t="s">
        <v>211</v>
      </c>
      <c r="CC129" s="30">
        <v>14</v>
      </c>
      <c r="CD129" s="31">
        <v>11.888888888888889</v>
      </c>
      <c r="CE129" s="31">
        <v>14</v>
      </c>
      <c r="CF129" s="31">
        <v>15</v>
      </c>
      <c r="CG129" s="30">
        <v>13</v>
      </c>
      <c r="CH129" s="30">
        <v>-0.61856740376708086</v>
      </c>
      <c r="CI129" s="26" t="s">
        <v>321</v>
      </c>
      <c r="CJ129" s="30">
        <v>15</v>
      </c>
      <c r="CK129" s="29">
        <f>IF(CE129&gt;=CC129,1,0)</f>
        <v>1</v>
      </c>
      <c r="CL129" s="32">
        <f>CE129-CC129</f>
        <v>0</v>
      </c>
      <c r="CM129" s="32" t="str">
        <f>IF(CH129&gt;0,
    IF(OR(CC129&lt;=TRUNC(CJ129/2,0),CC129=0),
        IF(CG129=TRUNC(CJ129/2,0),
            "-1, Déficit y dejo la capacidad media",
            IF(AND(CG129&gt;TRUNC(CJ129/2,0), CG129&gt;CC129),
                "1, Déficit y eliminé déficit",
                IF(AND(CG129&lt;TRUNC(CJ129/2,0), CG129&lt;CC129),
                    "0, Déficit y no elimine déficit",
                    "-2, Déficit y resultado fue bueno")
            )
        ),
        IF(AND(CG129&gt;TRUNC(CJ129/2,0), CG129&gt;CC129),
            "1, no había déficit, pero resultado fue mejor",
            IF(AND(CG129&lt;TRUNC(CJ129/2,0),CG129&lt;CC129),
                "0, no había déficit y la dejo con déficit",
                IF(CG129=TRUNC(CJ129/2,0),
                    "-1, no había déficit y dejo la capacidad media",
                    "-2,no había déficit y resultado fue bueno")
            )
        )
    ),
    IF(CH129&lt;0,
        IF(CC129&gt;TRUNC(CJ129/2,0),
            IF(CG129=TRUNC(CJ129/2,0),
                "-1, Superávit y deje la capacidad media",
                IF(AND(CG129&gt;TRUNC(CJ129/2,0), CG129&gt;=CC129),
                    "0, Superávit y no eliminé superávit",
                    IF(AND(CG129&lt;TRUNC(CJ129/2,0),CG129&lt;CC129),
                        "1, Superávit y eliminé superávit",
                        "-2, Superávit y resultado fue bueno"
                    )
                )
            ),
            IF(AND(CC129&lt;=TRUNC(CJ129/2,0),CC129&gt;=0),
                IF(CG129=TRUNC(CJ129/2,0),
                    "-1, no había superávit y deje la capacidad media",
                    IF(AND(CG129&gt;TRUNC(CJ129/2,0), CG129&gt;=CC129),
                        "0, no había superávit, y la deje con superávit",
                        IF(AND(CG129&lt;TRUNC(CJ129/2,0),CG129&lt;CC129),
                            "1, no había superávit, pero el resultado fue mejor",
                            "-2, no había superávit y resultado fue bueno"
                        )
                    )
                )
            )
        )
    )
)</f>
        <v>-2, Superávit y resultado fue bueno</v>
      </c>
    </row>
    <row r="130" spans="2:91" ht="14.25" customHeight="1" x14ac:dyDescent="0.3">
      <c r="B130" s="30" t="s">
        <v>225</v>
      </c>
      <c r="C130" s="30">
        <v>3</v>
      </c>
      <c r="D130" s="31">
        <v>7.333333333333333</v>
      </c>
      <c r="E130" s="29">
        <v>3</v>
      </c>
      <c r="F130" s="29">
        <v>3</v>
      </c>
      <c r="G130" s="30">
        <v>3</v>
      </c>
      <c r="H130" s="30">
        <v>-0.76845746918237878</v>
      </c>
      <c r="I130" s="26" t="s">
        <v>323</v>
      </c>
      <c r="J130" s="30">
        <v>11</v>
      </c>
      <c r="K130" s="29">
        <f>IF(E130&gt;=C130,1,0)</f>
        <v>1</v>
      </c>
      <c r="L130" s="29">
        <f>E130-C130</f>
        <v>0</v>
      </c>
      <c r="M130" s="29" t="str">
        <f>IF(H130&gt;0,
    IF(OR(C130&lt;=TRUNC(J130/2,0),C130=0),
        IF(G130=TRUNC(J130/2,0),
            "-1, Déficit y dejo la capacidad media",
            IF(AND(G130&gt;TRUNC(J130/2,0), G130&gt;C130),
                "1, Déficit y eliminé déficit",
                IF(AND(G130&lt;TRUNC(J130/2,0), G130&lt;C130),
                    "0, Déficit y no elimine déficit",
                    "-2, Déficit y resultado fue bueno")
            )
        ),
        IF(AND(G130&gt;TRUNC(J130/2,0), G130&gt;C130),
            "1, no había déficit, pero resultado fue mejor",
            IF(AND(G130&lt;TRUNC(J130/2,0),G130&lt;C130),
                "0, no había déficit y la dejo con déficit",
                IF(G130=TRUNC(J130/2,0),
                    "-1, no había déficit y dejo la capacidad media",
                    "-2,no había déficit y resultado fue bueno")
            )
        )
    ),
    IF(H130&lt;0,
        IF(C130&gt;TRUNC(J130/2,0),
            IF(G130=TRUNC(J130/2,0),
                "-1, Superávit y deje la capacidad media",
                IF(AND(G130&gt;TRUNC(J130/2,0), G130&gt;=C130),
                    "0, Superávit y no eliminé superávit",
                    IF(AND(G130&lt;TRUNC(J130/2,0),G130&lt;C130),
                        "1, Superávit y eliminé superávit",
                        "-2, Superávit y resultado fue bueno"
                    )
                )
            ),
            IF(AND(C130&lt;=TRUNC(J130/2,0),C130&gt;=0),
                IF(G130=TRUNC(J130/2,0),
                    "-1, no había superávit y deje la capacidad media",
                    IF(AND(G130&gt;TRUNC(J130/2,0), G130&gt;=C130),
                        "0, no había superávit, y la deje con superávit",
                        IF(AND(G130&lt;TRUNC(J130/2,0),G130&lt;C130),
                            "1, no había superávit, pero el resultado fue mejor",
                            "-2, no había superávit y resultado fue bueno"
                        )
                    )
                )
            )
        )
    )
)</f>
        <v>-2, no había superávit y resultado fue bueno</v>
      </c>
      <c r="O130" s="30" t="s">
        <v>225</v>
      </c>
      <c r="P130" s="30">
        <v>8</v>
      </c>
      <c r="Q130" s="31">
        <v>7.8888888888888893</v>
      </c>
      <c r="R130" s="29">
        <v>10</v>
      </c>
      <c r="S130" s="30">
        <v>9</v>
      </c>
      <c r="T130" s="30">
        <v>8</v>
      </c>
      <c r="U130" s="30">
        <v>-0.76845746918237878</v>
      </c>
      <c r="V130" s="26" t="s">
        <v>323</v>
      </c>
      <c r="W130" s="30">
        <v>11</v>
      </c>
      <c r="X130" s="29">
        <f>IF(R130&gt;=P130,1,0)</f>
        <v>1</v>
      </c>
      <c r="Y130" s="29">
        <f>R130-P130</f>
        <v>2</v>
      </c>
      <c r="Z130" s="29" t="str">
        <f>IF(U130&gt;0,
    IF(OR(P130&lt;=TRUNC(W130/2,0),P130=0),
        IF(T130=TRUNC(W130/2,0),
            "-1, Déficit y dejo la capacidad media",
            IF(AND(T130&gt;TRUNC(W130/2,0), T130&gt;P130),
                "1, Déficit y eliminé déficit",
                IF(AND(T130&lt;TRUNC(W130/2,0), T130&lt;P130),
                    "0, Déficit y no elimine déficit",
                    "-2, Déficit y resultado fue bueno")
            )
        ),
        IF(AND(T130&gt;TRUNC(W130/2,0), T130&gt;P130),
            "1, no había déficit, pero resultado fue mejor",
            IF(AND(T130&lt;TRUNC(W130/2,0),T130&lt;P130),
                "0, no había déficit y la dejo con déficit",
                IF(T130=TRUNC(W130/2,0),
                    "-1, no había déficit y dejo la capacidad media",
                    "-2,no había déficit y resultado fue bueno")
            )
        )
    ),
    IF(U130&lt;0,
        IF(P130&gt;TRUNC(W130/2,0),
            IF(T130=TRUNC(W130/2,0),
                "-1, Superávit y deje la capacidad media",
                IF(AND(T130&gt;TRUNC(W130/2,0), T130&gt;=P130),
                    "0, Superávit y no eliminé superávit",
                    IF(AND(T130&lt;TRUNC(W130/2,0),T130&lt;P130),
                        "1, Superávit y eliminé superávit",
                        "-2, Superávit y resultado fue bueno"
                    )
                )
            ),
            IF(AND(P130&lt;=TRUNC(W130/2,0),P130&gt;=0),
                IF(T130=TRUNC(W130/2,0),
                    "-1, no había superávit y deje la capacidad media",
                    IF(AND(T130&gt;TRUNC(W130/2,0), T130&gt;=P130),
                        "0, no había superávit, y la deje con superávit",
                        IF(AND(T130&lt;TRUNC(W130/2,0),T130&lt;P130),
                            "1, no había superávit, pero el resultado fue mejor",
                            "-2, no había superávit y resultado fue bueno"
                        )
                    )
                )
            )
        )
    )
)</f>
        <v>0, Superávit y no eliminé superávit</v>
      </c>
      <c r="AB130" s="30" t="s">
        <v>225</v>
      </c>
      <c r="AC130" s="30">
        <v>4</v>
      </c>
      <c r="AD130" s="31">
        <v>6.8888888888888893</v>
      </c>
      <c r="AE130" s="29">
        <v>5</v>
      </c>
      <c r="AF130" s="31">
        <v>5</v>
      </c>
      <c r="AG130" s="30">
        <v>3</v>
      </c>
      <c r="AH130" s="30">
        <v>-0.76845746918237878</v>
      </c>
      <c r="AI130" s="26" t="s">
        <v>323</v>
      </c>
      <c r="AJ130" s="30">
        <v>11</v>
      </c>
      <c r="AK130" s="29">
        <f>IF(AE130&gt;=AC130,1,0)</f>
        <v>1</v>
      </c>
      <c r="AL130" s="29">
        <f>AE130-AC130</f>
        <v>1</v>
      </c>
      <c r="AM130" s="29" t="str">
        <f>IF(AH130&gt;0,
    IF(OR(AC130&lt;=TRUNC(AJ130/2,0),AC130=0),
        IF(AG130=TRUNC(AJ130/2,0),
            "-1, Déficit y dejo la capacidad media",
            IF(AND(AG130&gt;TRUNC(AJ130/2,0), AG130&gt;AC130),
                "1, Déficit y eliminé déficit",
                IF(AND(AG130&lt;TRUNC(AJ130/2,0), AG130&lt;AC130),
                    "0, Déficit y no elimine déficit",
                    "-2, Déficit y resultado fue bueno")
            )
        ),
        IF(AND(AG130&gt;TRUNC(AJ130/2,0), AG130&gt;AC130),
            "1, no había déficit, pero resultado fue mejor",
            IF(AND(AG130&lt;TRUNC(AJ130/2,0),AG130&lt;AC130),
                "0, no había déficit y la dejo con déficit",
                IF(AG130=TRUNC(AJ130/2,0),
                    "-1, no había déficit y dejo la capacidad media",
                    "-2,no había déficit y resultado fue bueno")
            )
        )
    ),
    IF(AH130&lt;0,
        IF(AC130&gt;TRUNC(AJ130/2,0),
            IF(AG130=TRUNC(AJ130/2,0),
                "-1, Superávit y deje la capacidad media",
                IF(AND(AG130&gt;TRUNC(AJ130/2,0), AG130&gt;=AC130),
                    "0, Superávit y no eliminé superávit",
                    IF(AND(AG130&lt;TRUNC(AJ130/2,0),AG130&lt;AC130),
                        "1, Superávit y eliminé superávit",
                        "-2, Superávit y resultado fue bueno"
                    )
                )
            ),
            IF(AND(AC130&lt;=TRUNC(AJ130/2,0),AC130&gt;=0),
                IF(AG130=TRUNC(AJ130/2,0),
                    "-1, no había superávit y deje la capacidad media",
                    IF(AND(AG130&gt;TRUNC(AJ130/2,0), AG130&gt;=AC130),
                        "0, no había superávit, y la deje con superávit",
                        IF(AND(AG130&lt;TRUNC(AJ130/2,0),AG130&lt;AC130),
                            "1, no había superávit, pero el resultado fue mejor",
                            "-2, no había superávit y resultado fue bueno"
                        )
                    )
                )
            )
        )
    )
)</f>
        <v>1, no había superávit, pero el resultado fue mejor</v>
      </c>
      <c r="AO130" s="30" t="s">
        <v>225</v>
      </c>
      <c r="AP130" s="30">
        <v>7</v>
      </c>
      <c r="AQ130" s="31">
        <v>8.2222222222222214</v>
      </c>
      <c r="AR130" s="29">
        <v>7</v>
      </c>
      <c r="AS130" s="29">
        <v>8</v>
      </c>
      <c r="AT130" s="30">
        <v>7</v>
      </c>
      <c r="AU130" s="30">
        <v>-0.76845746918237878</v>
      </c>
      <c r="AV130" s="26" t="s">
        <v>323</v>
      </c>
      <c r="AW130" s="30">
        <v>11</v>
      </c>
      <c r="AX130" s="29">
        <f>IF(AR130&lt;=AP130,1,0)</f>
        <v>1</v>
      </c>
      <c r="AY130" s="29">
        <f>AR130-AP130</f>
        <v>0</v>
      </c>
      <c r="AZ130" s="29" t="str">
        <f>IF(AU130&gt;0,
    IF(OR(AP130&lt;=TRUNC(AW130/2,0),AP130=0),
        IF(AT130=TRUNC(AW130/2,0),
            "-1, Déficit y dejo la capacidad media",
            IF(AND(AT130&gt;TRUNC(AW130/2,0), AT130&gt;AP130),
                "1, Déficit y eliminé déficit",
                IF(AND(AT130&lt;TRUNC(AW130/2,0), AT130&lt;AP130),
                    "0, Déficit y no elimine déficit",
                    "-2, Déficit y resultado fue bueno")
            )
        ),
        IF(AND(AT130&gt;TRUNC(AW130/2,0), AT130&gt;AP130),
            "1, no había déficit, pero resultado fue mejor",
            IF(AND(AT130&lt;TRUNC(AW130/2,0),AT130&lt;AP130),
                "0, no había déficit y la dejo con déficit",
                IF(AT130=TRUNC(AW130/2,0),
                    "-1, no había déficit y dejo la capacidad media",
                    "-2,no había déficit y resultado fue bueno")
            )
        )
    ),
    IF(AU130&lt;0,
        IF(AP130&gt;TRUNC(AW130/2,0),
            IF(AT130=TRUNC(AW130/2,0),
                "-1, Superávit y deje la capacidad media",
                IF(AND(AT130&gt;TRUNC(AW130/2,0), AT130&gt;=AP130),
                    "0, Superávit y no eliminé superávit",
                    IF(AND(AT130&lt;TRUNC(AW130/2,0),AT130&lt;AP130),
                        "1, Superávit y eliminé superávit",
                        "-2, Superávit y resultado fue bueno"
                    )
                )
            ),
            IF(AND(AP130&lt;=TRUNC(AW130/2,0),AP130&gt;=0),
                IF(AT130=TRUNC(AW130/2,0),
                    "-1, no había superávit y deje la capacidad media",
                    IF(AND(AT130&gt;TRUNC(AW130/2,0), AT130&gt;=AP130),
                        "0, no había superávit, y la deje con superávit",
                        IF(AND(AT130&lt;TRUNC(AW130/2,0),AT130&lt;AP130),
                            "1, no había superávit, pero el resultado fue mejor",
                            "-2, no había superávit y resultado fue bueno"
                        )
                    )
                )
            )
        )
    )
)</f>
        <v>0, Superávit y no eliminé superávit</v>
      </c>
      <c r="BB130" s="30" t="s">
        <v>225</v>
      </c>
      <c r="BC130" s="30">
        <v>5</v>
      </c>
      <c r="BD130" s="31">
        <v>6.7777777777777777</v>
      </c>
      <c r="BE130" s="29">
        <v>6</v>
      </c>
      <c r="BF130" s="29">
        <v>8</v>
      </c>
      <c r="BG130" s="30">
        <v>5</v>
      </c>
      <c r="BH130" s="30">
        <v>-0.76845746918237878</v>
      </c>
      <c r="BI130" s="26" t="s">
        <v>323</v>
      </c>
      <c r="BJ130" s="30">
        <v>11</v>
      </c>
      <c r="BK130" s="29">
        <f>IF(BE130&gt;=BC130,1,0)</f>
        <v>1</v>
      </c>
      <c r="BL130" s="29">
        <f>BE130-BC130</f>
        <v>1</v>
      </c>
      <c r="BM130" s="29" t="str">
        <f>IF(BH130&gt;0,
    IF(OR(BC130&lt;=TRUNC(BJ130/2,0),BC130=0),
        IF(BG130=TRUNC(BJ130/2,0),
            "-1, Déficit y dejo la capacidad media",
            IF(AND(BG130&gt;TRUNC(BJ130/2,0), BG130&gt;BC130),
                "1, Déficit y eliminé déficit",
                IF(AND(BG130&lt;TRUNC(BJ130/2,0), BG130&lt;BC130),
                    "0, Déficit y no elimine déficit",
                    "-2, Déficit y resultado fue bueno")
            )
        ),
        IF(AND(BG130&gt;TRUNC(BJ130/2,0), BG130&gt;BC130),
            "1, no había déficit, pero resultado fue mejor",
            IF(AND(BG130&lt;TRUNC(BJ130/2,0),BG130&lt;BC130),
                "0, no había déficit y la dejo con déficit",
                IF(BG130=TRUNC(BJ130/2,0),
                    "-1, no había déficit y dejo la capacidad media",
                    "-2,no había déficit y resultado fue bueno")
            )
        )
    ),
    IF(BH130&lt;0,
        IF(BC130&gt;TRUNC(BJ130/2,0),
            IF(BG130=TRUNC(BJ130/2,0),
                "-1, Superávit y deje la capacidad media",
                IF(AND(BG130&gt;TRUNC(BJ130/2,0), BG130&gt;=BC130),
                    "0, Superávit y no eliminé superávit",
                    IF(AND(BG130&lt;TRUNC(BJ130/2,0),BG130&lt;BC130),
                        "1, Superávit y eliminé superávit",
                        "-2, Superávit y resultado fue bueno"
                    )
                )
            ),
            IF(AND(BC130&lt;=TRUNC(BJ130/2,0),BC130&gt;=0),
                IF(BG130=TRUNC(BJ130/2,0),
                    "-1, no había superávit y deje la capacidad media",
                    IF(AND(BG130&gt;TRUNC(BJ130/2,0), BG130&gt;=BC130),
                        "0, no había superávit, y la deje con superávit",
                        IF(AND(BG130&lt;TRUNC(BJ130/2,0),BG130&lt;BC130),
                            "1, no había superávit, pero el resultado fue mejor",
                            "-2, no había superávit y resultado fue bueno"
                        )
                    )
                )
            )
        )
    )
)</f>
        <v>-1, no había superávit y deje la capacidad media</v>
      </c>
      <c r="BO130" s="30" t="s">
        <v>225</v>
      </c>
      <c r="BP130" s="29">
        <v>9</v>
      </c>
      <c r="BQ130" s="31">
        <v>8.3333333333333339</v>
      </c>
      <c r="BR130" s="29">
        <v>9</v>
      </c>
      <c r="BS130" s="29">
        <v>9</v>
      </c>
      <c r="BT130" s="29">
        <v>9</v>
      </c>
      <c r="BU130" s="30">
        <v>-0.76845746918237878</v>
      </c>
      <c r="BV130" s="26" t="s">
        <v>323</v>
      </c>
      <c r="BW130" s="30">
        <v>11</v>
      </c>
      <c r="BX130" s="29">
        <f>IF(BR130&gt;=BP130,1,0)</f>
        <v>1</v>
      </c>
      <c r="BY130" s="29">
        <f>BR130-BP130</f>
        <v>0</v>
      </c>
      <c r="BZ130" s="29" t="str">
        <f>IF(BU130&gt;0,
    IF(OR(BP130&lt;=TRUNC(BW130/2,0),BP130=0),
        IF(BT130=TRUNC(BW130/2,0),
            "-1, Déficit y dejo la capacidad media",
            IF(AND(BT130&gt;TRUNC(BW130/2,0), BT130&gt;BP130),
                "1, Déficit y eliminé déficit",
                IF(AND(BT130&lt;TRUNC(BW130/2,0), BT130&lt;BP130),
                    "0, Déficit y no elimine déficit",
                    "-2, Déficit y resultado fue bueno")
            )
        ),
        IF(AND(BT130&gt;TRUNC(BW130/2,0), BT130&gt;BP130),
            "1, no había déficit, pero resultado fue mejor",
            IF(AND(BT130&lt;TRUNC(BW130/2,0),BT130&lt;BP130),
                "0, no había déficit y la dejo con déficit",
                IF(BT130=TRUNC(BW130/2,0),
                    "-1, no había déficit y dejo la capacidad media",
                    "-2,no había déficit y resultado fue bueno")
            )
        )
    ),
    IF(BU130&lt;0,
        IF(BP130&gt;TRUNC(BW130/2,0),
            IF(BT130=TRUNC(BW130/2,0),
                "-1, Superávit y deje la capacidad media",
                IF(AND(BT130&gt;TRUNC(BW130/2,0), BT130&gt;=BP130),
                    "0, Superávit y no eliminé superávit",
                    IF(AND(BT130&lt;TRUNC(BW130/2,0),BT130&lt;BP130),
                        "1, Superávit y eliminé superávit",
                        "-2, Superávit y resultado fue bueno"
                    )
                )
            ),
            IF(AND(BP130&lt;=TRUNC(BW130/2,0),BP130&gt;=0),
                IF(BT130=TRUNC(BW130/2,0),
                    "-1, no había superávit y deje la capacidad media",
                    IF(AND(BT130&gt;TRUNC(BW130/2,0), BT130&gt;=BP130),
                        "0, no había superávit, y la deje con superávit",
                        IF(AND(BT130&lt;TRUNC(BW130/2,0),BT130&lt;BP130),
                            "1, no había superávit, pero el resultado fue mejor",
                            "-2, no había superávit y resultado fue bueno"
                        )
                    )
                )
            )
        )
    )
)</f>
        <v>0, Superávit y no eliminé superávit</v>
      </c>
      <c r="CB130" s="30" t="s">
        <v>225</v>
      </c>
      <c r="CC130" s="30">
        <v>9</v>
      </c>
      <c r="CD130" s="31">
        <v>8.3333333333333339</v>
      </c>
      <c r="CE130" s="31">
        <v>9</v>
      </c>
      <c r="CF130" s="31">
        <v>9</v>
      </c>
      <c r="CG130" s="30">
        <v>9</v>
      </c>
      <c r="CH130" s="30">
        <v>-0.76845746918237878</v>
      </c>
      <c r="CI130" s="26" t="s">
        <v>323</v>
      </c>
      <c r="CJ130" s="30">
        <v>11</v>
      </c>
      <c r="CK130" s="29">
        <f>IF(CE130&gt;=CC130,1,0)</f>
        <v>1</v>
      </c>
      <c r="CL130" s="32">
        <f>CE130-CC130</f>
        <v>0</v>
      </c>
      <c r="CM130" s="32" t="str">
        <f>IF(CH130&gt;0,
    IF(OR(CC130&lt;=TRUNC(CJ130/2,0),CC130=0),
        IF(CG130=TRUNC(CJ130/2,0),
            "-1, Déficit y dejo la capacidad media",
            IF(AND(CG130&gt;TRUNC(CJ130/2,0), CG130&gt;CC130),
                "1, Déficit y eliminé déficit",
                IF(AND(CG130&lt;TRUNC(CJ130/2,0), CG130&lt;CC130),
                    "0, Déficit y no elimine déficit",
                    "-2, Déficit y resultado fue bueno")
            )
        ),
        IF(AND(CG130&gt;TRUNC(CJ130/2,0), CG130&gt;CC130),
            "1, no había déficit, pero resultado fue mejor",
            IF(AND(CG130&lt;TRUNC(CJ130/2,0),CG130&lt;CC130),
                "0, no había déficit y la dejo con déficit",
                IF(CG130=TRUNC(CJ130/2,0),
                    "-1, no había déficit y dejo la capacidad media",
                    "-2,no había déficit y resultado fue bueno")
            )
        )
    ),
    IF(CH130&lt;0,
        IF(CC130&gt;TRUNC(CJ130/2,0),
            IF(CG130=TRUNC(CJ130/2,0),
                "-1, Superávit y deje la capacidad media",
                IF(AND(CG130&gt;TRUNC(CJ130/2,0), CG130&gt;=CC130),
                    "0, Superávit y no eliminé superávit",
                    IF(AND(CG130&lt;TRUNC(CJ130/2,0),CG130&lt;CC130),
                        "1, Superávit y eliminé superávit",
                        "-2, Superávit y resultado fue bueno"
                    )
                )
            ),
            IF(AND(CC130&lt;=TRUNC(CJ130/2,0),CC130&gt;=0),
                IF(CG130=TRUNC(CJ130/2,0),
                    "-1, no había superávit y deje la capacidad media",
                    IF(AND(CG130&gt;TRUNC(CJ130/2,0), CG130&gt;=CC130),
                        "0, no había superávit, y la deje con superávit",
                        IF(AND(CG130&lt;TRUNC(CJ130/2,0),CG130&lt;CC130),
                            "1, no había superávit, pero el resultado fue mejor",
                            "-2, no había superávit y resultado fue bueno"
                        )
                    )
                )
            )
        )
    )
)</f>
        <v>0, Superávit y no eliminé superávit</v>
      </c>
    </row>
    <row r="131" spans="2:91" ht="14.25" customHeight="1" x14ac:dyDescent="0.3">
      <c r="B131" s="30" t="s">
        <v>228</v>
      </c>
      <c r="C131" s="30">
        <v>16</v>
      </c>
      <c r="D131" s="31">
        <v>19.111111111111111</v>
      </c>
      <c r="E131" s="29">
        <v>21</v>
      </c>
      <c r="F131" s="29">
        <v>22</v>
      </c>
      <c r="G131" s="30">
        <v>16</v>
      </c>
      <c r="H131" s="30">
        <v>-0.82357176289964173</v>
      </c>
      <c r="I131" s="26" t="s">
        <v>331</v>
      </c>
      <c r="J131" s="30">
        <v>23</v>
      </c>
      <c r="K131" s="29">
        <f>IF(E131&gt;=C131,1,0)</f>
        <v>1</v>
      </c>
      <c r="L131" s="29">
        <f>E131-C131</f>
        <v>5</v>
      </c>
      <c r="M131" s="29" t="str">
        <f>IF(H131&gt;0,
    IF(OR(C131&lt;=TRUNC(J131/2,0),C131=0),
        IF(G131=TRUNC(J131/2,0),
            "-1, Déficit y dejo la capacidad media",
            IF(AND(G131&gt;TRUNC(J131/2,0), G131&gt;C131),
                "1, Déficit y eliminé déficit",
                IF(AND(G131&lt;TRUNC(J131/2,0), G131&lt;C131),
                    "0, Déficit y no elimine déficit",
                    "-2, Déficit y resultado fue bueno")
            )
        ),
        IF(AND(G131&gt;TRUNC(J131/2,0), G131&gt;C131),
            "1, no había déficit, pero resultado fue mejor",
            IF(AND(G131&lt;TRUNC(J131/2,0),G131&lt;C131),
                "0, no había déficit y la dejo con déficit",
                IF(G131=TRUNC(J131/2,0),
                    "-1, no había déficit y dejo la capacidad media",
                    "-2,no había déficit y resultado fue bueno")
            )
        )
    ),
    IF(H131&lt;0,
        IF(C131&gt;TRUNC(J131/2,0),
            IF(G131=TRUNC(J131/2,0),
                "-1, Superávit y deje la capacidad media",
                IF(AND(G131&gt;TRUNC(J131/2,0), G131&gt;=C131),
                    "0, Superávit y no eliminé superávit",
                    IF(AND(G131&lt;TRUNC(J131/2,0),G131&lt;C131),
                        "1, Superávit y eliminé superávit",
                        "-2, Superávit y resultado fue bueno"
                    )
                )
            ),
            IF(AND(C131&lt;=TRUNC(J131/2,0),C131&gt;=0),
                IF(G131=TRUNC(J131/2,0),
                    "-1, no había superávit y deje la capacidad media",
                    IF(AND(G131&gt;TRUNC(J131/2,0), G131&gt;=C131),
                        "0, no había superávit, y la deje con superávit",
                        IF(AND(G131&lt;TRUNC(J131/2,0),G131&lt;C131),
                            "1, no había superávit, pero el resultado fue mejor",
                            "-2, no había superávit y resultado fue bueno"
                        )
                    )
                )
            )
        )
    )
)</f>
        <v>0, Superávit y no eliminé superávit</v>
      </c>
      <c r="O131" s="30" t="s">
        <v>228</v>
      </c>
      <c r="P131" s="30">
        <v>20</v>
      </c>
      <c r="Q131" s="31">
        <v>19</v>
      </c>
      <c r="R131" s="29">
        <v>23</v>
      </c>
      <c r="S131" s="30">
        <v>23</v>
      </c>
      <c r="T131" s="30">
        <v>20</v>
      </c>
      <c r="U131" s="30">
        <v>-0.82357176289964173</v>
      </c>
      <c r="V131" s="26" t="s">
        <v>331</v>
      </c>
      <c r="W131" s="30">
        <v>23</v>
      </c>
      <c r="X131" s="29">
        <f>IF(R131&gt;=P131,1,0)</f>
        <v>1</v>
      </c>
      <c r="Y131" s="29">
        <f>R131-P131</f>
        <v>3</v>
      </c>
      <c r="Z131" s="29" t="str">
        <f>IF(U131&gt;0,
    IF(OR(P131&lt;=TRUNC(W131/2,0),P131=0),
        IF(T131=TRUNC(W131/2,0),
            "-1, Déficit y dejo la capacidad media",
            IF(AND(T131&gt;TRUNC(W131/2,0), T131&gt;P131),
                "1, Déficit y eliminé déficit",
                IF(AND(T131&lt;TRUNC(W131/2,0), T131&lt;P131),
                    "0, Déficit y no elimine déficit",
                    "-2, Déficit y resultado fue bueno")
            )
        ),
        IF(AND(T131&gt;TRUNC(W131/2,0), T131&gt;P131),
            "1, no había déficit, pero resultado fue mejor",
            IF(AND(T131&lt;TRUNC(W131/2,0),T131&lt;P131),
                "0, no había déficit y la dejo con déficit",
                IF(T131=TRUNC(W131/2,0),
                    "-1, no había déficit y dejo la capacidad media",
                    "-2,no había déficit y resultado fue bueno")
            )
        )
    ),
    IF(U131&lt;0,
        IF(P131&gt;TRUNC(W131/2,0),
            IF(T131=TRUNC(W131/2,0),
                "-1, Superávit y deje la capacidad media",
                IF(AND(T131&gt;TRUNC(W131/2,0), T131&gt;=P131),
                    "0, Superávit y no eliminé superávit",
                    IF(AND(T131&lt;TRUNC(W131/2,0),T131&lt;P131),
                        "1, Superávit y eliminé superávit",
                        "-2, Superávit y resultado fue bueno"
                    )
                )
            ),
            IF(AND(P131&lt;=TRUNC(W131/2,0),P131&gt;=0),
                IF(T131=TRUNC(W131/2,0),
                    "-1, no había superávit y deje la capacidad media",
                    IF(AND(T131&gt;TRUNC(W131/2,0), T131&gt;=P131),
                        "0, no había superávit, y la deje con superávit",
                        IF(AND(T131&lt;TRUNC(W131/2,0),T131&lt;P131),
                            "1, no había superávit, pero el resultado fue mejor",
                            "-2, no había superávit y resultado fue bueno"
                        )
                    )
                )
            )
        )
    )
)</f>
        <v>0, Superávit y no eliminé superávit</v>
      </c>
      <c r="AB131" s="30" t="s">
        <v>228</v>
      </c>
      <c r="AC131" s="30">
        <v>17</v>
      </c>
      <c r="AD131" s="31">
        <v>20</v>
      </c>
      <c r="AE131" s="29">
        <v>19</v>
      </c>
      <c r="AF131" s="31">
        <v>21</v>
      </c>
      <c r="AG131" s="30">
        <v>2</v>
      </c>
      <c r="AH131" s="30">
        <v>-0.82357176289964173</v>
      </c>
      <c r="AI131" s="26" t="s">
        <v>331</v>
      </c>
      <c r="AJ131" s="30">
        <v>23</v>
      </c>
      <c r="AK131" s="29">
        <f>IF(AE131&gt;=AC131,1,0)</f>
        <v>1</v>
      </c>
      <c r="AL131" s="29">
        <f>AE131-AC131</f>
        <v>2</v>
      </c>
      <c r="AM131" s="29" t="str">
        <f>IF(AH131&gt;0,
    IF(OR(AC131&lt;=TRUNC(AJ131/2,0),AC131=0),
        IF(AG131=TRUNC(AJ131/2,0),
            "-1, Déficit y dejo la capacidad media",
            IF(AND(AG131&gt;TRUNC(AJ131/2,0), AG131&gt;AC131),
                "1, Déficit y eliminé déficit",
                IF(AND(AG131&lt;TRUNC(AJ131/2,0), AG131&lt;AC131),
                    "0, Déficit y no elimine déficit",
                    "-2, Déficit y resultado fue bueno")
            )
        ),
        IF(AND(AG131&gt;TRUNC(AJ131/2,0), AG131&gt;AC131),
            "1, no había déficit, pero resultado fue mejor",
            IF(AND(AG131&lt;TRUNC(AJ131/2,0),AG131&lt;AC131),
                "0, no había déficit y la dejo con déficit",
                IF(AG131=TRUNC(AJ131/2,0),
                    "-1, no había déficit y dejo la capacidad media",
                    "-2,no había déficit y resultado fue bueno")
            )
        )
    ),
    IF(AH131&lt;0,
        IF(AC131&gt;TRUNC(AJ131/2,0),
            IF(AG131=TRUNC(AJ131/2,0),
                "-1, Superávit y deje la capacidad media",
                IF(AND(AG131&gt;TRUNC(AJ131/2,0), AG131&gt;=AC131),
                    "0, Superávit y no eliminé superávit",
                    IF(AND(AG131&lt;TRUNC(AJ131/2,0),AG131&lt;AC131),
                        "1, Superávit y eliminé superávit",
                        "-2, Superávit y resultado fue bueno"
                    )
                )
            ),
            IF(AND(AC131&lt;=TRUNC(AJ131/2,0),AC131&gt;=0),
                IF(AG131=TRUNC(AJ131/2,0),
                    "-1, no había superávit y deje la capacidad media",
                    IF(AND(AG131&gt;TRUNC(AJ131/2,0), AG131&gt;=AC131),
                        "0, no había superávit, y la deje con superávit",
                        IF(AND(AG131&lt;TRUNC(AJ131/2,0),AG131&lt;AC131),
                            "1, no había superávit, pero el resultado fue mejor",
                            "-2, no había superávit y resultado fue bueno"
                        )
                    )
                )
            )
        )
    )
)</f>
        <v>1, Superávit y eliminé superávit</v>
      </c>
      <c r="AO131" s="30" t="s">
        <v>228</v>
      </c>
      <c r="AP131" s="30">
        <v>18</v>
      </c>
      <c r="AQ131" s="31">
        <v>18.666666666666668</v>
      </c>
      <c r="AR131" s="29">
        <v>23</v>
      </c>
      <c r="AS131" s="29">
        <v>23</v>
      </c>
      <c r="AT131" s="30">
        <v>20</v>
      </c>
      <c r="AU131" s="30">
        <v>-0.82357176289964173</v>
      </c>
      <c r="AV131" s="26" t="s">
        <v>331</v>
      </c>
      <c r="AW131" s="30">
        <v>23</v>
      </c>
      <c r="AX131" s="29">
        <f>IF(AR131&lt;=AP131,1,0)</f>
        <v>0</v>
      </c>
      <c r="AY131" s="29">
        <f>AR131-AP131</f>
        <v>5</v>
      </c>
      <c r="AZ131" s="29" t="str">
        <f>IF(AU131&gt;0,
    IF(OR(AP131&lt;=TRUNC(AW131/2,0),AP131=0),
        IF(AT131=TRUNC(AW131/2,0),
            "-1, Déficit y dejo la capacidad media",
            IF(AND(AT131&gt;TRUNC(AW131/2,0), AT131&gt;AP131),
                "1, Déficit y eliminé déficit",
                IF(AND(AT131&lt;TRUNC(AW131/2,0), AT131&lt;AP131),
                    "0, Déficit y no elimine déficit",
                    "-2, Déficit y resultado fue bueno")
            )
        ),
        IF(AND(AT131&gt;TRUNC(AW131/2,0), AT131&gt;AP131),
            "1, no había déficit, pero resultado fue mejor",
            IF(AND(AT131&lt;TRUNC(AW131/2,0),AT131&lt;AP131),
                "0, no había déficit y la dejo con déficit",
                IF(AT131=TRUNC(AW131/2,0),
                    "-1, no había déficit y dejo la capacidad media",
                    "-2,no había déficit y resultado fue bueno")
            )
        )
    ),
    IF(AU131&lt;0,
        IF(AP131&gt;TRUNC(AW131/2,0),
            IF(AT131=TRUNC(AW131/2,0),
                "-1, Superávit y deje la capacidad media",
                IF(AND(AT131&gt;TRUNC(AW131/2,0), AT131&gt;=AP131),
                    "0, Superávit y no eliminé superávit",
                    IF(AND(AT131&lt;TRUNC(AW131/2,0),AT131&lt;AP131),
                        "1, Superávit y eliminé superávit",
                        "-2, Superávit y resultado fue bueno"
                    )
                )
            ),
            IF(AND(AP131&lt;=TRUNC(AW131/2,0),AP131&gt;=0),
                IF(AT131=TRUNC(AW131/2,0),
                    "-1, no había superávit y deje la capacidad media",
                    IF(AND(AT131&gt;TRUNC(AW131/2,0), AT131&gt;=AP131),
                        "0, no había superávit, y la deje con superávit",
                        IF(AND(AT131&lt;TRUNC(AW131/2,0),AT131&lt;AP131),
                            "1, no había superávit, pero el resultado fue mejor",
                            "-2, no había superávit y resultado fue bueno"
                        )
                    )
                )
            )
        )
    )
)</f>
        <v>0, Superávit y no eliminé superávit</v>
      </c>
      <c r="BB131" s="30" t="s">
        <v>228</v>
      </c>
      <c r="BC131" s="30">
        <v>23</v>
      </c>
      <c r="BD131" s="31">
        <v>21.222222222222221</v>
      </c>
      <c r="BE131" s="29">
        <v>23</v>
      </c>
      <c r="BF131" s="29">
        <v>23</v>
      </c>
      <c r="BG131" s="30">
        <v>21</v>
      </c>
      <c r="BH131" s="30">
        <v>-0.82357176289964173</v>
      </c>
      <c r="BI131" s="26" t="s">
        <v>331</v>
      </c>
      <c r="BJ131" s="30">
        <v>23</v>
      </c>
      <c r="BK131" s="29">
        <f>IF(BE131&gt;=BC131,1,0)</f>
        <v>1</v>
      </c>
      <c r="BL131" s="29">
        <f>BE131-BC131</f>
        <v>0</v>
      </c>
      <c r="BM131" s="29" t="str">
        <f>IF(BH131&gt;0,
    IF(OR(BC131&lt;=TRUNC(BJ131/2,0),BC131=0),
        IF(BG131=TRUNC(BJ131/2,0),
            "-1, Déficit y dejo la capacidad media",
            IF(AND(BG131&gt;TRUNC(BJ131/2,0), BG131&gt;BC131),
                "1, Déficit y eliminé déficit",
                IF(AND(BG131&lt;TRUNC(BJ131/2,0), BG131&lt;BC131),
                    "0, Déficit y no elimine déficit",
                    "-2, Déficit y resultado fue bueno")
            )
        ),
        IF(AND(BG131&gt;TRUNC(BJ131/2,0), BG131&gt;BC131),
            "1, no había déficit, pero resultado fue mejor",
            IF(AND(BG131&lt;TRUNC(BJ131/2,0),BG131&lt;BC131),
                "0, no había déficit y la dejo con déficit",
                IF(BG131=TRUNC(BJ131/2,0),
                    "-1, no había déficit y dejo la capacidad media",
                    "-2,no había déficit y resultado fue bueno")
            )
        )
    ),
    IF(BH131&lt;0,
        IF(BC131&gt;TRUNC(BJ131/2,0),
            IF(BG131=TRUNC(BJ131/2,0),
                "-1, Superávit y deje la capacidad media",
                IF(AND(BG131&gt;TRUNC(BJ131/2,0), BG131&gt;=BC131),
                    "0, Superávit y no eliminé superávit",
                    IF(AND(BG131&lt;TRUNC(BJ131/2,0),BG131&lt;BC131),
                        "1, Superávit y eliminé superávit",
                        "-2, Superávit y resultado fue bueno"
                    )
                )
            ),
            IF(AND(BC131&lt;=TRUNC(BJ131/2,0),BC131&gt;=0),
                IF(BG131=TRUNC(BJ131/2,0),
                    "-1, no había superávit y deje la capacidad media",
                    IF(AND(BG131&gt;TRUNC(BJ131/2,0), BG131&gt;=BC131),
                        "0, no había superávit, y la deje con superávit",
                        IF(AND(BG131&lt;TRUNC(BJ131/2,0),BG131&lt;BC131),
                            "1, no había superávit, pero el resultado fue mejor",
                            "-2, no había superávit y resultado fue bueno"
                        )
                    )
                )
            )
        )
    )
)</f>
        <v>-2, Superávit y resultado fue bueno</v>
      </c>
      <c r="BO131" s="30" t="s">
        <v>228</v>
      </c>
      <c r="BP131" s="29">
        <v>17</v>
      </c>
      <c r="BQ131" s="31">
        <v>16.111111111111111</v>
      </c>
      <c r="BR131" s="29">
        <v>16</v>
      </c>
      <c r="BS131" s="29">
        <v>17</v>
      </c>
      <c r="BT131" s="29">
        <v>18</v>
      </c>
      <c r="BU131" s="30">
        <v>-0.82357176289964173</v>
      </c>
      <c r="BV131" s="26" t="s">
        <v>331</v>
      </c>
      <c r="BW131" s="30">
        <v>23</v>
      </c>
      <c r="BX131" s="29">
        <f>IF(BR131&gt;=BP131,1,0)</f>
        <v>0</v>
      </c>
      <c r="BY131" s="29">
        <f>BR131-BP131</f>
        <v>-1</v>
      </c>
      <c r="BZ131" s="29" t="str">
        <f>IF(BU131&gt;0,
    IF(OR(BP131&lt;=TRUNC(BW131/2,0),BP131=0),
        IF(BT131=TRUNC(BW131/2,0),
            "-1, Déficit y dejo la capacidad media",
            IF(AND(BT131&gt;TRUNC(BW131/2,0), BT131&gt;BP131),
                "1, Déficit y eliminé déficit",
                IF(AND(BT131&lt;TRUNC(BW131/2,0), BT131&lt;BP131),
                    "0, Déficit y no elimine déficit",
                    "-2, Déficit y resultado fue bueno")
            )
        ),
        IF(AND(BT131&gt;TRUNC(BW131/2,0), BT131&gt;BP131),
            "1, no había déficit, pero resultado fue mejor",
            IF(AND(BT131&lt;TRUNC(BW131/2,0),BT131&lt;BP131),
                "0, no había déficit y la dejo con déficit",
                IF(BT131=TRUNC(BW131/2,0),
                    "-1, no había déficit y dejo la capacidad media",
                    "-2,no había déficit y resultado fue bueno")
            )
        )
    ),
    IF(BU131&lt;0,
        IF(BP131&gt;TRUNC(BW131/2,0),
            IF(BT131=TRUNC(BW131/2,0),
                "-1, Superávit y deje la capacidad media",
                IF(AND(BT131&gt;TRUNC(BW131/2,0), BT131&gt;=BP131),
                    "0, Superávit y no eliminé superávit",
                    IF(AND(BT131&lt;TRUNC(BW131/2,0),BT131&lt;BP131),
                        "1, Superávit y eliminé superávit",
                        "-2, Superávit y resultado fue bueno"
                    )
                )
            ),
            IF(AND(BP131&lt;=TRUNC(BW131/2,0),BP131&gt;=0),
                IF(BT131=TRUNC(BW131/2,0),
                    "-1, no había superávit y deje la capacidad media",
                    IF(AND(BT131&gt;TRUNC(BW131/2,0), BT131&gt;=BP131),
                        "0, no había superávit, y la deje con superávit",
                        IF(AND(BT131&lt;TRUNC(BW131/2,0),BT131&lt;BP131),
                            "1, no había superávit, pero el resultado fue mejor",
                            "-2, no había superávit y resultado fue bueno"
                        )
                    )
                )
            )
        )
    )
)</f>
        <v>0, Superávit y no eliminé superávit</v>
      </c>
      <c r="CB131" s="30" t="s">
        <v>228</v>
      </c>
      <c r="CC131" s="30">
        <v>23</v>
      </c>
      <c r="CD131" s="31">
        <v>20</v>
      </c>
      <c r="CE131" s="31">
        <v>23</v>
      </c>
      <c r="CF131" s="31">
        <v>23</v>
      </c>
      <c r="CG131" s="30">
        <v>21</v>
      </c>
      <c r="CH131" s="30">
        <v>-0.82357176289964173</v>
      </c>
      <c r="CI131" s="26" t="s">
        <v>331</v>
      </c>
      <c r="CJ131" s="30">
        <v>23</v>
      </c>
      <c r="CK131" s="29">
        <f>IF(CE131&gt;=CC131,1,0)</f>
        <v>1</v>
      </c>
      <c r="CL131" s="32">
        <f>CE131-CC131</f>
        <v>0</v>
      </c>
      <c r="CM131" s="32" t="str">
        <f>IF(CH131&gt;0,
    IF(OR(CC131&lt;=TRUNC(CJ131/2,0),CC131=0),
        IF(CG131=TRUNC(CJ131/2,0),
            "-1, Déficit y dejo la capacidad media",
            IF(AND(CG131&gt;TRUNC(CJ131/2,0), CG131&gt;CC131),
                "1, Déficit y eliminé déficit",
                IF(AND(CG131&lt;TRUNC(CJ131/2,0), CG131&lt;CC131),
                    "0, Déficit y no elimine déficit",
                    "-2, Déficit y resultado fue bueno")
            )
        ),
        IF(AND(CG131&gt;TRUNC(CJ131/2,0), CG131&gt;CC131),
            "1, no había déficit, pero resultado fue mejor",
            IF(AND(CG131&lt;TRUNC(CJ131/2,0),CG131&lt;CC131),
                "0, no había déficit y la dejo con déficit",
                IF(CG131=TRUNC(CJ131/2,0),
                    "-1, no había déficit y dejo la capacidad media",
                    "-2,no había déficit y resultado fue bueno")
            )
        )
    ),
    IF(CH131&lt;0,
        IF(CC131&gt;TRUNC(CJ131/2,0),
            IF(CG131=TRUNC(CJ131/2,0),
                "-1, Superávit y deje la capacidad media",
                IF(AND(CG131&gt;TRUNC(CJ131/2,0), CG131&gt;=CC131),
                    "0, Superávit y no eliminé superávit",
                    IF(AND(CG131&lt;TRUNC(CJ131/2,0),CG131&lt;CC131),
                        "1, Superávit y eliminé superávit",
                        "-2, Superávit y resultado fue bueno"
                    )
                )
            ),
            IF(AND(CC131&lt;=TRUNC(CJ131/2,0),CC131&gt;=0),
                IF(CG131=TRUNC(CJ131/2,0),
                    "-1, no había superávit y deje la capacidad media",
                    IF(AND(CG131&gt;TRUNC(CJ131/2,0), CG131&gt;=CC131),
                        "0, no había superávit, y la deje con superávit",
                        IF(AND(CG131&lt;TRUNC(CJ131/2,0),CG131&lt;CC131),
                            "1, no había superávit, pero el resultado fue mejor",
                            "-2, no había superávit y resultado fue bueno"
                        )
                    )
                )
            )
        )
    )
)</f>
        <v>-2, Superávit y resultado fue bueno</v>
      </c>
    </row>
    <row r="132" spans="2:91" ht="14.25" customHeight="1" x14ac:dyDescent="0.3">
      <c r="B132" s="30" t="s">
        <v>217</v>
      </c>
      <c r="C132" s="30">
        <v>10</v>
      </c>
      <c r="D132" s="31">
        <v>7.7777777777777777</v>
      </c>
      <c r="E132" s="29">
        <v>10</v>
      </c>
      <c r="F132" s="29">
        <v>10</v>
      </c>
      <c r="G132" s="30">
        <v>2</v>
      </c>
      <c r="H132" s="30">
        <v>-0.83166677317607873</v>
      </c>
      <c r="I132" s="26" t="s">
        <v>323</v>
      </c>
      <c r="J132" s="30">
        <v>11</v>
      </c>
      <c r="K132" s="29">
        <f>IF(E132&gt;=C132,1,0)</f>
        <v>1</v>
      </c>
      <c r="L132" s="29">
        <f>E132-C132</f>
        <v>0</v>
      </c>
      <c r="M132" s="29" t="str">
        <f>IF(H132&gt;0,
    IF(OR(C132&lt;=TRUNC(J132/2,0),C132=0),
        IF(G132=TRUNC(J132/2,0),
            "-1, Déficit y dejo la capacidad media",
            IF(AND(G132&gt;TRUNC(J132/2,0), G132&gt;C132),
                "1, Déficit y eliminé déficit",
                IF(AND(G132&lt;TRUNC(J132/2,0), G132&lt;C132),
                    "0, Déficit y no elimine déficit",
                    "-2, Déficit y resultado fue bueno")
            )
        ),
        IF(AND(G132&gt;TRUNC(J132/2,0), G132&gt;C132),
            "1, no había déficit, pero resultado fue mejor",
            IF(AND(G132&lt;TRUNC(J132/2,0),G132&lt;C132),
                "0, no había déficit y la dejo con déficit",
                IF(G132=TRUNC(J132/2,0),
                    "-1, no había déficit y dejo la capacidad media",
                    "-2,no había déficit y resultado fue bueno")
            )
        )
    ),
    IF(H132&lt;0,
        IF(C132&gt;TRUNC(J132/2,0),
            IF(G132=TRUNC(J132/2,0),
                "-1, Superávit y deje la capacidad media",
                IF(AND(G132&gt;TRUNC(J132/2,0), G132&gt;=C132),
                    "0, Superávit y no eliminé superávit",
                    IF(AND(G132&lt;TRUNC(J132/2,0),G132&lt;C132),
                        "1, Superávit y eliminé superávit",
                        "-2, Superávit y resultado fue bueno"
                    )
                )
            ),
            IF(AND(C132&lt;=TRUNC(J132/2,0),C132&gt;=0),
                IF(G132=TRUNC(J132/2,0),
                    "-1, no había superávit y deje la capacidad media",
                    IF(AND(G132&gt;TRUNC(J132/2,0), G132&gt;=C132),
                        "0, no había superávit, y la deje con superávit",
                        IF(AND(G132&lt;TRUNC(J132/2,0),G132&lt;C132),
                            "1, no había superávit, pero el resultado fue mejor",
                            "-2, no había superávit y resultado fue bueno"
                        )
                    )
                )
            )
        )
    )
)</f>
        <v>1, Superávit y eliminé superávit</v>
      </c>
      <c r="O132" s="30" t="s">
        <v>217</v>
      </c>
      <c r="P132" s="30">
        <v>8</v>
      </c>
      <c r="Q132" s="31">
        <v>8.4444444444444446</v>
      </c>
      <c r="R132" s="29">
        <v>10</v>
      </c>
      <c r="S132" s="30">
        <v>9</v>
      </c>
      <c r="T132" s="30">
        <v>8</v>
      </c>
      <c r="U132" s="30">
        <v>-0.83166677317607873</v>
      </c>
      <c r="V132" s="26" t="s">
        <v>323</v>
      </c>
      <c r="W132" s="30">
        <v>11</v>
      </c>
      <c r="X132" s="29">
        <f>IF(R132&gt;=P132,1,0)</f>
        <v>1</v>
      </c>
      <c r="Y132" s="29">
        <f>R132-P132</f>
        <v>2</v>
      </c>
      <c r="Z132" s="29" t="str">
        <f>IF(U132&gt;0,
    IF(OR(P132&lt;=TRUNC(W132/2,0),P132=0),
        IF(T132=TRUNC(W132/2,0),
            "-1, Déficit y dejo la capacidad media",
            IF(AND(T132&gt;TRUNC(W132/2,0), T132&gt;P132),
                "1, Déficit y eliminé déficit",
                IF(AND(T132&lt;TRUNC(W132/2,0), T132&lt;P132),
                    "0, Déficit y no elimine déficit",
                    "-2, Déficit y resultado fue bueno")
            )
        ),
        IF(AND(T132&gt;TRUNC(W132/2,0), T132&gt;P132),
            "1, no había déficit, pero resultado fue mejor",
            IF(AND(T132&lt;TRUNC(W132/2,0),T132&lt;P132),
                "0, no había déficit y la dejo con déficit",
                IF(T132=TRUNC(W132/2,0),
                    "-1, no había déficit y dejo la capacidad media",
                    "-2,no había déficit y resultado fue bueno")
            )
        )
    ),
    IF(U132&lt;0,
        IF(P132&gt;TRUNC(W132/2,0),
            IF(T132=TRUNC(W132/2,0),
                "-1, Superávit y deje la capacidad media",
                IF(AND(T132&gt;TRUNC(W132/2,0), T132&gt;=P132),
                    "0, Superávit y no eliminé superávit",
                    IF(AND(T132&lt;TRUNC(W132/2,0),T132&lt;P132),
                        "1, Superávit y eliminé superávit",
                        "-2, Superávit y resultado fue bueno"
                    )
                )
            ),
            IF(AND(P132&lt;=TRUNC(W132/2,0),P132&gt;=0),
                IF(T132=TRUNC(W132/2,0),
                    "-1, no había superávit y deje la capacidad media",
                    IF(AND(T132&gt;TRUNC(W132/2,0), T132&gt;=P132),
                        "0, no había superávit, y la deje con superávit",
                        IF(AND(T132&lt;TRUNC(W132/2,0),T132&lt;P132),
                            "1, no había superávit, pero el resultado fue mejor",
                            "-2, no había superávit y resultado fue bueno"
                        )
                    )
                )
            )
        )
    )
)</f>
        <v>0, Superávit y no eliminé superávit</v>
      </c>
      <c r="AB132" s="30" t="s">
        <v>217</v>
      </c>
      <c r="AC132" s="30">
        <v>7</v>
      </c>
      <c r="AD132" s="31">
        <v>6.333333333333333</v>
      </c>
      <c r="AE132" s="29">
        <v>8</v>
      </c>
      <c r="AF132" s="31">
        <v>9</v>
      </c>
      <c r="AG132" s="30">
        <v>7</v>
      </c>
      <c r="AH132" s="30">
        <v>-0.83166677317607873</v>
      </c>
      <c r="AI132" s="26" t="s">
        <v>323</v>
      </c>
      <c r="AJ132" s="30">
        <v>11</v>
      </c>
      <c r="AK132" s="29">
        <f>IF(AE132&gt;=AC132,1,0)</f>
        <v>1</v>
      </c>
      <c r="AL132" s="29">
        <f>AE132-AC132</f>
        <v>1</v>
      </c>
      <c r="AM132" s="29" t="str">
        <f>IF(AH132&gt;0,
    IF(OR(AC132&lt;=TRUNC(AJ132/2,0),AC132=0),
        IF(AG132=TRUNC(AJ132/2,0),
            "-1, Déficit y dejo la capacidad media",
            IF(AND(AG132&gt;TRUNC(AJ132/2,0), AG132&gt;AC132),
                "1, Déficit y eliminé déficit",
                IF(AND(AG132&lt;TRUNC(AJ132/2,0), AG132&lt;AC132),
                    "0, Déficit y no elimine déficit",
                    "-2, Déficit y resultado fue bueno")
            )
        ),
        IF(AND(AG132&gt;TRUNC(AJ132/2,0), AG132&gt;AC132),
            "1, no había déficit, pero resultado fue mejor",
            IF(AND(AG132&lt;TRUNC(AJ132/2,0),AG132&lt;AC132),
                "0, no había déficit y la dejo con déficit",
                IF(AG132=TRUNC(AJ132/2,0),
                    "-1, no había déficit y dejo la capacidad media",
                    "-2,no había déficit y resultado fue bueno")
            )
        )
    ),
    IF(AH132&lt;0,
        IF(AC132&gt;TRUNC(AJ132/2,0),
            IF(AG132=TRUNC(AJ132/2,0),
                "-1, Superávit y deje la capacidad media",
                IF(AND(AG132&gt;TRUNC(AJ132/2,0), AG132&gt;=AC132),
                    "0, Superávit y no eliminé superávit",
                    IF(AND(AG132&lt;TRUNC(AJ132/2,0),AG132&lt;AC132),
                        "1, Superávit y eliminé superávit",
                        "-2, Superávit y resultado fue bueno"
                    )
                )
            ),
            IF(AND(AC132&lt;=TRUNC(AJ132/2,0),AC132&gt;=0),
                IF(AG132=TRUNC(AJ132/2,0),
                    "-1, no había superávit y deje la capacidad media",
                    IF(AND(AG132&gt;TRUNC(AJ132/2,0), AG132&gt;=AC132),
                        "0, no había superávit, y la deje con superávit",
                        IF(AND(AG132&lt;TRUNC(AJ132/2,0),AG132&lt;AC132),
                            "1, no había superávit, pero el resultado fue mejor",
                            "-2, no había superávit y resultado fue bueno"
                        )
                    )
                )
            )
        )
    )
)</f>
        <v>0, Superávit y no eliminé superávit</v>
      </c>
      <c r="AO132" s="30" t="s">
        <v>217</v>
      </c>
      <c r="AP132" s="30">
        <v>8</v>
      </c>
      <c r="AQ132" s="31">
        <v>8.3333333333333339</v>
      </c>
      <c r="AR132" s="29">
        <v>7</v>
      </c>
      <c r="AS132" s="29">
        <v>10</v>
      </c>
      <c r="AT132" s="30">
        <v>8</v>
      </c>
      <c r="AU132" s="30">
        <v>-0.83166677317607873</v>
      </c>
      <c r="AV132" s="26" t="s">
        <v>323</v>
      </c>
      <c r="AW132" s="30">
        <v>11</v>
      </c>
      <c r="AX132" s="29">
        <f>IF(AR132&lt;=AP132,1,0)</f>
        <v>1</v>
      </c>
      <c r="AY132" s="29">
        <f>AR132-AP132</f>
        <v>-1</v>
      </c>
      <c r="AZ132" s="29" t="str">
        <f>IF(AU132&gt;0,
    IF(OR(AP132&lt;=TRUNC(AW132/2,0),AP132=0),
        IF(AT132=TRUNC(AW132/2,0),
            "-1, Déficit y dejo la capacidad media",
            IF(AND(AT132&gt;TRUNC(AW132/2,0), AT132&gt;AP132),
                "1, Déficit y eliminé déficit",
                IF(AND(AT132&lt;TRUNC(AW132/2,0), AT132&lt;AP132),
                    "0, Déficit y no elimine déficit",
                    "-2, Déficit y resultado fue bueno")
            )
        ),
        IF(AND(AT132&gt;TRUNC(AW132/2,0), AT132&gt;AP132),
            "1, no había déficit, pero resultado fue mejor",
            IF(AND(AT132&lt;TRUNC(AW132/2,0),AT132&lt;AP132),
                "0, no había déficit y la dejo con déficit",
                IF(AT132=TRUNC(AW132/2,0),
                    "-1, no había déficit y dejo la capacidad media",
                    "-2,no había déficit y resultado fue bueno")
            )
        )
    ),
    IF(AU132&lt;0,
        IF(AP132&gt;TRUNC(AW132/2,0),
            IF(AT132=TRUNC(AW132/2,0),
                "-1, Superávit y deje la capacidad media",
                IF(AND(AT132&gt;TRUNC(AW132/2,0), AT132&gt;=AP132),
                    "0, Superávit y no eliminé superávit",
                    IF(AND(AT132&lt;TRUNC(AW132/2,0),AT132&lt;AP132),
                        "1, Superávit y eliminé superávit",
                        "-2, Superávit y resultado fue bueno"
                    )
                )
            ),
            IF(AND(AP132&lt;=TRUNC(AW132/2,0),AP132&gt;=0),
                IF(AT132=TRUNC(AW132/2,0),
                    "-1, no había superávit y deje la capacidad media",
                    IF(AND(AT132&gt;TRUNC(AW132/2,0), AT132&gt;=AP132),
                        "0, no había superávit, y la deje con superávit",
                        IF(AND(AT132&lt;TRUNC(AW132/2,0),AT132&lt;AP132),
                            "1, no había superávit, pero el resultado fue mejor",
                            "-2, no había superávit y resultado fue bueno"
                        )
                    )
                )
            )
        )
    )
)</f>
        <v>0, Superávit y no eliminé superávit</v>
      </c>
      <c r="BB132" s="30" t="s">
        <v>217</v>
      </c>
      <c r="BC132" s="30">
        <v>7</v>
      </c>
      <c r="BD132" s="31">
        <v>7.4444444444444446</v>
      </c>
      <c r="BE132" s="29">
        <v>7</v>
      </c>
      <c r="BF132" s="29">
        <v>7</v>
      </c>
      <c r="BG132" s="30">
        <v>7</v>
      </c>
      <c r="BH132" s="30">
        <v>-0.83166677317607873</v>
      </c>
      <c r="BI132" s="26" t="s">
        <v>323</v>
      </c>
      <c r="BJ132" s="30">
        <v>11</v>
      </c>
      <c r="BK132" s="29">
        <f>IF(BE132&gt;=BC132,1,0)</f>
        <v>1</v>
      </c>
      <c r="BL132" s="29">
        <f>BE132-BC132</f>
        <v>0</v>
      </c>
      <c r="BM132" s="29" t="str">
        <f>IF(BH132&gt;0,
    IF(OR(BC132&lt;=TRUNC(BJ132/2,0),BC132=0),
        IF(BG132=TRUNC(BJ132/2,0),
            "-1, Déficit y dejo la capacidad media",
            IF(AND(BG132&gt;TRUNC(BJ132/2,0), BG132&gt;BC132),
                "1, Déficit y eliminé déficit",
                IF(AND(BG132&lt;TRUNC(BJ132/2,0), BG132&lt;BC132),
                    "0, Déficit y no elimine déficit",
                    "-2, Déficit y resultado fue bueno")
            )
        ),
        IF(AND(BG132&gt;TRUNC(BJ132/2,0), BG132&gt;BC132),
            "1, no había déficit, pero resultado fue mejor",
            IF(AND(BG132&lt;TRUNC(BJ132/2,0),BG132&lt;BC132),
                "0, no había déficit y la dejo con déficit",
                IF(BG132=TRUNC(BJ132/2,0),
                    "-1, no había déficit y dejo la capacidad media",
                    "-2,no había déficit y resultado fue bueno")
            )
        )
    ),
    IF(BH132&lt;0,
        IF(BC132&gt;TRUNC(BJ132/2,0),
            IF(BG132=TRUNC(BJ132/2,0),
                "-1, Superávit y deje la capacidad media",
                IF(AND(BG132&gt;TRUNC(BJ132/2,0), BG132&gt;=BC132),
                    "0, Superávit y no eliminé superávit",
                    IF(AND(BG132&lt;TRUNC(BJ132/2,0),BG132&lt;BC132),
                        "1, Superávit y eliminé superávit",
                        "-2, Superávit y resultado fue bueno"
                    )
                )
            ),
            IF(AND(BC132&lt;=TRUNC(BJ132/2,0),BC132&gt;=0),
                IF(BG132=TRUNC(BJ132/2,0),
                    "-1, no había superávit y deje la capacidad media",
                    IF(AND(BG132&gt;TRUNC(BJ132/2,0), BG132&gt;=BC132),
                        "0, no había superávit, y la deje con superávit",
                        IF(AND(BG132&lt;TRUNC(BJ132/2,0),BG132&lt;BC132),
                            "1, no había superávit, pero el resultado fue mejor",
                            "-2, no había superávit y resultado fue bueno"
                        )
                    )
                )
            )
        )
    )
)</f>
        <v>0, Superávit y no eliminé superávit</v>
      </c>
      <c r="BO132" s="30" t="s">
        <v>217</v>
      </c>
      <c r="BP132" s="29">
        <v>9</v>
      </c>
      <c r="BQ132" s="31">
        <v>8</v>
      </c>
      <c r="BR132" s="29">
        <v>10</v>
      </c>
      <c r="BS132" s="29">
        <v>10</v>
      </c>
      <c r="BT132" s="29">
        <v>9</v>
      </c>
      <c r="BU132" s="30">
        <v>-0.83166677317607873</v>
      </c>
      <c r="BV132" s="26" t="s">
        <v>323</v>
      </c>
      <c r="BW132" s="30">
        <v>11</v>
      </c>
      <c r="BX132" s="29">
        <f>IF(BR132&gt;=BP132,1,0)</f>
        <v>1</v>
      </c>
      <c r="BY132" s="29">
        <f>BR132-BP132</f>
        <v>1</v>
      </c>
      <c r="BZ132" s="29" t="str">
        <f>IF(BU132&gt;0,
    IF(OR(BP132&lt;=TRUNC(BW132/2,0),BP132=0),
        IF(BT132=TRUNC(BW132/2,0),
            "-1, Déficit y dejo la capacidad media",
            IF(AND(BT132&gt;TRUNC(BW132/2,0), BT132&gt;BP132),
                "1, Déficit y eliminé déficit",
                IF(AND(BT132&lt;TRUNC(BW132/2,0), BT132&lt;BP132),
                    "0, Déficit y no elimine déficit",
                    "-2, Déficit y resultado fue bueno")
            )
        ),
        IF(AND(BT132&gt;TRUNC(BW132/2,0), BT132&gt;BP132),
            "1, no había déficit, pero resultado fue mejor",
            IF(AND(BT132&lt;TRUNC(BW132/2,0),BT132&lt;BP132),
                "0, no había déficit y la dejo con déficit",
                IF(BT132=TRUNC(BW132/2,0),
                    "-1, no había déficit y dejo la capacidad media",
                    "-2,no había déficit y resultado fue bueno")
            )
        )
    ),
    IF(BU132&lt;0,
        IF(BP132&gt;TRUNC(BW132/2,0),
            IF(BT132=TRUNC(BW132/2,0),
                "-1, Superávit y deje la capacidad media",
                IF(AND(BT132&gt;TRUNC(BW132/2,0), BT132&gt;=BP132),
                    "0, Superávit y no eliminé superávit",
                    IF(AND(BT132&lt;TRUNC(BW132/2,0),BT132&lt;BP132),
                        "1, Superávit y eliminé superávit",
                        "-2, Superávit y resultado fue bueno"
                    )
                )
            ),
            IF(AND(BP132&lt;=TRUNC(BW132/2,0),BP132&gt;=0),
                IF(BT132=TRUNC(BW132/2,0),
                    "-1, no había superávit y deje la capacidad media",
                    IF(AND(BT132&gt;TRUNC(BW132/2,0), BT132&gt;=BP132),
                        "0, no había superávit, y la deje con superávit",
                        IF(AND(BT132&lt;TRUNC(BW132/2,0),BT132&lt;BP132),
                            "1, no había superávit, pero el resultado fue mejor",
                            "-2, no había superávit y resultado fue bueno"
                        )
                    )
                )
            )
        )
    )
)</f>
        <v>0, Superávit y no eliminé superávit</v>
      </c>
      <c r="CB132" s="30" t="s">
        <v>217</v>
      </c>
      <c r="CC132" s="30">
        <v>9</v>
      </c>
      <c r="CD132" s="31">
        <v>7.8888888888888893</v>
      </c>
      <c r="CE132" s="31">
        <v>8</v>
      </c>
      <c r="CF132" s="31">
        <v>9</v>
      </c>
      <c r="CG132" s="30">
        <v>9</v>
      </c>
      <c r="CH132" s="30">
        <v>-0.83166677317607873</v>
      </c>
      <c r="CI132" s="26" t="s">
        <v>323</v>
      </c>
      <c r="CJ132" s="30">
        <v>11</v>
      </c>
      <c r="CK132" s="29">
        <f>IF(CE132&gt;=CC132,1,0)</f>
        <v>0</v>
      </c>
      <c r="CL132" s="32">
        <f>CE132-CC132</f>
        <v>-1</v>
      </c>
      <c r="CM132" s="32" t="str">
        <f>IF(CH132&gt;0,
    IF(OR(CC132&lt;=TRUNC(CJ132/2,0),CC132=0),
        IF(CG132=TRUNC(CJ132/2,0),
            "-1, Déficit y dejo la capacidad media",
            IF(AND(CG132&gt;TRUNC(CJ132/2,0), CG132&gt;CC132),
                "1, Déficit y eliminé déficit",
                IF(AND(CG132&lt;TRUNC(CJ132/2,0), CG132&lt;CC132),
                    "0, Déficit y no elimine déficit",
                    "-2, Déficit y resultado fue bueno")
            )
        ),
        IF(AND(CG132&gt;TRUNC(CJ132/2,0), CG132&gt;CC132),
            "1, no había déficit, pero resultado fue mejor",
            IF(AND(CG132&lt;TRUNC(CJ132/2,0),CG132&lt;CC132),
                "0, no había déficit y la dejo con déficit",
                IF(CG132=TRUNC(CJ132/2,0),
                    "-1, no había déficit y dejo la capacidad media",
                    "-2,no había déficit y resultado fue bueno")
            )
        )
    ),
    IF(CH132&lt;0,
        IF(CC132&gt;TRUNC(CJ132/2,0),
            IF(CG132=TRUNC(CJ132/2,0),
                "-1, Superávit y deje la capacidad media",
                IF(AND(CG132&gt;TRUNC(CJ132/2,0), CG132&gt;=CC132),
                    "0, Superávit y no eliminé superávit",
                    IF(AND(CG132&lt;TRUNC(CJ132/2,0),CG132&lt;CC132),
                        "1, Superávit y eliminé superávit",
                        "-2, Superávit y resultado fue bueno"
                    )
                )
            ),
            IF(AND(CC132&lt;=TRUNC(CJ132/2,0),CC132&gt;=0),
                IF(CG132=TRUNC(CJ132/2,0),
                    "-1, no había superávit y deje la capacidad media",
                    IF(AND(CG132&gt;TRUNC(CJ132/2,0), CG132&gt;=CC132),
                        "0, no había superávit, y la deje con superávit",
                        IF(AND(CG132&lt;TRUNC(CJ132/2,0),CG132&lt;CC132),
                            "1, no había superávit, pero el resultado fue mejor",
                            "-2, no había superávit y resultado fue bueno"
                        )
                    )
                )
            )
        )
    )
)</f>
        <v>0, Superávit y no eliminé superávit</v>
      </c>
    </row>
    <row r="133" spans="2:91" ht="14.25" customHeight="1" x14ac:dyDescent="0.3">
      <c r="B133" s="30" t="s">
        <v>227</v>
      </c>
      <c r="C133" s="30">
        <v>10</v>
      </c>
      <c r="D133" s="31">
        <v>11</v>
      </c>
      <c r="E133" s="29">
        <v>12</v>
      </c>
      <c r="F133" s="29">
        <v>16</v>
      </c>
      <c r="G133" s="30">
        <v>8</v>
      </c>
      <c r="H133" s="30">
        <v>-0.99035075718315457</v>
      </c>
      <c r="I133" s="26" t="s">
        <v>328</v>
      </c>
      <c r="J133" s="30">
        <v>17</v>
      </c>
      <c r="K133" s="29">
        <f>IF(E133&gt;=C133,1,0)</f>
        <v>1</v>
      </c>
      <c r="L133" s="29">
        <f>E133-C133</f>
        <v>2</v>
      </c>
      <c r="M133" s="29" t="str">
        <f>IF(H133&gt;0,
    IF(OR(C133&lt;=TRUNC(J133/2,0),C133=0),
        IF(G133=TRUNC(J133/2,0),
            "-1, Déficit y dejo la capacidad media",
            IF(AND(G133&gt;TRUNC(J133/2,0), G133&gt;C133),
                "1, Déficit y eliminé déficit",
                IF(AND(G133&lt;TRUNC(J133/2,0), G133&lt;C133),
                    "0, Déficit y no elimine déficit",
                    "-2, Déficit y resultado fue bueno")
            )
        ),
        IF(AND(G133&gt;TRUNC(J133/2,0), G133&gt;C133),
            "1, no había déficit, pero resultado fue mejor",
            IF(AND(G133&lt;TRUNC(J133/2,0),G133&lt;C133),
                "0, no había déficit y la dejo con déficit",
                IF(G133=TRUNC(J133/2,0),
                    "-1, no había déficit y dejo la capacidad media",
                    "-2,no había déficit y resultado fue bueno")
            )
        )
    ),
    IF(H133&lt;0,
        IF(C133&gt;TRUNC(J133/2,0),
            IF(G133=TRUNC(J133/2,0),
                "-1, Superávit y deje la capacidad media",
                IF(AND(G133&gt;TRUNC(J133/2,0), G133&gt;=C133),
                    "0, Superávit y no eliminé superávit",
                    IF(AND(G133&lt;TRUNC(J133/2,0),G133&lt;C133),
                        "1, Superávit y eliminé superávit",
                        "-2, Superávit y resultado fue bueno"
                    )
                )
            ),
            IF(AND(C133&lt;=TRUNC(J133/2,0),C133&gt;=0),
                IF(G133=TRUNC(J133/2,0),
                    "-1, no había superávit y deje la capacidad media",
                    IF(AND(G133&gt;TRUNC(J133/2,0), G133&gt;=C133),
                        "0, no había superávit, y la deje con superávit",
                        IF(AND(G133&lt;TRUNC(J133/2,0),G133&lt;C133),
                            "1, no había superávit, pero el resultado fue mejor",
                            "-2, no había superávit y resultado fue bueno"
                        )
                    )
                )
            )
        )
    )
)</f>
        <v>-1, Superávit y deje la capacidad media</v>
      </c>
      <c r="O133" s="30" t="s">
        <v>227</v>
      </c>
      <c r="P133" s="30">
        <v>14</v>
      </c>
      <c r="Q133" s="31">
        <v>10</v>
      </c>
      <c r="R133" s="29">
        <v>9</v>
      </c>
      <c r="S133" s="30">
        <v>10</v>
      </c>
      <c r="T133" s="30">
        <v>3</v>
      </c>
      <c r="U133" s="30">
        <v>-0.99035075718315457</v>
      </c>
      <c r="V133" s="26" t="s">
        <v>328</v>
      </c>
      <c r="W133" s="30">
        <v>17</v>
      </c>
      <c r="X133" s="29">
        <f>IF(R133&gt;=P133,1,0)</f>
        <v>0</v>
      </c>
      <c r="Y133" s="29">
        <f>R133-P133</f>
        <v>-5</v>
      </c>
      <c r="Z133" s="29" t="str">
        <f>IF(U133&gt;0,
    IF(OR(P133&lt;=TRUNC(W133/2,0),P133=0),
        IF(T133=TRUNC(W133/2,0),
            "-1, Déficit y dejo la capacidad media",
            IF(AND(T133&gt;TRUNC(W133/2,0), T133&gt;P133),
                "1, Déficit y eliminé déficit",
                IF(AND(T133&lt;TRUNC(W133/2,0), T133&lt;P133),
                    "0, Déficit y no elimine déficit",
                    "-2, Déficit y resultado fue bueno")
            )
        ),
        IF(AND(T133&gt;TRUNC(W133/2,0), T133&gt;P133),
            "1, no había déficit, pero resultado fue mejor",
            IF(AND(T133&lt;TRUNC(W133/2,0),T133&lt;P133),
                "0, no había déficit y la dejo con déficit",
                IF(T133=TRUNC(W133/2,0),
                    "-1, no había déficit y dejo la capacidad media",
                    "-2,no había déficit y resultado fue bueno")
            )
        )
    ),
    IF(U133&lt;0,
        IF(P133&gt;TRUNC(W133/2,0),
            IF(T133=TRUNC(W133/2,0),
                "-1, Superávit y deje la capacidad media",
                IF(AND(T133&gt;TRUNC(W133/2,0), T133&gt;=P133),
                    "0, Superávit y no eliminé superávit",
                    IF(AND(T133&lt;TRUNC(W133/2,0),T133&lt;P133),
                        "1, Superávit y eliminé superávit",
                        "-2, Superávit y resultado fue bueno"
                    )
                )
            ),
            IF(AND(P133&lt;=TRUNC(W133/2,0),P133&gt;=0),
                IF(T133=TRUNC(W133/2,0),
                    "-1, no había superávit y deje la capacidad media",
                    IF(AND(T133&gt;TRUNC(W133/2,0), T133&gt;=P133),
                        "0, no había superávit, y la deje con superávit",
                        IF(AND(T133&lt;TRUNC(W133/2,0),T133&lt;P133),
                            "1, no había superávit, pero el resultado fue mejor",
                            "-2, no había superávit y resultado fue bueno"
                        )
                    )
                )
            )
        )
    )
)</f>
        <v>1, Superávit y eliminé superávit</v>
      </c>
      <c r="AB133" s="30" t="s">
        <v>227</v>
      </c>
      <c r="AC133" s="30">
        <v>6</v>
      </c>
      <c r="AD133" s="31">
        <v>11.111111111111111</v>
      </c>
      <c r="AE133" s="29">
        <v>10</v>
      </c>
      <c r="AF133" s="31">
        <v>11</v>
      </c>
      <c r="AG133" s="30">
        <v>2</v>
      </c>
      <c r="AH133" s="30">
        <v>-0.99035075718315457</v>
      </c>
      <c r="AI133" s="26" t="s">
        <v>328</v>
      </c>
      <c r="AJ133" s="30">
        <v>17</v>
      </c>
      <c r="AK133" s="29">
        <f>IF(AE133&gt;=AC133,1,0)</f>
        <v>1</v>
      </c>
      <c r="AL133" s="29">
        <f>AE133-AC133</f>
        <v>4</v>
      </c>
      <c r="AM133" s="29" t="str">
        <f>IF(AH133&gt;0,
    IF(OR(AC133&lt;=TRUNC(AJ133/2,0),AC133=0),
        IF(AG133=TRUNC(AJ133/2,0),
            "-1, Déficit y dejo la capacidad media",
            IF(AND(AG133&gt;TRUNC(AJ133/2,0), AG133&gt;AC133),
                "1, Déficit y eliminé déficit",
                IF(AND(AG133&lt;TRUNC(AJ133/2,0), AG133&lt;AC133),
                    "0, Déficit y no elimine déficit",
                    "-2, Déficit y resultado fue bueno")
            )
        ),
        IF(AND(AG133&gt;TRUNC(AJ133/2,0), AG133&gt;AC133),
            "1, no había déficit, pero resultado fue mejor",
            IF(AND(AG133&lt;TRUNC(AJ133/2,0),AG133&lt;AC133),
                "0, no había déficit y la dejo con déficit",
                IF(AG133=TRUNC(AJ133/2,0),
                    "-1, no había déficit y dejo la capacidad media",
                    "-2,no había déficit y resultado fue bueno")
            )
        )
    ),
    IF(AH133&lt;0,
        IF(AC133&gt;TRUNC(AJ133/2,0),
            IF(AG133=TRUNC(AJ133/2,0),
                "-1, Superávit y deje la capacidad media",
                IF(AND(AG133&gt;TRUNC(AJ133/2,0), AG133&gt;=AC133),
                    "0, Superávit y no eliminé superávit",
                    IF(AND(AG133&lt;TRUNC(AJ133/2,0),AG133&lt;AC133),
                        "1, Superávit y eliminé superávit",
                        "-2, Superávit y resultado fue bueno"
                    )
                )
            ),
            IF(AND(AC133&lt;=TRUNC(AJ133/2,0),AC133&gt;=0),
                IF(AG133=TRUNC(AJ133/2,0),
                    "-1, no había superávit y deje la capacidad media",
                    IF(AND(AG133&gt;TRUNC(AJ133/2,0), AG133&gt;=AC133),
                        "0, no había superávit, y la deje con superávit",
                        IF(AND(AG133&lt;TRUNC(AJ133/2,0),AG133&lt;AC133),
                            "1, no había superávit, pero el resultado fue mejor",
                            "-2, no había superávit y resultado fue bueno"
                        )
                    )
                )
            )
        )
    )
)</f>
        <v>1, no había superávit, pero el resultado fue mejor</v>
      </c>
      <c r="AO133" s="30" t="s">
        <v>227</v>
      </c>
      <c r="AP133" s="30">
        <v>17</v>
      </c>
      <c r="AQ133" s="31">
        <v>12.777777777777779</v>
      </c>
      <c r="AR133" s="29">
        <v>16</v>
      </c>
      <c r="AS133" s="29">
        <v>16</v>
      </c>
      <c r="AT133" s="30">
        <v>15</v>
      </c>
      <c r="AU133" s="30">
        <v>-0.99035075718315457</v>
      </c>
      <c r="AV133" s="26" t="s">
        <v>328</v>
      </c>
      <c r="AW133" s="30">
        <v>17</v>
      </c>
      <c r="AX133" s="29">
        <f>IF(AR133&lt;=AP133,1,0)</f>
        <v>1</v>
      </c>
      <c r="AY133" s="29">
        <f>AR133-AP133</f>
        <v>-1</v>
      </c>
      <c r="AZ133" s="29" t="str">
        <f>IF(AU133&gt;0,
    IF(OR(AP133&lt;=TRUNC(AW133/2,0),AP133=0),
        IF(AT133=TRUNC(AW133/2,0),
            "-1, Déficit y dejo la capacidad media",
            IF(AND(AT133&gt;TRUNC(AW133/2,0), AT133&gt;AP133),
                "1, Déficit y eliminé déficit",
                IF(AND(AT133&lt;TRUNC(AW133/2,0), AT133&lt;AP133),
                    "0, Déficit y no elimine déficit",
                    "-2, Déficit y resultado fue bueno")
            )
        ),
        IF(AND(AT133&gt;TRUNC(AW133/2,0), AT133&gt;AP133),
            "1, no había déficit, pero resultado fue mejor",
            IF(AND(AT133&lt;TRUNC(AW133/2,0),AT133&lt;AP133),
                "0, no había déficit y la dejo con déficit",
                IF(AT133=TRUNC(AW133/2,0),
                    "-1, no había déficit y dejo la capacidad media",
                    "-2,no había déficit y resultado fue bueno")
            )
        )
    ),
    IF(AU133&lt;0,
        IF(AP133&gt;TRUNC(AW133/2,0),
            IF(AT133=TRUNC(AW133/2,0),
                "-1, Superávit y deje la capacidad media",
                IF(AND(AT133&gt;TRUNC(AW133/2,0), AT133&gt;=AP133),
                    "0, Superávit y no eliminé superávit",
                    IF(AND(AT133&lt;TRUNC(AW133/2,0),AT133&lt;AP133),
                        "1, Superávit y eliminé superávit",
                        "-2, Superávit y resultado fue bueno"
                    )
                )
            ),
            IF(AND(AP133&lt;=TRUNC(AW133/2,0),AP133&gt;=0),
                IF(AT133=TRUNC(AW133/2,0),
                    "-1, no había superávit y deje la capacidad media",
                    IF(AND(AT133&gt;TRUNC(AW133/2,0), AT133&gt;=AP133),
                        "0, no había superávit, y la deje con superávit",
                        IF(AND(AT133&lt;TRUNC(AW133/2,0),AT133&lt;AP133),
                            "1, no había superávit, pero el resultado fue mejor",
                            "-2, no había superávit y resultado fue bueno"
                        )
                    )
                )
            )
        )
    )
)</f>
        <v>-2, Superávit y resultado fue bueno</v>
      </c>
      <c r="BB133" s="30" t="s">
        <v>227</v>
      </c>
      <c r="BC133" s="30">
        <v>7</v>
      </c>
      <c r="BD133" s="31">
        <v>11.222222222222221</v>
      </c>
      <c r="BE133" s="29">
        <v>8</v>
      </c>
      <c r="BF133" s="29">
        <v>8</v>
      </c>
      <c r="BG133" s="30">
        <v>7</v>
      </c>
      <c r="BH133" s="30">
        <v>-0.99035075718315457</v>
      </c>
      <c r="BI133" s="26" t="s">
        <v>328</v>
      </c>
      <c r="BJ133" s="30">
        <v>17</v>
      </c>
      <c r="BK133" s="29">
        <f>IF(BE133&gt;=BC133,1,0)</f>
        <v>1</v>
      </c>
      <c r="BL133" s="29">
        <f>BE133-BC133</f>
        <v>1</v>
      </c>
      <c r="BM133" s="29" t="str">
        <f>IF(BH133&gt;0,
    IF(OR(BC133&lt;=TRUNC(BJ133/2,0),BC133=0),
        IF(BG133=TRUNC(BJ133/2,0),
            "-1, Déficit y dejo la capacidad media",
            IF(AND(BG133&gt;TRUNC(BJ133/2,0), BG133&gt;BC133),
                "1, Déficit y eliminé déficit",
                IF(AND(BG133&lt;TRUNC(BJ133/2,0), BG133&lt;BC133),
                    "0, Déficit y no elimine déficit",
                    "-2, Déficit y resultado fue bueno")
            )
        ),
        IF(AND(BG133&gt;TRUNC(BJ133/2,0), BG133&gt;BC133),
            "1, no había déficit, pero resultado fue mejor",
            IF(AND(BG133&lt;TRUNC(BJ133/2,0),BG133&lt;BC133),
                "0, no había déficit y la dejo con déficit",
                IF(BG133=TRUNC(BJ133/2,0),
                    "-1, no había déficit y dejo la capacidad media",
                    "-2,no había déficit y resultado fue bueno")
            )
        )
    ),
    IF(BH133&lt;0,
        IF(BC133&gt;TRUNC(BJ133/2,0),
            IF(BG133=TRUNC(BJ133/2,0),
                "-1, Superávit y deje la capacidad media",
                IF(AND(BG133&gt;TRUNC(BJ133/2,0), BG133&gt;=BC133),
                    "0, Superávit y no eliminé superávit",
                    IF(AND(BG133&lt;TRUNC(BJ133/2,0),BG133&lt;BC133),
                        "1, Superávit y eliminé superávit",
                        "-2, Superávit y resultado fue bueno"
                    )
                )
            ),
            IF(AND(BC133&lt;=TRUNC(BJ133/2,0),BC133&gt;=0),
                IF(BG133=TRUNC(BJ133/2,0),
                    "-1, no había superávit y deje la capacidad media",
                    IF(AND(BG133&gt;TRUNC(BJ133/2,0), BG133&gt;=BC133),
                        "0, no había superávit, y la deje con superávit",
                        IF(AND(BG133&lt;TRUNC(BJ133/2,0),BG133&lt;BC133),
                            "1, no había superávit, pero el resultado fue mejor",
                            "-2, no había superávit y resultado fue bueno"
                        )
                    )
                )
            )
        )
    )
)</f>
        <v>-2, no había superávit y resultado fue bueno</v>
      </c>
      <c r="BO133" s="30" t="s">
        <v>227</v>
      </c>
      <c r="BP133" s="29">
        <v>9</v>
      </c>
      <c r="BQ133" s="31">
        <v>12.888888888888889</v>
      </c>
      <c r="BR133" s="29">
        <v>10</v>
      </c>
      <c r="BS133" s="29">
        <v>11</v>
      </c>
      <c r="BT133" s="29">
        <v>9</v>
      </c>
      <c r="BU133" s="30">
        <v>-0.99035075718315457</v>
      </c>
      <c r="BV133" s="26" t="s">
        <v>328</v>
      </c>
      <c r="BW133" s="30">
        <v>17</v>
      </c>
      <c r="BX133" s="29">
        <f>IF(BR133&gt;=BP133,1,0)</f>
        <v>1</v>
      </c>
      <c r="BY133" s="29">
        <f>BR133-BP133</f>
        <v>1</v>
      </c>
      <c r="BZ133" s="29" t="str">
        <f>IF(BU133&gt;0,
    IF(OR(BP133&lt;=TRUNC(BW133/2,0),BP133=0),
        IF(BT133=TRUNC(BW133/2,0),
            "-1, Déficit y dejo la capacidad media",
            IF(AND(BT133&gt;TRUNC(BW133/2,0), BT133&gt;BP133),
                "1, Déficit y eliminé déficit",
                IF(AND(BT133&lt;TRUNC(BW133/2,0), BT133&lt;BP133),
                    "0, Déficit y no elimine déficit",
                    "-2, Déficit y resultado fue bueno")
            )
        ),
        IF(AND(BT133&gt;TRUNC(BW133/2,0), BT133&gt;BP133),
            "1, no había déficit, pero resultado fue mejor",
            IF(AND(BT133&lt;TRUNC(BW133/2,0),BT133&lt;BP133),
                "0, no había déficit y la dejo con déficit",
                IF(BT133=TRUNC(BW133/2,0),
                    "-1, no había déficit y dejo la capacidad media",
                    "-2,no había déficit y resultado fue bueno")
            )
        )
    ),
    IF(BU133&lt;0,
        IF(BP133&gt;TRUNC(BW133/2,0),
            IF(BT133=TRUNC(BW133/2,0),
                "-1, Superávit y deje la capacidad media",
                IF(AND(BT133&gt;TRUNC(BW133/2,0), BT133&gt;=BP133),
                    "0, Superávit y no eliminé superávit",
                    IF(AND(BT133&lt;TRUNC(BW133/2,0),BT133&lt;BP133),
                        "1, Superávit y eliminé superávit",
                        "-2, Superávit y resultado fue bueno"
                    )
                )
            ),
            IF(AND(BP133&lt;=TRUNC(BW133/2,0),BP133&gt;=0),
                IF(BT133=TRUNC(BW133/2,0),
                    "-1, no había superávit y deje la capacidad media",
                    IF(AND(BT133&gt;TRUNC(BW133/2,0), BT133&gt;=BP133),
                        "0, no había superávit, y la deje con superávit",
                        IF(AND(BT133&lt;TRUNC(BW133/2,0),BT133&lt;BP133),
                            "1, no había superávit, pero el resultado fue mejor",
                            "-2, no había superávit y resultado fue bueno"
                        )
                    )
                )
            )
        )
    )
)</f>
        <v>0, Superávit y no eliminé superávit</v>
      </c>
      <c r="CB133" s="30" t="s">
        <v>227</v>
      </c>
      <c r="CC133" s="30">
        <v>17</v>
      </c>
      <c r="CD133" s="31">
        <v>15.222222222222221</v>
      </c>
      <c r="CE133" s="31">
        <v>17</v>
      </c>
      <c r="CF133" s="31">
        <v>17</v>
      </c>
      <c r="CG133" s="30">
        <v>14</v>
      </c>
      <c r="CH133" s="30">
        <v>-0.99035075718315457</v>
      </c>
      <c r="CI133" s="26" t="s">
        <v>328</v>
      </c>
      <c r="CJ133" s="30">
        <v>17</v>
      </c>
      <c r="CK133" s="29">
        <f>IF(CE133&gt;=CC133,1,0)</f>
        <v>1</v>
      </c>
      <c r="CL133" s="32">
        <f>CE133-CC133</f>
        <v>0</v>
      </c>
      <c r="CM133" s="32" t="str">
        <f>IF(CH133&gt;0,
    IF(OR(CC133&lt;=TRUNC(CJ133/2,0),CC133=0),
        IF(CG133=TRUNC(CJ133/2,0),
            "-1, Déficit y dejo la capacidad media",
            IF(AND(CG133&gt;TRUNC(CJ133/2,0), CG133&gt;CC133),
                "1, Déficit y eliminé déficit",
                IF(AND(CG133&lt;TRUNC(CJ133/2,0), CG133&lt;CC133),
                    "0, Déficit y no elimine déficit",
                    "-2, Déficit y resultado fue bueno")
            )
        ),
        IF(AND(CG133&gt;TRUNC(CJ133/2,0), CG133&gt;CC133),
            "1, no había déficit, pero resultado fue mejor",
            IF(AND(CG133&lt;TRUNC(CJ133/2,0),CG133&lt;CC133),
                "0, no había déficit y la dejo con déficit",
                IF(CG133=TRUNC(CJ133/2,0),
                    "-1, no había déficit y dejo la capacidad media",
                    "-2,no había déficit y resultado fue bueno")
            )
        )
    ),
    IF(CH133&lt;0,
        IF(CC133&gt;TRUNC(CJ133/2,0),
            IF(CG133=TRUNC(CJ133/2,0),
                "-1, Superávit y deje la capacidad media",
                IF(AND(CG133&gt;TRUNC(CJ133/2,0), CG133&gt;=CC133),
                    "0, Superávit y no eliminé superávit",
                    IF(AND(CG133&lt;TRUNC(CJ133/2,0),CG133&lt;CC133),
                        "1, Superávit y eliminé superávit",
                        "-2, Superávit y resultado fue bueno"
                    )
                )
            ),
            IF(AND(CC133&lt;=TRUNC(CJ133/2,0),CC133&gt;=0),
                IF(CG133=TRUNC(CJ133/2,0),
                    "-1, no había superávit y deje la capacidad media",
                    IF(AND(CG133&gt;TRUNC(CJ133/2,0), CG133&gt;=CC133),
                        "0, no había superávit, y la deje con superávit",
                        IF(AND(CG133&lt;TRUNC(CJ133/2,0),CG133&lt;CC133),
                            "1, no había superávit, pero el resultado fue mejor",
                            "-2, no había superávit y resultado fue bueno"
                        )
                    )
                )
            )
        )
    )
)</f>
        <v>-2, Superávit y resultado fue bueno</v>
      </c>
    </row>
    <row r="134" spans="2:91" ht="14.25" customHeight="1" x14ac:dyDescent="0.3">
      <c r="B134" s="30" t="s">
        <v>221</v>
      </c>
      <c r="C134" s="30">
        <v>13</v>
      </c>
      <c r="D134" s="31">
        <v>13.555555555555555</v>
      </c>
      <c r="E134" s="29">
        <v>13</v>
      </c>
      <c r="F134" s="29">
        <v>15</v>
      </c>
      <c r="G134" s="30">
        <v>16</v>
      </c>
      <c r="H134" s="30">
        <v>-1.072806810743151</v>
      </c>
      <c r="I134" s="26" t="s">
        <v>329</v>
      </c>
      <c r="J134" s="30">
        <v>19</v>
      </c>
      <c r="K134" s="29">
        <f>IF(E134&gt;=C134,1,0)</f>
        <v>1</v>
      </c>
      <c r="L134" s="29">
        <f>E134-C134</f>
        <v>0</v>
      </c>
      <c r="M134" s="29" t="str">
        <f>IF(H134&gt;0,
    IF(OR(C134&lt;=TRUNC(J134/2,0),C134=0),
        IF(G134=TRUNC(J134/2,0),
            "-1, Déficit y dejo la capacidad media",
            IF(AND(G134&gt;TRUNC(J134/2,0), G134&gt;C134),
                "1, Déficit y eliminé déficit",
                IF(AND(G134&lt;TRUNC(J134/2,0), G134&lt;C134),
                    "0, Déficit y no elimine déficit",
                    "-2, Déficit y resultado fue bueno")
            )
        ),
        IF(AND(G134&gt;TRUNC(J134/2,0), G134&gt;C134),
            "1, no había déficit, pero resultado fue mejor",
            IF(AND(G134&lt;TRUNC(J134/2,0),G134&lt;C134),
                "0, no había déficit y la dejo con déficit",
                IF(G134=TRUNC(J134/2,0),
                    "-1, no había déficit y dejo la capacidad media",
                    "-2,no había déficit y resultado fue bueno")
            )
        )
    ),
    IF(H134&lt;0,
        IF(C134&gt;TRUNC(J134/2,0),
            IF(G134=TRUNC(J134/2,0),
                "-1, Superávit y deje la capacidad media",
                IF(AND(G134&gt;TRUNC(J134/2,0), G134&gt;=C134),
                    "0, Superávit y no eliminé superávit",
                    IF(AND(G134&lt;TRUNC(J134/2,0),G134&lt;C134),
                        "1, Superávit y eliminé superávit",
                        "-2, Superávit y resultado fue bueno"
                    )
                )
            ),
            IF(AND(C134&lt;=TRUNC(J134/2,0),C134&gt;=0),
                IF(G134=TRUNC(J134/2,0),
                    "-1, no había superávit y deje la capacidad media",
                    IF(AND(G134&gt;TRUNC(J134/2,0), G134&gt;=C134),
                        "0, no había superávit, y la deje con superávit",
                        IF(AND(G134&lt;TRUNC(J134/2,0),G134&lt;C134),
                            "1, no había superávit, pero el resultado fue mejor",
                            "-2, no había superávit y resultado fue bueno"
                        )
                    )
                )
            )
        )
    )
)</f>
        <v>0, Superávit y no eliminé superávit</v>
      </c>
      <c r="O134" s="30" t="s">
        <v>221</v>
      </c>
      <c r="P134" s="30">
        <v>15</v>
      </c>
      <c r="Q134" s="31">
        <v>15</v>
      </c>
      <c r="R134" s="29">
        <v>7</v>
      </c>
      <c r="S134" s="30">
        <v>8</v>
      </c>
      <c r="T134" s="30">
        <v>15</v>
      </c>
      <c r="U134" s="30">
        <v>-1.072806810743151</v>
      </c>
      <c r="V134" s="26" t="s">
        <v>329</v>
      </c>
      <c r="W134" s="30">
        <v>19</v>
      </c>
      <c r="X134" s="29">
        <f>IF(R134&gt;=P134,1,0)</f>
        <v>0</v>
      </c>
      <c r="Y134" s="29">
        <f>R134-P134</f>
        <v>-8</v>
      </c>
      <c r="Z134" s="29" t="str">
        <f>IF(U134&gt;0,
    IF(OR(P134&lt;=TRUNC(W134/2,0),P134=0),
        IF(T134=TRUNC(W134/2,0),
            "-1, Déficit y dejo la capacidad media",
            IF(AND(T134&gt;TRUNC(W134/2,0), T134&gt;P134),
                "1, Déficit y eliminé déficit",
                IF(AND(T134&lt;TRUNC(W134/2,0), T134&lt;P134),
                    "0, Déficit y no elimine déficit",
                    "-2, Déficit y resultado fue bueno")
            )
        ),
        IF(AND(T134&gt;TRUNC(W134/2,0), T134&gt;P134),
            "1, no había déficit, pero resultado fue mejor",
            IF(AND(T134&lt;TRUNC(W134/2,0),T134&lt;P134),
                "0, no había déficit y la dejo con déficit",
                IF(T134=TRUNC(W134/2,0),
                    "-1, no había déficit y dejo la capacidad media",
                    "-2,no había déficit y resultado fue bueno")
            )
        )
    ),
    IF(U134&lt;0,
        IF(P134&gt;TRUNC(W134/2,0),
            IF(T134=TRUNC(W134/2,0),
                "-1, Superávit y deje la capacidad media",
                IF(AND(T134&gt;TRUNC(W134/2,0), T134&gt;=P134),
                    "0, Superávit y no eliminé superávit",
                    IF(AND(T134&lt;TRUNC(W134/2,0),T134&lt;P134),
                        "1, Superávit y eliminé superávit",
                        "-2, Superávit y resultado fue bueno"
                    )
                )
            ),
            IF(AND(P134&lt;=TRUNC(W134/2,0),P134&gt;=0),
                IF(T134=TRUNC(W134/2,0),
                    "-1, no había superávit y deje la capacidad media",
                    IF(AND(T134&gt;TRUNC(W134/2,0), T134&gt;=P134),
                        "0, no había superávit, y la deje con superávit",
                        IF(AND(T134&lt;TRUNC(W134/2,0),T134&lt;P134),
                            "1, no había superávit, pero el resultado fue mejor",
                            "-2, no había superávit y resultado fue bueno"
                        )
                    )
                )
            )
        )
    )
)</f>
        <v>0, Superávit y no eliminé superávit</v>
      </c>
      <c r="AB134" s="30" t="s">
        <v>221</v>
      </c>
      <c r="AC134" s="30">
        <v>8</v>
      </c>
      <c r="AD134" s="31">
        <v>12.555555555555555</v>
      </c>
      <c r="AE134" s="29">
        <v>15</v>
      </c>
      <c r="AF134" s="31">
        <v>15</v>
      </c>
      <c r="AG134" s="30">
        <v>8</v>
      </c>
      <c r="AH134" s="30">
        <v>-1.072806810743151</v>
      </c>
      <c r="AI134" s="26" t="s">
        <v>329</v>
      </c>
      <c r="AJ134" s="30">
        <v>19</v>
      </c>
      <c r="AK134" s="29">
        <f>IF(AE134&gt;=AC134,1,0)</f>
        <v>1</v>
      </c>
      <c r="AL134" s="29">
        <f>AE134-AC134</f>
        <v>7</v>
      </c>
      <c r="AM134" s="29" t="str">
        <f>IF(AH134&gt;0,
    IF(OR(AC134&lt;=TRUNC(AJ134/2,0),AC134=0),
        IF(AG134=TRUNC(AJ134/2,0),
            "-1, Déficit y dejo la capacidad media",
            IF(AND(AG134&gt;TRUNC(AJ134/2,0), AG134&gt;AC134),
                "1, Déficit y eliminé déficit",
                IF(AND(AG134&lt;TRUNC(AJ134/2,0), AG134&lt;AC134),
                    "0, Déficit y no elimine déficit",
                    "-2, Déficit y resultado fue bueno")
            )
        ),
        IF(AND(AG134&gt;TRUNC(AJ134/2,0), AG134&gt;AC134),
            "1, no había déficit, pero resultado fue mejor",
            IF(AND(AG134&lt;TRUNC(AJ134/2,0),AG134&lt;AC134),
                "0, no había déficit y la dejo con déficit",
                IF(AG134=TRUNC(AJ134/2,0),
                    "-1, no había déficit y dejo la capacidad media",
                    "-2,no había déficit y resultado fue bueno")
            )
        )
    ),
    IF(AH134&lt;0,
        IF(AC134&gt;TRUNC(AJ134/2,0),
            IF(AG134=TRUNC(AJ134/2,0),
                "-1, Superávit y deje la capacidad media",
                IF(AND(AG134&gt;TRUNC(AJ134/2,0), AG134&gt;=AC134),
                    "0, Superávit y no eliminé superávit",
                    IF(AND(AG134&lt;TRUNC(AJ134/2,0),AG134&lt;AC134),
                        "1, Superávit y eliminé superávit",
                        "-2, Superávit y resultado fue bueno"
                    )
                )
            ),
            IF(AND(AC134&lt;=TRUNC(AJ134/2,0),AC134&gt;=0),
                IF(AG134=TRUNC(AJ134/2,0),
                    "-1, no había superávit y deje la capacidad media",
                    IF(AND(AG134&gt;TRUNC(AJ134/2,0), AG134&gt;=AC134),
                        "0, no había superávit, y la deje con superávit",
                        IF(AND(AG134&lt;TRUNC(AJ134/2,0),AG134&lt;AC134),
                            "1, no había superávit, pero el resultado fue mejor",
                            "-2, no había superávit y resultado fue bueno"
                        )
                    )
                )
            )
        )
    )
)</f>
        <v>-2, no había superávit y resultado fue bueno</v>
      </c>
      <c r="AO134" s="30" t="s">
        <v>221</v>
      </c>
      <c r="AP134" s="30">
        <v>16</v>
      </c>
      <c r="AQ134" s="31">
        <v>14.222222222222221</v>
      </c>
      <c r="AR134" s="29">
        <v>16</v>
      </c>
      <c r="AS134" s="29">
        <v>14</v>
      </c>
      <c r="AT134" s="30">
        <v>16</v>
      </c>
      <c r="AU134" s="30">
        <v>-1.072806810743151</v>
      </c>
      <c r="AV134" s="26" t="s">
        <v>329</v>
      </c>
      <c r="AW134" s="30">
        <v>19</v>
      </c>
      <c r="AX134" s="29">
        <f>IF(AR134&lt;=AP134,1,0)</f>
        <v>1</v>
      </c>
      <c r="AY134" s="29">
        <f>AR134-AP134</f>
        <v>0</v>
      </c>
      <c r="AZ134" s="29" t="str">
        <f>IF(AU134&gt;0,
    IF(OR(AP134&lt;=TRUNC(AW134/2,0),AP134=0),
        IF(AT134=TRUNC(AW134/2,0),
            "-1, Déficit y dejo la capacidad media",
            IF(AND(AT134&gt;TRUNC(AW134/2,0), AT134&gt;AP134),
                "1, Déficit y eliminé déficit",
                IF(AND(AT134&lt;TRUNC(AW134/2,0), AT134&lt;AP134),
                    "0, Déficit y no elimine déficit",
                    "-2, Déficit y resultado fue bueno")
            )
        ),
        IF(AND(AT134&gt;TRUNC(AW134/2,0), AT134&gt;AP134),
            "1, no había déficit, pero resultado fue mejor",
            IF(AND(AT134&lt;TRUNC(AW134/2,0),AT134&lt;AP134),
                "0, no había déficit y la dejo con déficit",
                IF(AT134=TRUNC(AW134/2,0),
                    "-1, no había déficit y dejo la capacidad media",
                    "-2,no había déficit y resultado fue bueno")
            )
        )
    ),
    IF(AU134&lt;0,
        IF(AP134&gt;TRUNC(AW134/2,0),
            IF(AT134=TRUNC(AW134/2,0),
                "-1, Superávit y deje la capacidad media",
                IF(AND(AT134&gt;TRUNC(AW134/2,0), AT134&gt;=AP134),
                    "0, Superávit y no eliminé superávit",
                    IF(AND(AT134&lt;TRUNC(AW134/2,0),AT134&lt;AP134),
                        "1, Superávit y eliminé superávit",
                        "-2, Superávit y resultado fue bueno"
                    )
                )
            ),
            IF(AND(AP134&lt;=TRUNC(AW134/2,0),AP134&gt;=0),
                IF(AT134=TRUNC(AW134/2,0),
                    "-1, no había superávit y deje la capacidad media",
                    IF(AND(AT134&gt;TRUNC(AW134/2,0), AT134&gt;=AP134),
                        "0, no había superávit, y la deje con superávit",
                        IF(AND(AT134&lt;TRUNC(AW134/2,0),AT134&lt;AP134),
                            "1, no había superávit, pero el resultado fue mejor",
                            "-2, no había superávit y resultado fue bueno"
                        )
                    )
                )
            )
        )
    )
)</f>
        <v>0, Superávit y no eliminé superávit</v>
      </c>
      <c r="BB134" s="30" t="s">
        <v>221</v>
      </c>
      <c r="BC134" s="30">
        <v>14</v>
      </c>
      <c r="BD134" s="31">
        <v>12.555555555555555</v>
      </c>
      <c r="BE134" s="29">
        <v>15</v>
      </c>
      <c r="BF134" s="29">
        <v>16</v>
      </c>
      <c r="BG134" s="30">
        <v>15</v>
      </c>
      <c r="BH134" s="30">
        <v>-1.072806810743151</v>
      </c>
      <c r="BI134" s="26" t="s">
        <v>329</v>
      </c>
      <c r="BJ134" s="30">
        <v>19</v>
      </c>
      <c r="BK134" s="29">
        <f>IF(BE134&gt;=BC134,1,0)</f>
        <v>1</v>
      </c>
      <c r="BL134" s="29">
        <f>BE134-BC134</f>
        <v>1</v>
      </c>
      <c r="BM134" s="29" t="str">
        <f>IF(BH134&gt;0,
    IF(OR(BC134&lt;=TRUNC(BJ134/2,0),BC134=0),
        IF(BG134=TRUNC(BJ134/2,0),
            "-1, Déficit y dejo la capacidad media",
            IF(AND(BG134&gt;TRUNC(BJ134/2,0), BG134&gt;BC134),
                "1, Déficit y eliminé déficit",
                IF(AND(BG134&lt;TRUNC(BJ134/2,0), BG134&lt;BC134),
                    "0, Déficit y no elimine déficit",
                    "-2, Déficit y resultado fue bueno")
            )
        ),
        IF(AND(BG134&gt;TRUNC(BJ134/2,0), BG134&gt;BC134),
            "1, no había déficit, pero resultado fue mejor",
            IF(AND(BG134&lt;TRUNC(BJ134/2,0),BG134&lt;BC134),
                "0, no había déficit y la dejo con déficit",
                IF(BG134=TRUNC(BJ134/2,0),
                    "-1, no había déficit y dejo la capacidad media",
                    "-2,no había déficit y resultado fue bueno")
            )
        )
    ),
    IF(BH134&lt;0,
        IF(BC134&gt;TRUNC(BJ134/2,0),
            IF(BG134=TRUNC(BJ134/2,0),
                "-1, Superávit y deje la capacidad media",
                IF(AND(BG134&gt;TRUNC(BJ134/2,0), BG134&gt;=BC134),
                    "0, Superávit y no eliminé superávit",
                    IF(AND(BG134&lt;TRUNC(BJ134/2,0),BG134&lt;BC134),
                        "1, Superávit y eliminé superávit",
                        "-2, Superávit y resultado fue bueno"
                    )
                )
            ),
            IF(AND(BC134&lt;=TRUNC(BJ134/2,0),BC134&gt;=0),
                IF(BG134=TRUNC(BJ134/2,0),
                    "-1, no había superávit y deje la capacidad media",
                    IF(AND(BG134&gt;TRUNC(BJ134/2,0), BG134&gt;=BC134),
                        "0, no había superávit, y la deje con superávit",
                        IF(AND(BG134&lt;TRUNC(BJ134/2,0),BG134&lt;BC134),
                            "1, no había superávit, pero el resultado fue mejor",
                            "-2, no había superávit y resultado fue bueno"
                        )
                    )
                )
            )
        )
    )
)</f>
        <v>0, Superávit y no eliminé superávit</v>
      </c>
      <c r="BO134" s="30" t="s">
        <v>221</v>
      </c>
      <c r="BP134" s="29">
        <v>11</v>
      </c>
      <c r="BQ134" s="31">
        <v>12.111111111111111</v>
      </c>
      <c r="BR134" s="29">
        <v>9</v>
      </c>
      <c r="BS134" s="29">
        <v>9</v>
      </c>
      <c r="BT134" s="29">
        <v>14</v>
      </c>
      <c r="BU134" s="30">
        <v>-1.072806810743151</v>
      </c>
      <c r="BV134" s="26" t="s">
        <v>329</v>
      </c>
      <c r="BW134" s="30">
        <v>19</v>
      </c>
      <c r="BX134" s="29">
        <f>IF(BR134&gt;=BP134,1,0)</f>
        <v>0</v>
      </c>
      <c r="BY134" s="29">
        <f>BR134-BP134</f>
        <v>-2</v>
      </c>
      <c r="BZ134" s="29" t="str">
        <f>IF(BU134&gt;0,
    IF(OR(BP134&lt;=TRUNC(BW134/2,0),BP134=0),
        IF(BT134=TRUNC(BW134/2,0),
            "-1, Déficit y dejo la capacidad media",
            IF(AND(BT134&gt;TRUNC(BW134/2,0), BT134&gt;BP134),
                "1, Déficit y eliminé déficit",
                IF(AND(BT134&lt;TRUNC(BW134/2,0), BT134&lt;BP134),
                    "0, Déficit y no elimine déficit",
                    "-2, Déficit y resultado fue bueno")
            )
        ),
        IF(AND(BT134&gt;TRUNC(BW134/2,0), BT134&gt;BP134),
            "1, no había déficit, pero resultado fue mejor",
            IF(AND(BT134&lt;TRUNC(BW134/2,0),BT134&lt;BP134),
                "0, no había déficit y la dejo con déficit",
                IF(BT134=TRUNC(BW134/2,0),
                    "-1, no había déficit y dejo la capacidad media",
                    "-2,no había déficit y resultado fue bueno")
            )
        )
    ),
    IF(BU134&lt;0,
        IF(BP134&gt;TRUNC(BW134/2,0),
            IF(BT134=TRUNC(BW134/2,0),
                "-1, Superávit y deje la capacidad media",
                IF(AND(BT134&gt;TRUNC(BW134/2,0), BT134&gt;=BP134),
                    "0, Superávit y no eliminé superávit",
                    IF(AND(BT134&lt;TRUNC(BW134/2,0),BT134&lt;BP134),
                        "1, Superávit y eliminé superávit",
                        "-2, Superávit y resultado fue bueno"
                    )
                )
            ),
            IF(AND(BP134&lt;=TRUNC(BW134/2,0),BP134&gt;=0),
                IF(BT134=TRUNC(BW134/2,0),
                    "-1, no había superávit y deje la capacidad media",
                    IF(AND(BT134&gt;TRUNC(BW134/2,0), BT134&gt;=BP134),
                        "0, no había superávit, y la deje con superávit",
                        IF(AND(BT134&lt;TRUNC(BW134/2,0),BT134&lt;BP134),
                            "1, no había superávit, pero el resultado fue mejor",
                            "-2, no había superávit y resultado fue bueno"
                        )
                    )
                )
            )
        )
    )
)</f>
        <v>0, Superávit y no eliminé superávit</v>
      </c>
      <c r="CB134" s="30" t="s">
        <v>221</v>
      </c>
      <c r="CC134" s="30">
        <v>4</v>
      </c>
      <c r="CD134" s="31">
        <v>13.222222222222221</v>
      </c>
      <c r="CE134" s="31">
        <v>3</v>
      </c>
      <c r="CF134" s="31">
        <v>1</v>
      </c>
      <c r="CG134" s="30">
        <v>16</v>
      </c>
      <c r="CH134" s="30">
        <v>-1.072806810743151</v>
      </c>
      <c r="CI134" s="26" t="s">
        <v>329</v>
      </c>
      <c r="CJ134" s="30">
        <v>19</v>
      </c>
      <c r="CK134" s="29">
        <f>IF(CE134&gt;=CC134,1,0)</f>
        <v>0</v>
      </c>
      <c r="CL134" s="32">
        <f>CE134-CC134</f>
        <v>-1</v>
      </c>
      <c r="CM134" s="32" t="str">
        <f>IF(CH134&gt;0,
    IF(OR(CC134&lt;=TRUNC(CJ134/2,0),CC134=0),
        IF(CG134=TRUNC(CJ134/2,0),
            "-1, Déficit y dejo la capacidad media",
            IF(AND(CG134&gt;TRUNC(CJ134/2,0), CG134&gt;CC134),
                "1, Déficit y eliminé déficit",
                IF(AND(CG134&lt;TRUNC(CJ134/2,0), CG134&lt;CC134),
                    "0, Déficit y no elimine déficit",
                    "-2, Déficit y resultado fue bueno")
            )
        ),
        IF(AND(CG134&gt;TRUNC(CJ134/2,0), CG134&gt;CC134),
            "1, no había déficit, pero resultado fue mejor",
            IF(AND(CG134&lt;TRUNC(CJ134/2,0),CG134&lt;CC134),
                "0, no había déficit y la dejo con déficit",
                IF(CG134=TRUNC(CJ134/2,0),
                    "-1, no había déficit y dejo la capacidad media",
                    "-2,no había déficit y resultado fue bueno")
            )
        )
    ),
    IF(CH134&lt;0,
        IF(CC134&gt;TRUNC(CJ134/2,0),
            IF(CG134=TRUNC(CJ134/2,0),
                "-1, Superávit y deje la capacidad media",
                IF(AND(CG134&gt;TRUNC(CJ134/2,0), CG134&gt;=CC134),
                    "0, Superávit y no eliminé superávit",
                    IF(AND(CG134&lt;TRUNC(CJ134/2,0),CG134&lt;CC134),
                        "1, Superávit y eliminé superávit",
                        "-2, Superávit y resultado fue bueno"
                    )
                )
            ),
            IF(AND(CC134&lt;=TRUNC(CJ134/2,0),CC134&gt;=0),
                IF(CG134=TRUNC(CJ134/2,0),
                    "-1, no había superávit y deje la capacidad media",
                    IF(AND(CG134&gt;TRUNC(CJ134/2,0), CG134&gt;=CC134),
                        "0, no había superávit, y la deje con superávit",
                        IF(AND(CG134&lt;TRUNC(CJ134/2,0),CG134&lt;CC134),
                            "1, no había superávit, pero el resultado fue mejor",
                            "-2, no había superávit y resultado fue bueno"
                        )
                    )
                )
            )
        )
    )
)</f>
        <v>0, no había superávit, y la deje con superávit</v>
      </c>
    </row>
    <row r="135" spans="2:91" ht="14.25" customHeight="1" x14ac:dyDescent="0.3">
      <c r="B135" s="30" t="s">
        <v>224</v>
      </c>
      <c r="C135" s="30">
        <v>13</v>
      </c>
      <c r="D135" s="31">
        <v>11.777777777777779</v>
      </c>
      <c r="E135" s="29">
        <v>13</v>
      </c>
      <c r="F135" s="29">
        <v>13</v>
      </c>
      <c r="G135" s="30">
        <v>2</v>
      </c>
      <c r="H135" s="30">
        <v>-1.1339562965442611</v>
      </c>
      <c r="I135" s="26" t="s">
        <v>321</v>
      </c>
      <c r="J135" s="30">
        <v>15</v>
      </c>
      <c r="K135" s="29">
        <f>IF(E135&gt;=C135,1,0)</f>
        <v>1</v>
      </c>
      <c r="L135" s="29">
        <f>E135-C135</f>
        <v>0</v>
      </c>
      <c r="M135" s="29" t="str">
        <f>IF(H135&gt;0,
    IF(OR(C135&lt;=TRUNC(J135/2,0),C135=0),
        IF(G135=TRUNC(J135/2,0),
            "-1, Déficit y dejo la capacidad media",
            IF(AND(G135&gt;TRUNC(J135/2,0), G135&gt;C135),
                "1, Déficit y eliminé déficit",
                IF(AND(G135&lt;TRUNC(J135/2,0), G135&lt;C135),
                    "0, Déficit y no elimine déficit",
                    "-2, Déficit y resultado fue bueno")
            )
        ),
        IF(AND(G135&gt;TRUNC(J135/2,0), G135&gt;C135),
            "1, no había déficit, pero resultado fue mejor",
            IF(AND(G135&lt;TRUNC(J135/2,0),G135&lt;C135),
                "0, no había déficit y la dejo con déficit",
                IF(G135=TRUNC(J135/2,0),
                    "-1, no había déficit y dejo la capacidad media",
                    "-2,no había déficit y resultado fue bueno")
            )
        )
    ),
    IF(H135&lt;0,
        IF(C135&gt;TRUNC(J135/2,0),
            IF(G135=TRUNC(J135/2,0),
                "-1, Superávit y deje la capacidad media",
                IF(AND(G135&gt;TRUNC(J135/2,0), G135&gt;=C135),
                    "0, Superávit y no eliminé superávit",
                    IF(AND(G135&lt;TRUNC(J135/2,0),G135&lt;C135),
                        "1, Superávit y eliminé superávit",
                        "-2, Superávit y resultado fue bueno"
                    )
                )
            ),
            IF(AND(C135&lt;=TRUNC(J135/2,0),C135&gt;=0),
                IF(G135=TRUNC(J135/2,0),
                    "-1, no había superávit y deje la capacidad media",
                    IF(AND(G135&gt;TRUNC(J135/2,0), G135&gt;=C135),
                        "0, no había superávit, y la deje con superávit",
                        IF(AND(G135&lt;TRUNC(J135/2,0),G135&lt;C135),
                            "1, no había superávit, pero el resultado fue mejor",
                            "-2, no había superávit y resultado fue bueno"
                        )
                    )
                )
            )
        )
    )
)</f>
        <v>1, Superávit y eliminé superávit</v>
      </c>
      <c r="O135" s="30" t="s">
        <v>224</v>
      </c>
      <c r="P135" s="30">
        <v>12</v>
      </c>
      <c r="Q135" s="31">
        <v>9.3333333333333339</v>
      </c>
      <c r="R135" s="29">
        <v>10</v>
      </c>
      <c r="S135" s="30">
        <v>12</v>
      </c>
      <c r="T135" s="30">
        <v>12</v>
      </c>
      <c r="U135" s="30">
        <v>-1.1339562965442611</v>
      </c>
      <c r="V135" s="26" t="s">
        <v>321</v>
      </c>
      <c r="W135" s="30">
        <v>15</v>
      </c>
      <c r="X135" s="29">
        <f>IF(R135&gt;=P135,1,0)</f>
        <v>0</v>
      </c>
      <c r="Y135" s="29">
        <f>R135-P135</f>
        <v>-2</v>
      </c>
      <c r="Z135" s="29" t="str">
        <f>IF(U135&gt;0,
    IF(OR(P135&lt;=TRUNC(W135/2,0),P135=0),
        IF(T135=TRUNC(W135/2,0),
            "-1, Déficit y dejo la capacidad media",
            IF(AND(T135&gt;TRUNC(W135/2,0), T135&gt;P135),
                "1, Déficit y eliminé déficit",
                IF(AND(T135&lt;TRUNC(W135/2,0), T135&lt;P135),
                    "0, Déficit y no elimine déficit",
                    "-2, Déficit y resultado fue bueno")
            )
        ),
        IF(AND(T135&gt;TRUNC(W135/2,0), T135&gt;P135),
            "1, no había déficit, pero resultado fue mejor",
            IF(AND(T135&lt;TRUNC(W135/2,0),T135&lt;P135),
                "0, no había déficit y la dejo con déficit",
                IF(T135=TRUNC(W135/2,0),
                    "-1, no había déficit y dejo la capacidad media",
                    "-2,no había déficit y resultado fue bueno")
            )
        )
    ),
    IF(U135&lt;0,
        IF(P135&gt;TRUNC(W135/2,0),
            IF(T135=TRUNC(W135/2,0),
                "-1, Superávit y deje la capacidad media",
                IF(AND(T135&gt;TRUNC(W135/2,0), T135&gt;=P135),
                    "0, Superávit y no eliminé superávit",
                    IF(AND(T135&lt;TRUNC(W135/2,0),T135&lt;P135),
                        "1, Superávit y eliminé superávit",
                        "-2, Superávit y resultado fue bueno"
                    )
                )
            ),
            IF(AND(P135&lt;=TRUNC(W135/2,0),P135&gt;=0),
                IF(T135=TRUNC(W135/2,0),
                    "-1, no había superávit y deje la capacidad media",
                    IF(AND(T135&gt;TRUNC(W135/2,0), T135&gt;=P135),
                        "0, no había superávit, y la deje con superávit",
                        IF(AND(T135&lt;TRUNC(W135/2,0),T135&lt;P135),
                            "1, no había superávit, pero el resultado fue mejor",
                            "-2, no había superávit y resultado fue bueno"
                        )
                    )
                )
            )
        )
    )
)</f>
        <v>0, Superávit y no eliminé superávit</v>
      </c>
      <c r="AB135" s="30" t="s">
        <v>224</v>
      </c>
      <c r="AC135" s="30">
        <v>1</v>
      </c>
      <c r="AD135" s="31">
        <v>6.4444444444444446</v>
      </c>
      <c r="AE135" s="29">
        <v>11</v>
      </c>
      <c r="AF135" s="31">
        <v>12</v>
      </c>
      <c r="AG135" s="30">
        <v>5</v>
      </c>
      <c r="AH135" s="30">
        <v>-1.1339562965442611</v>
      </c>
      <c r="AI135" s="26" t="s">
        <v>321</v>
      </c>
      <c r="AJ135" s="30">
        <v>15</v>
      </c>
      <c r="AK135" s="29">
        <f>IF(AE135&gt;=AC135,1,0)</f>
        <v>1</v>
      </c>
      <c r="AL135" s="29">
        <f>AE135-AC135</f>
        <v>10</v>
      </c>
      <c r="AM135" s="29" t="str">
        <f>IF(AH135&gt;0,
    IF(OR(AC135&lt;=TRUNC(AJ135/2,0),AC135=0),
        IF(AG135=TRUNC(AJ135/2,0),
            "-1, Déficit y dejo la capacidad media",
            IF(AND(AG135&gt;TRUNC(AJ135/2,0), AG135&gt;AC135),
                "1, Déficit y eliminé déficit",
                IF(AND(AG135&lt;TRUNC(AJ135/2,0), AG135&lt;AC135),
                    "0, Déficit y no elimine déficit",
                    "-2, Déficit y resultado fue bueno")
            )
        ),
        IF(AND(AG135&gt;TRUNC(AJ135/2,0), AG135&gt;AC135),
            "1, no había déficit, pero resultado fue mejor",
            IF(AND(AG135&lt;TRUNC(AJ135/2,0),AG135&lt;AC135),
                "0, no había déficit y la dejo con déficit",
                IF(AG135=TRUNC(AJ135/2,0),
                    "-1, no había déficit y dejo la capacidad media",
                    "-2,no había déficit y resultado fue bueno")
            )
        )
    ),
    IF(AH135&lt;0,
        IF(AC135&gt;TRUNC(AJ135/2,0),
            IF(AG135=TRUNC(AJ135/2,0),
                "-1, Superávit y deje la capacidad media",
                IF(AND(AG135&gt;TRUNC(AJ135/2,0), AG135&gt;=AC135),
                    "0, Superávit y no eliminé superávit",
                    IF(AND(AG135&lt;TRUNC(AJ135/2,0),AG135&lt;AC135),
                        "1, Superávit y eliminé superávit",
                        "-2, Superávit y resultado fue bueno"
                    )
                )
            ),
            IF(AND(AC135&lt;=TRUNC(AJ135/2,0),AC135&gt;=0),
                IF(AG135=TRUNC(AJ135/2,0),
                    "-1, no había superávit y deje la capacidad media",
                    IF(AND(AG135&gt;TRUNC(AJ135/2,0), AG135&gt;=AC135),
                        "0, no había superávit, y la deje con superávit",
                        IF(AND(AG135&lt;TRUNC(AJ135/2,0),AG135&lt;AC135),
                            "1, no había superávit, pero el resultado fue mejor",
                            "-2, no había superávit y resultado fue bueno"
                        )
                    )
                )
            )
        )
    )
)</f>
        <v>-2, no había superávit y resultado fue bueno</v>
      </c>
      <c r="AO135" s="30" t="s">
        <v>224</v>
      </c>
      <c r="AP135" s="30">
        <v>15</v>
      </c>
      <c r="AQ135" s="31">
        <v>10.555555555555555</v>
      </c>
      <c r="AR135" s="29">
        <v>15</v>
      </c>
      <c r="AS135" s="29">
        <v>15</v>
      </c>
      <c r="AT135" s="30">
        <v>2</v>
      </c>
      <c r="AU135" s="30">
        <v>-1.1339562965442611</v>
      </c>
      <c r="AV135" s="26" t="s">
        <v>321</v>
      </c>
      <c r="AW135" s="30">
        <v>15</v>
      </c>
      <c r="AX135" s="29">
        <f>IF(AR135&lt;=AP135,1,0)</f>
        <v>1</v>
      </c>
      <c r="AY135" s="29">
        <f>AR135-AP135</f>
        <v>0</v>
      </c>
      <c r="AZ135" s="29" t="str">
        <f>IF(AU135&gt;0,
    IF(OR(AP135&lt;=TRUNC(AW135/2,0),AP135=0),
        IF(AT135=TRUNC(AW135/2,0),
            "-1, Déficit y dejo la capacidad media",
            IF(AND(AT135&gt;TRUNC(AW135/2,0), AT135&gt;AP135),
                "1, Déficit y eliminé déficit",
                IF(AND(AT135&lt;TRUNC(AW135/2,0), AT135&lt;AP135),
                    "0, Déficit y no elimine déficit",
                    "-2, Déficit y resultado fue bueno")
            )
        ),
        IF(AND(AT135&gt;TRUNC(AW135/2,0), AT135&gt;AP135),
            "1, no había déficit, pero resultado fue mejor",
            IF(AND(AT135&lt;TRUNC(AW135/2,0),AT135&lt;AP135),
                "0, no había déficit y la dejo con déficit",
                IF(AT135=TRUNC(AW135/2,0),
                    "-1, no había déficit y dejo la capacidad media",
                    "-2,no había déficit y resultado fue bueno")
            )
        )
    ),
    IF(AU135&lt;0,
        IF(AP135&gt;TRUNC(AW135/2,0),
            IF(AT135=TRUNC(AW135/2,0),
                "-1, Superávit y deje la capacidad media",
                IF(AND(AT135&gt;TRUNC(AW135/2,0), AT135&gt;=AP135),
                    "0, Superávit y no eliminé superávit",
                    IF(AND(AT135&lt;TRUNC(AW135/2,0),AT135&lt;AP135),
                        "1, Superávit y eliminé superávit",
                        "-2, Superávit y resultado fue bueno"
                    )
                )
            ),
            IF(AND(AP135&lt;=TRUNC(AW135/2,0),AP135&gt;=0),
                IF(AT135=TRUNC(AW135/2,0),
                    "-1, no había superávit y deje la capacidad media",
                    IF(AND(AT135&gt;TRUNC(AW135/2,0), AT135&gt;=AP135),
                        "0, no había superávit, y la deje con superávit",
                        IF(AND(AT135&lt;TRUNC(AW135/2,0),AT135&lt;AP135),
                            "1, no había superávit, pero el resultado fue mejor",
                            "-2, no había superávit y resultado fue bueno"
                        )
                    )
                )
            )
        )
    )
)</f>
        <v>1, Superávit y eliminé superávit</v>
      </c>
      <c r="BB135" s="30" t="s">
        <v>224</v>
      </c>
      <c r="BC135" s="30">
        <v>2</v>
      </c>
      <c r="BD135" s="31">
        <v>8.2222222222222214</v>
      </c>
      <c r="BE135" s="29">
        <v>6</v>
      </c>
      <c r="BF135" s="29">
        <v>6</v>
      </c>
      <c r="BG135" s="30">
        <v>4</v>
      </c>
      <c r="BH135" s="30">
        <v>-1.1339562965442611</v>
      </c>
      <c r="BI135" s="26" t="s">
        <v>321</v>
      </c>
      <c r="BJ135" s="30">
        <v>15</v>
      </c>
      <c r="BK135" s="29">
        <f>IF(BE135&gt;=BC135,1,0)</f>
        <v>1</v>
      </c>
      <c r="BL135" s="29">
        <f>BE135-BC135</f>
        <v>4</v>
      </c>
      <c r="BM135" s="29" t="str">
        <f>IF(BH135&gt;0,
    IF(OR(BC135&lt;=TRUNC(BJ135/2,0),BC135=0),
        IF(BG135=TRUNC(BJ135/2,0),
            "-1, Déficit y dejo la capacidad media",
            IF(AND(BG135&gt;TRUNC(BJ135/2,0), BG135&gt;BC135),
                "1, Déficit y eliminé déficit",
                IF(AND(BG135&lt;TRUNC(BJ135/2,0), BG135&lt;BC135),
                    "0, Déficit y no elimine déficit",
                    "-2, Déficit y resultado fue bueno")
            )
        ),
        IF(AND(BG135&gt;TRUNC(BJ135/2,0), BG135&gt;BC135),
            "1, no había déficit, pero resultado fue mejor",
            IF(AND(BG135&lt;TRUNC(BJ135/2,0),BG135&lt;BC135),
                "0, no había déficit y la dejo con déficit",
                IF(BG135=TRUNC(BJ135/2,0),
                    "-1, no había déficit y dejo la capacidad media",
                    "-2,no había déficit y resultado fue bueno")
            )
        )
    ),
    IF(BH135&lt;0,
        IF(BC135&gt;TRUNC(BJ135/2,0),
            IF(BG135=TRUNC(BJ135/2,0),
                "-1, Superávit y deje la capacidad media",
                IF(AND(BG135&gt;TRUNC(BJ135/2,0), BG135&gt;=BC135),
                    "0, Superávit y no eliminé superávit",
                    IF(AND(BG135&lt;TRUNC(BJ135/2,0),BG135&lt;BC135),
                        "1, Superávit y eliminé superávit",
                        "-2, Superávit y resultado fue bueno"
                    )
                )
            ),
            IF(AND(BC135&lt;=TRUNC(BJ135/2,0),BC135&gt;=0),
                IF(BG135=TRUNC(BJ135/2,0),
                    "-1, no había superávit y deje la capacidad media",
                    IF(AND(BG135&gt;TRUNC(BJ135/2,0), BG135&gt;=BC135),
                        "0, no había superávit, y la deje con superávit",
                        IF(AND(BG135&lt;TRUNC(BJ135/2,0),BG135&lt;BC135),
                            "1, no había superávit, pero el resultado fue mejor",
                            "-2, no había superávit y resultado fue bueno"
                        )
                    )
                )
            )
        )
    )
)</f>
        <v>-2, no había superávit y resultado fue bueno</v>
      </c>
      <c r="BO135" s="30" t="s">
        <v>224</v>
      </c>
      <c r="BP135" s="29">
        <v>9</v>
      </c>
      <c r="BQ135" s="31">
        <v>12.111111111111111</v>
      </c>
      <c r="BR135" s="29">
        <v>9</v>
      </c>
      <c r="BS135" s="29">
        <v>9</v>
      </c>
      <c r="BT135" s="29">
        <v>9</v>
      </c>
      <c r="BU135" s="30">
        <v>-1.1339562965442611</v>
      </c>
      <c r="BV135" s="26" t="s">
        <v>321</v>
      </c>
      <c r="BW135" s="30">
        <v>15</v>
      </c>
      <c r="BX135" s="29">
        <f>IF(BR135&gt;=BP135,1,0)</f>
        <v>1</v>
      </c>
      <c r="BY135" s="29">
        <f>BR135-BP135</f>
        <v>0</v>
      </c>
      <c r="BZ135" s="29" t="str">
        <f>IF(BU135&gt;0,
    IF(OR(BP135&lt;=TRUNC(BW135/2,0),BP135=0),
        IF(BT135=TRUNC(BW135/2,0),
            "-1, Déficit y dejo la capacidad media",
            IF(AND(BT135&gt;TRUNC(BW135/2,0), BT135&gt;BP135),
                "1, Déficit y eliminé déficit",
                IF(AND(BT135&lt;TRUNC(BW135/2,0), BT135&lt;BP135),
                    "0, Déficit y no elimine déficit",
                    "-2, Déficit y resultado fue bueno")
            )
        ),
        IF(AND(BT135&gt;TRUNC(BW135/2,0), BT135&gt;BP135),
            "1, no había déficit, pero resultado fue mejor",
            IF(AND(BT135&lt;TRUNC(BW135/2,0),BT135&lt;BP135),
                "0, no había déficit y la dejo con déficit",
                IF(BT135=TRUNC(BW135/2,0),
                    "-1, no había déficit y dejo la capacidad media",
                    "-2,no había déficit y resultado fue bueno")
            )
        )
    ),
    IF(BU135&lt;0,
        IF(BP135&gt;TRUNC(BW135/2,0),
            IF(BT135=TRUNC(BW135/2,0),
                "-1, Superávit y deje la capacidad media",
                IF(AND(BT135&gt;TRUNC(BW135/2,0), BT135&gt;=BP135),
                    "0, Superávit y no eliminé superávit",
                    IF(AND(BT135&lt;TRUNC(BW135/2,0),BT135&lt;BP135),
                        "1, Superávit y eliminé superávit",
                        "-2, Superávit y resultado fue bueno"
                    )
                )
            ),
            IF(AND(BP135&lt;=TRUNC(BW135/2,0),BP135&gt;=0),
                IF(BT135=TRUNC(BW135/2,0),
                    "-1, no había superávit y deje la capacidad media",
                    IF(AND(BT135&gt;TRUNC(BW135/2,0), BT135&gt;=BP135),
                        "0, no había superávit, y la deje con superávit",
                        IF(AND(BT135&lt;TRUNC(BW135/2,0),BT135&lt;BP135),
                            "1, no había superávit, pero el resultado fue mejor",
                            "-2, no había superávit y resultado fue bueno"
                        )
                    )
                )
            )
        )
    )
)</f>
        <v>0, Superávit y no eliminé superávit</v>
      </c>
      <c r="CB135" s="30" t="s">
        <v>224</v>
      </c>
      <c r="CC135" s="30">
        <v>14</v>
      </c>
      <c r="CD135" s="31">
        <v>13</v>
      </c>
      <c r="CE135" s="31">
        <v>14</v>
      </c>
      <c r="CF135" s="31">
        <v>14</v>
      </c>
      <c r="CG135" s="30">
        <v>13</v>
      </c>
      <c r="CH135" s="30">
        <v>-1.1339562965442611</v>
      </c>
      <c r="CI135" s="26" t="s">
        <v>321</v>
      </c>
      <c r="CJ135" s="30">
        <v>15</v>
      </c>
      <c r="CK135" s="29">
        <f>IF(CE135&gt;=CC135,1,0)</f>
        <v>1</v>
      </c>
      <c r="CL135" s="32">
        <f>CE135-CC135</f>
        <v>0</v>
      </c>
      <c r="CM135" s="32" t="str">
        <f>IF(CH135&gt;0,
    IF(OR(CC135&lt;=TRUNC(CJ135/2,0),CC135=0),
        IF(CG135=TRUNC(CJ135/2,0),
            "-1, Déficit y dejo la capacidad media",
            IF(AND(CG135&gt;TRUNC(CJ135/2,0), CG135&gt;CC135),
                "1, Déficit y eliminé déficit",
                IF(AND(CG135&lt;TRUNC(CJ135/2,0), CG135&lt;CC135),
                    "0, Déficit y no elimine déficit",
                    "-2, Déficit y resultado fue bueno")
            )
        ),
        IF(AND(CG135&gt;TRUNC(CJ135/2,0), CG135&gt;CC135),
            "1, no había déficit, pero resultado fue mejor",
            IF(AND(CG135&lt;TRUNC(CJ135/2,0),CG135&lt;CC135),
                "0, no había déficit y la dejo con déficit",
                IF(CG135=TRUNC(CJ135/2,0),
                    "-1, no había déficit y dejo la capacidad media",
                    "-2,no había déficit y resultado fue bueno")
            )
        )
    ),
    IF(CH135&lt;0,
        IF(CC135&gt;TRUNC(CJ135/2,0),
            IF(CG135=TRUNC(CJ135/2,0),
                "-1, Superávit y deje la capacidad media",
                IF(AND(CG135&gt;TRUNC(CJ135/2,0), CG135&gt;=CC135),
                    "0, Superávit y no eliminé superávit",
                    IF(AND(CG135&lt;TRUNC(CJ135/2,0),CG135&lt;CC135),
                        "1, Superávit y eliminé superávit",
                        "-2, Superávit y resultado fue bueno"
                    )
                )
            ),
            IF(AND(CC135&lt;=TRUNC(CJ135/2,0),CC135&gt;=0),
                IF(CG135=TRUNC(CJ135/2,0),
                    "-1, no había superávit y deje la capacidad media",
                    IF(AND(CG135&gt;TRUNC(CJ135/2,0), CG135&gt;=CC135),
                        "0, no había superávit, y la deje con superávit",
                        IF(AND(CG135&lt;TRUNC(CJ135/2,0),CG135&lt;CC135),
                            "1, no había superávit, pero el resultado fue mejor",
                            "-2, no había superávit y resultado fue bueno"
                        )
                    )
                )
            )
        )
    )
)</f>
        <v>-2, Superávit y resultado fue bueno</v>
      </c>
    </row>
    <row r="136" spans="2:91" ht="14.25" customHeight="1" x14ac:dyDescent="0.3">
      <c r="B136" s="30" t="s">
        <v>207</v>
      </c>
      <c r="C136" s="30">
        <v>18</v>
      </c>
      <c r="D136" s="31">
        <v>13.111111111111111</v>
      </c>
      <c r="E136" s="29">
        <v>7</v>
      </c>
      <c r="F136" s="29">
        <v>8</v>
      </c>
      <c r="G136" s="30">
        <v>15</v>
      </c>
      <c r="H136" s="30">
        <v>-1.196962071035268</v>
      </c>
      <c r="I136" s="26" t="s">
        <v>329</v>
      </c>
      <c r="J136" s="30">
        <v>19</v>
      </c>
      <c r="K136" s="29">
        <f>IF(E136&gt;=C136,1,0)</f>
        <v>0</v>
      </c>
      <c r="L136" s="29">
        <f>E136-C136</f>
        <v>-11</v>
      </c>
      <c r="M136" s="29" t="str">
        <f>IF(H136&gt;0,
    IF(OR(C136&lt;=TRUNC(J136/2,0),C136=0),
        IF(G136=TRUNC(J136/2,0),
            "-1, Déficit y dejo la capacidad media",
            IF(AND(G136&gt;TRUNC(J136/2,0), G136&gt;C136),
                "1, Déficit y eliminé déficit",
                IF(AND(G136&lt;TRUNC(J136/2,0), G136&lt;C136),
                    "0, Déficit y no elimine déficit",
                    "-2, Déficit y resultado fue bueno")
            )
        ),
        IF(AND(G136&gt;TRUNC(J136/2,0), G136&gt;C136),
            "1, no había déficit, pero resultado fue mejor",
            IF(AND(G136&lt;TRUNC(J136/2,0),G136&lt;C136),
                "0, no había déficit y la dejo con déficit",
                IF(G136=TRUNC(J136/2,0),
                    "-1, no había déficit y dejo la capacidad media",
                    "-2,no había déficit y resultado fue bueno")
            )
        )
    ),
    IF(H136&lt;0,
        IF(C136&gt;TRUNC(J136/2,0),
            IF(G136=TRUNC(J136/2,0),
                "-1, Superávit y deje la capacidad media",
                IF(AND(G136&gt;TRUNC(J136/2,0), G136&gt;=C136),
                    "0, Superávit y no eliminé superávit",
                    IF(AND(G136&lt;TRUNC(J136/2,0),G136&lt;C136),
                        "1, Superávit y eliminé superávit",
                        "-2, Superávit y resultado fue bueno"
                    )
                )
            ),
            IF(AND(C136&lt;=TRUNC(J136/2,0),C136&gt;=0),
                IF(G136=TRUNC(J136/2,0),
                    "-1, no había superávit y deje la capacidad media",
                    IF(AND(G136&gt;TRUNC(J136/2,0), G136&gt;=C136),
                        "0, no había superávit, y la deje con superávit",
                        IF(AND(G136&lt;TRUNC(J136/2,0),G136&lt;C136),
                            "1, no había superávit, pero el resultado fue mejor",
                            "-2, no había superávit y resultado fue bueno"
                        )
                    )
                )
            )
        )
    )
)</f>
        <v>-2, Superávit y resultado fue bueno</v>
      </c>
      <c r="O136" s="30" t="s">
        <v>207</v>
      </c>
      <c r="P136" s="30">
        <v>15</v>
      </c>
      <c r="Q136" s="31">
        <v>9.2222222222222214</v>
      </c>
      <c r="R136" s="29">
        <v>12</v>
      </c>
      <c r="S136" s="30">
        <v>11</v>
      </c>
      <c r="T136" s="30">
        <v>15</v>
      </c>
      <c r="U136" s="30">
        <v>-1.196962071035268</v>
      </c>
      <c r="V136" s="26" t="s">
        <v>329</v>
      </c>
      <c r="W136" s="30">
        <v>19</v>
      </c>
      <c r="X136" s="29">
        <f>IF(R136&gt;=P136,1,0)</f>
        <v>0</v>
      </c>
      <c r="Y136" s="29">
        <f>R136-P136</f>
        <v>-3</v>
      </c>
      <c r="Z136" s="29" t="str">
        <f>IF(U136&gt;0,
    IF(OR(P136&lt;=TRUNC(W136/2,0),P136=0),
        IF(T136=TRUNC(W136/2,0),
            "-1, Déficit y dejo la capacidad media",
            IF(AND(T136&gt;TRUNC(W136/2,0), T136&gt;P136),
                "1, Déficit y eliminé déficit",
                IF(AND(T136&lt;TRUNC(W136/2,0), T136&lt;P136),
                    "0, Déficit y no elimine déficit",
                    "-2, Déficit y resultado fue bueno")
            )
        ),
        IF(AND(T136&gt;TRUNC(W136/2,0), T136&gt;P136),
            "1, no había déficit, pero resultado fue mejor",
            IF(AND(T136&lt;TRUNC(W136/2,0),T136&lt;P136),
                "0, no había déficit y la dejo con déficit",
                IF(T136=TRUNC(W136/2,0),
                    "-1, no había déficit y dejo la capacidad media",
                    "-2,no había déficit y resultado fue bueno")
            )
        )
    ),
    IF(U136&lt;0,
        IF(P136&gt;TRUNC(W136/2,0),
            IF(T136=TRUNC(W136/2,0),
                "-1, Superávit y deje la capacidad media",
                IF(AND(T136&gt;TRUNC(W136/2,0), T136&gt;=P136),
                    "0, Superávit y no eliminé superávit",
                    IF(AND(T136&lt;TRUNC(W136/2,0),T136&lt;P136),
                        "1, Superávit y eliminé superávit",
                        "-2, Superávit y resultado fue bueno"
                    )
                )
            ),
            IF(AND(P136&lt;=TRUNC(W136/2,0),P136&gt;=0),
                IF(T136=TRUNC(W136/2,0),
                    "-1, no había superávit y deje la capacidad media",
                    IF(AND(T136&gt;TRUNC(W136/2,0), T136&gt;=P136),
                        "0, no había superávit, y la deje con superávit",
                        IF(AND(T136&lt;TRUNC(W136/2,0),T136&lt;P136),
                            "1, no había superávit, pero el resultado fue mejor",
                            "-2, no había superávit y resultado fue bueno"
                        )
                    )
                )
            )
        )
    )
)</f>
        <v>0, Superávit y no eliminé superávit</v>
      </c>
      <c r="AB136" s="30" t="s">
        <v>207</v>
      </c>
      <c r="AC136" s="30">
        <v>8</v>
      </c>
      <c r="AD136" s="31">
        <v>11.111111111111111</v>
      </c>
      <c r="AE136" s="29">
        <v>12</v>
      </c>
      <c r="AF136" s="31">
        <v>17</v>
      </c>
      <c r="AG136" s="30">
        <v>8</v>
      </c>
      <c r="AH136" s="30">
        <v>-1.196962071035268</v>
      </c>
      <c r="AI136" s="26" t="s">
        <v>329</v>
      </c>
      <c r="AJ136" s="30">
        <v>19</v>
      </c>
      <c r="AK136" s="29">
        <f>IF(AE136&gt;=AC136,1,0)</f>
        <v>1</v>
      </c>
      <c r="AL136" s="29">
        <f>AE136-AC136</f>
        <v>4</v>
      </c>
      <c r="AM136" s="29" t="str">
        <f>IF(AH136&gt;0,
    IF(OR(AC136&lt;=TRUNC(AJ136/2,0),AC136=0),
        IF(AG136=TRUNC(AJ136/2,0),
            "-1, Déficit y dejo la capacidad media",
            IF(AND(AG136&gt;TRUNC(AJ136/2,0), AG136&gt;AC136),
                "1, Déficit y eliminé déficit",
                IF(AND(AG136&lt;TRUNC(AJ136/2,0), AG136&lt;AC136),
                    "0, Déficit y no elimine déficit",
                    "-2, Déficit y resultado fue bueno")
            )
        ),
        IF(AND(AG136&gt;TRUNC(AJ136/2,0), AG136&gt;AC136),
            "1, no había déficit, pero resultado fue mejor",
            IF(AND(AG136&lt;TRUNC(AJ136/2,0),AG136&lt;AC136),
                "0, no había déficit y la dejo con déficit",
                IF(AG136=TRUNC(AJ136/2,0),
                    "-1, no había déficit y dejo la capacidad media",
                    "-2,no había déficit y resultado fue bueno")
            )
        )
    ),
    IF(AH136&lt;0,
        IF(AC136&gt;TRUNC(AJ136/2,0),
            IF(AG136=TRUNC(AJ136/2,0),
                "-1, Superávit y deje la capacidad media",
                IF(AND(AG136&gt;TRUNC(AJ136/2,0), AG136&gt;=AC136),
                    "0, Superávit y no eliminé superávit",
                    IF(AND(AG136&lt;TRUNC(AJ136/2,0),AG136&lt;AC136),
                        "1, Superávit y eliminé superávit",
                        "-2, Superávit y resultado fue bueno"
                    )
                )
            ),
            IF(AND(AC136&lt;=TRUNC(AJ136/2,0),AC136&gt;=0),
                IF(AG136=TRUNC(AJ136/2,0),
                    "-1, no había superávit y deje la capacidad media",
                    IF(AND(AG136&gt;TRUNC(AJ136/2,0), AG136&gt;=AC136),
                        "0, no había superávit, y la deje con superávit",
                        IF(AND(AG136&lt;TRUNC(AJ136/2,0),AG136&lt;AC136),
                            "1, no había superávit, pero el resultado fue mejor",
                            "-2, no había superávit y resultado fue bueno"
                        )
                    )
                )
            )
        )
    )
)</f>
        <v>-2, no había superávit y resultado fue bueno</v>
      </c>
      <c r="AO136" s="30" t="s">
        <v>207</v>
      </c>
      <c r="AP136" s="30">
        <v>13</v>
      </c>
      <c r="AQ136" s="31">
        <v>12.666666666666666</v>
      </c>
      <c r="AR136" s="29">
        <v>14</v>
      </c>
      <c r="AS136" s="29">
        <v>19</v>
      </c>
      <c r="AT136" s="30">
        <v>13</v>
      </c>
      <c r="AU136" s="30">
        <v>-1.196962071035268</v>
      </c>
      <c r="AV136" s="26" t="s">
        <v>329</v>
      </c>
      <c r="AW136" s="30">
        <v>19</v>
      </c>
      <c r="AX136" s="29">
        <f>IF(AR136&lt;=AP136,1,0)</f>
        <v>0</v>
      </c>
      <c r="AY136" s="29">
        <f>AR136-AP136</f>
        <v>1</v>
      </c>
      <c r="AZ136" s="29" t="str">
        <f>IF(AU136&gt;0,
    IF(OR(AP136&lt;=TRUNC(AW136/2,0),AP136=0),
        IF(AT136=TRUNC(AW136/2,0),
            "-1, Déficit y dejo la capacidad media",
            IF(AND(AT136&gt;TRUNC(AW136/2,0), AT136&gt;AP136),
                "1, Déficit y eliminé déficit",
                IF(AND(AT136&lt;TRUNC(AW136/2,0), AT136&lt;AP136),
                    "0, Déficit y no elimine déficit",
                    "-2, Déficit y resultado fue bueno")
            )
        ),
        IF(AND(AT136&gt;TRUNC(AW136/2,0), AT136&gt;AP136),
            "1, no había déficit, pero resultado fue mejor",
            IF(AND(AT136&lt;TRUNC(AW136/2,0),AT136&lt;AP136),
                "0, no había déficit y la dejo con déficit",
                IF(AT136=TRUNC(AW136/2,0),
                    "-1, no había déficit y dejo la capacidad media",
                    "-2,no había déficit y resultado fue bueno")
            )
        )
    ),
    IF(AU136&lt;0,
        IF(AP136&gt;TRUNC(AW136/2,0),
            IF(AT136=TRUNC(AW136/2,0),
                "-1, Superávit y deje la capacidad media",
                IF(AND(AT136&gt;TRUNC(AW136/2,0), AT136&gt;=AP136),
                    "0, Superávit y no eliminé superávit",
                    IF(AND(AT136&lt;TRUNC(AW136/2,0),AT136&lt;AP136),
                        "1, Superávit y eliminé superávit",
                        "-2, Superávit y resultado fue bueno"
                    )
                )
            ),
            IF(AND(AP136&lt;=TRUNC(AW136/2,0),AP136&gt;=0),
                IF(AT136=TRUNC(AW136/2,0),
                    "-1, no había superávit y deje la capacidad media",
                    IF(AND(AT136&gt;TRUNC(AW136/2,0), AT136&gt;=AP136),
                        "0, no había superávit, y la deje con superávit",
                        IF(AND(AT136&lt;TRUNC(AW136/2,0),AT136&lt;AP136),
                            "1, no había superávit, pero el resultado fue mejor",
                            "-2, no había superávit y resultado fue bueno"
                        )
                    )
                )
            )
        )
    )
)</f>
        <v>0, Superávit y no eliminé superávit</v>
      </c>
      <c r="BB136" s="30" t="s">
        <v>207</v>
      </c>
      <c r="BC136" s="30">
        <v>17</v>
      </c>
      <c r="BD136" s="31">
        <v>13.222222222222221</v>
      </c>
      <c r="BE136" s="29">
        <v>17</v>
      </c>
      <c r="BF136" s="29">
        <v>18</v>
      </c>
      <c r="BG136" s="30">
        <v>16</v>
      </c>
      <c r="BH136" s="30">
        <v>-1.196962071035268</v>
      </c>
      <c r="BI136" s="26" t="s">
        <v>329</v>
      </c>
      <c r="BJ136" s="30">
        <v>19</v>
      </c>
      <c r="BK136" s="29">
        <f>IF(BE136&gt;=BC136,1,0)</f>
        <v>1</v>
      </c>
      <c r="BL136" s="29">
        <f>BE136-BC136</f>
        <v>0</v>
      </c>
      <c r="BM136" s="29" t="str">
        <f>IF(BH136&gt;0,
    IF(OR(BC136&lt;=TRUNC(BJ136/2,0),BC136=0),
        IF(BG136=TRUNC(BJ136/2,0),
            "-1, Déficit y dejo la capacidad media",
            IF(AND(BG136&gt;TRUNC(BJ136/2,0), BG136&gt;BC136),
                "1, Déficit y eliminé déficit",
                IF(AND(BG136&lt;TRUNC(BJ136/2,0), BG136&lt;BC136),
                    "0, Déficit y no elimine déficit",
                    "-2, Déficit y resultado fue bueno")
            )
        ),
        IF(AND(BG136&gt;TRUNC(BJ136/2,0), BG136&gt;BC136),
            "1, no había déficit, pero resultado fue mejor",
            IF(AND(BG136&lt;TRUNC(BJ136/2,0),BG136&lt;BC136),
                "0, no había déficit y la dejo con déficit",
                IF(BG136=TRUNC(BJ136/2,0),
                    "-1, no había déficit y dejo la capacidad media",
                    "-2,no había déficit y resultado fue bueno")
            )
        )
    ),
    IF(BH136&lt;0,
        IF(BC136&gt;TRUNC(BJ136/2,0),
            IF(BG136=TRUNC(BJ136/2,0),
                "-1, Superávit y deje la capacidad media",
                IF(AND(BG136&gt;TRUNC(BJ136/2,0), BG136&gt;=BC136),
                    "0, Superávit y no eliminé superávit",
                    IF(AND(BG136&lt;TRUNC(BJ136/2,0),BG136&lt;BC136),
                        "1, Superávit y eliminé superávit",
                        "-2, Superávit y resultado fue bueno"
                    )
                )
            ),
            IF(AND(BC136&lt;=TRUNC(BJ136/2,0),BC136&gt;=0),
                IF(BG136=TRUNC(BJ136/2,0),
                    "-1, no había superávit y deje la capacidad media",
                    IF(AND(BG136&gt;TRUNC(BJ136/2,0), BG136&gt;=BC136),
                        "0, no había superávit, y la deje con superávit",
                        IF(AND(BG136&lt;TRUNC(BJ136/2,0),BG136&lt;BC136),
                            "1, no había superávit, pero el resultado fue mejor",
                            "-2, no había superávit y resultado fue bueno"
                        )
                    )
                )
            )
        )
    )
)</f>
        <v>-2, Superávit y resultado fue bueno</v>
      </c>
      <c r="BO136" s="30" t="s">
        <v>207</v>
      </c>
      <c r="BP136" s="29">
        <v>19</v>
      </c>
      <c r="BQ136" s="31">
        <v>15.666666666666666</v>
      </c>
      <c r="BR136" s="29">
        <v>12</v>
      </c>
      <c r="BS136" s="29">
        <v>13</v>
      </c>
      <c r="BT136" s="29">
        <v>16</v>
      </c>
      <c r="BU136" s="30">
        <v>-1.196962071035268</v>
      </c>
      <c r="BV136" s="26" t="s">
        <v>329</v>
      </c>
      <c r="BW136" s="30">
        <v>19</v>
      </c>
      <c r="BX136" s="29">
        <f>IF(BR136&gt;=BP136,1,0)</f>
        <v>0</v>
      </c>
      <c r="BY136" s="29">
        <f>BR136-BP136</f>
        <v>-7</v>
      </c>
      <c r="BZ136" s="29" t="str">
        <f>IF(BU136&gt;0,
    IF(OR(BP136&lt;=TRUNC(BW136/2,0),BP136=0),
        IF(BT136=TRUNC(BW136/2,0),
            "-1, Déficit y dejo la capacidad media",
            IF(AND(BT136&gt;TRUNC(BW136/2,0), BT136&gt;BP136),
                "1, Déficit y eliminé déficit",
                IF(AND(BT136&lt;TRUNC(BW136/2,0), BT136&lt;BP136),
                    "0, Déficit y no elimine déficit",
                    "-2, Déficit y resultado fue bueno")
            )
        ),
        IF(AND(BT136&gt;TRUNC(BW136/2,0), BT136&gt;BP136),
            "1, no había déficit, pero resultado fue mejor",
            IF(AND(BT136&lt;TRUNC(BW136/2,0),BT136&lt;BP136),
                "0, no había déficit y la dejo con déficit",
                IF(BT136=TRUNC(BW136/2,0),
                    "-1, no había déficit y dejo la capacidad media",
                    "-2,no había déficit y resultado fue bueno")
            )
        )
    ),
    IF(BU136&lt;0,
        IF(BP136&gt;TRUNC(BW136/2,0),
            IF(BT136=TRUNC(BW136/2,0),
                "-1, Superávit y deje la capacidad media",
                IF(AND(BT136&gt;TRUNC(BW136/2,0), BT136&gt;=BP136),
                    "0, Superávit y no eliminé superávit",
                    IF(AND(BT136&lt;TRUNC(BW136/2,0),BT136&lt;BP136),
                        "1, Superávit y eliminé superávit",
                        "-2, Superávit y resultado fue bueno"
                    )
                )
            ),
            IF(AND(BP136&lt;=TRUNC(BW136/2,0),BP136&gt;=0),
                IF(BT136=TRUNC(BW136/2,0),
                    "-1, no había superávit y deje la capacidad media",
                    IF(AND(BT136&gt;TRUNC(BW136/2,0), BT136&gt;=BP136),
                        "0, no había superávit, y la deje con superávit",
                        IF(AND(BT136&lt;TRUNC(BW136/2,0),BT136&lt;BP136),
                            "1, no había superávit, pero el resultado fue mejor",
                            "-2, no había superávit y resultado fue bueno"
                        )
                    )
                )
            )
        )
    )
)</f>
        <v>-2, Superávit y resultado fue bueno</v>
      </c>
      <c r="CB136" s="30" t="s">
        <v>207</v>
      </c>
      <c r="CC136" s="30">
        <v>18</v>
      </c>
      <c r="CD136" s="31">
        <v>14.777777777777779</v>
      </c>
      <c r="CE136" s="31">
        <v>18</v>
      </c>
      <c r="CF136" s="31">
        <v>18</v>
      </c>
      <c r="CG136" s="30">
        <v>6</v>
      </c>
      <c r="CH136" s="30">
        <v>-1.196962071035268</v>
      </c>
      <c r="CI136" s="26" t="s">
        <v>329</v>
      </c>
      <c r="CJ136" s="30">
        <v>19</v>
      </c>
      <c r="CK136" s="29">
        <f>IF(CE136&gt;=CC136,1,0)</f>
        <v>1</v>
      </c>
      <c r="CL136" s="32">
        <f>CE136-CC136</f>
        <v>0</v>
      </c>
      <c r="CM136" s="32" t="str">
        <f>IF(CH136&gt;0,
    IF(OR(CC136&lt;=TRUNC(CJ136/2,0),CC136=0),
        IF(CG136=TRUNC(CJ136/2,0),
            "-1, Déficit y dejo la capacidad media",
            IF(AND(CG136&gt;TRUNC(CJ136/2,0), CG136&gt;CC136),
                "1, Déficit y eliminé déficit",
                IF(AND(CG136&lt;TRUNC(CJ136/2,0), CG136&lt;CC136),
                    "0, Déficit y no elimine déficit",
                    "-2, Déficit y resultado fue bueno")
            )
        ),
        IF(AND(CG136&gt;TRUNC(CJ136/2,0), CG136&gt;CC136),
            "1, no había déficit, pero resultado fue mejor",
            IF(AND(CG136&lt;TRUNC(CJ136/2,0),CG136&lt;CC136),
                "0, no había déficit y la dejo con déficit",
                IF(CG136=TRUNC(CJ136/2,0),
                    "-1, no había déficit y dejo la capacidad media",
                    "-2,no había déficit y resultado fue bueno")
            )
        )
    ),
    IF(CH136&lt;0,
        IF(CC136&gt;TRUNC(CJ136/2,0),
            IF(CG136=TRUNC(CJ136/2,0),
                "-1, Superávit y deje la capacidad media",
                IF(AND(CG136&gt;TRUNC(CJ136/2,0), CG136&gt;=CC136),
                    "0, Superávit y no eliminé superávit",
                    IF(AND(CG136&lt;TRUNC(CJ136/2,0),CG136&lt;CC136),
                        "1, Superávit y eliminé superávit",
                        "-2, Superávit y resultado fue bueno"
                    )
                )
            ),
            IF(AND(CC136&lt;=TRUNC(CJ136/2,0),CC136&gt;=0),
                IF(CG136=TRUNC(CJ136/2,0),
                    "-1, no había superávit y deje la capacidad media",
                    IF(AND(CG136&gt;TRUNC(CJ136/2,0), CG136&gt;=CC136),
                        "0, no había superávit, y la deje con superávit",
                        IF(AND(CG136&lt;TRUNC(CJ136/2,0),CG136&lt;CC136),
                            "1, no había superávit, pero el resultado fue mejor",
                            "-2, no había superávit y resultado fue bueno"
                        )
                    )
                )
            )
        )
    )
)</f>
        <v>1, Superávit y eliminé superávit</v>
      </c>
    </row>
    <row r="137" spans="2:91" ht="14.25" customHeight="1" x14ac:dyDescent="0.3">
      <c r="B137" s="30" t="s">
        <v>222</v>
      </c>
      <c r="C137" s="30">
        <v>24</v>
      </c>
      <c r="D137" s="31">
        <v>23.111111111111111</v>
      </c>
      <c r="E137" s="29">
        <v>26</v>
      </c>
      <c r="F137" s="29">
        <v>27</v>
      </c>
      <c r="G137" s="30">
        <v>24</v>
      </c>
      <c r="H137" s="30">
        <v>-1.679865001322572</v>
      </c>
      <c r="I137" s="26" t="s">
        <v>330</v>
      </c>
      <c r="J137" s="30">
        <v>27</v>
      </c>
      <c r="K137" s="29">
        <f>IF(E137&gt;=C137,1,0)</f>
        <v>1</v>
      </c>
      <c r="L137" s="29">
        <f>E137-C137</f>
        <v>2</v>
      </c>
      <c r="M137" s="29" t="str">
        <f>IF(H137&gt;0,
    IF(OR(C137&lt;=TRUNC(J137/2,0),C137=0),
        IF(G137=TRUNC(J137/2,0),
            "-1, Déficit y dejo la capacidad media",
            IF(AND(G137&gt;TRUNC(J137/2,0), G137&gt;C137),
                "1, Déficit y eliminé déficit",
                IF(AND(G137&lt;TRUNC(J137/2,0), G137&lt;C137),
                    "0, Déficit y no elimine déficit",
                    "-2, Déficit y resultado fue bueno")
            )
        ),
        IF(AND(G137&gt;TRUNC(J137/2,0), G137&gt;C137),
            "1, no había déficit, pero resultado fue mejor",
            IF(AND(G137&lt;TRUNC(J137/2,0),G137&lt;C137),
                "0, no había déficit y la dejo con déficit",
                IF(G137=TRUNC(J137/2,0),
                    "-1, no había déficit y dejo la capacidad media",
                    "-2,no había déficit y resultado fue bueno")
            )
        )
    ),
    IF(H137&lt;0,
        IF(C137&gt;TRUNC(J137/2,0),
            IF(G137=TRUNC(J137/2,0),
                "-1, Superávit y deje la capacidad media",
                IF(AND(G137&gt;TRUNC(J137/2,0), G137&gt;=C137),
                    "0, Superávit y no eliminé superávit",
                    IF(AND(G137&lt;TRUNC(J137/2,0),G137&lt;C137),
                        "1, Superávit y eliminé superávit",
                        "-2, Superávit y resultado fue bueno"
                    )
                )
            ),
            IF(AND(C137&lt;=TRUNC(J137/2,0),C137&gt;=0),
                IF(G137=TRUNC(J137/2,0),
                    "-1, no había superávit y deje la capacidad media",
                    IF(AND(G137&gt;TRUNC(J137/2,0), G137&gt;=C137),
                        "0, no había superávit, y la deje con superávit",
                        IF(AND(G137&lt;TRUNC(J137/2,0),G137&lt;C137),
                            "1, no había superávit, pero el resultado fue mejor",
                            "-2, no había superávit y resultado fue bueno"
                        )
                    )
                )
            )
        )
    )
)</f>
        <v>0, Superávit y no eliminé superávit</v>
      </c>
      <c r="O137" s="30" t="s">
        <v>222</v>
      </c>
      <c r="P137" s="30">
        <v>22</v>
      </c>
      <c r="Q137" s="31">
        <v>23.888888888888889</v>
      </c>
      <c r="R137" s="29">
        <v>24</v>
      </c>
      <c r="S137" s="30">
        <v>24</v>
      </c>
      <c r="T137" s="30">
        <v>22</v>
      </c>
      <c r="U137" s="30">
        <v>-1.679865001322572</v>
      </c>
      <c r="V137" s="26" t="s">
        <v>330</v>
      </c>
      <c r="W137" s="30">
        <v>27</v>
      </c>
      <c r="X137" s="29">
        <f>IF(R137&gt;=P137,1,0)</f>
        <v>1</v>
      </c>
      <c r="Y137" s="29">
        <f>R137-P137</f>
        <v>2</v>
      </c>
      <c r="Z137" s="29" t="str">
        <f>IF(U137&gt;0,
    IF(OR(P137&lt;=TRUNC(W137/2,0),P137=0),
        IF(T137=TRUNC(W137/2,0),
            "-1, Déficit y dejo la capacidad media",
            IF(AND(T137&gt;TRUNC(W137/2,0), T137&gt;P137),
                "1, Déficit y eliminé déficit",
                IF(AND(T137&lt;TRUNC(W137/2,0), T137&lt;P137),
                    "0, Déficit y no elimine déficit",
                    "-2, Déficit y resultado fue bueno")
            )
        ),
        IF(AND(T137&gt;TRUNC(W137/2,0), T137&gt;P137),
            "1, no había déficit, pero resultado fue mejor",
            IF(AND(T137&lt;TRUNC(W137/2,0),T137&lt;P137),
                "0, no había déficit y la dejo con déficit",
                IF(T137=TRUNC(W137/2,0),
                    "-1, no había déficit y dejo la capacidad media",
                    "-2,no había déficit y resultado fue bueno")
            )
        )
    ),
    IF(U137&lt;0,
        IF(P137&gt;TRUNC(W137/2,0),
            IF(T137=TRUNC(W137/2,0),
                "-1, Superávit y deje la capacidad media",
                IF(AND(T137&gt;TRUNC(W137/2,0), T137&gt;=P137),
                    "0, Superávit y no eliminé superávit",
                    IF(AND(T137&lt;TRUNC(W137/2,0),T137&lt;P137),
                        "1, Superávit y eliminé superávit",
                        "-2, Superávit y resultado fue bueno"
                    )
                )
            ),
            IF(AND(P137&lt;=TRUNC(W137/2,0),P137&gt;=0),
                IF(T137=TRUNC(W137/2,0),
                    "-1, no había superávit y deje la capacidad media",
                    IF(AND(T137&gt;TRUNC(W137/2,0), T137&gt;=P137),
                        "0, no había superávit, y la deje con superávit",
                        IF(AND(T137&lt;TRUNC(W137/2,0),T137&lt;P137),
                            "1, no había superávit, pero el resultado fue mejor",
                            "-2, no había superávit y resultado fue bueno"
                        )
                    )
                )
            )
        )
    )
)</f>
        <v>0, Superávit y no eliminé superávit</v>
      </c>
      <c r="AB137" s="30" t="s">
        <v>222</v>
      </c>
      <c r="AC137" s="30">
        <v>21</v>
      </c>
      <c r="AD137" s="31">
        <v>24.111111111111111</v>
      </c>
      <c r="AE137" s="29">
        <v>22</v>
      </c>
      <c r="AF137" s="31">
        <v>22</v>
      </c>
      <c r="AG137" s="30">
        <v>21</v>
      </c>
      <c r="AH137" s="30">
        <v>-1.679865001322572</v>
      </c>
      <c r="AI137" s="26" t="s">
        <v>330</v>
      </c>
      <c r="AJ137" s="30">
        <v>27</v>
      </c>
      <c r="AK137" s="29">
        <f>IF(AE137&gt;=AC137,1,0)</f>
        <v>1</v>
      </c>
      <c r="AL137" s="29">
        <f>AE137-AC137</f>
        <v>1</v>
      </c>
      <c r="AM137" s="29" t="str">
        <f>IF(AH137&gt;0,
    IF(OR(AC137&lt;=TRUNC(AJ137/2,0),AC137=0),
        IF(AG137=TRUNC(AJ137/2,0),
            "-1, Déficit y dejo la capacidad media",
            IF(AND(AG137&gt;TRUNC(AJ137/2,0), AG137&gt;AC137),
                "1, Déficit y eliminé déficit",
                IF(AND(AG137&lt;TRUNC(AJ137/2,0), AG137&lt;AC137),
                    "0, Déficit y no elimine déficit",
                    "-2, Déficit y resultado fue bueno")
            )
        ),
        IF(AND(AG137&gt;TRUNC(AJ137/2,0), AG137&gt;AC137),
            "1, no había déficit, pero resultado fue mejor",
            IF(AND(AG137&lt;TRUNC(AJ137/2,0),AG137&lt;AC137),
                "0, no había déficit y la dejo con déficit",
                IF(AG137=TRUNC(AJ137/2,0),
                    "-1, no había déficit y dejo la capacidad media",
                    "-2,no había déficit y resultado fue bueno")
            )
        )
    ),
    IF(AH137&lt;0,
        IF(AC137&gt;TRUNC(AJ137/2,0),
            IF(AG137=TRUNC(AJ137/2,0),
                "-1, Superávit y deje la capacidad media",
                IF(AND(AG137&gt;TRUNC(AJ137/2,0), AG137&gt;=AC137),
                    "0, Superávit y no eliminé superávit",
                    IF(AND(AG137&lt;TRUNC(AJ137/2,0),AG137&lt;AC137),
                        "1, Superávit y eliminé superávit",
                        "-2, Superávit y resultado fue bueno"
                    )
                )
            ),
            IF(AND(AC137&lt;=TRUNC(AJ137/2,0),AC137&gt;=0),
                IF(AG137=TRUNC(AJ137/2,0),
                    "-1, no había superávit y deje la capacidad media",
                    IF(AND(AG137&gt;TRUNC(AJ137/2,0), AG137&gt;=AC137),
                        "0, no había superávit, y la deje con superávit",
                        IF(AND(AG137&lt;TRUNC(AJ137/2,0),AG137&lt;AC137),
                            "1, no había superávit, pero el resultado fue mejor",
                            "-2, no había superávit y resultado fue bueno"
                        )
                    )
                )
            )
        )
    )
)</f>
        <v>0, Superávit y no eliminé superávit</v>
      </c>
      <c r="AO137" s="30" t="s">
        <v>222</v>
      </c>
      <c r="AP137" s="30">
        <v>26</v>
      </c>
      <c r="AQ137" s="31">
        <v>24</v>
      </c>
      <c r="AR137" s="29">
        <v>27</v>
      </c>
      <c r="AS137" s="29">
        <v>27</v>
      </c>
      <c r="AT137" s="30">
        <v>24</v>
      </c>
      <c r="AU137" s="30">
        <v>-1.679865001322572</v>
      </c>
      <c r="AV137" s="26" t="s">
        <v>330</v>
      </c>
      <c r="AW137" s="30">
        <v>27</v>
      </c>
      <c r="AX137" s="29">
        <f>IF(AR137&lt;=AP137,1,0)</f>
        <v>0</v>
      </c>
      <c r="AY137" s="29">
        <f>AR137-AP137</f>
        <v>1</v>
      </c>
      <c r="AZ137" s="29" t="str">
        <f>IF(AU137&gt;0,
    IF(OR(AP137&lt;=TRUNC(AW137/2,0),AP137=0),
        IF(AT137=TRUNC(AW137/2,0),
            "-1, Déficit y dejo la capacidad media",
            IF(AND(AT137&gt;TRUNC(AW137/2,0), AT137&gt;AP137),
                "1, Déficit y eliminé déficit",
                IF(AND(AT137&lt;TRUNC(AW137/2,0), AT137&lt;AP137),
                    "0, Déficit y no elimine déficit",
                    "-2, Déficit y resultado fue bueno")
            )
        ),
        IF(AND(AT137&gt;TRUNC(AW137/2,0), AT137&gt;AP137),
            "1, no había déficit, pero resultado fue mejor",
            IF(AND(AT137&lt;TRUNC(AW137/2,0),AT137&lt;AP137),
                "0, no había déficit y la dejo con déficit",
                IF(AT137=TRUNC(AW137/2,0),
                    "-1, no había déficit y dejo la capacidad media",
                    "-2,no había déficit y resultado fue bueno")
            )
        )
    ),
    IF(AU137&lt;0,
        IF(AP137&gt;TRUNC(AW137/2,0),
            IF(AT137=TRUNC(AW137/2,0),
                "-1, Superávit y deje la capacidad media",
                IF(AND(AT137&gt;TRUNC(AW137/2,0), AT137&gt;=AP137),
                    "0, Superávit y no eliminé superávit",
                    IF(AND(AT137&lt;TRUNC(AW137/2,0),AT137&lt;AP137),
                        "1, Superávit y eliminé superávit",
                        "-2, Superávit y resultado fue bueno"
                    )
                )
            ),
            IF(AND(AP137&lt;=TRUNC(AW137/2,0),AP137&gt;=0),
                IF(AT137=TRUNC(AW137/2,0),
                    "-1, no había superávit y deje la capacidad media",
                    IF(AND(AT137&gt;TRUNC(AW137/2,0), AT137&gt;=AP137),
                        "0, no había superávit, y la deje con superávit",
                        IF(AND(AT137&lt;TRUNC(AW137/2,0),AT137&lt;AP137),
                            "1, no había superávit, pero el resultado fue mejor",
                            "-2, no había superávit y resultado fue bueno"
                        )
                    )
                )
            )
        )
    )
)</f>
        <v>-2, Superávit y resultado fue bueno</v>
      </c>
      <c r="BB137" s="30" t="s">
        <v>222</v>
      </c>
      <c r="BC137" s="30">
        <v>21</v>
      </c>
      <c r="BD137" s="31">
        <v>24.777777777777779</v>
      </c>
      <c r="BE137" s="29">
        <v>20</v>
      </c>
      <c r="BF137" s="29">
        <v>23</v>
      </c>
      <c r="BG137" s="30">
        <v>21</v>
      </c>
      <c r="BH137" s="30">
        <v>-1.679865001322572</v>
      </c>
      <c r="BI137" s="26" t="s">
        <v>330</v>
      </c>
      <c r="BJ137" s="30">
        <v>27</v>
      </c>
      <c r="BK137" s="29">
        <f>IF(BE137&gt;=BC137,1,0)</f>
        <v>0</v>
      </c>
      <c r="BL137" s="29">
        <f>BE137-BC137</f>
        <v>-1</v>
      </c>
      <c r="BM137" s="29" t="str">
        <f>IF(BH137&gt;0,
    IF(OR(BC137&lt;=TRUNC(BJ137/2,0),BC137=0),
        IF(BG137=TRUNC(BJ137/2,0),
            "-1, Déficit y dejo la capacidad media",
            IF(AND(BG137&gt;TRUNC(BJ137/2,0), BG137&gt;BC137),
                "1, Déficit y eliminé déficit",
                IF(AND(BG137&lt;TRUNC(BJ137/2,0), BG137&lt;BC137),
                    "0, Déficit y no elimine déficit",
                    "-2, Déficit y resultado fue bueno")
            )
        ),
        IF(AND(BG137&gt;TRUNC(BJ137/2,0), BG137&gt;BC137),
            "1, no había déficit, pero resultado fue mejor",
            IF(AND(BG137&lt;TRUNC(BJ137/2,0),BG137&lt;BC137),
                "0, no había déficit y la dejo con déficit",
                IF(BG137=TRUNC(BJ137/2,0),
                    "-1, no había déficit y dejo la capacidad media",
                    "-2,no había déficit y resultado fue bueno")
            )
        )
    ),
    IF(BH137&lt;0,
        IF(BC137&gt;TRUNC(BJ137/2,0),
            IF(BG137=TRUNC(BJ137/2,0),
                "-1, Superávit y deje la capacidad media",
                IF(AND(BG137&gt;TRUNC(BJ137/2,0), BG137&gt;=BC137),
                    "0, Superávit y no eliminé superávit",
                    IF(AND(BG137&lt;TRUNC(BJ137/2,0),BG137&lt;BC137),
                        "1, Superávit y eliminé superávit",
                        "-2, Superávit y resultado fue bueno"
                    )
                )
            ),
            IF(AND(BC137&lt;=TRUNC(BJ137/2,0),BC137&gt;=0),
                IF(BG137=TRUNC(BJ137/2,0),
                    "-1, no había superávit y deje la capacidad media",
                    IF(AND(BG137&gt;TRUNC(BJ137/2,0), BG137&gt;=BC137),
                        "0, no había superávit, y la deje con superávit",
                        IF(AND(BG137&lt;TRUNC(BJ137/2,0),BG137&lt;BC137),
                            "1, no había superávit, pero el resultado fue mejor",
                            "-2, no había superávit y resultado fue bueno"
                        )
                    )
                )
            )
        )
    )
)</f>
        <v>0, Superávit y no eliminé superávit</v>
      </c>
      <c r="BO137" s="30" t="s">
        <v>222</v>
      </c>
      <c r="BP137" s="29">
        <v>25</v>
      </c>
      <c r="BQ137" s="31">
        <v>18.777777777777779</v>
      </c>
      <c r="BR137" s="29">
        <v>21</v>
      </c>
      <c r="BS137" s="29">
        <v>22</v>
      </c>
      <c r="BT137" s="29">
        <v>24</v>
      </c>
      <c r="BU137" s="30">
        <v>-1.679865001322572</v>
      </c>
      <c r="BV137" s="26" t="s">
        <v>330</v>
      </c>
      <c r="BW137" s="30">
        <v>27</v>
      </c>
      <c r="BX137" s="29">
        <f>IF(BR137&gt;=BP137,1,0)</f>
        <v>0</v>
      </c>
      <c r="BY137" s="29">
        <f>BR137-BP137</f>
        <v>-4</v>
      </c>
      <c r="BZ137" s="29" t="str">
        <f>IF(BU137&gt;0,
    IF(OR(BP137&lt;=TRUNC(BW137/2,0),BP137=0),
        IF(BT137=TRUNC(BW137/2,0),
            "-1, Déficit y dejo la capacidad media",
            IF(AND(BT137&gt;TRUNC(BW137/2,0), BT137&gt;BP137),
                "1, Déficit y eliminé déficit",
                IF(AND(BT137&lt;TRUNC(BW137/2,0), BT137&lt;BP137),
                    "0, Déficit y no elimine déficit",
                    "-2, Déficit y resultado fue bueno")
            )
        ),
        IF(AND(BT137&gt;TRUNC(BW137/2,0), BT137&gt;BP137),
            "1, no había déficit, pero resultado fue mejor",
            IF(AND(BT137&lt;TRUNC(BW137/2,0),BT137&lt;BP137),
                "0, no había déficit y la dejo con déficit",
                IF(BT137=TRUNC(BW137/2,0),
                    "-1, no había déficit y dejo la capacidad media",
                    "-2,no había déficit y resultado fue bueno")
            )
        )
    ),
    IF(BU137&lt;0,
        IF(BP137&gt;TRUNC(BW137/2,0),
            IF(BT137=TRUNC(BW137/2,0),
                "-1, Superávit y deje la capacidad media",
                IF(AND(BT137&gt;TRUNC(BW137/2,0), BT137&gt;=BP137),
                    "0, Superávit y no eliminé superávit",
                    IF(AND(BT137&lt;TRUNC(BW137/2,0),BT137&lt;BP137),
                        "1, Superávit y eliminé superávit",
                        "-2, Superávit y resultado fue bueno"
                    )
                )
            ),
            IF(AND(BP137&lt;=TRUNC(BW137/2,0),BP137&gt;=0),
                IF(BT137=TRUNC(BW137/2,0),
                    "-1, no había superávit y deje la capacidad media",
                    IF(AND(BT137&gt;TRUNC(BW137/2,0), BT137&gt;=BP137),
                        "0, no había superávit, y la deje con superávit",
                        IF(AND(BT137&lt;TRUNC(BW137/2,0),BT137&lt;BP137),
                            "1, no había superávit, pero el resultado fue mejor",
                            "-2, no había superávit y resultado fue bueno"
                        )
                    )
                )
            )
        )
    )
)</f>
        <v>-2, Superávit y resultado fue bueno</v>
      </c>
      <c r="CB137" s="30" t="s">
        <v>222</v>
      </c>
      <c r="CC137" s="30">
        <v>26</v>
      </c>
      <c r="CD137" s="31">
        <v>21.333333333333332</v>
      </c>
      <c r="CE137" s="31">
        <v>27</v>
      </c>
      <c r="CF137" s="31">
        <v>27</v>
      </c>
      <c r="CG137" s="30">
        <v>24</v>
      </c>
      <c r="CH137" s="30">
        <v>-1.679865001322572</v>
      </c>
      <c r="CI137" s="26" t="s">
        <v>330</v>
      </c>
      <c r="CJ137" s="30">
        <v>27</v>
      </c>
      <c r="CK137" s="29">
        <f>IF(CE137&gt;=CC137,1,0)</f>
        <v>1</v>
      </c>
      <c r="CL137" s="32">
        <f>CE137-CC137</f>
        <v>1</v>
      </c>
      <c r="CM137" s="32" t="str">
        <f>IF(CH137&gt;0,
    IF(OR(CC137&lt;=TRUNC(CJ137/2,0),CC137=0),
        IF(CG137=TRUNC(CJ137/2,0),
            "-1, Déficit y dejo la capacidad media",
            IF(AND(CG137&gt;TRUNC(CJ137/2,0), CG137&gt;CC137),
                "1, Déficit y eliminé déficit",
                IF(AND(CG137&lt;TRUNC(CJ137/2,0), CG137&lt;CC137),
                    "0, Déficit y no elimine déficit",
                    "-2, Déficit y resultado fue bueno")
            )
        ),
        IF(AND(CG137&gt;TRUNC(CJ137/2,0), CG137&gt;CC137),
            "1, no había déficit, pero resultado fue mejor",
            IF(AND(CG137&lt;TRUNC(CJ137/2,0),CG137&lt;CC137),
                "0, no había déficit y la dejo con déficit",
                IF(CG137=TRUNC(CJ137/2,0),
                    "-1, no había déficit y dejo la capacidad media",
                    "-2,no había déficit y resultado fue bueno")
            )
        )
    ),
    IF(CH137&lt;0,
        IF(CC137&gt;TRUNC(CJ137/2,0),
            IF(CG137=TRUNC(CJ137/2,0),
                "-1, Superávit y deje la capacidad media",
                IF(AND(CG137&gt;TRUNC(CJ137/2,0), CG137&gt;=CC137),
                    "0, Superávit y no eliminé superávit",
                    IF(AND(CG137&lt;TRUNC(CJ137/2,0),CG137&lt;CC137),
                        "1, Superávit y eliminé superávit",
                        "-2, Superávit y resultado fue bueno"
                    )
                )
            ),
            IF(AND(CC137&lt;=TRUNC(CJ137/2,0),CC137&gt;=0),
                IF(CG137=TRUNC(CJ137/2,0),
                    "-1, no había superávit y deje la capacidad media",
                    IF(AND(CG137&gt;TRUNC(CJ137/2,0), CG137&gt;=CC137),
                        "0, no había superávit, y la deje con superávit",
                        IF(AND(CG137&lt;TRUNC(CJ137/2,0),CG137&lt;CC137),
                            "1, no había superávit, pero el resultado fue mejor",
                            "-2, no había superávit y resultado fue bueno"
                        )
                    )
                )
            )
        )
    )
)</f>
        <v>-2, Superávit y resultado fue bueno</v>
      </c>
    </row>
    <row r="138" spans="2:91" ht="14.25" customHeight="1" x14ac:dyDescent="0.3">
      <c r="B138" s="28" t="s">
        <v>261</v>
      </c>
      <c r="C138" s="28">
        <f t="shared" ref="C138:G138" si="8">AVERAGE(C118:C127)</f>
        <v>4.5999999999999996</v>
      </c>
      <c r="D138" s="33">
        <f t="shared" si="8"/>
        <v>6.3111111111111118</v>
      </c>
      <c r="E138" s="28">
        <f t="shared" si="8"/>
        <v>2.5</v>
      </c>
      <c r="F138" s="28">
        <f t="shared" si="8"/>
        <v>2</v>
      </c>
      <c r="G138" s="28">
        <f t="shared" si="8"/>
        <v>6.7</v>
      </c>
      <c r="H138" s="24"/>
      <c r="I138" s="24"/>
      <c r="J138" s="24"/>
      <c r="K138" s="24"/>
      <c r="L138" s="24"/>
      <c r="M138" s="24"/>
      <c r="O138" s="28" t="s">
        <v>261</v>
      </c>
      <c r="P138" s="28">
        <f>AVERAGE(P118:P127)</f>
        <v>5.4</v>
      </c>
      <c r="Q138" s="33">
        <f>AVERAGE(Q118:Q127)</f>
        <v>6.1999999999999984</v>
      </c>
      <c r="R138" s="28">
        <f>AVERAGE(R118:R127)</f>
        <v>4.8</v>
      </c>
      <c r="S138" s="28">
        <f>AVERAGE(S118:S127)</f>
        <v>4.7</v>
      </c>
      <c r="T138" s="28">
        <f>AVERAGE(T118:T127)</f>
        <v>6.5</v>
      </c>
      <c r="U138" s="24"/>
      <c r="V138" s="24"/>
      <c r="W138" s="24"/>
      <c r="X138" s="24"/>
      <c r="Y138" s="24"/>
      <c r="Z138" s="24"/>
      <c r="AB138" s="28" t="s">
        <v>261</v>
      </c>
      <c r="AC138" s="28">
        <f>AVERAGE(AC118:AC127)</f>
        <v>4.8</v>
      </c>
      <c r="AD138" s="33">
        <f>AVERAGE(AD118:AD127)</f>
        <v>6.2444444444444454</v>
      </c>
      <c r="AE138" s="28">
        <f>AVERAGE(AE118:AE127)</f>
        <v>3.6</v>
      </c>
      <c r="AF138" s="33">
        <f>AVERAGE(AF118:AF127)</f>
        <v>3.4</v>
      </c>
      <c r="AG138" s="28">
        <f>AVERAGE(AG118:AG127)</f>
        <v>6.4</v>
      </c>
      <c r="AH138" s="24"/>
      <c r="AI138" s="24"/>
      <c r="AJ138" s="24"/>
      <c r="AK138" s="24"/>
      <c r="AL138" s="24"/>
      <c r="AM138" s="24"/>
      <c r="AO138" s="28" t="s">
        <v>261</v>
      </c>
      <c r="AP138" s="28">
        <f>AVERAGE(AP118:AP127)</f>
        <v>4.4000000000000004</v>
      </c>
      <c r="AQ138" s="33">
        <f>AVERAGE(AQ118:AQ127)</f>
        <v>6</v>
      </c>
      <c r="AR138" s="28">
        <f>AVERAGE(AR118:AR127)</f>
        <v>3.3</v>
      </c>
      <c r="AS138" s="28">
        <f>AVERAGE(AS118:AS127)</f>
        <v>2.6</v>
      </c>
      <c r="AT138" s="28">
        <f>AVERAGE(AT118:AT127)</f>
        <v>6.9</v>
      </c>
      <c r="AU138" s="24"/>
      <c r="AV138" s="24"/>
      <c r="AW138" s="24"/>
      <c r="AX138" s="24"/>
      <c r="AY138" s="24"/>
      <c r="AZ138" s="24"/>
      <c r="BB138" s="28" t="s">
        <v>261</v>
      </c>
      <c r="BC138" s="28">
        <f>AVERAGE(BC118:BC127)</f>
        <v>6.6</v>
      </c>
      <c r="BD138" s="33">
        <f>AVERAGE(BD118:BD127)</f>
        <v>5.4888888888888889</v>
      </c>
      <c r="BE138" s="28">
        <f>AVERAGE(BE118:BE127)</f>
        <v>6.9</v>
      </c>
      <c r="BF138" s="28">
        <f>AVERAGE(BF118:BF127)</f>
        <v>6.8</v>
      </c>
      <c r="BG138" s="28">
        <f>AVERAGE(BG118:BG127)</f>
        <v>6.6</v>
      </c>
      <c r="BH138" s="24"/>
      <c r="BI138" s="24"/>
      <c r="BJ138" s="24"/>
      <c r="BK138" s="24"/>
      <c r="BL138" s="24"/>
      <c r="BM138" s="24"/>
      <c r="BO138" s="28" t="s">
        <v>261</v>
      </c>
      <c r="BP138" s="28">
        <f>AVERAGE(BP118:BP127)</f>
        <v>6.5</v>
      </c>
      <c r="BQ138" s="33">
        <f>AVERAGE(BQ118:BQ127)</f>
        <v>5.4666666666666668</v>
      </c>
      <c r="BR138" s="28">
        <f>AVERAGE(BR118:BR127)</f>
        <v>8.8000000000000007</v>
      </c>
      <c r="BS138" s="28">
        <f>AVERAGE(BS118:BS127)</f>
        <v>8.8000000000000007</v>
      </c>
      <c r="BT138" s="28">
        <f>AVERAGE(BT118:BT127)</f>
        <v>7.7</v>
      </c>
      <c r="BU138" s="24"/>
      <c r="BV138" s="24"/>
      <c r="BW138" s="24"/>
      <c r="BX138" s="24"/>
      <c r="BY138" s="24"/>
      <c r="BZ138" s="24"/>
      <c r="CB138" s="28" t="s">
        <v>261</v>
      </c>
      <c r="CC138" s="28">
        <f>AVERAGE(CC118:CC127)</f>
        <v>6.6</v>
      </c>
      <c r="CD138" s="33">
        <f>AVERAGE(CD118:CD127)</f>
        <v>4.2333333333333325</v>
      </c>
      <c r="CE138" s="33">
        <f>AVERAGE(CE118:CE127)</f>
        <v>6.3</v>
      </c>
      <c r="CF138" s="33">
        <f>AVERAGE(CF118:CF127)</f>
        <v>6.7</v>
      </c>
      <c r="CG138" s="28">
        <f>AVERAGE(CG118:CG127)</f>
        <v>7.8</v>
      </c>
      <c r="CH138" s="24"/>
      <c r="CI138" s="24"/>
      <c r="CJ138" s="24"/>
      <c r="CK138" s="24"/>
      <c r="CL138" s="24"/>
      <c r="CM138" s="24"/>
    </row>
    <row r="139" spans="2:91" ht="14.25" customHeight="1" x14ac:dyDescent="0.3">
      <c r="B139" s="2" t="s">
        <v>264</v>
      </c>
      <c r="C139" s="2">
        <f t="shared" ref="C139:G139" si="9">AVERAGE(C128:C137)</f>
        <v>11.6</v>
      </c>
      <c r="D139" s="7">
        <f t="shared" si="9"/>
        <v>12.5</v>
      </c>
      <c r="E139" s="2">
        <f t="shared" si="9"/>
        <v>11.7</v>
      </c>
      <c r="F139" s="2">
        <f t="shared" si="9"/>
        <v>12.8</v>
      </c>
      <c r="G139" s="2">
        <f t="shared" si="9"/>
        <v>9.5</v>
      </c>
      <c r="O139" s="2" t="s">
        <v>264</v>
      </c>
      <c r="P139" s="2">
        <f>AVERAGE(P128:P137)</f>
        <v>13.7</v>
      </c>
      <c r="Q139" s="7">
        <f>AVERAGE(Q128:Q137)</f>
        <v>12.155555555555555</v>
      </c>
      <c r="R139" s="2">
        <f>AVERAGE(R128:R137)</f>
        <v>12.8</v>
      </c>
      <c r="S139" s="2">
        <f>AVERAGE(S128:S137)</f>
        <v>13</v>
      </c>
      <c r="T139" s="2">
        <f>AVERAGE(T128:T137)</f>
        <v>12.6</v>
      </c>
      <c r="AB139" s="2" t="s">
        <v>264</v>
      </c>
      <c r="AC139" s="2">
        <f>AVERAGE(AC128:AC137)</f>
        <v>9.1</v>
      </c>
      <c r="AD139" s="7">
        <f>AVERAGE(AD128:AD137)</f>
        <v>11.722222222222223</v>
      </c>
      <c r="AE139" s="2">
        <f>AVERAGE(AE128:AE137)</f>
        <v>12.2</v>
      </c>
      <c r="AF139" s="7">
        <f>AVERAGE(AF128:AF137)</f>
        <v>13.4</v>
      </c>
      <c r="AG139" s="2">
        <f>AVERAGE(AG128:AG137)</f>
        <v>7.5</v>
      </c>
      <c r="AO139" s="2" t="s">
        <v>264</v>
      </c>
      <c r="AP139" s="2">
        <f>AVERAGE(AP128:AP137)</f>
        <v>14.3</v>
      </c>
      <c r="AQ139" s="7">
        <f>AVERAGE(AQ128:AQ137)</f>
        <v>13.155555555555557</v>
      </c>
      <c r="AR139" s="2">
        <f>AVERAGE(AR128:AR137)</f>
        <v>15</v>
      </c>
      <c r="AS139" s="2">
        <f>AVERAGE(AS128:AS137)</f>
        <v>15.7</v>
      </c>
      <c r="AT139" s="2">
        <f>AVERAGE(AT128:AT137)</f>
        <v>11.8</v>
      </c>
      <c r="BB139" s="2" t="s">
        <v>264</v>
      </c>
      <c r="BC139" s="2">
        <f>AVERAGE(BC128:BC137)</f>
        <v>10.9</v>
      </c>
      <c r="BD139" s="7">
        <f>AVERAGE(BD128:BD137)</f>
        <v>12.455555555555554</v>
      </c>
      <c r="BE139" s="2">
        <f>AVERAGE(BE128:BE137)</f>
        <v>11.8</v>
      </c>
      <c r="BF139" s="2">
        <f>AVERAGE(BF128:BF137)</f>
        <v>12.6</v>
      </c>
      <c r="BG139" s="2">
        <f>AVERAGE(BG128:BG137)</f>
        <v>10.9</v>
      </c>
      <c r="BO139" s="2" t="s">
        <v>264</v>
      </c>
      <c r="BP139" s="2">
        <f>AVERAGE(BP128:BP137)</f>
        <v>12.9</v>
      </c>
      <c r="BQ139" s="7">
        <f>AVERAGE(BQ128:BQ137)</f>
        <v>12.611111111111111</v>
      </c>
      <c r="BR139" s="2">
        <f>AVERAGE(BR128:BR137)</f>
        <v>11.7</v>
      </c>
      <c r="BS139" s="2">
        <f>AVERAGE(BS128:BS137)</f>
        <v>12.1</v>
      </c>
      <c r="BT139" s="2">
        <f>AVERAGE(BT128:BT137)</f>
        <v>11.7</v>
      </c>
      <c r="CB139" s="2" t="s">
        <v>264</v>
      </c>
      <c r="CC139" s="2">
        <f>AVERAGE(CC128:CC137)</f>
        <v>14.9</v>
      </c>
      <c r="CD139" s="7">
        <f>AVERAGE(CD128:CD137)</f>
        <v>13.622222222222224</v>
      </c>
      <c r="CE139" s="7">
        <f>AVERAGE(CE128:CE137)</f>
        <v>14.8</v>
      </c>
      <c r="CF139" s="7">
        <f>AVERAGE(CF128:CF137)</f>
        <v>14.8</v>
      </c>
      <c r="CG139" s="2">
        <f>AVERAGE(CG128:CG137)</f>
        <v>13.7</v>
      </c>
    </row>
    <row r="140" spans="2:91" ht="14.25" customHeight="1" x14ac:dyDescent="0.3">
      <c r="B140" s="2" t="s">
        <v>267</v>
      </c>
      <c r="C140" s="2">
        <f>_xlfn.SKEW.P(C118:C127)</f>
        <v>0.99762541088440526</v>
      </c>
      <c r="D140" s="2"/>
      <c r="E140" s="2"/>
      <c r="F140" s="2"/>
      <c r="G140" s="2">
        <f>_xlfn.SKEW.P(G118:G127)</f>
        <v>1.0917159347061365</v>
      </c>
      <c r="O140" s="2" t="s">
        <v>267</v>
      </c>
      <c r="P140" s="2">
        <f>_xlfn.SKEW.P(P118:P127)</f>
        <v>1.4022531373416898</v>
      </c>
      <c r="Q140" s="2"/>
      <c r="R140" s="2">
        <f>_xlfn.SKEW.P(R118:R127)</f>
        <v>1.8262467904773991</v>
      </c>
      <c r="AB140" s="2" t="s">
        <v>267</v>
      </c>
      <c r="AC140" s="2">
        <f>_xlfn.SKEW.P(AC118:AC127)</f>
        <v>1.232219110495016</v>
      </c>
      <c r="AD140" s="2"/>
      <c r="AE140" s="2"/>
      <c r="AF140" s="2"/>
      <c r="AG140" s="2">
        <f>_xlfn.SKEW.P(AG118:AG127)</f>
        <v>1.439539308611987</v>
      </c>
      <c r="AO140" s="2" t="s">
        <v>267</v>
      </c>
      <c r="AP140" s="2">
        <f>_xlfn.SKEW.P(AP118:AP127)</f>
        <v>0.67194783617565479</v>
      </c>
      <c r="AQ140" s="2"/>
      <c r="AR140" s="2"/>
      <c r="AS140" s="2"/>
      <c r="AT140" s="2">
        <f>_xlfn.SKEW.P(AT118:AT127)</f>
        <v>1.3595033325639916</v>
      </c>
      <c r="BB140" s="2" t="s">
        <v>267</v>
      </c>
      <c r="BC140" s="2">
        <f>_xlfn.SKEW.P(BC118:BC127)</f>
        <v>1.2398386892437547</v>
      </c>
      <c r="BD140" s="2"/>
      <c r="BE140" s="2"/>
      <c r="BF140" s="2"/>
      <c r="BG140" s="2">
        <f>_xlfn.SKEW.P(BG118:BG127)</f>
        <v>1.2171081682680802</v>
      </c>
      <c r="BO140" s="2" t="s">
        <v>267</v>
      </c>
      <c r="BP140" s="2">
        <f>_xlfn.SKEW.P(BP118:BP127)</f>
        <v>0.94848345099454945</v>
      </c>
      <c r="BQ140" s="2"/>
      <c r="BR140" s="2"/>
      <c r="BS140" s="2"/>
      <c r="BT140" s="2">
        <f>_xlfn.SKEW.P(BT118:BT127)</f>
        <v>1.2068993352978423</v>
      </c>
      <c r="CB140" s="2" t="s">
        <v>267</v>
      </c>
      <c r="CC140" s="2">
        <f>_xlfn.SKEW.P(CC118:CC127)</f>
        <v>1.1626239361901523</v>
      </c>
      <c r="CD140" s="11"/>
      <c r="CE140" s="2"/>
      <c r="CF140" s="2"/>
      <c r="CG140" s="2">
        <f>_xlfn.SKEW.P(CG118:CG127)</f>
        <v>1.0615134974521871</v>
      </c>
    </row>
    <row r="141" spans="2:91" ht="14.25" customHeight="1" x14ac:dyDescent="0.3">
      <c r="B141" s="2" t="s">
        <v>268</v>
      </c>
      <c r="C141" s="2">
        <f>_xlfn.SKEW.P(C128:C137)</f>
        <v>0.31478188589878586</v>
      </c>
      <c r="D141" s="2"/>
      <c r="E141" s="2"/>
      <c r="F141" s="2"/>
      <c r="G141" s="2">
        <f>_xlfn.SKEW.P(G128:G137)</f>
        <v>0.59165476668524419</v>
      </c>
      <c r="O141" s="2" t="s">
        <v>268</v>
      </c>
      <c r="P141" s="2">
        <f>_xlfn.SKEW.P(P128:P137)</f>
        <v>0.51440274594403068</v>
      </c>
      <c r="Q141" s="2"/>
      <c r="R141" s="2">
        <f>_xlfn.SKEW.P(R128:R137)</f>
        <v>1.1713943539927587</v>
      </c>
      <c r="AB141" s="2" t="s">
        <v>268</v>
      </c>
      <c r="AC141" s="2">
        <f>_xlfn.SKEW.P(AC128:AC137)</f>
        <v>0.84164661500947502</v>
      </c>
      <c r="AD141" s="2"/>
      <c r="AE141" s="2"/>
      <c r="AF141" s="2"/>
      <c r="AG141" s="2">
        <f>_xlfn.SKEW.P(AG128:AG137)</f>
        <v>1.3880092749241222</v>
      </c>
      <c r="AO141" s="2" t="s">
        <v>268</v>
      </c>
      <c r="AP141" s="2">
        <f>_xlfn.SKEW.P(AP128:AP137)</f>
        <v>0.69597524913131525</v>
      </c>
      <c r="AQ141" s="2"/>
      <c r="AR141" s="2"/>
      <c r="AS141" s="2"/>
      <c r="AT141" s="2">
        <f>_xlfn.SKEW.P(AT128:AT137)</f>
        <v>0.13032039638321063</v>
      </c>
      <c r="BB141" s="2" t="s">
        <v>268</v>
      </c>
      <c r="BC141" s="2">
        <f>_xlfn.SKEW.P(BC128:BC137)</f>
        <v>0.49260139357039873</v>
      </c>
      <c r="BD141" s="2"/>
      <c r="BE141" s="2"/>
      <c r="BF141" s="2"/>
      <c r="BG141" s="2">
        <f>_xlfn.SKEW.P(BG128:BG137)</f>
        <v>0.48379419717936945</v>
      </c>
      <c r="BO141" s="2" t="s">
        <v>268</v>
      </c>
      <c r="BP141" s="2">
        <f>_xlfn.SKEW.P(BP128:BP137)</f>
        <v>0.98104441621905725</v>
      </c>
      <c r="BQ141" s="2"/>
      <c r="BR141" s="2"/>
      <c r="BS141" s="2"/>
      <c r="BT141" s="2">
        <f>_xlfn.SKEW.P(BT128:BT137)</f>
        <v>0.51245312970205159</v>
      </c>
      <c r="CB141" s="2" t="s">
        <v>268</v>
      </c>
      <c r="CC141" s="2">
        <f>_xlfn.SKEW.P(CC128:CC137)</f>
        <v>9.3748271810389111E-2</v>
      </c>
      <c r="CD141" s="11"/>
      <c r="CE141" s="2"/>
      <c r="CF141" s="2"/>
      <c r="CG141" s="2">
        <f>_xlfn.SKEW.P(CG128:CG137)</f>
        <v>0.58065573506242452</v>
      </c>
    </row>
    <row r="142" spans="2:91" ht="14.25" customHeight="1" x14ac:dyDescent="0.3">
      <c r="B142" s="2" t="s">
        <v>269</v>
      </c>
      <c r="C142" s="3">
        <v>17.862546287219491</v>
      </c>
      <c r="O142" s="2" t="s">
        <v>269</v>
      </c>
      <c r="P142" s="2">
        <v>10.45904851004949</v>
      </c>
      <c r="AB142" s="2" t="s">
        <v>269</v>
      </c>
      <c r="AC142" s="2">
        <v>18.55154222712207</v>
      </c>
      <c r="AO142" s="2" t="s">
        <v>269</v>
      </c>
      <c r="AP142" s="3">
        <v>16.230971961105169</v>
      </c>
      <c r="BB142" s="2" t="s">
        <v>269</v>
      </c>
      <c r="BC142" s="3">
        <v>17.778035596435618</v>
      </c>
      <c r="BO142" s="2" t="s">
        <v>269</v>
      </c>
      <c r="BP142" s="3">
        <v>9.5815154163694807</v>
      </c>
      <c r="CB142" s="2" t="s">
        <v>269</v>
      </c>
      <c r="CC142" s="2">
        <v>14.79361769898849</v>
      </c>
    </row>
    <row r="143" spans="2:91" ht="14.25" customHeight="1" x14ac:dyDescent="0.3">
      <c r="B143" s="2" t="s">
        <v>270</v>
      </c>
      <c r="C143" s="2">
        <v>12</v>
      </c>
      <c r="O143" s="2" t="s">
        <v>270</v>
      </c>
      <c r="P143" s="2">
        <v>7</v>
      </c>
      <c r="AB143" s="2" t="s">
        <v>270</v>
      </c>
      <c r="AC143" s="2">
        <v>9</v>
      </c>
      <c r="AO143" s="2" t="s">
        <v>270</v>
      </c>
      <c r="AP143" s="2">
        <v>9</v>
      </c>
      <c r="BB143" s="2" t="s">
        <v>270</v>
      </c>
      <c r="BC143" s="2">
        <v>9</v>
      </c>
      <c r="BO143" s="2" t="s">
        <v>270</v>
      </c>
      <c r="BP143" s="2">
        <v>7</v>
      </c>
      <c r="CB143" s="2" t="s">
        <v>270</v>
      </c>
      <c r="CC143" s="2">
        <v>12</v>
      </c>
    </row>
    <row r="144" spans="2:91" ht="14.25" customHeight="1" x14ac:dyDescent="0.3">
      <c r="B144" s="17" t="s">
        <v>271</v>
      </c>
      <c r="C144" s="2">
        <f>C143*2</f>
        <v>24</v>
      </c>
      <c r="O144" s="17" t="s">
        <v>271</v>
      </c>
      <c r="P144" s="2">
        <f>P143*2</f>
        <v>14</v>
      </c>
      <c r="AB144" s="17" t="s">
        <v>271</v>
      </c>
      <c r="AC144" s="2">
        <f>AC143*2</f>
        <v>18</v>
      </c>
      <c r="AO144" s="17" t="s">
        <v>271</v>
      </c>
      <c r="AP144" s="2">
        <f>AP143*2</f>
        <v>18</v>
      </c>
      <c r="BB144" s="17" t="s">
        <v>271</v>
      </c>
      <c r="BC144" s="2">
        <f>BC143*2</f>
        <v>18</v>
      </c>
      <c r="BO144" s="17" t="s">
        <v>271</v>
      </c>
      <c r="BP144" s="2">
        <f>BP143*2</f>
        <v>14</v>
      </c>
      <c r="CB144" s="17" t="s">
        <v>271</v>
      </c>
      <c r="CC144" s="2">
        <f>CC143*2</f>
        <v>24</v>
      </c>
    </row>
    <row r="145" spans="2:5" ht="14.25" customHeight="1" x14ac:dyDescent="0.3"/>
    <row r="146" spans="2:5" ht="14.25" customHeight="1" x14ac:dyDescent="0.3">
      <c r="B146" s="2" t="s">
        <v>180</v>
      </c>
      <c r="C146" s="2" t="s">
        <v>258</v>
      </c>
      <c r="D146" s="14" t="s">
        <v>295</v>
      </c>
      <c r="E146" s="14" t="s">
        <v>296</v>
      </c>
    </row>
    <row r="147" spans="2:5" ht="14.25" customHeight="1" x14ac:dyDescent="0.3">
      <c r="B147" s="2" t="s">
        <v>195</v>
      </c>
      <c r="C147" s="18">
        <v>0.9957863323050703</v>
      </c>
      <c r="D147" s="14">
        <f>K3+X3+AK3+AX3+BK3+BX3+CK3+CX3+K53+X53+AK53+AX53+BK53+BX53+CK53+CX53+K86+X86+AK86+AX86+BK86+BX86+CK86+CX86+K118+X118+AK118+AX118+BK118+BX118+CK118</f>
        <v>24</v>
      </c>
      <c r="E147" s="19">
        <f>AVERAGE(L3,Y3,AL3,AY3,BL3,BY3,CL3,CY3,L53,Y53,AL53,AY53,BL53,BY53,CL53,CY53,L86,Y86,AL86,AY86,BL86,BY86,CL86,CY86,L118,Y118+AL118,AY118,BL118,BY118,CL118)</f>
        <v>-0.73333333333333328</v>
      </c>
    </row>
    <row r="148" spans="2:5" ht="14.25" customHeight="1" x14ac:dyDescent="0.3">
      <c r="B148" s="2" t="s">
        <v>199</v>
      </c>
      <c r="C148" s="18">
        <v>0.98995442105744402</v>
      </c>
      <c r="D148" s="14">
        <f>K4+X4+AK4+AX4+BK4+BX4+CK4+CX4+K54+X54+AK54+AX54+BK54+BX54+CK54+CX54+K87+X87+AK87+AX87+BK87+BX87+CK87+CX87+K119+X119+AK119+AX119+BK119+BX119+CK119</f>
        <v>29</v>
      </c>
      <c r="E148" s="19">
        <f>AVERAGE(L4,Y4,AL4,AY4,BL4,BY4,CL4,CY4,L54,Y54,AL54,AY54,BL54,BY54,CL54,CY54,L87,Y87,AL87,AY87,BL87,BY87,CL87,CY87,L119,Y119+AL119,AY119,BL119,BY119,CL119)</f>
        <v>-0.73333333333333328</v>
      </c>
    </row>
    <row r="149" spans="2:5" ht="14.25" customHeight="1" x14ac:dyDescent="0.3">
      <c r="B149" s="2" t="s">
        <v>203</v>
      </c>
      <c r="C149" s="18">
        <v>0.8031838310216366</v>
      </c>
      <c r="D149" s="14">
        <f>K5+X5+AK5+AX5+BK5+BX5+CK5+CX5+K55+X55+AK55+AX55+BK55+BX55+CK55+CX55+K88+X88+AK88+AX88+BK88+BX88+CK88+CX88+K120+X120+AK120+AX120+BK120+BX120+CK120</f>
        <v>26</v>
      </c>
      <c r="E149" s="19">
        <f>AVERAGE(L5,Y5,AL5,AY5,BL5,BY5,CL5,CY5,L55,Y55,AL55,AY55,BL55,BY55,CL55,CY55,L88,Y88,AL88,AY88,BL88,BY88,CL88,CY88,L120,Y120+AL120,AY120,BL120,BY120,CL120)</f>
        <v>-0.43333333333333335</v>
      </c>
    </row>
    <row r="150" spans="2:5" ht="14.25" customHeight="1" x14ac:dyDescent="0.3">
      <c r="B150" s="2" t="s">
        <v>206</v>
      </c>
      <c r="C150" s="18">
        <v>0.7952330657044463</v>
      </c>
      <c r="D150" s="14">
        <f>K6+X6+AK6+AX6+BK6+BX6+CK6+CX6+K56+X56+AK56+AX56+BK56+BX56+CK56+CX56+K89+X89+AK89+AX89+BK89+BX89+CK89+CX89+K121+X121+AK121+AX121+BK121+BX121+CK121</f>
        <v>22</v>
      </c>
      <c r="E150" s="19">
        <f>AVERAGE(L6,Y6,AL6,AY6,BL6,BY6,CL6,CY6,L56,Y56,AL56,AY56,BL56,BY56,CL56,CY56,L89,Y89,AL89,AY89,BL89,BY89,CL89,CY89,L121,Y121+AL121,AY121,BL121,BY121,CL121)</f>
        <v>-2.9333333333333331</v>
      </c>
    </row>
    <row r="151" spans="2:5" ht="14.25" customHeight="1" x14ac:dyDescent="0.3">
      <c r="B151" s="2" t="s">
        <v>202</v>
      </c>
      <c r="C151" s="18">
        <v>0.65812761495518723</v>
      </c>
      <c r="D151" s="14">
        <f>K7+X7+AK7+AX7+BK7+BX7+CK7+CX7+K57+X57+AK57+AX57+BK57+BX57+CK57+CX57+K90+X90+AK90+AX90+BK90+BX90+CK90+CX90+K122+X122+AK122+AX122+BK122+BX122+CK122</f>
        <v>28</v>
      </c>
      <c r="E151" s="19">
        <f>AVERAGE(L7,Y7,AL7,AY7,BL7,BY7,CL7,CY7,L57,Y57,AL57,AY57,BL57,BY57,CL57,CY57,L90,Y90,AL90,AY90,BL90,BY90,CL90,CY90,L122,Y122+AL122,AY122,BL122,BY122,CL122)</f>
        <v>-1.1333333333333333</v>
      </c>
    </row>
    <row r="152" spans="2:5" ht="14.25" customHeight="1" x14ac:dyDescent="0.3">
      <c r="B152" s="2" t="s">
        <v>205</v>
      </c>
      <c r="C152" s="18">
        <v>0.65757862978307635</v>
      </c>
      <c r="D152" s="14">
        <f>K8+X8+AK8+AX8+BK8+BX8+CK8+CX8+K58+X58+AK58+AX58+BK58+BX58+CK58+CX58+K91+X91+AK91+AX91+BK91+BX91+CK91+CX91+K123+X123+AK123+AX123+BK123+BX123+CK123</f>
        <v>29</v>
      </c>
      <c r="E152" s="19">
        <f>AVERAGE(L8,Y8,AL8,AY8,BL8,BY8,CL8,CY8,L58,Y58,AL58,AY58,BL58,BY58,CL58,CY58,L91,Y91,AL91,AY91,BL91,BY91,CL91,CY91,L123,Y123+AL123,AY123,BL123,BY123,CL123)</f>
        <v>-0.83333333333333337</v>
      </c>
    </row>
    <row r="153" spans="2:5" ht="14.25" customHeight="1" x14ac:dyDescent="0.3">
      <c r="B153" s="2" t="s">
        <v>215</v>
      </c>
      <c r="C153" s="18">
        <v>0.44467337167202509</v>
      </c>
      <c r="D153" s="14">
        <f>K9+X9+AK9+AX9+BK9+BX9+CK9+CX9+K59+X59+AK59+AX59+BK59+BX59+CK59+CX59+K92+X92+AK92+AX92+BK92+BX92+CK92+CX92+K124+X124+AK124+AX124+BK124+BX124+CK124</f>
        <v>29</v>
      </c>
      <c r="E153" s="19">
        <f>AVERAGE(L9,Y9,AL9,AY9,BL9,BY9,CL9,CY9,L59,Y59,AL59,AY59,BL59,BY59,CL59,CY59,L92,Y92,AL92,AY92,BL92,BY92,CL92,CY92,L124,Y124+AL124,AY124,BL124,BY124,CL124)</f>
        <v>-2.6</v>
      </c>
    </row>
    <row r="154" spans="2:5" ht="14.25" customHeight="1" x14ac:dyDescent="0.3">
      <c r="B154" s="2" t="s">
        <v>218</v>
      </c>
      <c r="C154" s="18">
        <v>0.28220965544261112</v>
      </c>
      <c r="D154" s="14">
        <f>K10+X10+AK10+AX10+BK10+BX10+CK10+CX10+K60+X60+AK60+AX60+BK60+BX60+CK60+CX60+K93+X93+AK93+AX93+BK93+BX93+CK93+CX93+K125+X125+AK125+AX125+BK125+BX125+CK125</f>
        <v>28</v>
      </c>
      <c r="E154" s="19">
        <f>AVERAGE(L10,Y10,AL10,AY10,BL10,BY10,CL10,CY10,L60,Y60,AL60,AY60,BL60,BY60,CL60,CY60,L93,Y93,AL93,AY93,BL93,BY93,CL93,CY93,L125,Y125+AL125,AY125,BL125,BY125,CL125)</f>
        <v>-1.1666666666666667</v>
      </c>
    </row>
    <row r="155" spans="2:5" ht="14.25" customHeight="1" x14ac:dyDescent="0.3">
      <c r="B155" s="2" t="s">
        <v>198</v>
      </c>
      <c r="C155" s="18">
        <v>0.26647717855960468</v>
      </c>
      <c r="D155" s="14">
        <f>K11+X11+AK11+AX11+BK11+BX11+CK11+CX11+K61+X61+AK61+AX61+BK61+BX61+CK61+CX61+K94+X94+AK94+AX94+BK94+BX94+CK94+CX94+K126+X126+AK126+AX126+BK126+BX126+CK126</f>
        <v>27</v>
      </c>
      <c r="E155" s="19">
        <f>AVERAGE(L11,Y11,AL11,AY11,BL11,BY11,CL11,CY11,L61,Y61,AL61,AY61,BL61,BY61,CL61,CY61,L94,Y94,AL94,AY94,BL94,BY94,CL94,CY94,L126,Y126+AL126,AY126,BL126,BY126,CL126)</f>
        <v>-0.6333333333333333</v>
      </c>
    </row>
    <row r="156" spans="2:5" ht="14.25" customHeight="1" x14ac:dyDescent="0.3">
      <c r="B156" s="2" t="s">
        <v>209</v>
      </c>
      <c r="C156" s="18">
        <v>2.6646209564781631E-3</v>
      </c>
      <c r="D156" s="14">
        <f>K12+X12+AK12+AX12+BK12+BX12+CK12+CX12+K62+X62+AK62+AX62+BK62+BX62+CK62+CX62+K95+X95+AK95+AX95+BK95+BX95+CK95+CX95+K127+X127+AK127+AX127+BK127+BX127+CK127</f>
        <v>29</v>
      </c>
      <c r="E156" s="19">
        <f>AVERAGE(L12,Y12,AL12,AY12,BL12,BY12,CL12,CY12,L62,Y62,AL62,AY62,BL62,BY62,CL62,CY62,L95,Y95,AL95,AY95,BL95,BY95,CL95,CY95,L127,Y127+AL127,AY127,BL127,BY127,CL127)</f>
        <v>-0.46666666666666667</v>
      </c>
    </row>
    <row r="157" spans="2:5" ht="14.25" customHeight="1" x14ac:dyDescent="0.3">
      <c r="B157" s="2" t="s">
        <v>214</v>
      </c>
      <c r="C157" s="18">
        <v>-0.3761105231824623</v>
      </c>
      <c r="D157" s="14">
        <f>K13+X13+AK13+AX13+BK13+BX13+CK13+CX13+K63+X63+AK63+AX63+BK63+BX63+CK63+CX63+K96+X96+AK96+AX96+BK96+BX96+CK96+CX96+K128+X128+AK128+AX128+BK128+BX128+CK128</f>
        <v>22</v>
      </c>
      <c r="E157" s="19">
        <f>AVERAGE(L13,Y13,AL13,AY13,BL13,BY13,CL13,CY13,L63,Y63,AL63,AY63,BL63,BY63,CL63,CY63,L96,Y96,AL96,AY96,BL96,BY96,CL96,CY96,L128,Y128+AL128,AY128,BL128,BY128,CL128)</f>
        <v>-0.1</v>
      </c>
    </row>
    <row r="158" spans="2:5" ht="14.25" customHeight="1" x14ac:dyDescent="0.3">
      <c r="B158" s="2" t="s">
        <v>211</v>
      </c>
      <c r="C158" s="18">
        <v>-0.61856740376708086</v>
      </c>
      <c r="D158" s="14">
        <f>K14+X14+AK14+AX14+BK14+BX14+CK14+CX14+K64+X64+AK64+AX64+BK64+BX64+CK64+CX64+K97+X97+AK97+AX97+BK97+BX97+CK97+CX97+K129+X129+AK129+AX129+BK129+BX129+CK129</f>
        <v>27</v>
      </c>
      <c r="E158" s="19">
        <f>AVERAGE(L14,Y14,AL14,AY14,BL14,BY14,CL14,CY14,L64,Y64,AL64,AY64,BL64,BY64,CL64,CY64,L97,Y97,AL97,AY97,BL97,BY97,CL97,CY97,L129,Y129+AL129,AY129,BL129,BY129,CL129)</f>
        <v>3.3333333333333333E-2</v>
      </c>
    </row>
    <row r="159" spans="2:5" ht="14.25" customHeight="1" x14ac:dyDescent="0.3">
      <c r="B159" s="2" t="s">
        <v>225</v>
      </c>
      <c r="C159" s="18">
        <v>-0.76845746918237878</v>
      </c>
      <c r="D159" s="14">
        <f>K15+X15+AK15+AX15+BK15+BX15+CK15+CX15+K65+X65+AK65+AX65+BK65+BX65+CK65+CX65+K98+X98+AK98+AX98+BK98+BX98+CK98+CX98+K130+X130+AK130+AX130+BK130+BX130+CK130</f>
        <v>21</v>
      </c>
      <c r="E159" s="19">
        <f>AVERAGE(L15,Y15,AL15,AY15,BL15,BY15,CL15,CY15,L65,Y65,AL65,AY65,BL65,BY65,CL65,CY65,L98,Y98,AL98,AY98,BL98,BY98,CL98,CY98,L130,Y130+AL130,AY130,BL130,BY130,CL130)</f>
        <v>-0.33333333333333331</v>
      </c>
    </row>
    <row r="160" spans="2:5" ht="14.25" customHeight="1" x14ac:dyDescent="0.3">
      <c r="B160" s="2" t="s">
        <v>228</v>
      </c>
      <c r="C160" s="18">
        <v>-0.82357176289964173</v>
      </c>
      <c r="D160" s="14">
        <f>K16+X16+AK16+AX16+BK16+BX16+CK16+CX16+K66+X66+AK66+AX66+BK66+BX66+CK66+CX66+K99+X99+AK99+AX99+BK99+BX99+CK99+CX99+K131+X131+AK131+AX131+BK131+BX131+CK131</f>
        <v>27</v>
      </c>
      <c r="E160" s="19">
        <f>AVERAGE(L16,Y16,AL16,AY16,BL16,BY16,CL16,CY16,L66,Y66,AL66,AY66,BL66,BY66,CL66,CY66,L99,Y99,AL99,AY99,BL99,BY99,CL99,CY99,L131,Y131+AL131,AY131,BL131,BY131,CL131)</f>
        <v>1.3</v>
      </c>
    </row>
    <row r="161" spans="2:5" ht="14.25" customHeight="1" x14ac:dyDescent="0.3">
      <c r="B161" s="2" t="s">
        <v>217</v>
      </c>
      <c r="C161" s="18">
        <v>-0.83166677317607873</v>
      </c>
      <c r="D161" s="14">
        <f>K17+X17+AK17+AX17+BK17+BX17+CK17+CX17+K67+X67+AK67+AX67+BK67+BX67+CK67+CX67+K100+X100+AK100+AX100+BK100+BX100+CK100+CX100+K132+X132+AK132+AX132+BK132+BX132+CK132</f>
        <v>21</v>
      </c>
      <c r="E161" s="19">
        <f>AVERAGE(L17,Y17,AL17,AY17,BL17,BY17,CL17,CY17,L67,Y67,AL67,AY67,BL67,BY67,CL67,CY67,L100,Y100,AL100,AY100,BL100,BY100,CL100,CY100,L132,Y132+AL132,AY132,BL132,BY132,CL132)</f>
        <v>-0.26666666666666666</v>
      </c>
    </row>
    <row r="162" spans="2:5" ht="14.25" customHeight="1" x14ac:dyDescent="0.3">
      <c r="B162" s="2" t="s">
        <v>227</v>
      </c>
      <c r="C162" s="18">
        <v>-0.99035075718315457</v>
      </c>
      <c r="D162" s="14">
        <f>K18+X18+AK18+AX18+BK18+BX18+CK18+CX18+K68+X68+AK68+AX68+BK68+BX68+CK68+CX68+K101+X101+AK101+AX101+BK101+BX101+CK101+CX101+K133+X133+AK133+AX133+BK133+BX133+CK133</f>
        <v>23</v>
      </c>
      <c r="E162" s="19">
        <f>AVERAGE(L18,Y18,AL18,AY18,BL18,BY18,CL18,CY18,L68,Y68,AL68,AY68,BL68,BY68,CL68,CY68,L101,Y101,AL101,AY101,BL101,BY101,CL101,CY101,L133,Y133+AL133,AY133,BL133,BY133,CL133)</f>
        <v>0.46666666666666667</v>
      </c>
    </row>
    <row r="163" spans="2:5" ht="14.25" customHeight="1" x14ac:dyDescent="0.3">
      <c r="B163" s="2" t="s">
        <v>221</v>
      </c>
      <c r="C163" s="18">
        <v>-1.072806810743151</v>
      </c>
      <c r="D163" s="14">
        <f>K19+X19+AK19+AX19+BK19+BX19+CK19+CX19+K69+X69+AK69+AX69+BK69+BX69+CK69+CX69+K102+X102+AK102+AX102+BK102+BX102+CK102+CX102+K134+X134+AK134+AX134+BK134+BX134+CK134</f>
        <v>23</v>
      </c>
      <c r="E163" s="19">
        <f>AVERAGE(L19,Y19,AL19,AY19,BL19,BY19,CL19,CY19,L69,Y69,AL69,AY69,BL69,BY69,CL69,CY69,L102,Y102,AL102,AY102,BL102,BY102,CL102,CY102,L134,Y134+AL134,AY134,BL134,BY134,CL134)</f>
        <v>0.36666666666666664</v>
      </c>
    </row>
    <row r="164" spans="2:5" ht="14.25" customHeight="1" x14ac:dyDescent="0.3">
      <c r="B164" s="2" t="s">
        <v>224</v>
      </c>
      <c r="C164" s="18">
        <v>-1.1339562965442611</v>
      </c>
      <c r="D164" s="14">
        <f>K20+X20+AK20+AX20+BK20+BX20+CK20+CX20+K70+X70+AK70+AX70+BK70+BX70+CK70+CX70+K103+X103+AK103+AX103+BK103+BX103+CK103+CX103+K135+X135+AK135+AX135+BK135+BX135+CK135</f>
        <v>28</v>
      </c>
      <c r="E164" s="19">
        <f>AVERAGE(L20,Y20,AL20,AY20,BL20,BY20,CL20,CY20,L70,Y70,AL70,AY70,BL70,BY70,CL70,CY70,L103,Y103,AL103,AY103,BL103,BY103,CL103,CY103,L135,Y135+AL135,AY135,BL135,BY135,CL135)</f>
        <v>1.6666666666666667</v>
      </c>
    </row>
    <row r="165" spans="2:5" ht="14.25" customHeight="1" x14ac:dyDescent="0.3">
      <c r="B165" s="2" t="s">
        <v>207</v>
      </c>
      <c r="C165" s="18">
        <v>-1.196962071035268</v>
      </c>
      <c r="D165" s="14">
        <f>K21+X21+AK21+AX21+BK21+BX21+CK21+CX21+K71+X71+AK71+AX71+BK71+BX71+CK71+CX71+K104+X104+AK104+AX104+BK104+BX104+CK104+CX104+K136+X136+AK136+AX136+BK136+BX136+CK136</f>
        <v>25</v>
      </c>
      <c r="E165" s="19">
        <f>AVERAGE(L21,Y21,AL21,AY21,BL21,BY21,CL21,CY21,L71,Y71,AL71,AY71,BL71,BY71,CL71,CY71,L104,Y104,AL104,AY104,BL104,BY104,CL104,CY104,L136,Y136+AL136,AY136,BL136,BY136,CL136)</f>
        <v>1.1666666666666667</v>
      </c>
    </row>
    <row r="166" spans="2:5" ht="14.25" customHeight="1" x14ac:dyDescent="0.3">
      <c r="B166" s="2" t="s">
        <v>222</v>
      </c>
      <c r="C166" s="18">
        <v>-1.679865001322572</v>
      </c>
      <c r="D166" s="14">
        <f>K22+X22+AK22+AX22+BK22+BX22+CK22+CX22+K72+X72+AK72+AX72+BK72+BX72+CK72+CX72+K105+X105+AK105+AX105+BK105+BX105+CK105+CX105+K137+X137+AK137+AX137+BK137+BX137+CK137</f>
        <v>22</v>
      </c>
      <c r="E166" s="19">
        <f>AVERAGE(L22,Y22,AL22,AY22,BL22,BY22,CL22,CY22,L72,Y72,AL72,AY72,BL72,BY72,CL72,CY72,L105,Y105,AL105,AY105,BL105,BY105,CL105,CY105,L137,Y137+AL137,AY137,BL137,BY137,CL137)</f>
        <v>0.2</v>
      </c>
    </row>
    <row r="167" spans="2:5" ht="14.25" customHeight="1" x14ac:dyDescent="0.3"/>
    <row r="168" spans="2:5" ht="14.25" customHeight="1" x14ac:dyDescent="0.3"/>
    <row r="169" spans="2:5" ht="14.25" customHeight="1" x14ac:dyDescent="0.3"/>
    <row r="170" spans="2:5" ht="14.25" customHeight="1" x14ac:dyDescent="0.3"/>
    <row r="171" spans="2:5" ht="14.25" customHeight="1" x14ac:dyDescent="0.3"/>
    <row r="172" spans="2:5" ht="14.25" customHeight="1" x14ac:dyDescent="0.3"/>
    <row r="173" spans="2:5" ht="14.25" customHeight="1" x14ac:dyDescent="0.3"/>
    <row r="174" spans="2:5" ht="14.25" customHeight="1" x14ac:dyDescent="0.3"/>
    <row r="175" spans="2:5" ht="14.25" customHeight="1" x14ac:dyDescent="0.3"/>
    <row r="176" spans="2:5" ht="14.25" customHeight="1" x14ac:dyDescent="0.3"/>
    <row r="177" spans="3:74" ht="14.25" customHeight="1" x14ac:dyDescent="0.3"/>
    <row r="178" spans="3:74" ht="14.25" customHeight="1" x14ac:dyDescent="0.3"/>
    <row r="179" spans="3:74" ht="14.25" customHeight="1" x14ac:dyDescent="0.3"/>
    <row r="180" spans="3:74" ht="14.25" customHeight="1" x14ac:dyDescent="0.3"/>
    <row r="181" spans="3:74" ht="14.25" customHeight="1" x14ac:dyDescent="0.3"/>
    <row r="182" spans="3:74" ht="14.25" customHeight="1" x14ac:dyDescent="0.3">
      <c r="C182" s="3" t="s">
        <v>297</v>
      </c>
      <c r="N182" s="3" t="s">
        <v>171</v>
      </c>
      <c r="V182" s="3" t="s">
        <v>172</v>
      </c>
      <c r="AG182" s="3" t="s">
        <v>173</v>
      </c>
      <c r="AO182" s="3" t="s">
        <v>174</v>
      </c>
      <c r="AV182" s="3" t="s">
        <v>298</v>
      </c>
      <c r="BH182" s="3" t="s">
        <v>176</v>
      </c>
    </row>
    <row r="183" spans="3:74" ht="14.25" customHeight="1" x14ac:dyDescent="0.3">
      <c r="C183" s="2" t="s">
        <v>180</v>
      </c>
      <c r="D183" s="17" t="s">
        <v>299</v>
      </c>
      <c r="E183" s="17"/>
      <c r="F183" s="17"/>
      <c r="G183" s="2" t="s">
        <v>258</v>
      </c>
      <c r="H183" s="2" t="s">
        <v>12</v>
      </c>
      <c r="J183" s="9"/>
      <c r="K183" s="9"/>
      <c r="L183" s="9"/>
      <c r="M183" s="9"/>
      <c r="N183" s="2" t="s">
        <v>180</v>
      </c>
      <c r="O183" s="17" t="s">
        <v>299</v>
      </c>
      <c r="P183" s="2" t="s">
        <v>258</v>
      </c>
      <c r="Q183" s="2" t="s">
        <v>12</v>
      </c>
      <c r="V183" s="2" t="s">
        <v>180</v>
      </c>
      <c r="W183" s="2"/>
      <c r="X183" s="2" t="s">
        <v>299</v>
      </c>
      <c r="Y183" s="2"/>
      <c r="Z183" s="2"/>
      <c r="AA183" s="2" t="s">
        <v>258</v>
      </c>
      <c r="AB183" s="2" t="s">
        <v>12</v>
      </c>
      <c r="AG183" s="2" t="s">
        <v>180</v>
      </c>
      <c r="AH183" s="17" t="s">
        <v>299</v>
      </c>
      <c r="AI183" s="2" t="s">
        <v>258</v>
      </c>
      <c r="AJ183" s="2" t="s">
        <v>12</v>
      </c>
      <c r="AO183" s="2" t="s">
        <v>180</v>
      </c>
      <c r="AP183" s="17" t="s">
        <v>299</v>
      </c>
      <c r="AQ183" s="2" t="s">
        <v>258</v>
      </c>
      <c r="AR183" s="2"/>
      <c r="AS183" s="2"/>
      <c r="AT183" s="2" t="s">
        <v>12</v>
      </c>
      <c r="AV183" s="2" t="s">
        <v>180</v>
      </c>
      <c r="AW183" s="17"/>
      <c r="AX183" s="17"/>
      <c r="AY183" s="17"/>
      <c r="AZ183" s="17"/>
      <c r="BA183" s="17" t="s">
        <v>299</v>
      </c>
      <c r="BB183" s="2" t="s">
        <v>258</v>
      </c>
      <c r="BC183" s="2" t="s">
        <v>12</v>
      </c>
      <c r="BH183" s="2" t="s">
        <v>180</v>
      </c>
      <c r="BI183" s="17" t="s">
        <v>299</v>
      </c>
      <c r="BJ183" s="2"/>
      <c r="BK183" s="2"/>
      <c r="BL183" s="2"/>
      <c r="BM183" s="2"/>
      <c r="BN183" s="2" t="s">
        <v>258</v>
      </c>
      <c r="BO183" s="2" t="s">
        <v>12</v>
      </c>
    </row>
    <row r="184" spans="3:74" ht="14.25" customHeight="1" x14ac:dyDescent="0.3">
      <c r="C184" s="2" t="s">
        <v>195</v>
      </c>
      <c r="D184" s="2">
        <f>AVERAGE(AT3,AG53,R86,G118)</f>
        <v>7.75</v>
      </c>
      <c r="E184" s="2"/>
      <c r="F184" s="2"/>
      <c r="G184" s="2">
        <v>0.9957863323050703</v>
      </c>
      <c r="H184" s="2">
        <v>15</v>
      </c>
      <c r="J184" s="9"/>
      <c r="K184" s="9"/>
      <c r="L184" s="9"/>
      <c r="M184" s="9"/>
      <c r="N184" s="2" t="s">
        <v>195</v>
      </c>
      <c r="O184" s="2">
        <f>AVERAGE(BG3,AT53,AG86,R118)</f>
        <v>7</v>
      </c>
      <c r="P184" s="2">
        <v>0.9957863323050703</v>
      </c>
      <c r="Q184" s="2">
        <v>15</v>
      </c>
      <c r="V184" s="2" t="s">
        <v>195</v>
      </c>
      <c r="W184" s="2"/>
      <c r="X184" s="2">
        <f>AVERAGE(BT3,BG53,AT86,AG118)</f>
        <v>7.25</v>
      </c>
      <c r="Y184" s="2"/>
      <c r="Z184" s="2"/>
      <c r="AA184" s="2">
        <v>0.9957863323050703</v>
      </c>
      <c r="AB184" s="2">
        <v>15</v>
      </c>
      <c r="AG184" s="2" t="s">
        <v>195</v>
      </c>
      <c r="AH184" s="2">
        <f>AVERAGE(CG3,BT53,BG86,AT118)</f>
        <v>7.25</v>
      </c>
      <c r="AI184" s="2">
        <v>0.9957863323050703</v>
      </c>
      <c r="AJ184" s="2">
        <v>15</v>
      </c>
      <c r="AO184" s="2" t="s">
        <v>195</v>
      </c>
      <c r="AP184" s="2">
        <f>AVERAGE(G3,CT3,CG53,BT86,BG118)</f>
        <v>7</v>
      </c>
      <c r="AQ184" s="2">
        <v>0.9957863323050703</v>
      </c>
      <c r="AR184" s="2"/>
      <c r="AS184" s="2"/>
      <c r="AT184" s="2">
        <v>15</v>
      </c>
      <c r="AV184" s="2" t="s">
        <v>195</v>
      </c>
      <c r="AW184" s="2"/>
      <c r="AX184" s="2"/>
      <c r="AY184" s="2"/>
      <c r="AZ184" s="2"/>
      <c r="BA184" s="2">
        <f>AVERAGE(R3,G53,CT53,CG86,BT118)</f>
        <v>5.8</v>
      </c>
      <c r="BB184" s="2">
        <v>0.9957863323050703</v>
      </c>
      <c r="BC184" s="2">
        <v>15</v>
      </c>
      <c r="BH184" s="2" t="s">
        <v>195</v>
      </c>
      <c r="BI184" s="2">
        <f>AVERAGE(AG3,T53,G86,CT86,CG118)</f>
        <v>7.4</v>
      </c>
      <c r="BJ184" s="2"/>
      <c r="BK184" s="2"/>
      <c r="BL184" s="2"/>
      <c r="BM184" s="2"/>
      <c r="BN184" s="2">
        <v>0.9957863323050703</v>
      </c>
      <c r="BO184" s="2">
        <v>15</v>
      </c>
      <c r="BT184" s="2" t="s">
        <v>300</v>
      </c>
      <c r="BU184" s="2"/>
      <c r="BV184" s="2" t="e">
        <f>D204+O204+#REF!+AP204+BA204+BI204</f>
        <v>#REF!</v>
      </c>
    </row>
    <row r="185" spans="3:74" ht="14.25" customHeight="1" x14ac:dyDescent="0.3">
      <c r="C185" s="2" t="s">
        <v>199</v>
      </c>
      <c r="D185" s="2">
        <f>AVERAGE(AT4,AG54,R87,G119)</f>
        <v>3.75</v>
      </c>
      <c r="E185" s="2"/>
      <c r="F185" s="2"/>
      <c r="G185" s="2">
        <v>0.98995442105744402</v>
      </c>
      <c r="H185" s="2">
        <v>11</v>
      </c>
      <c r="J185" s="9"/>
      <c r="K185" s="9"/>
      <c r="L185" s="9"/>
      <c r="M185" s="9"/>
      <c r="N185" s="2" t="s">
        <v>199</v>
      </c>
      <c r="O185" s="2">
        <f>AVERAGE(BG4,AT54,AG87,R119)</f>
        <v>4.75</v>
      </c>
      <c r="P185" s="2">
        <v>0.98995442105744402</v>
      </c>
      <c r="Q185" s="2">
        <v>11</v>
      </c>
      <c r="V185" s="2" t="s">
        <v>199</v>
      </c>
      <c r="W185" s="2"/>
      <c r="X185" s="2">
        <f>AVERAGE(BT4,BG54,AT87,AG119)</f>
        <v>5</v>
      </c>
      <c r="Y185" s="2"/>
      <c r="Z185" s="2"/>
      <c r="AA185" s="2">
        <v>0.98995442105744402</v>
      </c>
      <c r="AB185" s="2">
        <v>11</v>
      </c>
      <c r="AG185" s="2" t="s">
        <v>199</v>
      </c>
      <c r="AH185" s="2">
        <f>AVERAGE(CG4,BT54,BG87,AT119)</f>
        <v>5</v>
      </c>
      <c r="AI185" s="2">
        <v>0.98995442105744402</v>
      </c>
      <c r="AJ185" s="2">
        <v>11</v>
      </c>
      <c r="AO185" s="2" t="s">
        <v>199</v>
      </c>
      <c r="AP185" s="2">
        <f>AVERAGE(G4,CT4,CG54,BT87,BG119)</f>
        <v>5</v>
      </c>
      <c r="AQ185" s="2">
        <v>0.98995442105744402</v>
      </c>
      <c r="AR185" s="2"/>
      <c r="AS185" s="2"/>
      <c r="AT185" s="2">
        <v>11</v>
      </c>
      <c r="AV185" s="2" t="s">
        <v>199</v>
      </c>
      <c r="AW185" s="2"/>
      <c r="AX185" s="2"/>
      <c r="AY185" s="2"/>
      <c r="AZ185" s="2"/>
      <c r="BA185" s="2">
        <f>AVERAGE(R4,G54,CT54,CG87,BT119)</f>
        <v>4.5999999999999996</v>
      </c>
      <c r="BB185" s="2">
        <v>0.98995442105744402</v>
      </c>
      <c r="BC185" s="2">
        <v>11</v>
      </c>
      <c r="BH185" s="2" t="s">
        <v>199</v>
      </c>
      <c r="BI185" s="2">
        <f>AVERAGE(AG4,T54,G87,CT87,CG119)</f>
        <v>5</v>
      </c>
      <c r="BJ185" s="2"/>
      <c r="BK185" s="2"/>
      <c r="BL185" s="2"/>
      <c r="BM185" s="2"/>
      <c r="BN185" s="2">
        <v>0.98995442105744402</v>
      </c>
      <c r="BO185" s="2">
        <v>11</v>
      </c>
      <c r="BT185" s="2" t="s">
        <v>301</v>
      </c>
      <c r="BU185" s="2"/>
      <c r="BV185" s="2" t="e">
        <f>D205+O205+#REF!+AH205+AP205+BA205+BI205</f>
        <v>#REF!</v>
      </c>
    </row>
    <row r="186" spans="3:74" ht="14.25" customHeight="1" x14ac:dyDescent="0.3">
      <c r="C186" s="2" t="s">
        <v>203</v>
      </c>
      <c r="D186" s="2">
        <f>AVERAGE(AT5,AG55,R88,G120)</f>
        <v>4</v>
      </c>
      <c r="E186" s="2"/>
      <c r="F186" s="2"/>
      <c r="G186" s="2">
        <v>0.8031838310216366</v>
      </c>
      <c r="H186" s="2">
        <v>11</v>
      </c>
      <c r="J186" s="9"/>
      <c r="K186" s="9"/>
      <c r="L186" s="9"/>
      <c r="M186" s="9"/>
      <c r="N186" s="2" t="s">
        <v>203</v>
      </c>
      <c r="O186" s="2">
        <f>AVERAGE(BG5,AT55,AG88,R120)</f>
        <v>6.25</v>
      </c>
      <c r="P186" s="2">
        <v>0.8031838310216366</v>
      </c>
      <c r="Q186" s="2">
        <v>11</v>
      </c>
      <c r="V186" s="2" t="s">
        <v>203</v>
      </c>
      <c r="W186" s="2"/>
      <c r="X186" s="2">
        <f>AVERAGE(BT5,BG55,AT88,AG120)</f>
        <v>6</v>
      </c>
      <c r="Y186" s="2"/>
      <c r="Z186" s="2"/>
      <c r="AA186" s="2">
        <v>0.8031838310216366</v>
      </c>
      <c r="AB186" s="2">
        <v>11</v>
      </c>
      <c r="AG186" s="2" t="s">
        <v>203</v>
      </c>
      <c r="AH186" s="2">
        <f>AVERAGE(CG5,BT55,BG88,AT120)</f>
        <v>5</v>
      </c>
      <c r="AI186" s="2">
        <v>0.8031838310216366</v>
      </c>
      <c r="AJ186" s="2">
        <v>11</v>
      </c>
      <c r="AO186" s="2" t="s">
        <v>203</v>
      </c>
      <c r="AP186" s="2">
        <f>AVERAGE(G5,CT5,CG55,BT88,BG120)</f>
        <v>5.2</v>
      </c>
      <c r="AQ186" s="2">
        <v>0.8031838310216366</v>
      </c>
      <c r="AR186" s="2"/>
      <c r="AS186" s="2"/>
      <c r="AT186" s="2">
        <v>11</v>
      </c>
      <c r="AV186" s="2" t="s">
        <v>203</v>
      </c>
      <c r="AW186" s="2"/>
      <c r="AX186" s="2"/>
      <c r="AY186" s="2"/>
      <c r="AZ186" s="2"/>
      <c r="BA186" s="2">
        <f>AVERAGE(R5,G55,CT55,CG88,BT120)</f>
        <v>5</v>
      </c>
      <c r="BB186" s="2">
        <v>0.8031838310216366</v>
      </c>
      <c r="BC186" s="2">
        <v>11</v>
      </c>
      <c r="BH186" s="2" t="s">
        <v>203</v>
      </c>
      <c r="BI186" s="2">
        <f>AVERAGE(AG5,T55,G88,CT88,CG120)</f>
        <v>5</v>
      </c>
      <c r="BJ186" s="2"/>
      <c r="BK186" s="2"/>
      <c r="BL186" s="2"/>
      <c r="BM186" s="2"/>
      <c r="BN186" s="2">
        <v>0.8031838310216366</v>
      </c>
      <c r="BO186" s="2">
        <v>11</v>
      </c>
    </row>
    <row r="187" spans="3:74" ht="14.25" customHeight="1" x14ac:dyDescent="0.3">
      <c r="C187" s="2" t="s">
        <v>206</v>
      </c>
      <c r="D187" s="2">
        <f>AVERAGE(AT6,AG56,R89,G121)</f>
        <v>13.5</v>
      </c>
      <c r="E187" s="2"/>
      <c r="F187" s="2"/>
      <c r="G187" s="2">
        <v>0.7952330657044463</v>
      </c>
      <c r="H187" s="2">
        <v>41</v>
      </c>
      <c r="J187" s="9"/>
      <c r="K187" s="9"/>
      <c r="L187" s="9"/>
      <c r="M187" s="9"/>
      <c r="N187" s="2" t="s">
        <v>206</v>
      </c>
      <c r="O187" s="2">
        <f>AVERAGE(BG6,AT56,AG89,R121)</f>
        <v>17</v>
      </c>
      <c r="P187" s="2">
        <v>0.7952330657044463</v>
      </c>
      <c r="Q187" s="2">
        <v>41</v>
      </c>
      <c r="V187" s="2" t="s">
        <v>206</v>
      </c>
      <c r="W187" s="2"/>
      <c r="X187" s="2">
        <f>AVERAGE(BT6,BG56,AT89,AG121)</f>
        <v>15</v>
      </c>
      <c r="Y187" s="2"/>
      <c r="Z187" s="2"/>
      <c r="AA187" s="2">
        <v>0.7952330657044463</v>
      </c>
      <c r="AB187" s="2">
        <v>41</v>
      </c>
      <c r="AG187" s="2" t="s">
        <v>206</v>
      </c>
      <c r="AH187" s="2">
        <f>AVERAGE(CG6,BT56,BG89,AT121)</f>
        <v>15.5</v>
      </c>
      <c r="AI187" s="2">
        <v>0.7952330657044463</v>
      </c>
      <c r="AJ187" s="2">
        <v>41</v>
      </c>
      <c r="AO187" s="2" t="s">
        <v>206</v>
      </c>
      <c r="AP187" s="2">
        <f>AVERAGE(G6,CT6,CG56,BT89,BG121)</f>
        <v>16.399999999999999</v>
      </c>
      <c r="AQ187" s="2">
        <v>0.7952330657044463</v>
      </c>
      <c r="AR187" s="2"/>
      <c r="AS187" s="2"/>
      <c r="AT187" s="2">
        <v>41</v>
      </c>
      <c r="AV187" s="2" t="s">
        <v>206</v>
      </c>
      <c r="AW187" s="2"/>
      <c r="AX187" s="2"/>
      <c r="AY187" s="2"/>
      <c r="AZ187" s="2"/>
      <c r="BA187" s="2">
        <f>AVERAGE(R6,G56,CT56,CG89,BT121)</f>
        <v>14.6</v>
      </c>
      <c r="BB187" s="2">
        <v>0.7952330657044463</v>
      </c>
      <c r="BC187" s="2">
        <v>41</v>
      </c>
      <c r="BH187" s="2" t="s">
        <v>206</v>
      </c>
      <c r="BI187" s="2">
        <f>AVERAGE(AG6,T56,G89,CT89,CG121)</f>
        <v>15.8</v>
      </c>
      <c r="BJ187" s="2"/>
      <c r="BK187" s="2"/>
      <c r="BL187" s="2"/>
      <c r="BM187" s="2"/>
      <c r="BN187" s="2">
        <v>0.7952330657044463</v>
      </c>
      <c r="BO187" s="2">
        <v>41</v>
      </c>
    </row>
    <row r="188" spans="3:74" ht="14.25" customHeight="1" x14ac:dyDescent="0.3">
      <c r="C188" s="2" t="s">
        <v>202</v>
      </c>
      <c r="D188" s="2">
        <f>AVERAGE(AT7,AG57,R90,G122)</f>
        <v>3.25</v>
      </c>
      <c r="E188" s="2"/>
      <c r="F188" s="2"/>
      <c r="G188" s="2">
        <v>0.65812761495518723</v>
      </c>
      <c r="H188" s="2">
        <v>11</v>
      </c>
      <c r="J188" s="9"/>
      <c r="K188" s="9"/>
      <c r="L188" s="9"/>
      <c r="M188" s="9"/>
      <c r="N188" s="2" t="s">
        <v>202</v>
      </c>
      <c r="O188" s="2">
        <f>AVERAGE(BG7,AT57,AG90,R122)</f>
        <v>3.5</v>
      </c>
      <c r="P188" s="2">
        <v>0.65812761495518723</v>
      </c>
      <c r="Q188" s="2">
        <v>11</v>
      </c>
      <c r="V188" s="2" t="s">
        <v>202</v>
      </c>
      <c r="W188" s="2"/>
      <c r="X188" s="2">
        <f>AVERAGE(BT7,BG57,AT90,AG122)</f>
        <v>4.25</v>
      </c>
      <c r="Y188" s="2"/>
      <c r="Z188" s="2"/>
      <c r="AA188" s="2">
        <v>0.65812761495518723</v>
      </c>
      <c r="AB188" s="2">
        <v>11</v>
      </c>
      <c r="AG188" s="2" t="s">
        <v>202</v>
      </c>
      <c r="AH188" s="2">
        <f>AVERAGE(CG7,BT57,BG90,AT122)</f>
        <v>4</v>
      </c>
      <c r="AI188" s="2">
        <v>0.65812761495518723</v>
      </c>
      <c r="AJ188" s="2">
        <v>11</v>
      </c>
      <c r="AO188" s="2" t="s">
        <v>202</v>
      </c>
      <c r="AP188" s="2">
        <f>AVERAGE(G7,CT7,CG57,BT90,BG122)</f>
        <v>4.5999999999999996</v>
      </c>
      <c r="AQ188" s="2">
        <v>0.65812761495518723</v>
      </c>
      <c r="AR188" s="2"/>
      <c r="AS188" s="2"/>
      <c r="AT188" s="2">
        <v>11</v>
      </c>
      <c r="AV188" s="2" t="s">
        <v>202</v>
      </c>
      <c r="AW188" s="2"/>
      <c r="AX188" s="2"/>
      <c r="AY188" s="2"/>
      <c r="AZ188" s="2"/>
      <c r="BA188" s="2">
        <f>AVERAGE(R7,G57,CT57,CG90,BT122)</f>
        <v>4.8</v>
      </c>
      <c r="BB188" s="2">
        <v>0.65812761495518723</v>
      </c>
      <c r="BC188" s="2">
        <v>11</v>
      </c>
      <c r="BH188" s="2" t="s">
        <v>202</v>
      </c>
      <c r="BI188" s="2">
        <f>AVERAGE(AG7,T57,G90,CT90,CG122)</f>
        <v>4</v>
      </c>
      <c r="BJ188" s="2"/>
      <c r="BK188" s="2"/>
      <c r="BL188" s="2"/>
      <c r="BM188" s="2"/>
      <c r="BN188" s="2">
        <v>0.65812761495518723</v>
      </c>
      <c r="BO188" s="2">
        <v>11</v>
      </c>
    </row>
    <row r="189" spans="3:74" ht="14.25" customHeight="1" x14ac:dyDescent="0.3">
      <c r="C189" s="2" t="s">
        <v>205</v>
      </c>
      <c r="D189" s="2">
        <f>AVERAGE(AT8,AG58,R91,G123)</f>
        <v>3</v>
      </c>
      <c r="E189" s="2"/>
      <c r="F189" s="2"/>
      <c r="G189" s="2">
        <v>0.65757862978307635</v>
      </c>
      <c r="H189" s="2">
        <v>7</v>
      </c>
      <c r="J189" s="9"/>
      <c r="K189" s="9"/>
      <c r="L189" s="9"/>
      <c r="M189" s="9"/>
      <c r="N189" s="2" t="s">
        <v>205</v>
      </c>
      <c r="O189" s="2">
        <f>AVERAGE(BG8,AT58,AG91,R123)</f>
        <v>3</v>
      </c>
      <c r="P189" s="2">
        <v>0.65757862978307635</v>
      </c>
      <c r="Q189" s="2">
        <v>7</v>
      </c>
      <c r="V189" s="2" t="s">
        <v>205</v>
      </c>
      <c r="W189" s="2"/>
      <c r="X189" s="2">
        <f>AVERAGE(BT8,BG58,AT91,AG123)</f>
        <v>4</v>
      </c>
      <c r="Y189" s="2"/>
      <c r="Z189" s="2"/>
      <c r="AA189" s="2">
        <v>0.65757862978307635</v>
      </c>
      <c r="AB189" s="2">
        <v>7</v>
      </c>
      <c r="AG189" s="2" t="s">
        <v>205</v>
      </c>
      <c r="AH189" s="2">
        <f>AVERAGE(CG8,BT58,BG91,AT123)</f>
        <v>4</v>
      </c>
      <c r="AI189" s="2">
        <v>0.65757862978307635</v>
      </c>
      <c r="AJ189" s="2">
        <v>7</v>
      </c>
      <c r="AO189" s="2" t="s">
        <v>205</v>
      </c>
      <c r="AP189" s="2">
        <f>AVERAGE(G8,CT8,CG58,BT91,BG123)</f>
        <v>4</v>
      </c>
      <c r="AQ189" s="2">
        <v>0.65757862978307635</v>
      </c>
      <c r="AR189" s="2"/>
      <c r="AS189" s="2"/>
      <c r="AT189" s="2">
        <v>7</v>
      </c>
      <c r="AV189" s="2" t="s">
        <v>205</v>
      </c>
      <c r="AW189" s="2"/>
      <c r="AX189" s="2"/>
      <c r="AY189" s="2"/>
      <c r="AZ189" s="2"/>
      <c r="BA189" s="2">
        <f>AVERAGE(R8,G58,CT58,CG91,BT123)</f>
        <v>3.2</v>
      </c>
      <c r="BB189" s="2">
        <v>0.65757862978307635</v>
      </c>
      <c r="BC189" s="2">
        <v>7</v>
      </c>
      <c r="BH189" s="2" t="s">
        <v>205</v>
      </c>
      <c r="BI189" s="2">
        <f>AVERAGE(AG8,T58,G91,CT91,CG123)</f>
        <v>4</v>
      </c>
      <c r="BJ189" s="2"/>
      <c r="BK189" s="2"/>
      <c r="BL189" s="2"/>
      <c r="BM189" s="2"/>
      <c r="BN189" s="2">
        <v>0.65757862978307635</v>
      </c>
      <c r="BO189" s="2">
        <v>7</v>
      </c>
    </row>
    <row r="190" spans="3:74" ht="14.25" customHeight="1" x14ac:dyDescent="0.3">
      <c r="C190" s="2" t="s">
        <v>215</v>
      </c>
      <c r="D190" s="2">
        <f>AVERAGE(AT9,AG59,R92,G124)</f>
        <v>8</v>
      </c>
      <c r="E190" s="2"/>
      <c r="F190" s="2"/>
      <c r="G190" s="2">
        <v>0.44467337167202509</v>
      </c>
      <c r="H190" s="2">
        <v>23</v>
      </c>
      <c r="J190" s="9"/>
      <c r="K190" s="9"/>
      <c r="L190" s="9"/>
      <c r="M190" s="9"/>
      <c r="N190" s="2" t="s">
        <v>215</v>
      </c>
      <c r="O190" s="2">
        <f>AVERAGE(BG9,AT59,AG92,R124)</f>
        <v>9.25</v>
      </c>
      <c r="P190" s="2">
        <v>0.44467337167202509</v>
      </c>
      <c r="Q190" s="2">
        <v>23</v>
      </c>
      <c r="V190" s="2" t="s">
        <v>215</v>
      </c>
      <c r="W190" s="2"/>
      <c r="X190" s="2">
        <f>AVERAGE(BT9,BG59,AT92,AG124)</f>
        <v>9.5</v>
      </c>
      <c r="Y190" s="2"/>
      <c r="Z190" s="2"/>
      <c r="AA190" s="2">
        <v>0.44467337167202509</v>
      </c>
      <c r="AB190" s="2">
        <v>23</v>
      </c>
      <c r="AG190" s="2" t="s">
        <v>215</v>
      </c>
      <c r="AH190" s="2">
        <f>AVERAGE(CG9,BT59,BG92,AT124)</f>
        <v>9.5</v>
      </c>
      <c r="AI190" s="2">
        <v>0.44467337167202509</v>
      </c>
      <c r="AJ190" s="2">
        <v>23</v>
      </c>
      <c r="AO190" s="2" t="s">
        <v>215</v>
      </c>
      <c r="AP190" s="2">
        <f>AVERAGE(G9,CT9,CG59,BT92,BG124)</f>
        <v>10.199999999999999</v>
      </c>
      <c r="AQ190" s="2">
        <v>0.44467337167202509</v>
      </c>
      <c r="AR190" s="2"/>
      <c r="AS190" s="2"/>
      <c r="AT190" s="2">
        <v>23</v>
      </c>
      <c r="AV190" s="2" t="s">
        <v>215</v>
      </c>
      <c r="AW190" s="2"/>
      <c r="AX190" s="2"/>
      <c r="AY190" s="2"/>
      <c r="AZ190" s="2"/>
      <c r="BA190" s="2">
        <f>AVERAGE(R9,G59,CT59,CG92,BT124)</f>
        <v>10.199999999999999</v>
      </c>
      <c r="BB190" s="2">
        <v>0.44467337167202509</v>
      </c>
      <c r="BC190" s="2">
        <v>23</v>
      </c>
      <c r="BH190" s="2" t="s">
        <v>215</v>
      </c>
      <c r="BI190" s="2">
        <f>AVERAGE(AG9,T59,G92,CT92,CG124)</f>
        <v>9.6</v>
      </c>
      <c r="BJ190" s="2"/>
      <c r="BK190" s="2"/>
      <c r="BL190" s="2"/>
      <c r="BM190" s="2"/>
      <c r="BN190" s="2">
        <v>0.44467337167202509</v>
      </c>
      <c r="BO190" s="2">
        <v>23</v>
      </c>
    </row>
    <row r="191" spans="3:74" ht="14.25" customHeight="1" x14ac:dyDescent="0.3">
      <c r="C191" s="2" t="s">
        <v>218</v>
      </c>
      <c r="D191" s="2">
        <f>AVERAGE(AT10,AG60,R93,G125)</f>
        <v>9.25</v>
      </c>
      <c r="E191" s="2"/>
      <c r="F191" s="2"/>
      <c r="G191" s="2">
        <v>0.28220965544261112</v>
      </c>
      <c r="H191" s="2">
        <v>23</v>
      </c>
      <c r="J191" s="9"/>
      <c r="K191" s="9"/>
      <c r="L191" s="9"/>
      <c r="M191" s="9"/>
      <c r="N191" s="2" t="s">
        <v>218</v>
      </c>
      <c r="O191" s="2">
        <f>AVERAGE(BG10,AT60,AG93,R125)</f>
        <v>8.75</v>
      </c>
      <c r="P191" s="2">
        <v>0.28220965544261112</v>
      </c>
      <c r="Q191" s="2">
        <v>23</v>
      </c>
      <c r="V191" s="2" t="s">
        <v>218</v>
      </c>
      <c r="W191" s="2"/>
      <c r="X191" s="2">
        <f>AVERAGE(BT10,BG60,AT93,AG125)</f>
        <v>10</v>
      </c>
      <c r="Y191" s="2"/>
      <c r="Z191" s="2"/>
      <c r="AA191" s="2">
        <v>0.28220965544261112</v>
      </c>
      <c r="AB191" s="2">
        <v>23</v>
      </c>
      <c r="AG191" s="2" t="s">
        <v>218</v>
      </c>
      <c r="AH191" s="2">
        <f>AVERAGE(CG10,BT60,BG93,AT125)</f>
        <v>9.5</v>
      </c>
      <c r="AI191" s="2">
        <v>0.28220965544261112</v>
      </c>
      <c r="AJ191" s="2">
        <v>23</v>
      </c>
      <c r="AO191" s="2" t="s">
        <v>218</v>
      </c>
      <c r="AP191" s="2">
        <f>AVERAGE(G10,CT10,CG60,BT93,BG125)</f>
        <v>10.6</v>
      </c>
      <c r="AQ191" s="2">
        <v>0.28220965544261112</v>
      </c>
      <c r="AR191" s="2"/>
      <c r="AS191" s="2"/>
      <c r="AT191" s="2">
        <v>23</v>
      </c>
      <c r="AV191" s="2" t="s">
        <v>218</v>
      </c>
      <c r="AW191" s="2"/>
      <c r="AX191" s="2"/>
      <c r="AY191" s="2"/>
      <c r="AZ191" s="2"/>
      <c r="BA191" s="2">
        <f>AVERAGE(R10,G60,CT60,CG93,BT125)</f>
        <v>8.8000000000000007</v>
      </c>
      <c r="BB191" s="2">
        <v>0.28220965544261112</v>
      </c>
      <c r="BC191" s="2">
        <v>23</v>
      </c>
      <c r="BH191" s="2" t="s">
        <v>218</v>
      </c>
      <c r="BI191" s="2">
        <f>AVERAGE(AG10,T60,G93,CT93,CG125)</f>
        <v>9</v>
      </c>
      <c r="BJ191" s="2"/>
      <c r="BK191" s="2"/>
      <c r="BL191" s="2"/>
      <c r="BM191" s="2"/>
      <c r="BN191" s="2">
        <v>0.28220965544261112</v>
      </c>
      <c r="BO191" s="2">
        <v>23</v>
      </c>
    </row>
    <row r="192" spans="3:74" ht="14.25" customHeight="1" x14ac:dyDescent="0.3">
      <c r="C192" s="2" t="s">
        <v>198</v>
      </c>
      <c r="D192" s="2">
        <f>AVERAGE(AT11,AG61,R94,G126)</f>
        <v>5</v>
      </c>
      <c r="E192" s="2"/>
      <c r="F192" s="2"/>
      <c r="G192" s="2">
        <v>0.26647717855960468</v>
      </c>
      <c r="H192" s="2">
        <v>11</v>
      </c>
      <c r="J192" s="9"/>
      <c r="K192" s="9"/>
      <c r="L192" s="9"/>
      <c r="M192" s="9"/>
      <c r="N192" s="2" t="s">
        <v>198</v>
      </c>
      <c r="O192" s="2">
        <f>AVERAGE(BG11,AT61,AG94,R126)</f>
        <v>3.75</v>
      </c>
      <c r="P192" s="2">
        <v>0.26647717855960468</v>
      </c>
      <c r="Q192" s="2">
        <v>11</v>
      </c>
      <c r="V192" s="2" t="s">
        <v>198</v>
      </c>
      <c r="W192" s="2"/>
      <c r="X192" s="2">
        <f>AVERAGE(BT11,BG61,AT94,AG126)</f>
        <v>4</v>
      </c>
      <c r="Y192" s="2"/>
      <c r="Z192" s="2"/>
      <c r="AA192" s="2">
        <v>0.26647717855960468</v>
      </c>
      <c r="AB192" s="2">
        <v>11</v>
      </c>
      <c r="AG192" s="2" t="s">
        <v>198</v>
      </c>
      <c r="AH192" s="2">
        <f>AVERAGE(CG11,BT61,BG94,AT126)</f>
        <v>4</v>
      </c>
      <c r="AI192" s="2">
        <v>0.26647717855960468</v>
      </c>
      <c r="AJ192" s="2">
        <v>11</v>
      </c>
      <c r="AO192" s="2" t="s">
        <v>198</v>
      </c>
      <c r="AP192" s="2">
        <f>AVERAGE(G11,CT11,CG61,BT94,BG126)</f>
        <v>4.5999999999999996</v>
      </c>
      <c r="AQ192" s="2">
        <v>0.26647717855960468</v>
      </c>
      <c r="AR192" s="2"/>
      <c r="AS192" s="2"/>
      <c r="AT192" s="2">
        <v>11</v>
      </c>
      <c r="AV192" s="2" t="s">
        <v>198</v>
      </c>
      <c r="AW192" s="2"/>
      <c r="AX192" s="2"/>
      <c r="AY192" s="2"/>
      <c r="AZ192" s="2"/>
      <c r="BA192" s="2">
        <f>AVERAGE(R11,G61,CT61,CG94,BT126)</f>
        <v>4.8</v>
      </c>
      <c r="BB192" s="2">
        <v>0.26647717855960468</v>
      </c>
      <c r="BC192" s="2">
        <v>11</v>
      </c>
      <c r="BH192" s="2" t="s">
        <v>198</v>
      </c>
      <c r="BI192" s="2">
        <f>AVERAGE(AG11,T61,G94,CT94,CG126)</f>
        <v>4.4000000000000004</v>
      </c>
      <c r="BJ192" s="2"/>
      <c r="BK192" s="2"/>
      <c r="BL192" s="2"/>
      <c r="BM192" s="2"/>
      <c r="BN192" s="2">
        <v>0.26647717855960468</v>
      </c>
      <c r="BO192" s="2">
        <v>11</v>
      </c>
    </row>
    <row r="193" spans="3:67" ht="14.25" customHeight="1" x14ac:dyDescent="0.3">
      <c r="C193" s="2" t="s">
        <v>209</v>
      </c>
      <c r="D193" s="2">
        <f>AVERAGE(AT12,AG62,R95,G127)</f>
        <v>2.75</v>
      </c>
      <c r="E193" s="2"/>
      <c r="F193" s="2"/>
      <c r="G193" s="2">
        <v>2.6646209564781631E-3</v>
      </c>
      <c r="H193" s="2">
        <v>7</v>
      </c>
      <c r="J193" s="9"/>
      <c r="K193" s="9"/>
      <c r="L193" s="9"/>
      <c r="M193" s="9"/>
      <c r="N193" s="2" t="s">
        <v>209</v>
      </c>
      <c r="O193" s="2">
        <f>AVERAGE(BG12,AT62,AG95,R127)</f>
        <v>3</v>
      </c>
      <c r="P193" s="2">
        <v>2.6646209564781631E-3</v>
      </c>
      <c r="Q193" s="2">
        <v>7</v>
      </c>
      <c r="V193" s="2" t="s">
        <v>209</v>
      </c>
      <c r="W193" s="2"/>
      <c r="X193" s="2">
        <f>AVERAGE(BT12,BG62,AT95,AG127)</f>
        <v>3.25</v>
      </c>
      <c r="Y193" s="2"/>
      <c r="Z193" s="2"/>
      <c r="AA193" s="2">
        <v>2.6646209564781631E-3</v>
      </c>
      <c r="AB193" s="2">
        <v>7</v>
      </c>
      <c r="AG193" s="2" t="s">
        <v>209</v>
      </c>
      <c r="AH193" s="2">
        <f>AVERAGE(CG12,BT62,BG95,AT127)</f>
        <v>3</v>
      </c>
      <c r="AI193" s="2">
        <v>2.6646209564781631E-3</v>
      </c>
      <c r="AJ193" s="2">
        <v>7</v>
      </c>
      <c r="AO193" s="2" t="s">
        <v>209</v>
      </c>
      <c r="AP193" s="2">
        <f>AVERAGE(G12,CT12,CG62,BT95,BG127)</f>
        <v>3</v>
      </c>
      <c r="AQ193" s="2">
        <v>2.6646209564781631E-3</v>
      </c>
      <c r="AR193" s="2"/>
      <c r="AS193" s="2"/>
      <c r="AT193" s="2">
        <v>7</v>
      </c>
      <c r="AV193" s="2" t="s">
        <v>209</v>
      </c>
      <c r="AW193" s="2"/>
      <c r="AX193" s="2"/>
      <c r="AY193" s="2"/>
      <c r="AZ193" s="2"/>
      <c r="BA193" s="2">
        <f>AVERAGE(R12,G62,CT62,CG95,BT127)</f>
        <v>3</v>
      </c>
      <c r="BB193" s="2">
        <v>2.6646209564781631E-3</v>
      </c>
      <c r="BC193" s="2">
        <v>7</v>
      </c>
      <c r="BH193" s="2" t="s">
        <v>209</v>
      </c>
      <c r="BI193" s="2">
        <f>AVERAGE(AG12,T62,G95,CT95,CG127)</f>
        <v>3</v>
      </c>
      <c r="BJ193" s="2"/>
      <c r="BK193" s="2"/>
      <c r="BL193" s="2"/>
      <c r="BM193" s="2"/>
      <c r="BN193" s="2">
        <v>2.6646209564781631E-3</v>
      </c>
      <c r="BO193" s="2">
        <v>7</v>
      </c>
    </row>
    <row r="194" spans="3:67" ht="14.25" customHeight="1" x14ac:dyDescent="0.3">
      <c r="C194" s="2" t="s">
        <v>214</v>
      </c>
      <c r="D194" s="2">
        <f>AVERAGE(AT13,AG63,R96,G128)</f>
        <v>7.75</v>
      </c>
      <c r="E194" s="2"/>
      <c r="F194" s="2"/>
      <c r="G194" s="2">
        <v>-0.3761105231824623</v>
      </c>
      <c r="H194" s="2">
        <v>15</v>
      </c>
      <c r="J194" s="9"/>
      <c r="K194" s="9"/>
      <c r="L194" s="9"/>
      <c r="M194" s="9"/>
      <c r="N194" s="2" t="s">
        <v>214</v>
      </c>
      <c r="O194" s="2">
        <f>AVERAGE(BG13,AT63,AG96,R128)</f>
        <v>7.5</v>
      </c>
      <c r="P194" s="2">
        <v>-0.3761105231824623</v>
      </c>
      <c r="Q194" s="2">
        <v>15</v>
      </c>
      <c r="V194" s="2" t="s">
        <v>214</v>
      </c>
      <c r="W194" s="2"/>
      <c r="X194" s="2">
        <f>AVERAGE(BT13,BG63,AT96,AG128)</f>
        <v>7.75</v>
      </c>
      <c r="Y194" s="2"/>
      <c r="Z194" s="2"/>
      <c r="AA194" s="2">
        <v>-0.3761105231824623</v>
      </c>
      <c r="AB194" s="2">
        <v>15</v>
      </c>
      <c r="AG194" s="2" t="s">
        <v>214</v>
      </c>
      <c r="AH194" s="2">
        <f>AVERAGE(CG13,BT63,BG96,AT128)</f>
        <v>9.5</v>
      </c>
      <c r="AI194" s="2">
        <v>-0.3761105231824623</v>
      </c>
      <c r="AJ194" s="2">
        <v>15</v>
      </c>
      <c r="AO194" s="2" t="s">
        <v>214</v>
      </c>
      <c r="AP194" s="2">
        <f>AVERAGE(G13,CT13,CG63,BT96,BG128)</f>
        <v>8.1999999999999993</v>
      </c>
      <c r="AQ194" s="2">
        <v>-0.3761105231824623</v>
      </c>
      <c r="AR194" s="2"/>
      <c r="AS194" s="2"/>
      <c r="AT194" s="2">
        <v>15</v>
      </c>
      <c r="AV194" s="2" t="s">
        <v>214</v>
      </c>
      <c r="AW194" s="2"/>
      <c r="AX194" s="2"/>
      <c r="AY194" s="2"/>
      <c r="AZ194" s="2"/>
      <c r="BA194" s="2">
        <f>AVERAGE(R13,G63,CT63,CG96,BT128)</f>
        <v>8</v>
      </c>
      <c r="BB194" s="2">
        <v>-0.3761105231824623</v>
      </c>
      <c r="BC194" s="2">
        <v>15</v>
      </c>
      <c r="BH194" s="2" t="s">
        <v>214</v>
      </c>
      <c r="BI194" s="2">
        <f>AVERAGE(AG13,T63,G96,CT96,CG128)</f>
        <v>7</v>
      </c>
      <c r="BJ194" s="2"/>
      <c r="BK194" s="2"/>
      <c r="BL194" s="2"/>
      <c r="BM194" s="2"/>
      <c r="BN194" s="2">
        <v>-0.3761105231824623</v>
      </c>
      <c r="BO194" s="2">
        <v>15</v>
      </c>
    </row>
    <row r="195" spans="3:67" ht="14.25" customHeight="1" x14ac:dyDescent="0.3">
      <c r="C195" s="2" t="s">
        <v>211</v>
      </c>
      <c r="D195" s="2">
        <f>AVERAGE(AT14,AG64,R97,G129)</f>
        <v>10</v>
      </c>
      <c r="E195" s="2"/>
      <c r="F195" s="2"/>
      <c r="G195" s="2">
        <v>-0.61856740376708086</v>
      </c>
      <c r="H195" s="2">
        <v>15</v>
      </c>
      <c r="J195" s="9"/>
      <c r="K195" s="9"/>
      <c r="L195" s="9"/>
      <c r="M195" s="9"/>
      <c r="N195" s="2" t="s">
        <v>211</v>
      </c>
      <c r="O195" s="2">
        <f>AVERAGE(BG14,AT64,AG97,R129)</f>
        <v>11.25</v>
      </c>
      <c r="P195" s="2">
        <v>-0.61856740376708086</v>
      </c>
      <c r="Q195" s="2">
        <v>15</v>
      </c>
      <c r="V195" s="2" t="s">
        <v>211</v>
      </c>
      <c r="W195" s="2"/>
      <c r="X195" s="2">
        <f>AVERAGE(BT14,BG64,AT97,AG129)</f>
        <v>8.5</v>
      </c>
      <c r="Y195" s="2"/>
      <c r="Z195" s="2"/>
      <c r="AA195" s="2">
        <v>-0.61856740376708086</v>
      </c>
      <c r="AB195" s="2">
        <v>15</v>
      </c>
      <c r="AG195" s="2" t="s">
        <v>211</v>
      </c>
      <c r="AH195" s="2">
        <f>AVERAGE(CG14,BT64,BG97,AT129)</f>
        <v>9.5</v>
      </c>
      <c r="AI195" s="2">
        <v>-0.61856740376708086</v>
      </c>
      <c r="AJ195" s="2">
        <v>15</v>
      </c>
      <c r="AO195" s="2" t="s">
        <v>211</v>
      </c>
      <c r="AP195" s="2">
        <f>AVERAGE(G14,CT14,CG64,BT97,BG129)</f>
        <v>6.2</v>
      </c>
      <c r="AQ195" s="2">
        <v>-0.61856740376708086</v>
      </c>
      <c r="AR195" s="2"/>
      <c r="AS195" s="2"/>
      <c r="AT195" s="2">
        <v>15</v>
      </c>
      <c r="AV195" s="2" t="s">
        <v>211</v>
      </c>
      <c r="AW195" s="2"/>
      <c r="AX195" s="2"/>
      <c r="AY195" s="2"/>
      <c r="AZ195" s="2"/>
      <c r="BA195" s="2">
        <f>AVERAGE(R14,G64,CT64,CG97,BT129)</f>
        <v>9.4</v>
      </c>
      <c r="BB195" s="2">
        <v>-0.61856740376708086</v>
      </c>
      <c r="BC195" s="2">
        <v>15</v>
      </c>
      <c r="BH195" s="2" t="s">
        <v>211</v>
      </c>
      <c r="BI195" s="2">
        <f>AVERAGE(AG14,T64,G97,CT97,CG129)</f>
        <v>8.1999999999999993</v>
      </c>
      <c r="BJ195" s="2"/>
      <c r="BK195" s="2"/>
      <c r="BL195" s="2"/>
      <c r="BM195" s="2"/>
      <c r="BN195" s="2">
        <v>-0.61856740376708086</v>
      </c>
      <c r="BO195" s="2">
        <v>15</v>
      </c>
    </row>
    <row r="196" spans="3:67" ht="14.25" customHeight="1" x14ac:dyDescent="0.3">
      <c r="C196" s="2" t="s">
        <v>225</v>
      </c>
      <c r="D196" s="2">
        <f>AVERAGE(AT15,AG65,R98,G130)</f>
        <v>3.75</v>
      </c>
      <c r="E196" s="2"/>
      <c r="F196" s="2"/>
      <c r="G196" s="2">
        <v>-0.76845746918237878</v>
      </c>
      <c r="H196" s="2">
        <v>11</v>
      </c>
      <c r="J196" s="9"/>
      <c r="K196" s="9"/>
      <c r="L196" s="9"/>
      <c r="M196" s="9"/>
      <c r="N196" s="2" t="s">
        <v>225</v>
      </c>
      <c r="O196" s="2">
        <f>AVERAGE(BG15,AT65,AG98,R130)</f>
        <v>8.5</v>
      </c>
      <c r="P196" s="2">
        <v>-0.76845746918237878</v>
      </c>
      <c r="Q196" s="2">
        <v>11</v>
      </c>
      <c r="V196" s="2" t="s">
        <v>225</v>
      </c>
      <c r="W196" s="2"/>
      <c r="X196" s="2">
        <f>AVERAGE(BT15,BG65,AT98,AG130)</f>
        <v>4</v>
      </c>
      <c r="Y196" s="2"/>
      <c r="Z196" s="2"/>
      <c r="AA196" s="2">
        <v>-0.76845746918237878</v>
      </c>
      <c r="AB196" s="2">
        <v>11</v>
      </c>
      <c r="AG196" s="2" t="s">
        <v>225</v>
      </c>
      <c r="AH196" s="2">
        <f>AVERAGE(CG15,BT65,BG98,AT130)</f>
        <v>6.25</v>
      </c>
      <c r="AI196" s="2">
        <v>-0.76845746918237878</v>
      </c>
      <c r="AJ196" s="2">
        <v>11</v>
      </c>
      <c r="AO196" s="2" t="s">
        <v>225</v>
      </c>
      <c r="AP196" s="2">
        <f>AVERAGE(G15,CT15,CG65,BT98,BG130)</f>
        <v>5.6</v>
      </c>
      <c r="AQ196" s="2">
        <v>-0.76845746918237878</v>
      </c>
      <c r="AR196" s="2"/>
      <c r="AS196" s="2"/>
      <c r="AT196" s="2">
        <v>11</v>
      </c>
      <c r="AV196" s="2" t="s">
        <v>225</v>
      </c>
      <c r="AW196" s="2"/>
      <c r="AX196" s="2"/>
      <c r="AY196" s="2"/>
      <c r="AZ196" s="2"/>
      <c r="BA196" s="2">
        <f>AVERAGE(R15,G65,CT65,CG98,BT130)</f>
        <v>6.2</v>
      </c>
      <c r="BB196" s="2">
        <v>-0.76845746918237878</v>
      </c>
      <c r="BC196" s="2">
        <v>11</v>
      </c>
      <c r="BH196" s="2" t="s">
        <v>225</v>
      </c>
      <c r="BI196" s="2">
        <f>AVERAGE(AG15,T65,G98,CT98,CG130)</f>
        <v>7.2</v>
      </c>
      <c r="BJ196" s="2"/>
      <c r="BK196" s="2"/>
      <c r="BL196" s="2"/>
      <c r="BM196" s="2"/>
      <c r="BN196" s="2">
        <v>-0.76845746918237878</v>
      </c>
      <c r="BO196" s="2">
        <v>11</v>
      </c>
    </row>
    <row r="197" spans="3:67" ht="14.25" customHeight="1" x14ac:dyDescent="0.3">
      <c r="C197" s="2" t="s">
        <v>228</v>
      </c>
      <c r="D197" s="2">
        <f>AVERAGE(AT16,AG66,R99,G131)</f>
        <v>19.25</v>
      </c>
      <c r="E197" s="2"/>
      <c r="F197" s="2"/>
      <c r="G197" s="2">
        <v>-0.82357176289964173</v>
      </c>
      <c r="H197" s="2">
        <v>23</v>
      </c>
      <c r="J197" s="9"/>
      <c r="K197" s="9"/>
      <c r="L197" s="9"/>
      <c r="M197" s="9"/>
      <c r="N197" s="2" t="s">
        <v>228</v>
      </c>
      <c r="O197" s="2">
        <f>AVERAGE(BG16,AT66,AG99,R131)</f>
        <v>17</v>
      </c>
      <c r="P197" s="2">
        <v>-0.82357176289964173</v>
      </c>
      <c r="Q197" s="2">
        <v>23</v>
      </c>
      <c r="V197" s="2" t="s">
        <v>228</v>
      </c>
      <c r="W197" s="2"/>
      <c r="X197" s="2">
        <f>AVERAGE(BT16,BG66,AT99,AG131)</f>
        <v>12.75</v>
      </c>
      <c r="Y197" s="2"/>
      <c r="Z197" s="2"/>
      <c r="AA197" s="2">
        <v>-0.82357176289964173</v>
      </c>
      <c r="AB197" s="2">
        <v>23</v>
      </c>
      <c r="AG197" s="2" t="s">
        <v>228</v>
      </c>
      <c r="AH197" s="2">
        <f>AVERAGE(CG16,BT66,BG99,AT131)</f>
        <v>18.75</v>
      </c>
      <c r="AI197" s="2">
        <v>-0.82357176289964173</v>
      </c>
      <c r="AJ197" s="2">
        <v>23</v>
      </c>
      <c r="AO197" s="2" t="s">
        <v>228</v>
      </c>
      <c r="AP197" s="2">
        <f>AVERAGE(G16,CT16,CG66,BT99,BG131)</f>
        <v>18.2</v>
      </c>
      <c r="AQ197" s="2">
        <v>-0.82357176289964173</v>
      </c>
      <c r="AR197" s="2"/>
      <c r="AS197" s="2"/>
      <c r="AT197" s="2">
        <v>23</v>
      </c>
      <c r="AV197" s="2" t="s">
        <v>228</v>
      </c>
      <c r="AW197" s="2"/>
      <c r="AX197" s="2"/>
      <c r="AY197" s="2"/>
      <c r="AZ197" s="2"/>
      <c r="BA197" s="2">
        <f>AVERAGE(R16,G66,CT66,CG99,BT131)</f>
        <v>17.2</v>
      </c>
      <c r="BB197" s="2">
        <v>-0.82357176289964173</v>
      </c>
      <c r="BC197" s="2">
        <v>23</v>
      </c>
      <c r="BH197" s="2" t="s">
        <v>228</v>
      </c>
      <c r="BI197" s="2">
        <f>AVERAGE(AG16,T66,G99,CT99,CG131)</f>
        <v>20.6</v>
      </c>
      <c r="BJ197" s="2"/>
      <c r="BK197" s="2"/>
      <c r="BL197" s="2"/>
      <c r="BM197" s="2"/>
      <c r="BN197" s="2">
        <v>-0.82357176289964173</v>
      </c>
      <c r="BO197" s="2">
        <v>23</v>
      </c>
    </row>
    <row r="198" spans="3:67" ht="14.25" customHeight="1" x14ac:dyDescent="0.3">
      <c r="C198" s="2" t="s">
        <v>217</v>
      </c>
      <c r="D198" s="2">
        <f>AVERAGE(AT17,AG67,R100,G132)</f>
        <v>5</v>
      </c>
      <c r="E198" s="2"/>
      <c r="F198" s="2"/>
      <c r="G198" s="2">
        <v>-0.83166677317607873</v>
      </c>
      <c r="H198" s="2">
        <v>11</v>
      </c>
      <c r="J198" s="9"/>
      <c r="K198" s="9"/>
      <c r="L198" s="9"/>
      <c r="M198" s="9"/>
      <c r="N198" s="2" t="s">
        <v>217</v>
      </c>
      <c r="O198" s="2">
        <f>AVERAGE(BG17,AT67,AG100,R132)</f>
        <v>9</v>
      </c>
      <c r="P198" s="2">
        <v>-0.83166677317607873</v>
      </c>
      <c r="Q198" s="2">
        <v>11</v>
      </c>
      <c r="V198" s="2" t="s">
        <v>217</v>
      </c>
      <c r="W198" s="2"/>
      <c r="X198" s="2">
        <f>AVERAGE(BT17,BG67,AT100,AG132)</f>
        <v>5.75</v>
      </c>
      <c r="Y198" s="2"/>
      <c r="Z198" s="2"/>
      <c r="AA198" s="2">
        <v>-0.83166677317607873</v>
      </c>
      <c r="AB198" s="2">
        <v>11</v>
      </c>
      <c r="AG198" s="2" t="s">
        <v>217</v>
      </c>
      <c r="AH198" s="2">
        <f>AVERAGE(CG17,BT67,BG100,AT132)</f>
        <v>7.75</v>
      </c>
      <c r="AI198" s="2">
        <v>-0.83166677317607873</v>
      </c>
      <c r="AJ198" s="2">
        <v>11</v>
      </c>
      <c r="AO198" s="2" t="s">
        <v>217</v>
      </c>
      <c r="AP198" s="2">
        <f>AVERAGE(G17,CT17,CG67,BT100,BG132)</f>
        <v>6.4</v>
      </c>
      <c r="AQ198" s="2">
        <v>-0.83166677317607873</v>
      </c>
      <c r="AR198" s="2"/>
      <c r="AS198" s="2"/>
      <c r="AT198" s="2">
        <v>11</v>
      </c>
      <c r="AV198" s="2" t="s">
        <v>217</v>
      </c>
      <c r="AW198" s="2"/>
      <c r="AX198" s="2"/>
      <c r="AY198" s="2"/>
      <c r="AZ198" s="2"/>
      <c r="BA198" s="2">
        <f>AVERAGE(R17,G67,CT67,CG100,BT132)</f>
        <v>7.6</v>
      </c>
      <c r="BB198" s="2">
        <v>-0.83166677317607873</v>
      </c>
      <c r="BC198" s="2">
        <v>11</v>
      </c>
      <c r="BH198" s="2" t="s">
        <v>217</v>
      </c>
      <c r="BI198" s="2">
        <f>AVERAGE(AG17,T67,G100,CT100,CG132)</f>
        <v>6</v>
      </c>
      <c r="BJ198" s="2"/>
      <c r="BK198" s="2"/>
      <c r="BL198" s="2"/>
      <c r="BM198" s="2"/>
      <c r="BN198" s="2">
        <v>-0.83166677317607873</v>
      </c>
      <c r="BO198" s="2">
        <v>11</v>
      </c>
    </row>
    <row r="199" spans="3:67" ht="14.25" customHeight="1" x14ac:dyDescent="0.3">
      <c r="C199" s="2" t="s">
        <v>227</v>
      </c>
      <c r="D199" s="2">
        <f>AVERAGE(AT18,AG68,R101,G133)</f>
        <v>7.75</v>
      </c>
      <c r="E199" s="2"/>
      <c r="F199" s="2"/>
      <c r="G199" s="2">
        <v>-0.99035075718315457</v>
      </c>
      <c r="H199" s="2">
        <v>17</v>
      </c>
      <c r="J199" s="9"/>
      <c r="K199" s="9"/>
      <c r="L199" s="9"/>
      <c r="M199" s="9"/>
      <c r="N199" s="2" t="s">
        <v>227</v>
      </c>
      <c r="O199" s="2">
        <f>AVERAGE(BG18,AT68,AG101,R133)</f>
        <v>10</v>
      </c>
      <c r="P199" s="2">
        <v>-0.99035075718315457</v>
      </c>
      <c r="Q199" s="2">
        <v>17</v>
      </c>
      <c r="V199" s="2" t="s">
        <v>227</v>
      </c>
      <c r="W199" s="2"/>
      <c r="X199" s="2">
        <f>AVERAGE(BT18,BG68,AT101,AG133)</f>
        <v>7.25</v>
      </c>
      <c r="Y199" s="2"/>
      <c r="Z199" s="2"/>
      <c r="AA199" s="2">
        <v>-0.99035075718315457</v>
      </c>
      <c r="AB199" s="2">
        <v>17</v>
      </c>
      <c r="AG199" s="2" t="s">
        <v>227</v>
      </c>
      <c r="AH199" s="2">
        <f>AVERAGE(CG18,BT68,BG101,AT133)</f>
        <v>11.5</v>
      </c>
      <c r="AI199" s="2">
        <v>-0.99035075718315457</v>
      </c>
      <c r="AJ199" s="2">
        <v>17</v>
      </c>
      <c r="AO199" s="2" t="s">
        <v>227</v>
      </c>
      <c r="AP199" s="2">
        <f>AVERAGE(G18,CT18,CG68,BT101,BG133)</f>
        <v>12</v>
      </c>
      <c r="AQ199" s="2">
        <v>-0.99035075718315457</v>
      </c>
      <c r="AR199" s="2"/>
      <c r="AS199" s="2"/>
      <c r="AT199" s="2">
        <v>17</v>
      </c>
      <c r="AV199" s="2" t="s">
        <v>227</v>
      </c>
      <c r="AW199" s="2"/>
      <c r="AX199" s="2"/>
      <c r="AY199" s="2"/>
      <c r="AZ199" s="2"/>
      <c r="BA199" s="2">
        <f>AVERAGE(R18,G68,CT68,CG101,BT133)</f>
        <v>11.6</v>
      </c>
      <c r="BB199" s="2">
        <v>-0.99035075718315457</v>
      </c>
      <c r="BC199" s="2">
        <v>17</v>
      </c>
      <c r="BH199" s="2" t="s">
        <v>227</v>
      </c>
      <c r="BI199" s="2">
        <f>AVERAGE(AG18,T68,G101,CT101,CG133)</f>
        <v>7.2</v>
      </c>
      <c r="BJ199" s="2"/>
      <c r="BK199" s="2"/>
      <c r="BL199" s="2"/>
      <c r="BM199" s="2"/>
      <c r="BN199" s="2">
        <v>-0.99035075718315457</v>
      </c>
      <c r="BO199" s="2">
        <v>17</v>
      </c>
    </row>
    <row r="200" spans="3:67" ht="14.25" customHeight="1" x14ac:dyDescent="0.3">
      <c r="C200" s="2" t="s">
        <v>221</v>
      </c>
      <c r="D200" s="2">
        <f>AVERAGE(AT19,AG69,R102,G134)</f>
        <v>13.25</v>
      </c>
      <c r="E200" s="2"/>
      <c r="F200" s="2"/>
      <c r="G200" s="2">
        <v>-1.072806810743151</v>
      </c>
      <c r="H200" s="2">
        <v>19</v>
      </c>
      <c r="J200" s="9"/>
      <c r="K200" s="9"/>
      <c r="L200" s="9"/>
      <c r="M200" s="9"/>
      <c r="N200" s="2" t="s">
        <v>221</v>
      </c>
      <c r="O200" s="2">
        <f>AVERAGE(BG19,AT69,AG102,R134)</f>
        <v>11.25</v>
      </c>
      <c r="P200" s="2">
        <v>-1.072806810743151</v>
      </c>
      <c r="Q200" s="2">
        <v>19</v>
      </c>
      <c r="V200" s="2" t="s">
        <v>221</v>
      </c>
      <c r="W200" s="2"/>
      <c r="X200" s="2">
        <f>AVERAGE(BT19,BG69,AT102,AG134)</f>
        <v>10.5</v>
      </c>
      <c r="Y200" s="2"/>
      <c r="Z200" s="2"/>
      <c r="AA200" s="2">
        <v>-1.072806810743151</v>
      </c>
      <c r="AB200" s="2">
        <v>19</v>
      </c>
      <c r="AG200" s="2" t="s">
        <v>221</v>
      </c>
      <c r="AH200" s="2">
        <f>AVERAGE(CG19,BT69,BG102,AT134)</f>
        <v>14</v>
      </c>
      <c r="AI200" s="2">
        <v>-1.072806810743151</v>
      </c>
      <c r="AJ200" s="2">
        <v>19</v>
      </c>
      <c r="AO200" s="2" t="s">
        <v>221</v>
      </c>
      <c r="AP200" s="2">
        <f>AVERAGE(G19,CT19,CG69,BT102,BG134)</f>
        <v>15</v>
      </c>
      <c r="AQ200" s="2">
        <v>-1.072806810743151</v>
      </c>
      <c r="AR200" s="2"/>
      <c r="AS200" s="2"/>
      <c r="AT200" s="2">
        <v>19</v>
      </c>
      <c r="AV200" s="2" t="s">
        <v>221</v>
      </c>
      <c r="AW200" s="2"/>
      <c r="AX200" s="2"/>
      <c r="AY200" s="2"/>
      <c r="AZ200" s="2"/>
      <c r="BA200" s="2">
        <f>AVERAGE(R19,G69,CT69,CG102,BT134)</f>
        <v>15.4</v>
      </c>
      <c r="BB200" s="2">
        <v>-1.072806810743151</v>
      </c>
      <c r="BC200" s="2">
        <v>19</v>
      </c>
      <c r="BH200" s="2" t="s">
        <v>221</v>
      </c>
      <c r="BI200" s="2">
        <f>AVERAGE(AG19,T69,G102,CT102,CG134)</f>
        <v>12</v>
      </c>
      <c r="BJ200" s="2"/>
      <c r="BK200" s="2"/>
      <c r="BL200" s="2"/>
      <c r="BM200" s="2"/>
      <c r="BN200" s="2">
        <v>-1.072806810743151</v>
      </c>
      <c r="BO200" s="2">
        <v>19</v>
      </c>
    </row>
    <row r="201" spans="3:67" ht="14.25" customHeight="1" x14ac:dyDescent="0.3">
      <c r="C201" s="2" t="s">
        <v>224</v>
      </c>
      <c r="D201" s="2">
        <f>AVERAGE(AT20,AG70,R103,G135)</f>
        <v>10.75</v>
      </c>
      <c r="E201" s="2"/>
      <c r="F201" s="2"/>
      <c r="G201" s="2">
        <v>-1.1339562965442611</v>
      </c>
      <c r="H201" s="2">
        <v>15</v>
      </c>
      <c r="J201" s="9"/>
      <c r="K201" s="9"/>
      <c r="L201" s="9"/>
      <c r="M201" s="9"/>
      <c r="N201" s="2" t="s">
        <v>224</v>
      </c>
      <c r="O201" s="2">
        <f>AVERAGE(BG20,AT70,AG103,R135)</f>
        <v>11</v>
      </c>
      <c r="P201" s="2">
        <v>-1.1339562965442611</v>
      </c>
      <c r="Q201" s="2">
        <v>15</v>
      </c>
      <c r="V201" s="2" t="s">
        <v>224</v>
      </c>
      <c r="W201" s="2"/>
      <c r="X201" s="2">
        <f>AVERAGE(BT20,BG70,AT103,AG135)</f>
        <v>8.25</v>
      </c>
      <c r="Y201" s="2"/>
      <c r="Z201" s="2"/>
      <c r="AA201" s="2">
        <v>-1.1339562965442611</v>
      </c>
      <c r="AB201" s="2">
        <v>15</v>
      </c>
      <c r="AG201" s="2" t="s">
        <v>224</v>
      </c>
      <c r="AH201" s="2">
        <f>AVERAGE(CG20,BT70,BG103,AT135)</f>
        <v>5.25</v>
      </c>
      <c r="AI201" s="2">
        <v>-1.1339562965442611</v>
      </c>
      <c r="AJ201" s="2">
        <v>15</v>
      </c>
      <c r="AO201" s="2" t="s">
        <v>224</v>
      </c>
      <c r="AP201" s="2">
        <f>AVERAGE(G20,CT20,CG70,BT103,BG135)</f>
        <v>10</v>
      </c>
      <c r="AQ201" s="2">
        <v>-1.1339562965442611</v>
      </c>
      <c r="AR201" s="2"/>
      <c r="AS201" s="2"/>
      <c r="AT201" s="2">
        <v>15</v>
      </c>
      <c r="AV201" s="2" t="s">
        <v>224</v>
      </c>
      <c r="AW201" s="2"/>
      <c r="AX201" s="2"/>
      <c r="AY201" s="2"/>
      <c r="AZ201" s="2"/>
      <c r="BA201" s="2">
        <f>AVERAGE(R20,G70,CT70,CG103,BT135)</f>
        <v>10.8</v>
      </c>
      <c r="BB201" s="2">
        <v>-1.1339562965442611</v>
      </c>
      <c r="BC201" s="2">
        <v>15</v>
      </c>
      <c r="BH201" s="2" t="s">
        <v>224</v>
      </c>
      <c r="BI201" s="2">
        <f>AVERAGE(AG20,T70,G103,CT103,CG135)</f>
        <v>12.8</v>
      </c>
      <c r="BJ201" s="2"/>
      <c r="BK201" s="2"/>
      <c r="BL201" s="2"/>
      <c r="BM201" s="2"/>
      <c r="BN201" s="2">
        <v>-1.1339562965442611</v>
      </c>
      <c r="BO201" s="2">
        <v>15</v>
      </c>
    </row>
    <row r="202" spans="3:67" ht="14.25" customHeight="1" x14ac:dyDescent="0.3">
      <c r="C202" s="2" t="s">
        <v>207</v>
      </c>
      <c r="D202" s="2">
        <f>AVERAGE(AT21,AG71,R104,G136)</f>
        <v>13.5</v>
      </c>
      <c r="E202" s="2"/>
      <c r="F202" s="2"/>
      <c r="G202" s="2">
        <v>-1.196962071035268</v>
      </c>
      <c r="H202" s="2">
        <v>19</v>
      </c>
      <c r="J202" s="9"/>
      <c r="K202" s="9"/>
      <c r="L202" s="9"/>
      <c r="M202" s="9"/>
      <c r="N202" s="2" t="s">
        <v>207</v>
      </c>
      <c r="O202" s="2">
        <f>AVERAGE(BG21,AT71,AG104,R136)</f>
        <v>12</v>
      </c>
      <c r="P202" s="2">
        <v>-1.196962071035268</v>
      </c>
      <c r="Q202" s="2">
        <v>19</v>
      </c>
      <c r="V202" s="2" t="s">
        <v>207</v>
      </c>
      <c r="W202" s="2"/>
      <c r="X202" s="2">
        <f>AVERAGE(BT21,BG71,AT104,AG136)</f>
        <v>12.75</v>
      </c>
      <c r="Y202" s="2"/>
      <c r="Z202" s="2"/>
      <c r="AA202" s="2">
        <v>-1.196962071035268</v>
      </c>
      <c r="AB202" s="2">
        <v>19</v>
      </c>
      <c r="AG202" s="2" t="s">
        <v>207</v>
      </c>
      <c r="AH202" s="2">
        <f>AVERAGE(CG21,BT71,BG104,AT136)</f>
        <v>12.25</v>
      </c>
      <c r="AI202" s="2">
        <v>-1.196962071035268</v>
      </c>
      <c r="AJ202" s="2">
        <v>19</v>
      </c>
      <c r="AO202" s="2" t="s">
        <v>207</v>
      </c>
      <c r="AP202" s="2">
        <f>AVERAGE(G21,CT21,CG71,BT104,BG136)</f>
        <v>13.4</v>
      </c>
      <c r="AQ202" s="2">
        <v>-1.196962071035268</v>
      </c>
      <c r="AR202" s="2"/>
      <c r="AS202" s="2"/>
      <c r="AT202" s="2">
        <v>19</v>
      </c>
      <c r="AV202" s="2" t="s">
        <v>207</v>
      </c>
      <c r="AW202" s="2"/>
      <c r="AX202" s="2"/>
      <c r="AY202" s="2"/>
      <c r="AZ202" s="2"/>
      <c r="BA202" s="2">
        <f>AVERAGE(R21,G71,CT71,CG104,BT136)</f>
        <v>14</v>
      </c>
      <c r="BB202" s="2">
        <v>-1.196962071035268</v>
      </c>
      <c r="BC202" s="2">
        <v>19</v>
      </c>
      <c r="BH202" s="2" t="s">
        <v>207</v>
      </c>
      <c r="BI202" s="2">
        <f>AVERAGE(AG21,T71,G104,CT104,CG136)</f>
        <v>12.6</v>
      </c>
      <c r="BJ202" s="2"/>
      <c r="BK202" s="2"/>
      <c r="BL202" s="2"/>
      <c r="BM202" s="2"/>
      <c r="BN202" s="2">
        <v>-1.196962071035268</v>
      </c>
      <c r="BO202" s="2">
        <v>19</v>
      </c>
    </row>
    <row r="203" spans="3:67" ht="14.25" customHeight="1" x14ac:dyDescent="0.3">
      <c r="C203" s="2" t="s">
        <v>222</v>
      </c>
      <c r="D203" s="2">
        <f>AVERAGE(AT22,AG72,R105,G137)</f>
        <v>23.75</v>
      </c>
      <c r="E203" s="2"/>
      <c r="F203" s="2"/>
      <c r="G203" s="2">
        <v>-1.679865001322572</v>
      </c>
      <c r="H203" s="2">
        <v>27</v>
      </c>
      <c r="J203" s="9"/>
      <c r="K203" s="9"/>
      <c r="L203" s="9"/>
      <c r="M203" s="9"/>
      <c r="N203" s="2" t="s">
        <v>222</v>
      </c>
      <c r="O203" s="2">
        <f>AVERAGE(BG22,AT72,AG105,R137)</f>
        <v>22.75</v>
      </c>
      <c r="P203" s="2">
        <v>-1.679865001322572</v>
      </c>
      <c r="Q203" s="2">
        <v>27</v>
      </c>
      <c r="V203" s="2" t="s">
        <v>222</v>
      </c>
      <c r="W203" s="2"/>
      <c r="X203" s="2">
        <f>AVERAGE(BT22,BG72,AT105,AG137)</f>
        <v>19.75</v>
      </c>
      <c r="Y203" s="2"/>
      <c r="Z203" s="2"/>
      <c r="AA203" s="2">
        <v>-1.679865001322572</v>
      </c>
      <c r="AB203" s="2">
        <v>27</v>
      </c>
      <c r="AG203" s="2" t="s">
        <v>222</v>
      </c>
      <c r="AH203" s="2">
        <f>AVERAGE(CG22,BT72,BG105,AT137)</f>
        <v>23.75</v>
      </c>
      <c r="AI203" s="2">
        <v>-1.679865001322572</v>
      </c>
      <c r="AJ203" s="2">
        <v>27</v>
      </c>
      <c r="AO203" s="2" t="s">
        <v>222</v>
      </c>
      <c r="AP203" s="2">
        <f>AVERAGE(G22,CT22,CG72,BT105,BG137)</f>
        <v>20.399999999999999</v>
      </c>
      <c r="AQ203" s="2">
        <v>-1.679865001322572</v>
      </c>
      <c r="AR203" s="2"/>
      <c r="AS203" s="2"/>
      <c r="AT203" s="2">
        <v>27</v>
      </c>
      <c r="AV203" s="2" t="s">
        <v>222</v>
      </c>
      <c r="AW203" s="2"/>
      <c r="AX203" s="2"/>
      <c r="AY203" s="2"/>
      <c r="AZ203" s="2"/>
      <c r="BA203" s="2">
        <f>AVERAGE(R22,G72,CT72,CG105,BT137)</f>
        <v>19.8</v>
      </c>
      <c r="BB203" s="2">
        <v>-1.679865001322572</v>
      </c>
      <c r="BC203" s="2">
        <v>27</v>
      </c>
      <c r="BH203" s="2" t="s">
        <v>222</v>
      </c>
      <c r="BI203" s="2">
        <f>AVERAGE(AG22,T72,G105,CT105,CG137)</f>
        <v>22.2</v>
      </c>
      <c r="BJ203" s="2"/>
      <c r="BK203" s="2"/>
      <c r="BL203" s="2"/>
      <c r="BM203" s="2"/>
      <c r="BN203" s="2">
        <v>-1.679865001322572</v>
      </c>
      <c r="BO203" s="2">
        <v>27</v>
      </c>
    </row>
    <row r="204" spans="3:67" ht="14.25" customHeight="1" x14ac:dyDescent="0.3">
      <c r="C204" s="2" t="s">
        <v>302</v>
      </c>
      <c r="D204" s="2">
        <f t="shared" ref="D204:D205" si="10">AVERAGE(AP27,AC77,P110,C142)</f>
        <v>17.094809630827843</v>
      </c>
      <c r="J204" s="9"/>
      <c r="K204" s="9"/>
      <c r="L204" s="9"/>
      <c r="M204" s="9"/>
      <c r="N204" s="2" t="s">
        <v>302</v>
      </c>
      <c r="O204" s="2">
        <f t="shared" ref="O204:O205" si="11">AVERAGE(BC27,AP77,AC110,P142)</f>
        <v>10.524703762655566</v>
      </c>
      <c r="V204" s="2" t="s">
        <v>302</v>
      </c>
      <c r="W204" s="2"/>
      <c r="X204" s="2">
        <f t="shared" ref="X204:X205" si="12">AVERAGE(BP27,BC77,AP110,AC142)</f>
        <v>15.619848281111576</v>
      </c>
      <c r="Y204" s="13"/>
      <c r="Z204" s="13"/>
      <c r="AG204" s="2" t="s">
        <v>302</v>
      </c>
      <c r="AH204" s="2">
        <f t="shared" ref="AH204:AH205" si="13">AVERAGE(CC27,BP77,BC110,AP142)</f>
        <v>13.097823210294816</v>
      </c>
      <c r="AO204" s="2" t="s">
        <v>302</v>
      </c>
      <c r="AP204" s="2">
        <f t="shared" ref="AP204:AP205" si="14">AVERAGE(C27,CP27,CC77,BP110,BC142)</f>
        <v>15.46534328478335</v>
      </c>
      <c r="AV204" s="2" t="s">
        <v>302</v>
      </c>
      <c r="AW204" s="2"/>
      <c r="AX204" s="2"/>
      <c r="AY204" s="2"/>
      <c r="AZ204" s="2"/>
      <c r="BA204" s="2">
        <f t="shared" ref="BA204:BA205" si="15">AVERAGE(P27,C77,CP77,CC110,BP142)</f>
        <v>13.535168548882726</v>
      </c>
      <c r="BH204" s="2" t="s">
        <v>302</v>
      </c>
      <c r="BI204" s="2">
        <f t="shared" ref="BI204:BI205" si="16">AVERAGE(AC27,P77,C110,CP110,CC142)</f>
        <v>19.860728699185962</v>
      </c>
    </row>
    <row r="205" spans="3:67" ht="14.25" customHeight="1" x14ac:dyDescent="0.3">
      <c r="C205" s="2" t="s">
        <v>303</v>
      </c>
      <c r="D205" s="2">
        <f t="shared" si="10"/>
        <v>10.25</v>
      </c>
      <c r="J205" s="9"/>
      <c r="K205" s="9"/>
      <c r="L205" s="9"/>
      <c r="M205" s="9"/>
      <c r="N205" s="2" t="s">
        <v>303</v>
      </c>
      <c r="O205" s="2">
        <f t="shared" si="11"/>
        <v>8.25</v>
      </c>
      <c r="V205" s="2" t="s">
        <v>303</v>
      </c>
      <c r="W205" s="2"/>
      <c r="X205" s="2">
        <f t="shared" si="12"/>
        <v>8.25</v>
      </c>
      <c r="Y205" s="13"/>
      <c r="Z205" s="13"/>
      <c r="AG205" s="2" t="s">
        <v>303</v>
      </c>
      <c r="AH205" s="2">
        <f t="shared" si="13"/>
        <v>8</v>
      </c>
      <c r="AO205" s="2" t="s">
        <v>303</v>
      </c>
      <c r="AP205" s="2">
        <f t="shared" si="14"/>
        <v>8.6</v>
      </c>
      <c r="AV205" s="2" t="s">
        <v>303</v>
      </c>
      <c r="AW205" s="2"/>
      <c r="AX205" s="2"/>
      <c r="AY205" s="2"/>
      <c r="AZ205" s="2"/>
      <c r="BA205" s="2">
        <f t="shared" si="15"/>
        <v>9</v>
      </c>
      <c r="BH205" s="2" t="s">
        <v>303</v>
      </c>
      <c r="BI205" s="2">
        <f t="shared" si="16"/>
        <v>11</v>
      </c>
    </row>
    <row r="206" spans="3:67" ht="14.25" customHeight="1" x14ac:dyDescent="0.3"/>
    <row r="207" spans="3:67" ht="14.25" customHeight="1" x14ac:dyDescent="0.3"/>
    <row r="208" spans="3:67" ht="14.25" customHeight="1" x14ac:dyDescent="0.3">
      <c r="J208" s="9"/>
      <c r="K208" s="9"/>
      <c r="L208" s="9"/>
      <c r="M208" s="9"/>
      <c r="N208" s="2" t="s">
        <v>304</v>
      </c>
      <c r="O208" s="2"/>
      <c r="P208" s="2">
        <f>SUM(D204,O204,X204,AH204,AP204,BA204,BI204)</f>
        <v>105.19842541774184</v>
      </c>
    </row>
    <row r="209" spans="3:16" ht="14.25" customHeight="1" x14ac:dyDescent="0.3">
      <c r="C209" s="3" t="s">
        <v>305</v>
      </c>
      <c r="G209" s="3">
        <v>60</v>
      </c>
      <c r="I209" s="3" t="s">
        <v>306</v>
      </c>
      <c r="J209" s="9"/>
      <c r="K209" s="9"/>
      <c r="L209" s="9"/>
      <c r="M209" s="9"/>
      <c r="N209" s="2" t="s">
        <v>307</v>
      </c>
      <c r="O209" s="2"/>
      <c r="P209" s="2">
        <f>P208*4</f>
        <v>420.79370167096738</v>
      </c>
    </row>
    <row r="210" spans="3:16" ht="14.25" customHeight="1" x14ac:dyDescent="0.3">
      <c r="C210" s="3" t="s">
        <v>308</v>
      </c>
      <c r="J210" s="9"/>
      <c r="K210" s="9"/>
      <c r="L210" s="9"/>
      <c r="M210" s="9"/>
      <c r="N210" s="2" t="s">
        <v>309</v>
      </c>
      <c r="O210" s="2"/>
      <c r="P210" s="2">
        <f>AVERAGE(D205,O205,X205,AH205,AP205,BA205,BI205)</f>
        <v>9.0500000000000007</v>
      </c>
    </row>
    <row r="211" spans="3:16" ht="14.25" customHeight="1" x14ac:dyDescent="0.3">
      <c r="C211" s="3" t="s">
        <v>310</v>
      </c>
      <c r="J211" s="9"/>
      <c r="K211" s="9"/>
      <c r="L211" s="9"/>
      <c r="M211" s="9"/>
      <c r="N211" s="2" t="s">
        <v>311</v>
      </c>
      <c r="O211" s="2"/>
      <c r="P211" s="2">
        <f>P210*2</f>
        <v>18.100000000000001</v>
      </c>
    </row>
    <row r="212" spans="3:16" ht="14.25" customHeight="1" x14ac:dyDescent="0.3">
      <c r="C212" s="3" t="s">
        <v>312</v>
      </c>
    </row>
    <row r="213" spans="3:16" ht="14.25" customHeight="1" x14ac:dyDescent="0.3">
      <c r="C213" s="3" t="s">
        <v>313</v>
      </c>
    </row>
    <row r="214" spans="3:16" ht="14.25" customHeight="1" x14ac:dyDescent="0.3"/>
    <row r="215" spans="3:16" ht="14.25" customHeight="1" x14ac:dyDescent="0.3"/>
    <row r="216" spans="3:16" ht="14.25" customHeight="1" x14ac:dyDescent="0.3"/>
    <row r="217" spans="3:16" ht="14.25" customHeight="1" x14ac:dyDescent="0.3"/>
    <row r="218" spans="3:16" ht="14.25" customHeight="1" x14ac:dyDescent="0.3"/>
    <row r="219" spans="3:16" ht="14.25" customHeight="1" x14ac:dyDescent="0.3"/>
    <row r="220" spans="3:16" ht="14.25" customHeight="1" x14ac:dyDescent="0.3"/>
    <row r="221" spans="3:16" ht="14.25" customHeight="1" x14ac:dyDescent="0.3"/>
    <row r="222" spans="3:16" ht="14.25" customHeight="1" x14ac:dyDescent="0.3"/>
    <row r="223" spans="3:16" ht="14.25" customHeight="1" x14ac:dyDescent="0.3"/>
    <row r="224" spans="3:16"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row r="1004" ht="14.25" customHeight="1" x14ac:dyDescent="0.3"/>
    <row r="1005" ht="14.25" customHeight="1" x14ac:dyDescent="0.3"/>
    <row r="1006" ht="14.25" customHeight="1" x14ac:dyDescent="0.3"/>
    <row r="1007" ht="14.25" customHeight="1" x14ac:dyDescent="0.3"/>
    <row r="1008" ht="14.25" customHeight="1" x14ac:dyDescent="0.3"/>
    <row r="1009" ht="14.25" customHeight="1" x14ac:dyDescent="0.3"/>
    <row r="1010" ht="14.25" customHeight="1" x14ac:dyDescent="0.3"/>
    <row r="1011" ht="14.25" customHeight="1" x14ac:dyDescent="0.3"/>
    <row r="1012" ht="14.25" customHeight="1" x14ac:dyDescent="0.3"/>
    <row r="1013" ht="14.25" customHeight="1" x14ac:dyDescent="0.3"/>
    <row r="1014" ht="14.25" customHeight="1" x14ac:dyDescent="0.3"/>
    <row r="1015" ht="14.25" customHeight="1" x14ac:dyDescent="0.3"/>
    <row r="1016" ht="14.25" customHeight="1" x14ac:dyDescent="0.3"/>
    <row r="1017" ht="14.25" customHeight="1" x14ac:dyDescent="0.3"/>
    <row r="1018" ht="14.25" customHeight="1" x14ac:dyDescent="0.3"/>
    <row r="1019" ht="14.25" customHeight="1" x14ac:dyDescent="0.3"/>
    <row r="1020" ht="14.25" customHeight="1" x14ac:dyDescent="0.3"/>
    <row r="1021" ht="14.25" customHeight="1" x14ac:dyDescent="0.3"/>
    <row r="1022" ht="14.25" customHeight="1" x14ac:dyDescent="0.3"/>
    <row r="1023" ht="14.25" customHeight="1" x14ac:dyDescent="0.3"/>
    <row r="1024" ht="14.25" customHeight="1" x14ac:dyDescent="0.3"/>
    <row r="1025" ht="14.25" customHeight="1" x14ac:dyDescent="0.3"/>
    <row r="1026" ht="14.25" customHeight="1" x14ac:dyDescent="0.3"/>
    <row r="1027" ht="14.25" customHeight="1" x14ac:dyDescent="0.3"/>
    <row r="1028" ht="14.25" customHeight="1" x14ac:dyDescent="0.3"/>
    <row r="1029" ht="14.25" customHeight="1" x14ac:dyDescent="0.3"/>
    <row r="1030" ht="14.25" customHeight="1" x14ac:dyDescent="0.3"/>
    <row r="1031" ht="14.25" customHeight="1" x14ac:dyDescent="0.3"/>
    <row r="1032" ht="14.25" customHeight="1" x14ac:dyDescent="0.3"/>
    <row r="1033" ht="14.25" customHeight="1" x14ac:dyDescent="0.3"/>
  </sheetData>
  <pageMargins left="0.7" right="0.7" top="0.75" bottom="0.75" header="0" footer="0"/>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1000"/>
  <sheetViews>
    <sheetView workbookViewId="0"/>
  </sheetViews>
  <sheetFormatPr baseColWidth="10" defaultColWidth="14.44140625" defaultRowHeight="15" customHeight="1" x14ac:dyDescent="0.3"/>
  <cols>
    <col min="1" max="26" width="10.6640625" customWidth="1"/>
  </cols>
  <sheetData>
    <row r="1" ht="14.25" customHeight="1" x14ac:dyDescent="0.3"/>
    <row r="2" ht="14.25" customHeight="1" x14ac:dyDescent="0.3"/>
    <row r="3" ht="14.25" customHeight="1" x14ac:dyDescent="0.3"/>
    <row r="4" ht="14.25" customHeight="1" x14ac:dyDescent="0.3"/>
    <row r="5" ht="14.25" customHeight="1" x14ac:dyDescent="0.3"/>
    <row r="6" ht="14.25" customHeight="1" x14ac:dyDescent="0.3"/>
    <row r="7" ht="14.25" customHeight="1" x14ac:dyDescent="0.3"/>
    <row r="8" ht="14.25" customHeight="1" x14ac:dyDescent="0.3"/>
    <row r="9" ht="14.25" customHeight="1" x14ac:dyDescent="0.3"/>
    <row r="10" ht="14.25" customHeight="1" x14ac:dyDescent="0.3"/>
    <row r="11" ht="14.25" customHeight="1" x14ac:dyDescent="0.3"/>
    <row r="12" ht="14.25" customHeight="1" x14ac:dyDescent="0.3"/>
    <row r="13" ht="14.25" customHeight="1" x14ac:dyDescent="0.3"/>
    <row r="14" ht="14.25" customHeight="1" x14ac:dyDescent="0.3"/>
    <row r="15" ht="14.25" customHeight="1" x14ac:dyDescent="0.3"/>
    <row r="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filterMode="1"/>
  <dimension ref="A1:D1000"/>
  <sheetViews>
    <sheetView workbookViewId="0"/>
  </sheetViews>
  <sheetFormatPr baseColWidth="10" defaultColWidth="14.44140625" defaultRowHeight="15" customHeight="1" x14ac:dyDescent="0.3"/>
  <cols>
    <col min="1" max="1" width="17.6640625" customWidth="1"/>
    <col min="2" max="2" width="14.6640625" customWidth="1"/>
    <col min="3" max="3" width="25.5546875" customWidth="1"/>
    <col min="4" max="26" width="10.6640625" customWidth="1"/>
  </cols>
  <sheetData>
    <row r="1" spans="1:4" ht="14.25" customHeight="1" x14ac:dyDescent="0.3">
      <c r="A1" s="1" t="s">
        <v>0</v>
      </c>
      <c r="B1" s="1" t="s">
        <v>1</v>
      </c>
      <c r="C1" s="1" t="s">
        <v>8</v>
      </c>
      <c r="D1" s="2" t="s">
        <v>14</v>
      </c>
    </row>
    <row r="2" spans="1:4" ht="14.25" customHeight="1" x14ac:dyDescent="0.3">
      <c r="A2" s="2" t="s">
        <v>15</v>
      </c>
      <c r="B2" s="2">
        <v>17.13395852741456</v>
      </c>
      <c r="C2" s="2">
        <v>9</v>
      </c>
      <c r="D2" s="2" t="s">
        <v>174</v>
      </c>
    </row>
    <row r="3" spans="1:4" ht="14.25" customHeight="1" x14ac:dyDescent="0.3">
      <c r="A3" s="2" t="s">
        <v>24</v>
      </c>
      <c r="B3" s="2">
        <v>20.47456125362994</v>
      </c>
      <c r="C3" s="2">
        <v>14</v>
      </c>
      <c r="D3" s="2" t="s">
        <v>298</v>
      </c>
    </row>
    <row r="4" spans="1:4" ht="14.25" customHeight="1" x14ac:dyDescent="0.3">
      <c r="A4" s="2" t="s">
        <v>29</v>
      </c>
      <c r="B4" s="2">
        <v>10.45904851004949</v>
      </c>
      <c r="C4" s="2">
        <v>7</v>
      </c>
      <c r="D4" s="2" t="s">
        <v>176</v>
      </c>
    </row>
    <row r="5" spans="1:4" ht="14.25" customHeight="1" x14ac:dyDescent="0.3">
      <c r="A5" s="2" t="s">
        <v>34</v>
      </c>
      <c r="B5" s="2">
        <v>10.40954166522426</v>
      </c>
      <c r="C5" s="2">
        <v>9</v>
      </c>
      <c r="D5" s="2" t="s">
        <v>170</v>
      </c>
    </row>
    <row r="6" spans="1:4" ht="14.25" customHeight="1" x14ac:dyDescent="0.3">
      <c r="A6" s="2" t="s">
        <v>39</v>
      </c>
      <c r="B6" s="2">
        <v>11.66774672479853</v>
      </c>
      <c r="C6" s="2">
        <v>11</v>
      </c>
      <c r="D6" s="2" t="s">
        <v>171</v>
      </c>
    </row>
    <row r="7" spans="1:4" ht="14.25" customHeight="1" x14ac:dyDescent="0.3">
      <c r="A7" s="2" t="s">
        <v>44</v>
      </c>
      <c r="B7" s="2">
        <v>14.86922900812101</v>
      </c>
      <c r="C7" s="2">
        <v>8</v>
      </c>
      <c r="D7" s="2" t="s">
        <v>172</v>
      </c>
    </row>
    <row r="8" spans="1:4" ht="14.25" customHeight="1" x14ac:dyDescent="0.3">
      <c r="A8" s="2" t="s">
        <v>49</v>
      </c>
      <c r="B8" s="2">
        <v>11.697597677419219</v>
      </c>
      <c r="C8" s="2">
        <v>9</v>
      </c>
      <c r="D8" s="2" t="s">
        <v>173</v>
      </c>
    </row>
    <row r="9" spans="1:4" ht="14.25" customHeight="1" x14ac:dyDescent="0.3">
      <c r="A9" s="2" t="s">
        <v>54</v>
      </c>
      <c r="B9" s="2">
        <v>7.6220379086563366</v>
      </c>
      <c r="C9" s="2">
        <v>7</v>
      </c>
      <c r="D9" s="2" t="s">
        <v>174</v>
      </c>
    </row>
    <row r="10" spans="1:4" ht="14.25" hidden="1" customHeight="1" x14ac:dyDescent="0.3">
      <c r="A10" s="2" t="s">
        <v>59</v>
      </c>
      <c r="B10" s="2">
        <v>12.282983388419909</v>
      </c>
      <c r="C10" s="2">
        <v>9</v>
      </c>
      <c r="D10" s="2" t="s">
        <v>298</v>
      </c>
    </row>
    <row r="11" spans="1:4" ht="14.25" hidden="1" customHeight="1" x14ac:dyDescent="0.3">
      <c r="A11" s="2" t="s">
        <v>64</v>
      </c>
      <c r="B11" s="2">
        <v>27.47235034777016</v>
      </c>
      <c r="C11" s="2">
        <v>11</v>
      </c>
      <c r="D11" s="2" t="s">
        <v>176</v>
      </c>
    </row>
    <row r="12" spans="1:4" ht="14.25" hidden="1" customHeight="1" x14ac:dyDescent="0.3">
      <c r="A12" s="2" t="s">
        <v>69</v>
      </c>
      <c r="B12" s="2">
        <v>29.68770954126353</v>
      </c>
      <c r="C12" s="2">
        <v>12</v>
      </c>
      <c r="D12" s="2" t="s">
        <v>170</v>
      </c>
    </row>
    <row r="13" spans="1:4" ht="14.25" hidden="1" customHeight="1" x14ac:dyDescent="0.3">
      <c r="A13" s="2" t="s">
        <v>74</v>
      </c>
      <c r="B13" s="2">
        <v>14.170850796831919</v>
      </c>
      <c r="C13" s="2">
        <v>10</v>
      </c>
      <c r="D13" s="2" t="s">
        <v>171</v>
      </c>
    </row>
    <row r="14" spans="1:4" ht="14.25" hidden="1" customHeight="1" x14ac:dyDescent="0.3">
      <c r="A14" s="2" t="s">
        <v>79</v>
      </c>
      <c r="B14" s="2">
        <v>14.052379669636769</v>
      </c>
      <c r="C14" s="2">
        <v>7</v>
      </c>
      <c r="D14" s="2" t="s">
        <v>172</v>
      </c>
    </row>
    <row r="15" spans="1:4" ht="14.25" hidden="1" customHeight="1" x14ac:dyDescent="0.3">
      <c r="A15" s="2" t="s">
        <v>84</v>
      </c>
      <c r="B15" s="2">
        <v>12.299630695884581</v>
      </c>
      <c r="C15" s="2">
        <v>7</v>
      </c>
      <c r="D15" s="2" t="s">
        <v>173</v>
      </c>
    </row>
    <row r="16" spans="1:4" ht="14.25" hidden="1" customHeight="1" x14ac:dyDescent="0.3">
      <c r="A16" s="2" t="s">
        <v>89</v>
      </c>
      <c r="B16" s="2">
        <v>24.8479254156005</v>
      </c>
      <c r="C16" s="2">
        <v>11</v>
      </c>
      <c r="D16" s="2" t="s">
        <v>174</v>
      </c>
    </row>
    <row r="17" spans="1:4" ht="14.25" hidden="1" customHeight="1" x14ac:dyDescent="0.3">
      <c r="A17" s="2" t="s">
        <v>94</v>
      </c>
      <c r="B17" s="2">
        <v>15.81889194012083</v>
      </c>
      <c r="C17" s="2">
        <v>9</v>
      </c>
      <c r="D17" s="2" t="s">
        <v>298</v>
      </c>
    </row>
    <row r="18" spans="1:4" ht="14.25" hidden="1" customHeight="1" x14ac:dyDescent="0.3">
      <c r="A18" s="2" t="s">
        <v>99</v>
      </c>
      <c r="B18" s="2">
        <v>26.10267222923132</v>
      </c>
      <c r="C18" s="2">
        <v>14</v>
      </c>
      <c r="D18" s="2" t="s">
        <v>176</v>
      </c>
    </row>
    <row r="19" spans="1:4" ht="14.25" hidden="1" customHeight="1" x14ac:dyDescent="0.3">
      <c r="A19" s="2" t="s">
        <v>104</v>
      </c>
      <c r="B19" s="2">
        <v>10.419441029604091</v>
      </c>
      <c r="C19" s="2">
        <v>8</v>
      </c>
      <c r="D19" s="2" t="s">
        <v>170</v>
      </c>
    </row>
    <row r="20" spans="1:4" ht="14.25" hidden="1" customHeight="1" x14ac:dyDescent="0.3">
      <c r="A20" s="2" t="s">
        <v>109</v>
      </c>
      <c r="B20" s="2">
        <v>5.8011690189423248</v>
      </c>
      <c r="C20" s="2">
        <v>5</v>
      </c>
      <c r="D20" s="2" t="s">
        <v>171</v>
      </c>
    </row>
    <row r="21" spans="1:4" ht="14.25" hidden="1" customHeight="1" x14ac:dyDescent="0.3">
      <c r="A21" s="2" t="s">
        <v>114</v>
      </c>
      <c r="B21" s="2">
        <v>15.006242219566451</v>
      </c>
      <c r="C21" s="2">
        <v>9</v>
      </c>
      <c r="D21" s="2" t="s">
        <v>172</v>
      </c>
    </row>
    <row r="22" spans="1:4" ht="14.25" hidden="1" customHeight="1" x14ac:dyDescent="0.3">
      <c r="A22" s="2" t="s">
        <v>119</v>
      </c>
      <c r="B22" s="2">
        <v>12.163092506770299</v>
      </c>
      <c r="C22" s="2">
        <v>7</v>
      </c>
      <c r="D22" s="2" t="s">
        <v>173</v>
      </c>
    </row>
    <row r="23" spans="1:4" ht="14.25" hidden="1" customHeight="1" x14ac:dyDescent="0.3">
      <c r="A23" s="2" t="s">
        <v>124</v>
      </c>
      <c r="B23" s="2">
        <v>9.9447589758097372</v>
      </c>
      <c r="C23" s="2">
        <v>7</v>
      </c>
      <c r="D23" s="2" t="s">
        <v>174</v>
      </c>
    </row>
    <row r="24" spans="1:4" ht="14.25" hidden="1" customHeight="1" x14ac:dyDescent="0.3">
      <c r="A24" s="2" t="s">
        <v>129</v>
      </c>
      <c r="B24" s="2">
        <v>9.5178907458734709</v>
      </c>
      <c r="C24" s="2">
        <v>6</v>
      </c>
      <c r="D24" s="2" t="s">
        <v>298</v>
      </c>
    </row>
    <row r="25" spans="1:4" ht="14.25" hidden="1" customHeight="1" x14ac:dyDescent="0.3">
      <c r="A25" s="2" t="s">
        <v>134</v>
      </c>
      <c r="B25" s="2">
        <v>20.475954709890349</v>
      </c>
      <c r="C25" s="2">
        <v>11</v>
      </c>
      <c r="D25" s="2" t="s">
        <v>176</v>
      </c>
    </row>
    <row r="26" spans="1:4" ht="14.25" hidden="1" customHeight="1" x14ac:dyDescent="0.3">
      <c r="A26" s="2" t="s">
        <v>139</v>
      </c>
      <c r="B26" s="2">
        <v>17.862546287219491</v>
      </c>
      <c r="C26" s="2">
        <v>12</v>
      </c>
      <c r="D26" s="2" t="s">
        <v>170</v>
      </c>
    </row>
    <row r="27" spans="1:4" ht="14.25" hidden="1" customHeight="1" x14ac:dyDescent="0.3">
      <c r="A27" s="2" t="s">
        <v>144</v>
      </c>
      <c r="B27" s="2">
        <v>10.45904851004949</v>
      </c>
      <c r="C27" s="2">
        <v>7</v>
      </c>
      <c r="D27" s="2" t="s">
        <v>171</v>
      </c>
    </row>
    <row r="28" spans="1:4" ht="14.25" hidden="1" customHeight="1" x14ac:dyDescent="0.3">
      <c r="A28" s="2" t="s">
        <v>145</v>
      </c>
      <c r="B28" s="2">
        <v>18.55154222712207</v>
      </c>
      <c r="C28" s="2">
        <v>9</v>
      </c>
      <c r="D28" s="2" t="s">
        <v>172</v>
      </c>
    </row>
    <row r="29" spans="1:4" ht="14.25" hidden="1" customHeight="1" x14ac:dyDescent="0.3">
      <c r="A29" s="2" t="s">
        <v>150</v>
      </c>
      <c r="B29" s="2">
        <v>16.230971961105169</v>
      </c>
      <c r="C29" s="2">
        <v>9</v>
      </c>
      <c r="D29" s="2" t="s">
        <v>173</v>
      </c>
    </row>
    <row r="30" spans="1:4" ht="14.25" hidden="1" customHeight="1" x14ac:dyDescent="0.3">
      <c r="A30" s="2" t="s">
        <v>155</v>
      </c>
      <c r="B30" s="2">
        <v>17.778035596435618</v>
      </c>
      <c r="C30" s="2">
        <v>9</v>
      </c>
      <c r="D30" s="2" t="s">
        <v>174</v>
      </c>
    </row>
    <row r="31" spans="1:4" ht="14.25" hidden="1" customHeight="1" x14ac:dyDescent="0.3">
      <c r="A31" s="2" t="s">
        <v>160</v>
      </c>
      <c r="B31" s="2">
        <v>9.5815154163694807</v>
      </c>
      <c r="C31" s="2">
        <v>7</v>
      </c>
      <c r="D31" s="2" t="s">
        <v>298</v>
      </c>
    </row>
    <row r="32" spans="1:4" ht="14.25" hidden="1" customHeight="1" x14ac:dyDescent="0.3">
      <c r="A32" s="2" t="s">
        <v>165</v>
      </c>
      <c r="B32" s="2">
        <v>14.79361769898849</v>
      </c>
      <c r="C32" s="2">
        <v>12</v>
      </c>
      <c r="D32" s="2" t="s">
        <v>176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D32" xr:uid="{00000000-0009-0000-0000-000005000000}">
    <filterColumn colId="0">
      <filters>
        <filter val="2024-11-08 18:00"/>
        <filter val="2024-11-09 18:00"/>
        <filter val="2024-11-10 18:00"/>
        <filter val="2024-11-11 18:00"/>
        <filter val="2024-11-12 18:00"/>
        <filter val="2024-11-13 18:00"/>
        <filter val="2024-11-14 18:00"/>
        <filter val="2024-11-15 18:00"/>
      </filters>
    </filterColumn>
  </autoFilter>
  <pageMargins left="0.7" right="0.7" top="0.75" bottom="0.75" header="0" footer="0"/>
  <pageSetup orientation="landscape"/>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filterMode="1"/>
  <dimension ref="A1:D1000"/>
  <sheetViews>
    <sheetView workbookViewId="0"/>
  </sheetViews>
  <sheetFormatPr baseColWidth="10" defaultColWidth="14.44140625" defaultRowHeight="15" customHeight="1" x14ac:dyDescent="0.3"/>
  <cols>
    <col min="1" max="1" width="17.6640625" customWidth="1"/>
    <col min="2" max="2" width="14.6640625" customWidth="1"/>
    <col min="3" max="3" width="25.5546875" customWidth="1"/>
    <col min="4" max="26" width="10.6640625" customWidth="1"/>
  </cols>
  <sheetData>
    <row r="1" spans="1:4" ht="14.25" customHeight="1" x14ac:dyDescent="0.3">
      <c r="A1" s="1" t="s">
        <v>0</v>
      </c>
      <c r="B1" s="1" t="s">
        <v>1</v>
      </c>
      <c r="C1" s="1" t="s">
        <v>8</v>
      </c>
      <c r="D1" s="2" t="s">
        <v>14</v>
      </c>
    </row>
    <row r="2" spans="1:4" ht="14.25" hidden="1" customHeight="1" x14ac:dyDescent="0.3">
      <c r="A2" s="2" t="s">
        <v>15</v>
      </c>
      <c r="B2" s="2">
        <v>17.13395852741456</v>
      </c>
      <c r="C2" s="2">
        <v>9</v>
      </c>
      <c r="D2" s="2" t="s">
        <v>174</v>
      </c>
    </row>
    <row r="3" spans="1:4" ht="14.25" hidden="1" customHeight="1" x14ac:dyDescent="0.3">
      <c r="A3" s="2" t="s">
        <v>24</v>
      </c>
      <c r="B3" s="2">
        <v>20.47456125362994</v>
      </c>
      <c r="C3" s="2">
        <v>14</v>
      </c>
      <c r="D3" s="2" t="s">
        <v>298</v>
      </c>
    </row>
    <row r="4" spans="1:4" ht="14.25" hidden="1" customHeight="1" x14ac:dyDescent="0.3">
      <c r="A4" s="2" t="s">
        <v>29</v>
      </c>
      <c r="B4" s="2">
        <v>10.45904851004949</v>
      </c>
      <c r="C4" s="2">
        <v>7</v>
      </c>
      <c r="D4" s="2" t="s">
        <v>176</v>
      </c>
    </row>
    <row r="5" spans="1:4" ht="14.25" hidden="1" customHeight="1" x14ac:dyDescent="0.3">
      <c r="A5" s="2" t="s">
        <v>34</v>
      </c>
      <c r="B5" s="2">
        <v>10.40954166522426</v>
      </c>
      <c r="C5" s="2">
        <v>9</v>
      </c>
      <c r="D5" s="2" t="s">
        <v>170</v>
      </c>
    </row>
    <row r="6" spans="1:4" ht="14.25" hidden="1" customHeight="1" x14ac:dyDescent="0.3">
      <c r="A6" s="2" t="s">
        <v>39</v>
      </c>
      <c r="B6" s="2">
        <v>11.66774672479853</v>
      </c>
      <c r="C6" s="2">
        <v>11</v>
      </c>
      <c r="D6" s="2" t="s">
        <v>171</v>
      </c>
    </row>
    <row r="7" spans="1:4" ht="14.25" hidden="1" customHeight="1" x14ac:dyDescent="0.3">
      <c r="A7" s="2" t="s">
        <v>44</v>
      </c>
      <c r="B7" s="2">
        <v>14.86922900812101</v>
      </c>
      <c r="C7" s="2">
        <v>8</v>
      </c>
      <c r="D7" s="2" t="s">
        <v>172</v>
      </c>
    </row>
    <row r="8" spans="1:4" ht="14.25" hidden="1" customHeight="1" x14ac:dyDescent="0.3">
      <c r="A8" s="2" t="s">
        <v>49</v>
      </c>
      <c r="B8" s="2">
        <v>11.697597677419219</v>
      </c>
      <c r="C8" s="2">
        <v>9</v>
      </c>
      <c r="D8" s="2" t="s">
        <v>173</v>
      </c>
    </row>
    <row r="9" spans="1:4" ht="14.25" customHeight="1" x14ac:dyDescent="0.3">
      <c r="A9" s="2" t="s">
        <v>54</v>
      </c>
      <c r="B9" s="2">
        <v>7.6220379086563366</v>
      </c>
      <c r="C9" s="2">
        <v>7</v>
      </c>
      <c r="D9" s="2" t="s">
        <v>174</v>
      </c>
    </row>
    <row r="10" spans="1:4" ht="14.25" customHeight="1" x14ac:dyDescent="0.3">
      <c r="A10" s="2" t="s">
        <v>59</v>
      </c>
      <c r="B10" s="2">
        <v>12.282983388419909</v>
      </c>
      <c r="C10" s="2">
        <v>9</v>
      </c>
      <c r="D10" s="2" t="s">
        <v>298</v>
      </c>
    </row>
    <row r="11" spans="1:4" ht="14.25" customHeight="1" x14ac:dyDescent="0.3">
      <c r="A11" s="2" t="s">
        <v>64</v>
      </c>
      <c r="B11" s="2">
        <v>27.47235034777016</v>
      </c>
      <c r="C11" s="2">
        <v>11</v>
      </c>
      <c r="D11" s="2" t="s">
        <v>176</v>
      </c>
    </row>
    <row r="12" spans="1:4" ht="14.25" customHeight="1" x14ac:dyDescent="0.3">
      <c r="A12" s="2" t="s">
        <v>69</v>
      </c>
      <c r="B12" s="2">
        <v>29.68770954126353</v>
      </c>
      <c r="C12" s="2">
        <v>12</v>
      </c>
      <c r="D12" s="2" t="s">
        <v>170</v>
      </c>
    </row>
    <row r="13" spans="1:4" ht="14.25" customHeight="1" x14ac:dyDescent="0.3">
      <c r="A13" s="2" t="s">
        <v>74</v>
      </c>
      <c r="B13" s="2">
        <v>14.170850796831919</v>
      </c>
      <c r="C13" s="2">
        <v>10</v>
      </c>
      <c r="D13" s="2" t="s">
        <v>171</v>
      </c>
    </row>
    <row r="14" spans="1:4" ht="14.25" customHeight="1" x14ac:dyDescent="0.3">
      <c r="A14" s="2" t="s">
        <v>79</v>
      </c>
      <c r="B14" s="2">
        <v>14.052379669636769</v>
      </c>
      <c r="C14" s="2">
        <v>7</v>
      </c>
      <c r="D14" s="2" t="s">
        <v>172</v>
      </c>
    </row>
    <row r="15" spans="1:4" ht="14.25" customHeight="1" x14ac:dyDescent="0.3">
      <c r="A15" s="2" t="s">
        <v>84</v>
      </c>
      <c r="B15" s="2">
        <v>12.299630695884581</v>
      </c>
      <c r="C15" s="2">
        <v>7</v>
      </c>
      <c r="D15" s="2" t="s">
        <v>173</v>
      </c>
    </row>
    <row r="16" spans="1:4" ht="14.25" customHeight="1" x14ac:dyDescent="0.3">
      <c r="A16" s="2" t="s">
        <v>89</v>
      </c>
      <c r="B16" s="2">
        <v>24.8479254156005</v>
      </c>
      <c r="C16" s="2">
        <v>11</v>
      </c>
      <c r="D16" s="2" t="s">
        <v>174</v>
      </c>
    </row>
    <row r="17" spans="1:4" ht="14.25" hidden="1" customHeight="1" x14ac:dyDescent="0.3">
      <c r="A17" s="2" t="s">
        <v>94</v>
      </c>
      <c r="B17" s="2">
        <v>15.81889194012083</v>
      </c>
      <c r="C17" s="2">
        <v>9</v>
      </c>
      <c r="D17" s="2" t="s">
        <v>298</v>
      </c>
    </row>
    <row r="18" spans="1:4" ht="14.25" hidden="1" customHeight="1" x14ac:dyDescent="0.3">
      <c r="A18" s="2" t="s">
        <v>99</v>
      </c>
      <c r="B18" s="2">
        <v>26.10267222923132</v>
      </c>
      <c r="C18" s="2">
        <v>14</v>
      </c>
      <c r="D18" s="2" t="s">
        <v>176</v>
      </c>
    </row>
    <row r="19" spans="1:4" ht="14.25" hidden="1" customHeight="1" x14ac:dyDescent="0.3">
      <c r="A19" s="2" t="s">
        <v>104</v>
      </c>
      <c r="B19" s="2">
        <v>10.419441029604091</v>
      </c>
      <c r="C19" s="2">
        <v>8</v>
      </c>
      <c r="D19" s="2" t="s">
        <v>170</v>
      </c>
    </row>
    <row r="20" spans="1:4" ht="14.25" hidden="1" customHeight="1" x14ac:dyDescent="0.3">
      <c r="A20" s="2" t="s">
        <v>109</v>
      </c>
      <c r="B20" s="2">
        <v>5.8011690189423248</v>
      </c>
      <c r="C20" s="2">
        <v>5</v>
      </c>
      <c r="D20" s="2" t="s">
        <v>171</v>
      </c>
    </row>
    <row r="21" spans="1:4" ht="14.25" hidden="1" customHeight="1" x14ac:dyDescent="0.3">
      <c r="A21" s="2" t="s">
        <v>114</v>
      </c>
      <c r="B21" s="2">
        <v>15.006242219566451</v>
      </c>
      <c r="C21" s="2">
        <v>9</v>
      </c>
      <c r="D21" s="2" t="s">
        <v>172</v>
      </c>
    </row>
    <row r="22" spans="1:4" ht="14.25" hidden="1" customHeight="1" x14ac:dyDescent="0.3">
      <c r="A22" s="2" t="s">
        <v>119</v>
      </c>
      <c r="B22" s="2">
        <v>12.163092506770299</v>
      </c>
      <c r="C22" s="2">
        <v>7</v>
      </c>
      <c r="D22" s="2" t="s">
        <v>173</v>
      </c>
    </row>
    <row r="23" spans="1:4" ht="14.25" hidden="1" customHeight="1" x14ac:dyDescent="0.3">
      <c r="A23" s="2" t="s">
        <v>124</v>
      </c>
      <c r="B23" s="2">
        <v>9.9447589758097372</v>
      </c>
      <c r="C23" s="2">
        <v>7</v>
      </c>
      <c r="D23" s="2" t="s">
        <v>174</v>
      </c>
    </row>
    <row r="24" spans="1:4" ht="14.25" hidden="1" customHeight="1" x14ac:dyDescent="0.3">
      <c r="A24" s="2" t="s">
        <v>129</v>
      </c>
      <c r="B24" s="2">
        <v>9.5178907458734709</v>
      </c>
      <c r="C24" s="2">
        <v>6</v>
      </c>
      <c r="D24" s="2" t="s">
        <v>298</v>
      </c>
    </row>
    <row r="25" spans="1:4" ht="14.25" hidden="1" customHeight="1" x14ac:dyDescent="0.3">
      <c r="A25" s="2" t="s">
        <v>134</v>
      </c>
      <c r="B25" s="2">
        <v>20.475954709890349</v>
      </c>
      <c r="C25" s="2">
        <v>11</v>
      </c>
      <c r="D25" s="2" t="s">
        <v>176</v>
      </c>
    </row>
    <row r="26" spans="1:4" ht="14.25" hidden="1" customHeight="1" x14ac:dyDescent="0.3">
      <c r="A26" s="2" t="s">
        <v>139</v>
      </c>
      <c r="B26" s="2">
        <v>17.862546287219491</v>
      </c>
      <c r="C26" s="2">
        <v>12</v>
      </c>
      <c r="D26" s="2" t="s">
        <v>170</v>
      </c>
    </row>
    <row r="27" spans="1:4" ht="14.25" hidden="1" customHeight="1" x14ac:dyDescent="0.3">
      <c r="A27" s="2" t="s">
        <v>144</v>
      </c>
      <c r="B27" s="2">
        <v>10.45904851004949</v>
      </c>
      <c r="C27" s="2">
        <v>7</v>
      </c>
      <c r="D27" s="2" t="s">
        <v>171</v>
      </c>
    </row>
    <row r="28" spans="1:4" ht="14.25" hidden="1" customHeight="1" x14ac:dyDescent="0.3">
      <c r="A28" s="2" t="s">
        <v>145</v>
      </c>
      <c r="B28" s="2">
        <v>18.55154222712207</v>
      </c>
      <c r="C28" s="2">
        <v>9</v>
      </c>
      <c r="D28" s="2" t="s">
        <v>172</v>
      </c>
    </row>
    <row r="29" spans="1:4" ht="14.25" hidden="1" customHeight="1" x14ac:dyDescent="0.3">
      <c r="A29" s="2" t="s">
        <v>150</v>
      </c>
      <c r="B29" s="2">
        <v>16.230971961105169</v>
      </c>
      <c r="C29" s="2">
        <v>9</v>
      </c>
      <c r="D29" s="2" t="s">
        <v>173</v>
      </c>
    </row>
    <row r="30" spans="1:4" ht="14.25" hidden="1" customHeight="1" x14ac:dyDescent="0.3">
      <c r="A30" s="2" t="s">
        <v>155</v>
      </c>
      <c r="B30" s="2">
        <v>17.778035596435618</v>
      </c>
      <c r="C30" s="2">
        <v>9</v>
      </c>
      <c r="D30" s="2" t="s">
        <v>174</v>
      </c>
    </row>
    <row r="31" spans="1:4" ht="14.25" hidden="1" customHeight="1" x14ac:dyDescent="0.3">
      <c r="A31" s="2" t="s">
        <v>160</v>
      </c>
      <c r="B31" s="2">
        <v>9.5815154163694807</v>
      </c>
      <c r="C31" s="2">
        <v>7</v>
      </c>
      <c r="D31" s="2" t="s">
        <v>298</v>
      </c>
    </row>
    <row r="32" spans="1:4" ht="14.25" hidden="1" customHeight="1" x14ac:dyDescent="0.3">
      <c r="A32" s="2" t="s">
        <v>165</v>
      </c>
      <c r="B32" s="2">
        <v>14.79361769898849</v>
      </c>
      <c r="C32" s="2">
        <v>12</v>
      </c>
      <c r="D32" s="2" t="s">
        <v>176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D32" xr:uid="{00000000-0009-0000-0000-000006000000}">
    <filterColumn colId="0">
      <filters>
        <filter val="2024-11-15 18:00"/>
        <filter val="2024-11-16 18:00"/>
        <filter val="2024-11-17 18:00"/>
        <filter val="2024-11-18 18:00"/>
        <filter val="2024-11-19 18:00"/>
        <filter val="2024-11-20 18:00"/>
        <filter val="2024-11-21 18:00"/>
        <filter val="2024-11-22 18:00"/>
      </filters>
    </filterColumn>
  </autoFilter>
  <pageMargins left="0.7" right="0.7" top="0.75" bottom="0.75" header="0" footer="0"/>
  <pageSetup orientation="landscape"/>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filterMode="1"/>
  <dimension ref="A1:D1000"/>
  <sheetViews>
    <sheetView workbookViewId="0"/>
  </sheetViews>
  <sheetFormatPr baseColWidth="10" defaultColWidth="14.44140625" defaultRowHeight="15" customHeight="1" x14ac:dyDescent="0.3"/>
  <cols>
    <col min="1" max="1" width="17.6640625" customWidth="1"/>
    <col min="2" max="2" width="14.6640625" customWidth="1"/>
    <col min="3" max="3" width="25.5546875" customWidth="1"/>
    <col min="4" max="26" width="10.6640625" customWidth="1"/>
  </cols>
  <sheetData>
    <row r="1" spans="1:4" ht="14.25" customHeight="1" x14ac:dyDescent="0.3">
      <c r="A1" s="1" t="s">
        <v>0</v>
      </c>
      <c r="B1" s="1" t="s">
        <v>1</v>
      </c>
      <c r="C1" s="1" t="s">
        <v>8</v>
      </c>
      <c r="D1" s="2" t="s">
        <v>14</v>
      </c>
    </row>
    <row r="2" spans="1:4" ht="14.25" hidden="1" customHeight="1" x14ac:dyDescent="0.3">
      <c r="A2" s="2" t="s">
        <v>15</v>
      </c>
      <c r="B2" s="2">
        <v>17.13395852741456</v>
      </c>
      <c r="C2" s="2">
        <v>9</v>
      </c>
      <c r="D2" s="2" t="s">
        <v>174</v>
      </c>
    </row>
    <row r="3" spans="1:4" ht="14.25" hidden="1" customHeight="1" x14ac:dyDescent="0.3">
      <c r="A3" s="2" t="s">
        <v>24</v>
      </c>
      <c r="B3" s="2">
        <v>20.47456125362994</v>
      </c>
      <c r="C3" s="2">
        <v>14</v>
      </c>
      <c r="D3" s="2" t="s">
        <v>298</v>
      </c>
    </row>
    <row r="4" spans="1:4" ht="14.25" hidden="1" customHeight="1" x14ac:dyDescent="0.3">
      <c r="A4" s="2" t="s">
        <v>29</v>
      </c>
      <c r="B4" s="2">
        <v>10.45904851004949</v>
      </c>
      <c r="C4" s="2">
        <v>7</v>
      </c>
      <c r="D4" s="2" t="s">
        <v>176</v>
      </c>
    </row>
    <row r="5" spans="1:4" ht="14.25" hidden="1" customHeight="1" x14ac:dyDescent="0.3">
      <c r="A5" s="2" t="s">
        <v>34</v>
      </c>
      <c r="B5" s="2">
        <v>10.40954166522426</v>
      </c>
      <c r="C5" s="2">
        <v>9</v>
      </c>
      <c r="D5" s="2" t="s">
        <v>170</v>
      </c>
    </row>
    <row r="6" spans="1:4" ht="14.25" hidden="1" customHeight="1" x14ac:dyDescent="0.3">
      <c r="A6" s="2" t="s">
        <v>39</v>
      </c>
      <c r="B6" s="2">
        <v>11.66774672479853</v>
      </c>
      <c r="C6" s="2">
        <v>11</v>
      </c>
      <c r="D6" s="2" t="s">
        <v>171</v>
      </c>
    </row>
    <row r="7" spans="1:4" ht="14.25" hidden="1" customHeight="1" x14ac:dyDescent="0.3">
      <c r="A7" s="2" t="s">
        <v>44</v>
      </c>
      <c r="B7" s="2">
        <v>14.86922900812101</v>
      </c>
      <c r="C7" s="2">
        <v>8</v>
      </c>
      <c r="D7" s="2" t="s">
        <v>172</v>
      </c>
    </row>
    <row r="8" spans="1:4" ht="14.25" hidden="1" customHeight="1" x14ac:dyDescent="0.3">
      <c r="A8" s="2" t="s">
        <v>49</v>
      </c>
      <c r="B8" s="2">
        <v>11.697597677419219</v>
      </c>
      <c r="C8" s="2">
        <v>9</v>
      </c>
      <c r="D8" s="2" t="s">
        <v>173</v>
      </c>
    </row>
    <row r="9" spans="1:4" ht="14.25" hidden="1" customHeight="1" x14ac:dyDescent="0.3">
      <c r="A9" s="2" t="s">
        <v>54</v>
      </c>
      <c r="B9" s="2">
        <v>7.6220379086563366</v>
      </c>
      <c r="C9" s="2">
        <v>7</v>
      </c>
      <c r="D9" s="2" t="s">
        <v>174</v>
      </c>
    </row>
    <row r="10" spans="1:4" ht="14.25" hidden="1" customHeight="1" x14ac:dyDescent="0.3">
      <c r="A10" s="2" t="s">
        <v>59</v>
      </c>
      <c r="B10" s="2">
        <v>12.282983388419909</v>
      </c>
      <c r="C10" s="2">
        <v>9</v>
      </c>
      <c r="D10" s="2" t="s">
        <v>298</v>
      </c>
    </row>
    <row r="11" spans="1:4" ht="14.25" hidden="1" customHeight="1" x14ac:dyDescent="0.3">
      <c r="A11" s="2" t="s">
        <v>64</v>
      </c>
      <c r="B11" s="2">
        <v>27.47235034777016</v>
      </c>
      <c r="C11" s="2">
        <v>11</v>
      </c>
      <c r="D11" s="2" t="s">
        <v>176</v>
      </c>
    </row>
    <row r="12" spans="1:4" ht="14.25" hidden="1" customHeight="1" x14ac:dyDescent="0.3">
      <c r="A12" s="2" t="s">
        <v>69</v>
      </c>
      <c r="B12" s="2">
        <v>29.68770954126353</v>
      </c>
      <c r="C12" s="2">
        <v>12</v>
      </c>
      <c r="D12" s="2" t="s">
        <v>170</v>
      </c>
    </row>
    <row r="13" spans="1:4" ht="14.25" hidden="1" customHeight="1" x14ac:dyDescent="0.3">
      <c r="A13" s="2" t="s">
        <v>74</v>
      </c>
      <c r="B13" s="2">
        <v>14.170850796831919</v>
      </c>
      <c r="C13" s="2">
        <v>10</v>
      </c>
      <c r="D13" s="2" t="s">
        <v>171</v>
      </c>
    </row>
    <row r="14" spans="1:4" ht="14.25" hidden="1" customHeight="1" x14ac:dyDescent="0.3">
      <c r="A14" s="2" t="s">
        <v>79</v>
      </c>
      <c r="B14" s="2">
        <v>14.052379669636769</v>
      </c>
      <c r="C14" s="2">
        <v>7</v>
      </c>
      <c r="D14" s="2" t="s">
        <v>172</v>
      </c>
    </row>
    <row r="15" spans="1:4" ht="14.25" hidden="1" customHeight="1" x14ac:dyDescent="0.3">
      <c r="A15" s="2" t="s">
        <v>84</v>
      </c>
      <c r="B15" s="2">
        <v>12.299630695884581</v>
      </c>
      <c r="C15" s="2">
        <v>7</v>
      </c>
      <c r="D15" s="2" t="s">
        <v>173</v>
      </c>
    </row>
    <row r="16" spans="1:4" ht="14.25" customHeight="1" x14ac:dyDescent="0.3">
      <c r="A16" s="2" t="s">
        <v>89</v>
      </c>
      <c r="B16" s="2">
        <v>24.8479254156005</v>
      </c>
      <c r="C16" s="2">
        <v>11</v>
      </c>
      <c r="D16" s="2" t="s">
        <v>174</v>
      </c>
    </row>
    <row r="17" spans="1:4" ht="14.25" customHeight="1" x14ac:dyDescent="0.3">
      <c r="A17" s="2" t="s">
        <v>94</v>
      </c>
      <c r="B17" s="2">
        <v>15.81889194012083</v>
      </c>
      <c r="C17" s="2">
        <v>9</v>
      </c>
      <c r="D17" s="2" t="s">
        <v>298</v>
      </c>
    </row>
    <row r="18" spans="1:4" ht="14.25" customHeight="1" x14ac:dyDescent="0.3">
      <c r="A18" s="2" t="s">
        <v>99</v>
      </c>
      <c r="B18" s="2">
        <v>26.10267222923132</v>
      </c>
      <c r="C18" s="2">
        <v>14</v>
      </c>
      <c r="D18" s="2" t="s">
        <v>176</v>
      </c>
    </row>
    <row r="19" spans="1:4" ht="14.25" customHeight="1" x14ac:dyDescent="0.3">
      <c r="A19" s="2" t="s">
        <v>104</v>
      </c>
      <c r="B19" s="2">
        <v>10.419441029604091</v>
      </c>
      <c r="C19" s="2">
        <v>8</v>
      </c>
      <c r="D19" s="2" t="s">
        <v>170</v>
      </c>
    </row>
    <row r="20" spans="1:4" ht="14.25" customHeight="1" x14ac:dyDescent="0.3">
      <c r="A20" s="2" t="s">
        <v>109</v>
      </c>
      <c r="B20" s="2">
        <v>5.8011690189423248</v>
      </c>
      <c r="C20" s="2">
        <v>5</v>
      </c>
      <c r="D20" s="2" t="s">
        <v>171</v>
      </c>
    </row>
    <row r="21" spans="1:4" ht="14.25" customHeight="1" x14ac:dyDescent="0.3">
      <c r="A21" s="2" t="s">
        <v>114</v>
      </c>
      <c r="B21" s="2">
        <v>15.006242219566451</v>
      </c>
      <c r="C21" s="2">
        <v>9</v>
      </c>
      <c r="D21" s="2" t="s">
        <v>172</v>
      </c>
    </row>
    <row r="22" spans="1:4" ht="14.25" customHeight="1" x14ac:dyDescent="0.3">
      <c r="A22" s="2" t="s">
        <v>119</v>
      </c>
      <c r="B22" s="2">
        <v>12.163092506770299</v>
      </c>
      <c r="C22" s="2">
        <v>7</v>
      </c>
      <c r="D22" s="2" t="s">
        <v>173</v>
      </c>
    </row>
    <row r="23" spans="1:4" ht="14.25" customHeight="1" x14ac:dyDescent="0.3">
      <c r="A23" s="2" t="s">
        <v>124</v>
      </c>
      <c r="B23" s="2">
        <v>9.9447589758097372</v>
      </c>
      <c r="C23" s="2">
        <v>7</v>
      </c>
      <c r="D23" s="2" t="s">
        <v>174</v>
      </c>
    </row>
    <row r="24" spans="1:4" ht="14.25" hidden="1" customHeight="1" x14ac:dyDescent="0.3">
      <c r="A24" s="2" t="s">
        <v>129</v>
      </c>
      <c r="B24" s="2">
        <v>9.5178907458734709</v>
      </c>
      <c r="C24" s="2">
        <v>6</v>
      </c>
      <c r="D24" s="2" t="s">
        <v>298</v>
      </c>
    </row>
    <row r="25" spans="1:4" ht="14.25" hidden="1" customHeight="1" x14ac:dyDescent="0.3">
      <c r="A25" s="2" t="s">
        <v>134</v>
      </c>
      <c r="B25" s="2">
        <v>20.475954709890349</v>
      </c>
      <c r="C25" s="2">
        <v>11</v>
      </c>
      <c r="D25" s="2" t="s">
        <v>176</v>
      </c>
    </row>
    <row r="26" spans="1:4" ht="14.25" hidden="1" customHeight="1" x14ac:dyDescent="0.3">
      <c r="A26" s="2" t="s">
        <v>139</v>
      </c>
      <c r="B26" s="2">
        <v>17.862546287219491</v>
      </c>
      <c r="C26" s="2">
        <v>12</v>
      </c>
      <c r="D26" s="2" t="s">
        <v>170</v>
      </c>
    </row>
    <row r="27" spans="1:4" ht="14.25" hidden="1" customHeight="1" x14ac:dyDescent="0.3">
      <c r="A27" s="2" t="s">
        <v>144</v>
      </c>
      <c r="B27" s="2">
        <v>10.45904851004949</v>
      </c>
      <c r="C27" s="2">
        <v>7</v>
      </c>
      <c r="D27" s="2" t="s">
        <v>171</v>
      </c>
    </row>
    <row r="28" spans="1:4" ht="14.25" hidden="1" customHeight="1" x14ac:dyDescent="0.3">
      <c r="A28" s="2" t="s">
        <v>145</v>
      </c>
      <c r="B28" s="2">
        <v>18.55154222712207</v>
      </c>
      <c r="C28" s="2">
        <v>9</v>
      </c>
      <c r="D28" s="2" t="s">
        <v>172</v>
      </c>
    </row>
    <row r="29" spans="1:4" ht="14.25" hidden="1" customHeight="1" x14ac:dyDescent="0.3">
      <c r="A29" s="2" t="s">
        <v>150</v>
      </c>
      <c r="B29" s="2">
        <v>16.230971961105169</v>
      </c>
      <c r="C29" s="2">
        <v>9</v>
      </c>
      <c r="D29" s="2" t="s">
        <v>173</v>
      </c>
    </row>
    <row r="30" spans="1:4" ht="14.25" hidden="1" customHeight="1" x14ac:dyDescent="0.3">
      <c r="A30" s="2" t="s">
        <v>155</v>
      </c>
      <c r="B30" s="2">
        <v>17.778035596435618</v>
      </c>
      <c r="C30" s="2">
        <v>9</v>
      </c>
      <c r="D30" s="2" t="s">
        <v>174</v>
      </c>
    </row>
    <row r="31" spans="1:4" ht="14.25" hidden="1" customHeight="1" x14ac:dyDescent="0.3">
      <c r="A31" s="2" t="s">
        <v>160</v>
      </c>
      <c r="B31" s="2">
        <v>9.5815154163694807</v>
      </c>
      <c r="C31" s="2">
        <v>7</v>
      </c>
      <c r="D31" s="2" t="s">
        <v>298</v>
      </c>
    </row>
    <row r="32" spans="1:4" ht="14.25" hidden="1" customHeight="1" x14ac:dyDescent="0.3">
      <c r="A32" s="2" t="s">
        <v>165</v>
      </c>
      <c r="B32" s="2">
        <v>14.79361769898849</v>
      </c>
      <c r="C32" s="2">
        <v>12</v>
      </c>
      <c r="D32" s="2" t="s">
        <v>176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D32" xr:uid="{00000000-0009-0000-0000-000007000000}">
    <filterColumn colId="0">
      <filters>
        <filter val="2024-11-22 18:00"/>
        <filter val="2024-11-23 18:00"/>
        <filter val="2024-11-24 18:00"/>
        <filter val="2024-11-25 18:00"/>
        <filter val="2024-11-26 18:00"/>
        <filter val="2024-11-27 18:00"/>
        <filter val="2024-11-28 18:00"/>
        <filter val="2024-11-29 18:00"/>
      </filters>
    </filterColumn>
  </autoFilter>
  <pageMargins left="0.7" right="0.7" top="0.75" bottom="0.75"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filterMode="1"/>
  <dimension ref="A1:D1000"/>
  <sheetViews>
    <sheetView workbookViewId="0"/>
  </sheetViews>
  <sheetFormatPr baseColWidth="10" defaultColWidth="14.44140625" defaultRowHeight="15" customHeight="1" x14ac:dyDescent="0.3"/>
  <cols>
    <col min="1" max="1" width="17.6640625" customWidth="1"/>
    <col min="2" max="2" width="14.6640625" customWidth="1"/>
    <col min="3" max="3" width="25.5546875" customWidth="1"/>
    <col min="4" max="26" width="10.6640625" customWidth="1"/>
  </cols>
  <sheetData>
    <row r="1" spans="1:4" ht="14.25" customHeight="1" x14ac:dyDescent="0.3">
      <c r="A1" s="1" t="s">
        <v>0</v>
      </c>
      <c r="B1" s="1" t="s">
        <v>1</v>
      </c>
      <c r="C1" s="1" t="s">
        <v>8</v>
      </c>
      <c r="D1" s="2" t="s">
        <v>14</v>
      </c>
    </row>
    <row r="2" spans="1:4" ht="14.25" hidden="1" customHeight="1" x14ac:dyDescent="0.3">
      <c r="A2" s="2" t="s">
        <v>15</v>
      </c>
      <c r="B2" s="2">
        <v>17.13395852741456</v>
      </c>
      <c r="C2" s="2">
        <v>9</v>
      </c>
      <c r="D2" s="2" t="s">
        <v>174</v>
      </c>
    </row>
    <row r="3" spans="1:4" ht="14.25" hidden="1" customHeight="1" x14ac:dyDescent="0.3">
      <c r="A3" s="2" t="s">
        <v>24</v>
      </c>
      <c r="B3" s="2">
        <v>20.47456125362994</v>
      </c>
      <c r="C3" s="2">
        <v>14</v>
      </c>
      <c r="D3" s="2" t="s">
        <v>298</v>
      </c>
    </row>
    <row r="4" spans="1:4" ht="14.25" hidden="1" customHeight="1" x14ac:dyDescent="0.3">
      <c r="A4" s="2" t="s">
        <v>29</v>
      </c>
      <c r="B4" s="2">
        <v>10.45904851004949</v>
      </c>
      <c r="C4" s="2">
        <v>7</v>
      </c>
      <c r="D4" s="2" t="s">
        <v>176</v>
      </c>
    </row>
    <row r="5" spans="1:4" ht="14.25" hidden="1" customHeight="1" x14ac:dyDescent="0.3">
      <c r="A5" s="2" t="s">
        <v>34</v>
      </c>
      <c r="B5" s="2">
        <v>10.40954166522426</v>
      </c>
      <c r="C5" s="2">
        <v>9</v>
      </c>
      <c r="D5" s="2" t="s">
        <v>170</v>
      </c>
    </row>
    <row r="6" spans="1:4" ht="14.25" hidden="1" customHeight="1" x14ac:dyDescent="0.3">
      <c r="A6" s="2" t="s">
        <v>39</v>
      </c>
      <c r="B6" s="2">
        <v>11.66774672479853</v>
      </c>
      <c r="C6" s="2">
        <v>11</v>
      </c>
      <c r="D6" s="2" t="s">
        <v>171</v>
      </c>
    </row>
    <row r="7" spans="1:4" ht="14.25" hidden="1" customHeight="1" x14ac:dyDescent="0.3">
      <c r="A7" s="2" t="s">
        <v>44</v>
      </c>
      <c r="B7" s="2">
        <v>14.86922900812101</v>
      </c>
      <c r="C7" s="2">
        <v>8</v>
      </c>
      <c r="D7" s="2" t="s">
        <v>172</v>
      </c>
    </row>
    <row r="8" spans="1:4" ht="14.25" hidden="1" customHeight="1" x14ac:dyDescent="0.3">
      <c r="A8" s="2" t="s">
        <v>49</v>
      </c>
      <c r="B8" s="2">
        <v>11.697597677419219</v>
      </c>
      <c r="C8" s="2">
        <v>9</v>
      </c>
      <c r="D8" s="2" t="s">
        <v>173</v>
      </c>
    </row>
    <row r="9" spans="1:4" ht="14.25" hidden="1" customHeight="1" x14ac:dyDescent="0.3">
      <c r="A9" s="2" t="s">
        <v>54</v>
      </c>
      <c r="B9" s="2">
        <v>7.6220379086563366</v>
      </c>
      <c r="C9" s="2">
        <v>7</v>
      </c>
      <c r="D9" s="2" t="s">
        <v>174</v>
      </c>
    </row>
    <row r="10" spans="1:4" ht="14.25" hidden="1" customHeight="1" x14ac:dyDescent="0.3">
      <c r="A10" s="2" t="s">
        <v>59</v>
      </c>
      <c r="B10" s="2">
        <v>12.282983388419909</v>
      </c>
      <c r="C10" s="2">
        <v>9</v>
      </c>
      <c r="D10" s="2" t="s">
        <v>298</v>
      </c>
    </row>
    <row r="11" spans="1:4" ht="14.25" hidden="1" customHeight="1" x14ac:dyDescent="0.3">
      <c r="A11" s="2" t="s">
        <v>64</v>
      </c>
      <c r="B11" s="2">
        <v>27.47235034777016</v>
      </c>
      <c r="C11" s="2">
        <v>11</v>
      </c>
      <c r="D11" s="2" t="s">
        <v>176</v>
      </c>
    </row>
    <row r="12" spans="1:4" ht="14.25" hidden="1" customHeight="1" x14ac:dyDescent="0.3">
      <c r="A12" s="2" t="s">
        <v>69</v>
      </c>
      <c r="B12" s="2">
        <v>29.68770954126353</v>
      </c>
      <c r="C12" s="2">
        <v>12</v>
      </c>
      <c r="D12" s="2" t="s">
        <v>170</v>
      </c>
    </row>
    <row r="13" spans="1:4" ht="14.25" hidden="1" customHeight="1" x14ac:dyDescent="0.3">
      <c r="A13" s="2" t="s">
        <v>74</v>
      </c>
      <c r="B13" s="2">
        <v>14.170850796831919</v>
      </c>
      <c r="C13" s="2">
        <v>10</v>
      </c>
      <c r="D13" s="2" t="s">
        <v>171</v>
      </c>
    </row>
    <row r="14" spans="1:4" ht="14.25" hidden="1" customHeight="1" x14ac:dyDescent="0.3">
      <c r="A14" s="2" t="s">
        <v>79</v>
      </c>
      <c r="B14" s="2">
        <v>14.052379669636769</v>
      </c>
      <c r="C14" s="2">
        <v>7</v>
      </c>
      <c r="D14" s="2" t="s">
        <v>172</v>
      </c>
    </row>
    <row r="15" spans="1:4" ht="14.25" hidden="1" customHeight="1" x14ac:dyDescent="0.3">
      <c r="A15" s="2" t="s">
        <v>84</v>
      </c>
      <c r="B15" s="2">
        <v>12.299630695884581</v>
      </c>
      <c r="C15" s="2">
        <v>7</v>
      </c>
      <c r="D15" s="2" t="s">
        <v>173</v>
      </c>
    </row>
    <row r="16" spans="1:4" ht="14.25" hidden="1" customHeight="1" x14ac:dyDescent="0.3">
      <c r="A16" s="2" t="s">
        <v>89</v>
      </c>
      <c r="B16" s="2">
        <v>24.8479254156005</v>
      </c>
      <c r="C16" s="2">
        <v>11</v>
      </c>
      <c r="D16" s="2" t="s">
        <v>174</v>
      </c>
    </row>
    <row r="17" spans="1:4" ht="14.25" hidden="1" customHeight="1" x14ac:dyDescent="0.3">
      <c r="A17" s="2" t="s">
        <v>94</v>
      </c>
      <c r="B17" s="2">
        <v>15.81889194012083</v>
      </c>
      <c r="C17" s="2">
        <v>9</v>
      </c>
      <c r="D17" s="2" t="s">
        <v>298</v>
      </c>
    </row>
    <row r="18" spans="1:4" ht="14.25" hidden="1" customHeight="1" x14ac:dyDescent="0.3">
      <c r="A18" s="2" t="s">
        <v>99</v>
      </c>
      <c r="B18" s="2">
        <v>26.10267222923132</v>
      </c>
      <c r="C18" s="2">
        <v>14</v>
      </c>
      <c r="D18" s="2" t="s">
        <v>176</v>
      </c>
    </row>
    <row r="19" spans="1:4" ht="14.25" hidden="1" customHeight="1" x14ac:dyDescent="0.3">
      <c r="A19" s="2" t="s">
        <v>104</v>
      </c>
      <c r="B19" s="2">
        <v>10.419441029604091</v>
      </c>
      <c r="C19" s="2">
        <v>8</v>
      </c>
      <c r="D19" s="2" t="s">
        <v>170</v>
      </c>
    </row>
    <row r="20" spans="1:4" ht="14.25" hidden="1" customHeight="1" x14ac:dyDescent="0.3">
      <c r="A20" s="2" t="s">
        <v>109</v>
      </c>
      <c r="B20" s="2">
        <v>5.8011690189423248</v>
      </c>
      <c r="C20" s="2">
        <v>5</v>
      </c>
      <c r="D20" s="2" t="s">
        <v>171</v>
      </c>
    </row>
    <row r="21" spans="1:4" ht="14.25" hidden="1" customHeight="1" x14ac:dyDescent="0.3">
      <c r="A21" s="2" t="s">
        <v>114</v>
      </c>
      <c r="B21" s="2">
        <v>15.006242219566451</v>
      </c>
      <c r="C21" s="2">
        <v>9</v>
      </c>
      <c r="D21" s="2" t="s">
        <v>172</v>
      </c>
    </row>
    <row r="22" spans="1:4" ht="14.25" hidden="1" customHeight="1" x14ac:dyDescent="0.3">
      <c r="A22" s="2" t="s">
        <v>119</v>
      </c>
      <c r="B22" s="2">
        <v>12.163092506770299</v>
      </c>
      <c r="C22" s="2">
        <v>7</v>
      </c>
      <c r="D22" s="2" t="s">
        <v>173</v>
      </c>
    </row>
    <row r="23" spans="1:4" ht="14.25" customHeight="1" x14ac:dyDescent="0.3">
      <c r="A23" s="2" t="s">
        <v>124</v>
      </c>
      <c r="B23" s="2">
        <v>9.9447589758097372</v>
      </c>
      <c r="C23" s="2">
        <v>7</v>
      </c>
      <c r="D23" s="2" t="s">
        <v>174</v>
      </c>
    </row>
    <row r="24" spans="1:4" ht="14.25" customHeight="1" x14ac:dyDescent="0.3">
      <c r="A24" s="2" t="s">
        <v>129</v>
      </c>
      <c r="B24" s="2">
        <v>9.5178907458734709</v>
      </c>
      <c r="C24" s="2">
        <v>6</v>
      </c>
      <c r="D24" s="2" t="s">
        <v>298</v>
      </c>
    </row>
    <row r="25" spans="1:4" ht="14.25" customHeight="1" x14ac:dyDescent="0.3">
      <c r="A25" s="2" t="s">
        <v>134</v>
      </c>
      <c r="B25" s="2">
        <v>20.475954709890349</v>
      </c>
      <c r="C25" s="2">
        <v>11</v>
      </c>
      <c r="D25" s="2" t="s">
        <v>176</v>
      </c>
    </row>
    <row r="26" spans="1:4" ht="14.25" customHeight="1" x14ac:dyDescent="0.3">
      <c r="A26" s="2" t="s">
        <v>139</v>
      </c>
      <c r="B26" s="2">
        <v>17.862546287219491</v>
      </c>
      <c r="C26" s="2">
        <v>12</v>
      </c>
      <c r="D26" s="2" t="s">
        <v>170</v>
      </c>
    </row>
    <row r="27" spans="1:4" ht="14.25" customHeight="1" x14ac:dyDescent="0.3">
      <c r="A27" s="2" t="s">
        <v>144</v>
      </c>
      <c r="B27" s="2">
        <v>10.45904851004949</v>
      </c>
      <c r="C27" s="2">
        <v>7</v>
      </c>
      <c r="D27" s="2" t="s">
        <v>171</v>
      </c>
    </row>
    <row r="28" spans="1:4" ht="14.25" customHeight="1" x14ac:dyDescent="0.3">
      <c r="A28" s="2" t="s">
        <v>145</v>
      </c>
      <c r="B28" s="2">
        <v>18.55154222712207</v>
      </c>
      <c r="C28" s="2">
        <v>9</v>
      </c>
      <c r="D28" s="2" t="s">
        <v>172</v>
      </c>
    </row>
    <row r="29" spans="1:4" ht="14.25" customHeight="1" x14ac:dyDescent="0.3">
      <c r="A29" s="2" t="s">
        <v>150</v>
      </c>
      <c r="B29" s="2">
        <v>16.230971961105169</v>
      </c>
      <c r="C29" s="2">
        <v>9</v>
      </c>
      <c r="D29" s="2" t="s">
        <v>173</v>
      </c>
    </row>
    <row r="30" spans="1:4" ht="14.25" customHeight="1" x14ac:dyDescent="0.3">
      <c r="A30" s="2" t="s">
        <v>155</v>
      </c>
      <c r="B30" s="2">
        <v>17.778035596435618</v>
      </c>
      <c r="C30" s="2">
        <v>9</v>
      </c>
      <c r="D30" s="2" t="s">
        <v>174</v>
      </c>
    </row>
    <row r="31" spans="1:4" ht="14.25" customHeight="1" x14ac:dyDescent="0.3">
      <c r="A31" s="2" t="s">
        <v>160</v>
      </c>
      <c r="B31" s="2">
        <v>9.5815154163694807</v>
      </c>
      <c r="C31" s="2">
        <v>7</v>
      </c>
      <c r="D31" s="2" t="s">
        <v>298</v>
      </c>
    </row>
    <row r="32" spans="1:4" ht="14.25" customHeight="1" x14ac:dyDescent="0.3">
      <c r="A32" s="2" t="s">
        <v>165</v>
      </c>
      <c r="B32" s="2">
        <v>14.79361769898849</v>
      </c>
      <c r="C32" s="2">
        <v>12</v>
      </c>
      <c r="D32" s="2" t="s">
        <v>176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autoFilter ref="A1:D32" xr:uid="{00000000-0009-0000-0000-000008000000}">
    <filterColumn colId="0">
      <filters>
        <filter val="2024-11-29 18:00"/>
        <filter val="2024-11-30 18:00"/>
        <filter val="2024-12-01 18:00"/>
        <filter val="2024-12-02 18:00"/>
        <filter val="2024-12-03 18:00"/>
        <filter val="2024-12-04 18:00"/>
        <filter val="2024-12-05 18:00"/>
        <filter val="2024-12-06 18:00"/>
        <filter val="2024-12-07 18:00"/>
        <filter val="2024-12-08 18:00"/>
      </filters>
    </filterColumn>
  </autoFilter>
  <pageMargins left="0.7" right="0.7" top="0.75" bottom="0.75"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K1000"/>
  <sheetViews>
    <sheetView topLeftCell="A15" workbookViewId="0">
      <selection activeCell="E30" sqref="E30"/>
    </sheetView>
  </sheetViews>
  <sheetFormatPr baseColWidth="10" defaultColWidth="14.44140625" defaultRowHeight="15" customHeight="1" x14ac:dyDescent="0.3"/>
  <cols>
    <col min="1" max="1" width="30.109375" customWidth="1"/>
    <col min="2" max="2" width="18.109375" customWidth="1"/>
    <col min="3" max="4" width="10.6640625" customWidth="1"/>
    <col min="5" max="5" width="36.5546875" customWidth="1"/>
    <col min="6" max="6" width="20.33203125" customWidth="1"/>
    <col min="7" max="7" width="10.6640625" customWidth="1"/>
    <col min="8" max="8" width="23.5546875" customWidth="1"/>
    <col min="9" max="9" width="16.5546875" customWidth="1"/>
    <col min="10" max="10" width="16.44140625" customWidth="1"/>
    <col min="11" max="26" width="10.6640625" customWidth="1"/>
  </cols>
  <sheetData>
    <row r="1" spans="1:11" ht="14.25" customHeight="1" x14ac:dyDescent="0.3">
      <c r="A1" s="3" t="s">
        <v>180</v>
      </c>
      <c r="B1" s="3" t="s">
        <v>258</v>
      </c>
      <c r="C1" s="3" t="s">
        <v>12</v>
      </c>
      <c r="E1" s="3" t="s">
        <v>180</v>
      </c>
      <c r="F1" s="3" t="str">
        <f>VLOOKUP(E1,A:B,2,FALSE)</f>
        <v>Asimetría</v>
      </c>
      <c r="H1" s="1" t="s">
        <v>180</v>
      </c>
      <c r="I1" s="1" t="s">
        <v>194</v>
      </c>
      <c r="J1" s="1" t="s">
        <v>314</v>
      </c>
      <c r="K1" s="3" t="str">
        <f>VLOOKUP(H1,A:B,2,FALSE)</f>
        <v>Asimetría</v>
      </c>
    </row>
    <row r="2" spans="1:11" ht="14.25" customHeight="1" x14ac:dyDescent="0.3">
      <c r="A2" s="3" t="s">
        <v>195</v>
      </c>
      <c r="B2" s="9">
        <v>0.9957863323050703</v>
      </c>
      <c r="C2" s="3">
        <v>15</v>
      </c>
      <c r="E2" s="3" t="s">
        <v>195</v>
      </c>
      <c r="F2" s="3">
        <f>VLOOKUP(E2,A:B,2,FALSE)</f>
        <v>0.9957863323050703</v>
      </c>
      <c r="H2" s="3" t="s">
        <v>195</v>
      </c>
      <c r="I2" s="3">
        <v>1</v>
      </c>
      <c r="J2" s="3" t="s">
        <v>315</v>
      </c>
      <c r="K2" s="3">
        <f>VLOOKUP(H2,A:B,2,FALSE)</f>
        <v>0.9957863323050703</v>
      </c>
    </row>
    <row r="3" spans="1:11" ht="14.25" customHeight="1" x14ac:dyDescent="0.3">
      <c r="A3" s="3" t="s">
        <v>199</v>
      </c>
      <c r="B3" s="9">
        <v>0.98995442105744402</v>
      </c>
      <c r="C3" s="3">
        <v>11</v>
      </c>
      <c r="E3" s="3" t="s">
        <v>199</v>
      </c>
      <c r="F3" s="3">
        <f>VLOOKUP(E3,A:B,2,FALSE)</f>
        <v>0.98995442105744402</v>
      </c>
      <c r="H3" s="3" t="s">
        <v>199</v>
      </c>
      <c r="I3" s="3">
        <v>2</v>
      </c>
      <c r="J3" s="3" t="s">
        <v>315</v>
      </c>
      <c r="K3" s="3">
        <f>VLOOKUP(H3,A:B,2,FALSE)</f>
        <v>0.98995442105744402</v>
      </c>
    </row>
    <row r="4" spans="1:11" ht="14.25" customHeight="1" x14ac:dyDescent="0.3">
      <c r="A4" s="3" t="s">
        <v>203</v>
      </c>
      <c r="B4" s="9">
        <v>0.8031838310216366</v>
      </c>
      <c r="C4" s="3">
        <v>11</v>
      </c>
      <c r="E4" s="3" t="s">
        <v>203</v>
      </c>
      <c r="F4" s="3">
        <f>VLOOKUP(E4,A:B,2,FALSE)</f>
        <v>0.8031838310216366</v>
      </c>
      <c r="H4" s="3" t="s">
        <v>203</v>
      </c>
      <c r="I4" s="3">
        <v>1</v>
      </c>
      <c r="J4" s="3" t="s">
        <v>315</v>
      </c>
      <c r="K4" s="3">
        <f>VLOOKUP(H4,A:B,2,FALSE)</f>
        <v>0.8031838310216366</v>
      </c>
    </row>
    <row r="5" spans="1:11" ht="14.25" customHeight="1" x14ac:dyDescent="0.3">
      <c r="A5" s="3" t="s">
        <v>206</v>
      </c>
      <c r="B5" s="9">
        <v>0.7952330657044463</v>
      </c>
      <c r="C5" s="3">
        <v>41</v>
      </c>
      <c r="E5" s="3" t="s">
        <v>206</v>
      </c>
      <c r="F5" s="3">
        <f>VLOOKUP(E5,A:B,2,FALSE)</f>
        <v>0.7952330657044463</v>
      </c>
      <c r="H5" s="3" t="s">
        <v>206</v>
      </c>
      <c r="I5" s="3">
        <v>23</v>
      </c>
      <c r="J5" s="3" t="s">
        <v>315</v>
      </c>
      <c r="K5" s="3">
        <f>VLOOKUP(H5,A:B,2,FALSE)</f>
        <v>0.7952330657044463</v>
      </c>
    </row>
    <row r="6" spans="1:11" ht="14.25" customHeight="1" x14ac:dyDescent="0.3">
      <c r="A6" s="3" t="s">
        <v>202</v>
      </c>
      <c r="B6" s="9">
        <v>0.65812761495518723</v>
      </c>
      <c r="C6" s="3">
        <v>11</v>
      </c>
      <c r="E6" s="3" t="s">
        <v>202</v>
      </c>
      <c r="F6" s="3">
        <f>VLOOKUP(E6,A:B,2,FALSE)</f>
        <v>0.65812761495518723</v>
      </c>
      <c r="H6" s="3" t="s">
        <v>202</v>
      </c>
      <c r="I6" s="3">
        <v>11</v>
      </c>
      <c r="J6" s="3" t="s">
        <v>315</v>
      </c>
      <c r="K6" s="3">
        <f>VLOOKUP(H6,A:B,2,FALSE)</f>
        <v>0.65812761495518723</v>
      </c>
    </row>
    <row r="7" spans="1:11" ht="14.25" customHeight="1" x14ac:dyDescent="0.3">
      <c r="A7" s="3" t="s">
        <v>205</v>
      </c>
      <c r="B7" s="9">
        <v>0.65757862978307635</v>
      </c>
      <c r="C7" s="3">
        <v>7</v>
      </c>
      <c r="E7" s="3" t="s">
        <v>205</v>
      </c>
      <c r="F7" s="3">
        <f>VLOOKUP(E7,A:B,2,FALSE)</f>
        <v>0.65757862978307635</v>
      </c>
      <c r="H7" s="3" t="s">
        <v>205</v>
      </c>
      <c r="I7" s="3">
        <v>3</v>
      </c>
      <c r="J7" s="3" t="s">
        <v>315</v>
      </c>
      <c r="K7" s="3">
        <f>VLOOKUP(H7,A:B,2,FALSE)</f>
        <v>0.65757862978307635</v>
      </c>
    </row>
    <row r="8" spans="1:11" ht="14.25" customHeight="1" x14ac:dyDescent="0.3">
      <c r="A8" s="3" t="s">
        <v>215</v>
      </c>
      <c r="B8" s="9">
        <v>0.44467337167202509</v>
      </c>
      <c r="C8" s="3">
        <v>23</v>
      </c>
      <c r="E8" s="3" t="s">
        <v>215</v>
      </c>
      <c r="F8" s="3">
        <f>VLOOKUP(E8,A:B,2,FALSE)</f>
        <v>0.44467337167202509</v>
      </c>
      <c r="H8" s="3" t="s">
        <v>215</v>
      </c>
      <c r="I8" s="3">
        <v>3</v>
      </c>
      <c r="J8" s="3" t="s">
        <v>315</v>
      </c>
      <c r="K8" s="3">
        <f>VLOOKUP(H8,A:B,2,FALSE)</f>
        <v>0.44467337167202509</v>
      </c>
    </row>
    <row r="9" spans="1:11" ht="14.25" customHeight="1" x14ac:dyDescent="0.3">
      <c r="A9" s="3" t="s">
        <v>218</v>
      </c>
      <c r="B9" s="9">
        <v>0.28220965544261112</v>
      </c>
      <c r="C9" s="3">
        <v>23</v>
      </c>
      <c r="E9" s="3" t="s">
        <v>218</v>
      </c>
      <c r="F9" s="3">
        <f>VLOOKUP(E9,A:B,2,FALSE)</f>
        <v>0.28220965544261112</v>
      </c>
      <c r="H9" s="3" t="s">
        <v>218</v>
      </c>
      <c r="I9" s="3">
        <v>8</v>
      </c>
      <c r="J9" s="3" t="s">
        <v>315</v>
      </c>
      <c r="K9" s="3">
        <f>VLOOKUP(H9,A:B,2,FALSE)</f>
        <v>0.28220965544261112</v>
      </c>
    </row>
    <row r="10" spans="1:11" ht="14.25" customHeight="1" x14ac:dyDescent="0.3">
      <c r="A10" s="3" t="s">
        <v>198</v>
      </c>
      <c r="B10" s="9">
        <v>0.26647717855960468</v>
      </c>
      <c r="C10" s="3">
        <v>11</v>
      </c>
      <c r="E10" s="3" t="s">
        <v>198</v>
      </c>
      <c r="F10" s="3">
        <f>VLOOKUP(E10,A:B,2,FALSE)</f>
        <v>0.26647717855960468</v>
      </c>
      <c r="H10" s="3" t="s">
        <v>198</v>
      </c>
      <c r="I10" s="3">
        <v>8</v>
      </c>
      <c r="J10" s="3" t="s">
        <v>315</v>
      </c>
      <c r="K10" s="3">
        <f>VLOOKUP(H10,A:B,2,FALSE)</f>
        <v>0.26647717855960468</v>
      </c>
    </row>
    <row r="11" spans="1:11" ht="14.25" customHeight="1" x14ac:dyDescent="0.3">
      <c r="A11" s="3" t="s">
        <v>209</v>
      </c>
      <c r="B11" s="9">
        <v>2.6646209564781631E-3</v>
      </c>
      <c r="C11" s="3">
        <v>7</v>
      </c>
      <c r="E11" s="3" t="s">
        <v>209</v>
      </c>
      <c r="F11" s="3">
        <f>VLOOKUP(E11,A:B,2,FALSE)</f>
        <v>2.6646209564781631E-3</v>
      </c>
      <c r="H11" s="3" t="s">
        <v>209</v>
      </c>
      <c r="I11" s="3">
        <v>3</v>
      </c>
      <c r="J11" s="3" t="s">
        <v>315</v>
      </c>
      <c r="K11" s="3">
        <f>VLOOKUP(H11,A:B,2,FALSE)</f>
        <v>2.6646209564781631E-3</v>
      </c>
    </row>
    <row r="12" spans="1:11" ht="14.25" customHeight="1" x14ac:dyDescent="0.3">
      <c r="A12" s="3" t="s">
        <v>214</v>
      </c>
      <c r="B12" s="9">
        <v>-0.3761105231824623</v>
      </c>
      <c r="C12" s="3">
        <v>15</v>
      </c>
      <c r="E12" s="3" t="s">
        <v>214</v>
      </c>
      <c r="F12" s="3">
        <f>VLOOKUP(E12,A:B,2,FALSE)</f>
        <v>-0.3761105231824623</v>
      </c>
      <c r="H12" s="3" t="s">
        <v>214</v>
      </c>
      <c r="I12" s="3">
        <v>15</v>
      </c>
      <c r="J12" s="3" t="s">
        <v>315</v>
      </c>
      <c r="K12" s="3">
        <f>VLOOKUP(H12,A:B,2,FALSE)</f>
        <v>-0.3761105231824623</v>
      </c>
    </row>
    <row r="13" spans="1:11" ht="14.25" customHeight="1" x14ac:dyDescent="0.3">
      <c r="A13" s="3" t="s">
        <v>211</v>
      </c>
      <c r="B13" s="9">
        <v>-0.61856740376708086</v>
      </c>
      <c r="C13" s="3">
        <v>15</v>
      </c>
      <c r="E13" s="3" t="s">
        <v>211</v>
      </c>
      <c r="F13" s="3">
        <f>VLOOKUP(E13,A:B,2,FALSE)</f>
        <v>-0.61856740376708086</v>
      </c>
      <c r="H13" s="3" t="s">
        <v>211</v>
      </c>
      <c r="I13" s="3">
        <v>14</v>
      </c>
      <c r="J13" s="3" t="s">
        <v>315</v>
      </c>
      <c r="K13" s="3">
        <f>VLOOKUP(H13,A:B,2,FALSE)</f>
        <v>-0.61856740376708086</v>
      </c>
    </row>
    <row r="14" spans="1:11" ht="14.25" customHeight="1" x14ac:dyDescent="0.3">
      <c r="A14" s="3" t="s">
        <v>225</v>
      </c>
      <c r="B14" s="9">
        <v>-0.76845746918237878</v>
      </c>
      <c r="C14" s="3">
        <v>11</v>
      </c>
      <c r="E14" s="3" t="s">
        <v>225</v>
      </c>
      <c r="F14" s="3">
        <f>VLOOKUP(E14,A:B,2,FALSE)</f>
        <v>-0.76845746918237878</v>
      </c>
      <c r="H14" s="3" t="s">
        <v>225</v>
      </c>
      <c r="I14" s="3">
        <v>9</v>
      </c>
      <c r="J14" s="3" t="s">
        <v>315</v>
      </c>
      <c r="K14" s="3">
        <f>VLOOKUP(H14,A:B,2,FALSE)</f>
        <v>-0.76845746918237878</v>
      </c>
    </row>
    <row r="15" spans="1:11" ht="14.25" customHeight="1" x14ac:dyDescent="0.3">
      <c r="A15" s="3" t="s">
        <v>228</v>
      </c>
      <c r="B15" s="9">
        <v>-0.82357176289964173</v>
      </c>
      <c r="C15" s="3">
        <v>23</v>
      </c>
      <c r="E15" s="3" t="s">
        <v>228</v>
      </c>
      <c r="F15" s="3">
        <f>VLOOKUP(E15,A:B,2,FALSE)</f>
        <v>-0.82357176289964173</v>
      </c>
      <c r="H15" s="3" t="s">
        <v>228</v>
      </c>
      <c r="I15" s="3">
        <v>23</v>
      </c>
      <c r="J15" s="3" t="s">
        <v>315</v>
      </c>
      <c r="K15" s="3">
        <f>VLOOKUP(H15,A:B,2,FALSE)</f>
        <v>-0.82357176289964173</v>
      </c>
    </row>
    <row r="16" spans="1:11" ht="14.25" customHeight="1" x14ac:dyDescent="0.3">
      <c r="A16" s="3" t="s">
        <v>217</v>
      </c>
      <c r="B16" s="9">
        <v>-0.83166677317607873</v>
      </c>
      <c r="C16" s="3">
        <v>11</v>
      </c>
      <c r="E16" s="3" t="s">
        <v>217</v>
      </c>
      <c r="F16" s="3">
        <f>VLOOKUP(E16,A:B,2,FALSE)</f>
        <v>-0.83166677317607873</v>
      </c>
      <c r="H16" s="3" t="s">
        <v>217</v>
      </c>
      <c r="I16" s="3">
        <v>8</v>
      </c>
      <c r="J16" s="3" t="s">
        <v>315</v>
      </c>
      <c r="K16" s="3">
        <f>VLOOKUP(H16,A:B,2,FALSE)</f>
        <v>-0.83166677317607873</v>
      </c>
    </row>
    <row r="17" spans="1:11" ht="14.25" customHeight="1" x14ac:dyDescent="0.3">
      <c r="A17" s="3" t="s">
        <v>227</v>
      </c>
      <c r="B17" s="9">
        <v>-0.99035075718315457</v>
      </c>
      <c r="C17" s="3">
        <v>17</v>
      </c>
      <c r="E17" s="3" t="s">
        <v>227</v>
      </c>
      <c r="F17" s="3">
        <f>VLOOKUP(E17,A:B,2,FALSE)</f>
        <v>-0.99035075718315457</v>
      </c>
      <c r="H17" s="3" t="s">
        <v>227</v>
      </c>
      <c r="I17" s="3">
        <v>17</v>
      </c>
      <c r="J17" s="3" t="s">
        <v>315</v>
      </c>
      <c r="K17" s="3">
        <f>VLOOKUP(H17,A:B,2,FALSE)</f>
        <v>-0.99035075718315457</v>
      </c>
    </row>
    <row r="18" spans="1:11" ht="14.25" customHeight="1" x14ac:dyDescent="0.3">
      <c r="A18" s="3" t="s">
        <v>221</v>
      </c>
      <c r="B18" s="9">
        <v>-1.072806810743151</v>
      </c>
      <c r="C18" s="3">
        <v>19</v>
      </c>
      <c r="E18" s="3" t="s">
        <v>221</v>
      </c>
      <c r="F18" s="3">
        <f>VLOOKUP(E18,A:B,2,FALSE)</f>
        <v>-1.072806810743151</v>
      </c>
      <c r="H18" s="3" t="s">
        <v>221</v>
      </c>
      <c r="I18" s="3">
        <v>3</v>
      </c>
      <c r="J18" s="3" t="s">
        <v>315</v>
      </c>
      <c r="K18" s="3">
        <f>VLOOKUP(H18,A:B,2,FALSE)</f>
        <v>-1.072806810743151</v>
      </c>
    </row>
    <row r="19" spans="1:11" ht="14.25" customHeight="1" x14ac:dyDescent="0.3">
      <c r="A19" s="3" t="s">
        <v>224</v>
      </c>
      <c r="B19" s="9">
        <v>-1.1339562965442611</v>
      </c>
      <c r="C19" s="3">
        <v>15</v>
      </c>
      <c r="E19" s="3" t="s">
        <v>224</v>
      </c>
      <c r="F19" s="3">
        <f>VLOOKUP(E19,A:B,2,FALSE)</f>
        <v>-1.1339562965442611</v>
      </c>
      <c r="H19" s="3" t="s">
        <v>224</v>
      </c>
      <c r="I19" s="3">
        <v>14</v>
      </c>
      <c r="J19" s="3" t="s">
        <v>315</v>
      </c>
      <c r="K19" s="3">
        <f>VLOOKUP(H19,A:B,2,FALSE)</f>
        <v>-1.1339562965442611</v>
      </c>
    </row>
    <row r="20" spans="1:11" ht="14.25" customHeight="1" x14ac:dyDescent="0.3">
      <c r="A20" s="3" t="s">
        <v>207</v>
      </c>
      <c r="B20" s="9">
        <v>-1.196962071035268</v>
      </c>
      <c r="C20" s="3">
        <v>19</v>
      </c>
      <c r="E20" s="3" t="s">
        <v>207</v>
      </c>
      <c r="F20" s="3">
        <f>VLOOKUP(E20,A:B,2,FALSE)</f>
        <v>-1.196962071035268</v>
      </c>
      <c r="H20" s="3" t="s">
        <v>207</v>
      </c>
      <c r="I20" s="3">
        <v>18</v>
      </c>
      <c r="J20" s="3" t="s">
        <v>315</v>
      </c>
      <c r="K20" s="3">
        <f>VLOOKUP(H20,A:B,2,FALSE)</f>
        <v>-1.196962071035268</v>
      </c>
    </row>
    <row r="21" spans="1:11" ht="14.25" customHeight="1" x14ac:dyDescent="0.3">
      <c r="A21" s="3" t="s">
        <v>222</v>
      </c>
      <c r="B21" s="9">
        <v>-1.679865001322572</v>
      </c>
      <c r="C21" s="3">
        <v>27</v>
      </c>
      <c r="E21" s="3" t="s">
        <v>222</v>
      </c>
      <c r="F21" s="3">
        <f>VLOOKUP(E21,A:B,2,FALSE)</f>
        <v>-1.679865001322572</v>
      </c>
      <c r="H21" s="3" t="s">
        <v>222</v>
      </c>
      <c r="I21" s="3">
        <v>27</v>
      </c>
      <c r="J21" s="3" t="s">
        <v>315</v>
      </c>
      <c r="K21" s="3">
        <f>VLOOKUP(H21,A:B,2,FALSE)</f>
        <v>-1.679865001322572</v>
      </c>
    </row>
    <row r="22" spans="1:11" ht="14.25" customHeight="1" x14ac:dyDescent="0.3"/>
    <row r="23" spans="1:11" ht="14.25" customHeight="1" x14ac:dyDescent="0.3"/>
    <row r="24" spans="1:11" ht="14.25" customHeight="1" x14ac:dyDescent="0.3">
      <c r="E24" s="23" t="s">
        <v>317</v>
      </c>
    </row>
    <row r="25" spans="1:11" ht="14.25" customHeight="1" x14ac:dyDescent="0.3">
      <c r="E25" t="s">
        <v>318</v>
      </c>
    </row>
    <row r="26" spans="1:11" ht="14.25" customHeight="1" x14ac:dyDescent="0.3">
      <c r="E26" t="s">
        <v>318</v>
      </c>
    </row>
    <row r="27" spans="1:11" ht="14.25" customHeight="1" x14ac:dyDescent="0.3">
      <c r="E27" t="s">
        <v>319</v>
      </c>
    </row>
    <row r="28" spans="1:11" ht="14.25" customHeight="1" x14ac:dyDescent="0.3">
      <c r="E28" t="s">
        <v>320</v>
      </c>
    </row>
    <row r="29" spans="1:11" ht="14.25" customHeight="1" x14ac:dyDescent="0.3">
      <c r="E29" t="s">
        <v>321</v>
      </c>
    </row>
    <row r="30" spans="1:11" ht="14.25" customHeight="1" x14ac:dyDescent="0.3">
      <c r="E30" t="s">
        <v>322</v>
      </c>
    </row>
    <row r="31" spans="1:11" ht="14.25" customHeight="1" x14ac:dyDescent="0.3">
      <c r="E31" t="s">
        <v>323</v>
      </c>
    </row>
    <row r="32" spans="1:11" ht="14.25" customHeight="1" x14ac:dyDescent="0.3">
      <c r="E32" t="s">
        <v>324</v>
      </c>
    </row>
    <row r="33" spans="5:5" ht="14.25" customHeight="1" x14ac:dyDescent="0.3">
      <c r="E33" t="s">
        <v>325</v>
      </c>
    </row>
    <row r="34" spans="5:5" ht="14.25" customHeight="1" x14ac:dyDescent="0.3">
      <c r="E34" t="s">
        <v>326</v>
      </c>
    </row>
    <row r="35" spans="5:5" ht="14.25" customHeight="1" x14ac:dyDescent="0.3">
      <c r="E35" t="s">
        <v>327</v>
      </c>
    </row>
    <row r="36" spans="5:5" ht="14.25" customHeight="1" x14ac:dyDescent="0.3">
      <c r="E36" t="s">
        <v>321</v>
      </c>
    </row>
    <row r="37" spans="5:5" ht="14.25" customHeight="1" x14ac:dyDescent="0.3">
      <c r="E37" t="s">
        <v>328</v>
      </c>
    </row>
    <row r="38" spans="5:5" ht="14.25" customHeight="1" x14ac:dyDescent="0.3">
      <c r="E38" t="s">
        <v>323</v>
      </c>
    </row>
    <row r="39" spans="5:5" ht="14.25" customHeight="1" x14ac:dyDescent="0.3">
      <c r="E39" t="s">
        <v>329</v>
      </c>
    </row>
    <row r="40" spans="5:5" ht="14.25" customHeight="1" x14ac:dyDescent="0.3">
      <c r="E40" t="s">
        <v>330</v>
      </c>
    </row>
    <row r="41" spans="5:5" ht="14.25" customHeight="1" x14ac:dyDescent="0.3">
      <c r="E41" t="s">
        <v>329</v>
      </c>
    </row>
    <row r="42" spans="5:5" ht="14.25" customHeight="1" x14ac:dyDescent="0.3">
      <c r="E42" t="s">
        <v>331</v>
      </c>
    </row>
    <row r="43" spans="5:5" ht="14.25" customHeight="1" x14ac:dyDescent="0.3">
      <c r="E43" t="s">
        <v>332</v>
      </c>
    </row>
    <row r="44" spans="5:5" ht="14.25" customHeight="1" x14ac:dyDescent="0.3">
      <c r="E44" t="s">
        <v>332</v>
      </c>
    </row>
    <row r="45" spans="5:5" ht="14.25" customHeight="1" x14ac:dyDescent="0.3"/>
    <row r="46" spans="5:5" ht="14.25" customHeight="1" x14ac:dyDescent="0.3"/>
    <row r="47" spans="5:5" ht="14.25" customHeight="1" x14ac:dyDescent="0.3"/>
    <row r="48" spans="5:5"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conditionalFormatting sqref="H2">
    <cfRule type="cellIs" dxfId="1" priority="1" operator="equal">
      <formula>$A$2</formula>
    </cfRule>
  </conditionalFormatting>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N1000"/>
  <sheetViews>
    <sheetView topLeftCell="A19" workbookViewId="0">
      <selection activeCell="F34" sqref="F34"/>
    </sheetView>
  </sheetViews>
  <sheetFormatPr baseColWidth="10" defaultColWidth="14.44140625" defaultRowHeight="15" customHeight="1" x14ac:dyDescent="0.3"/>
  <cols>
    <col min="1" max="1" width="30.109375" customWidth="1"/>
    <col min="2" max="2" width="18.109375" customWidth="1"/>
    <col min="3" max="3" width="10.6640625" customWidth="1"/>
    <col min="4" max="4" width="30.33203125" bestFit="1" customWidth="1"/>
    <col min="5" max="5" width="36.5546875" customWidth="1"/>
    <col min="6" max="6" width="20.33203125" customWidth="1"/>
    <col min="7" max="7" width="10.6640625" customWidth="1"/>
    <col min="8" max="8" width="15.44140625" customWidth="1"/>
    <col min="9" max="9" width="16.5546875" customWidth="1"/>
    <col min="10" max="10" width="16.44140625" customWidth="1"/>
    <col min="11" max="26" width="10.6640625" customWidth="1"/>
  </cols>
  <sheetData>
    <row r="1" spans="1:14" ht="14.25" customHeight="1" x14ac:dyDescent="0.3">
      <c r="A1" s="3" t="s">
        <v>180</v>
      </c>
      <c r="B1" s="3" t="s">
        <v>258</v>
      </c>
      <c r="C1" s="3" t="s">
        <v>12</v>
      </c>
      <c r="E1" s="3" t="s">
        <v>180</v>
      </c>
      <c r="F1" s="3" t="str">
        <f t="shared" ref="F1:F21" si="0">VLOOKUP(E1,A:B,2,FALSE)</f>
        <v>Asimetría</v>
      </c>
      <c r="H1" s="1" t="s">
        <v>180</v>
      </c>
      <c r="I1" s="1" t="s">
        <v>194</v>
      </c>
      <c r="J1" s="1" t="s">
        <v>314</v>
      </c>
      <c r="K1" s="3" t="str">
        <f t="shared" ref="K1:K21" si="1">VLOOKUP(H1,A:B,2,FALSE)</f>
        <v>Asimetría</v>
      </c>
      <c r="N1" s="23" t="s">
        <v>317</v>
      </c>
    </row>
    <row r="2" spans="1:14" ht="14.25" customHeight="1" x14ac:dyDescent="0.3">
      <c r="A2" s="3" t="s">
        <v>195</v>
      </c>
      <c r="B2" s="9">
        <v>0.9957863323050703</v>
      </c>
      <c r="C2" s="3">
        <v>15</v>
      </c>
      <c r="E2" s="3" t="s">
        <v>195</v>
      </c>
      <c r="F2" s="3">
        <f>VLOOKUP(E2,A:B,2,FALSE)</f>
        <v>0.9957863323050703</v>
      </c>
      <c r="H2" s="3" t="s">
        <v>195</v>
      </c>
      <c r="I2" s="3">
        <v>1</v>
      </c>
      <c r="J2" s="3" t="s">
        <v>316</v>
      </c>
      <c r="K2" s="3">
        <f t="shared" si="1"/>
        <v>0.9957863323050703</v>
      </c>
      <c r="N2" t="s">
        <v>318</v>
      </c>
    </row>
    <row r="3" spans="1:14" ht="14.25" customHeight="1" x14ac:dyDescent="0.3">
      <c r="A3" s="3" t="s">
        <v>199</v>
      </c>
      <c r="B3" s="9">
        <v>0.98995442105744402</v>
      </c>
      <c r="C3" s="3">
        <v>11</v>
      </c>
      <c r="E3" s="3" t="s">
        <v>199</v>
      </c>
      <c r="F3" s="3">
        <f t="shared" si="0"/>
        <v>0.98995442105744402</v>
      </c>
      <c r="H3" s="3" t="s">
        <v>199</v>
      </c>
      <c r="I3" s="3">
        <v>2</v>
      </c>
      <c r="J3" s="3" t="s">
        <v>316</v>
      </c>
      <c r="K3" s="3">
        <f t="shared" si="1"/>
        <v>0.98995442105744402</v>
      </c>
      <c r="N3" t="s">
        <v>318</v>
      </c>
    </row>
    <row r="4" spans="1:14" ht="14.25" customHeight="1" x14ac:dyDescent="0.3">
      <c r="A4" s="3" t="s">
        <v>203</v>
      </c>
      <c r="B4" s="9">
        <v>0.8031838310216366</v>
      </c>
      <c r="C4" s="3">
        <v>11</v>
      </c>
      <c r="E4" s="3" t="s">
        <v>203</v>
      </c>
      <c r="F4" s="3">
        <f t="shared" si="0"/>
        <v>0.8031838310216366</v>
      </c>
      <c r="H4" s="3" t="s">
        <v>203</v>
      </c>
      <c r="I4" s="3">
        <v>3</v>
      </c>
      <c r="J4" s="3" t="s">
        <v>316</v>
      </c>
      <c r="K4" s="3">
        <f t="shared" si="1"/>
        <v>0.8031838310216366</v>
      </c>
      <c r="N4" t="s">
        <v>319</v>
      </c>
    </row>
    <row r="5" spans="1:14" ht="14.25" customHeight="1" x14ac:dyDescent="0.3">
      <c r="A5" s="3" t="s">
        <v>206</v>
      </c>
      <c r="B5" s="9">
        <v>0.7952330657044463</v>
      </c>
      <c r="C5" s="3">
        <v>41</v>
      </c>
      <c r="E5" s="3" t="s">
        <v>206</v>
      </c>
      <c r="F5" s="3">
        <f t="shared" si="0"/>
        <v>0.7952330657044463</v>
      </c>
      <c r="H5" s="3" t="s">
        <v>206</v>
      </c>
      <c r="I5" s="3">
        <v>10</v>
      </c>
      <c r="J5" s="3" t="s">
        <v>316</v>
      </c>
      <c r="K5" s="3">
        <f t="shared" si="1"/>
        <v>0.7952330657044463</v>
      </c>
      <c r="N5" t="s">
        <v>320</v>
      </c>
    </row>
    <row r="6" spans="1:14" ht="14.25" customHeight="1" x14ac:dyDescent="0.3">
      <c r="A6" s="3" t="s">
        <v>202</v>
      </c>
      <c r="B6" s="9">
        <v>0.65812761495518723</v>
      </c>
      <c r="C6" s="3">
        <v>11</v>
      </c>
      <c r="E6" s="3" t="s">
        <v>202</v>
      </c>
      <c r="F6" s="3">
        <f t="shared" si="0"/>
        <v>0.65812761495518723</v>
      </c>
      <c r="H6" s="3" t="s">
        <v>202</v>
      </c>
      <c r="I6" s="3">
        <v>8</v>
      </c>
      <c r="J6" s="3" t="s">
        <v>316</v>
      </c>
      <c r="K6" s="3">
        <f t="shared" si="1"/>
        <v>0.65812761495518723</v>
      </c>
      <c r="N6" t="s">
        <v>321</v>
      </c>
    </row>
    <row r="7" spans="1:14" ht="14.25" customHeight="1" x14ac:dyDescent="0.3">
      <c r="A7" s="3" t="s">
        <v>205</v>
      </c>
      <c r="B7" s="9">
        <v>0.65757862978307635</v>
      </c>
      <c r="C7" s="3">
        <v>7</v>
      </c>
      <c r="E7" s="3" t="s">
        <v>205</v>
      </c>
      <c r="F7" s="3">
        <f t="shared" si="0"/>
        <v>0.65757862978307635</v>
      </c>
      <c r="H7" s="3" t="s">
        <v>205</v>
      </c>
      <c r="I7" s="3">
        <v>0</v>
      </c>
      <c r="J7" s="3" t="s">
        <v>316</v>
      </c>
      <c r="K7" s="3">
        <f t="shared" si="1"/>
        <v>0.65757862978307635</v>
      </c>
      <c r="N7" t="s">
        <v>322</v>
      </c>
    </row>
    <row r="8" spans="1:14" ht="14.25" customHeight="1" x14ac:dyDescent="0.3">
      <c r="A8" s="3" t="s">
        <v>215</v>
      </c>
      <c r="B8" s="9">
        <v>0.44467337167202509</v>
      </c>
      <c r="C8" s="3">
        <v>23</v>
      </c>
      <c r="E8" s="3" t="s">
        <v>215</v>
      </c>
      <c r="F8" s="3">
        <f t="shared" si="0"/>
        <v>0.44467337167202509</v>
      </c>
      <c r="H8" s="3" t="s">
        <v>215</v>
      </c>
      <c r="I8" s="3">
        <v>8</v>
      </c>
      <c r="J8" s="3" t="s">
        <v>316</v>
      </c>
      <c r="K8" s="3">
        <f t="shared" si="1"/>
        <v>0.44467337167202509</v>
      </c>
      <c r="N8" t="s">
        <v>323</v>
      </c>
    </row>
    <row r="9" spans="1:14" ht="14.25" customHeight="1" x14ac:dyDescent="0.3">
      <c r="A9" s="3" t="s">
        <v>218</v>
      </c>
      <c r="B9" s="9">
        <v>0.28220965544261112</v>
      </c>
      <c r="C9" s="3">
        <v>23</v>
      </c>
      <c r="E9" s="3" t="s">
        <v>218</v>
      </c>
      <c r="F9" s="3">
        <f t="shared" si="0"/>
        <v>0.28220965544261112</v>
      </c>
      <c r="H9" s="3" t="s">
        <v>218</v>
      </c>
      <c r="I9" s="3">
        <v>2</v>
      </c>
      <c r="J9" s="3" t="s">
        <v>316</v>
      </c>
      <c r="K9" s="3">
        <f t="shared" si="1"/>
        <v>0.28220965544261112</v>
      </c>
      <c r="N9" t="s">
        <v>324</v>
      </c>
    </row>
    <row r="10" spans="1:14" ht="14.25" customHeight="1" x14ac:dyDescent="0.3">
      <c r="A10" s="3" t="s">
        <v>198</v>
      </c>
      <c r="B10" s="9">
        <v>0.26647717855960468</v>
      </c>
      <c r="C10" s="3">
        <v>11</v>
      </c>
      <c r="E10" s="3" t="s">
        <v>198</v>
      </c>
      <c r="F10" s="3">
        <f t="shared" si="0"/>
        <v>0.26647717855960468</v>
      </c>
      <c r="H10" s="3" t="s">
        <v>198</v>
      </c>
      <c r="I10" s="3">
        <v>5</v>
      </c>
      <c r="J10" s="3" t="s">
        <v>316</v>
      </c>
      <c r="K10" s="3">
        <f t="shared" si="1"/>
        <v>0.26647717855960468</v>
      </c>
      <c r="N10" t="s">
        <v>325</v>
      </c>
    </row>
    <row r="11" spans="1:14" ht="14.25" customHeight="1" x14ac:dyDescent="0.3">
      <c r="A11" s="3" t="s">
        <v>209</v>
      </c>
      <c r="B11" s="9">
        <v>2.6646209564781631E-3</v>
      </c>
      <c r="C11" s="3">
        <v>7</v>
      </c>
      <c r="E11" s="3" t="s">
        <v>209</v>
      </c>
      <c r="F11" s="3">
        <f t="shared" si="0"/>
        <v>2.6646209564781631E-3</v>
      </c>
      <c r="H11" s="3" t="s">
        <v>209</v>
      </c>
      <c r="I11" s="3">
        <v>1</v>
      </c>
      <c r="J11" s="3" t="s">
        <v>316</v>
      </c>
      <c r="K11" s="3">
        <f t="shared" si="1"/>
        <v>2.6646209564781631E-3</v>
      </c>
      <c r="N11" t="s">
        <v>326</v>
      </c>
    </row>
    <row r="12" spans="1:14" ht="14.25" customHeight="1" x14ac:dyDescent="0.3">
      <c r="A12" s="3" t="s">
        <v>214</v>
      </c>
      <c r="B12" s="9">
        <v>-0.3761105231824623</v>
      </c>
      <c r="C12" s="3">
        <v>15</v>
      </c>
      <c r="E12" s="3" t="s">
        <v>214</v>
      </c>
      <c r="F12" s="3">
        <f t="shared" si="0"/>
        <v>-0.3761105231824623</v>
      </c>
      <c r="H12" s="3" t="s">
        <v>214</v>
      </c>
      <c r="I12" s="3">
        <v>14</v>
      </c>
      <c r="J12" s="3" t="s">
        <v>316</v>
      </c>
      <c r="K12" s="3">
        <f t="shared" si="1"/>
        <v>-0.3761105231824623</v>
      </c>
      <c r="N12" t="s">
        <v>327</v>
      </c>
    </row>
    <row r="13" spans="1:14" ht="14.25" customHeight="1" x14ac:dyDescent="0.3">
      <c r="A13" s="3" t="s">
        <v>211</v>
      </c>
      <c r="B13" s="9">
        <v>-0.61856740376708086</v>
      </c>
      <c r="C13" s="3">
        <v>15</v>
      </c>
      <c r="E13" s="3" t="s">
        <v>211</v>
      </c>
      <c r="F13" s="3">
        <f t="shared" si="0"/>
        <v>-0.61856740376708086</v>
      </c>
      <c r="H13" s="3" t="s">
        <v>211</v>
      </c>
      <c r="I13" s="3">
        <v>15</v>
      </c>
      <c r="J13" s="3" t="s">
        <v>316</v>
      </c>
      <c r="K13" s="3">
        <f t="shared" si="1"/>
        <v>-0.61856740376708086</v>
      </c>
      <c r="N13" t="s">
        <v>321</v>
      </c>
    </row>
    <row r="14" spans="1:14" ht="14.25" customHeight="1" x14ac:dyDescent="0.3">
      <c r="A14" s="3" t="s">
        <v>225</v>
      </c>
      <c r="B14" s="9">
        <v>-0.76845746918237878</v>
      </c>
      <c r="C14" s="3">
        <v>11</v>
      </c>
      <c r="E14" s="3" t="s">
        <v>225</v>
      </c>
      <c r="F14" s="3">
        <f t="shared" si="0"/>
        <v>-0.76845746918237878</v>
      </c>
      <c r="H14" s="3" t="s">
        <v>225</v>
      </c>
      <c r="I14" s="3">
        <v>6</v>
      </c>
      <c r="J14" s="3" t="s">
        <v>316</v>
      </c>
      <c r="K14" s="3">
        <f t="shared" si="1"/>
        <v>-0.76845746918237878</v>
      </c>
      <c r="N14" t="s">
        <v>328</v>
      </c>
    </row>
    <row r="15" spans="1:14" ht="14.25" customHeight="1" x14ac:dyDescent="0.3">
      <c r="A15" s="3" t="s">
        <v>228</v>
      </c>
      <c r="B15" s="9">
        <v>-0.82357176289964173</v>
      </c>
      <c r="C15" s="3">
        <v>23</v>
      </c>
      <c r="E15" s="3" t="s">
        <v>228</v>
      </c>
      <c r="F15" s="3">
        <f t="shared" si="0"/>
        <v>-0.82357176289964173</v>
      </c>
      <c r="H15" s="3" t="s">
        <v>228</v>
      </c>
      <c r="I15" s="3">
        <v>18</v>
      </c>
      <c r="J15" s="3" t="s">
        <v>316</v>
      </c>
      <c r="K15" s="3">
        <f t="shared" si="1"/>
        <v>-0.82357176289964173</v>
      </c>
      <c r="N15" t="s">
        <v>323</v>
      </c>
    </row>
    <row r="16" spans="1:14" ht="14.25" customHeight="1" x14ac:dyDescent="0.3">
      <c r="A16" s="3" t="s">
        <v>217</v>
      </c>
      <c r="B16" s="9">
        <v>-0.83166677317607873</v>
      </c>
      <c r="C16" s="3">
        <v>11</v>
      </c>
      <c r="E16" s="3" t="s">
        <v>217</v>
      </c>
      <c r="F16" s="3">
        <f t="shared" si="0"/>
        <v>-0.83166677317607873</v>
      </c>
      <c r="H16" s="3" t="s">
        <v>217</v>
      </c>
      <c r="I16" s="3">
        <v>11</v>
      </c>
      <c r="J16" s="3" t="s">
        <v>316</v>
      </c>
      <c r="K16" s="3">
        <f t="shared" si="1"/>
        <v>-0.83166677317607873</v>
      </c>
      <c r="N16" t="s">
        <v>329</v>
      </c>
    </row>
    <row r="17" spans="1:14" ht="14.25" customHeight="1" x14ac:dyDescent="0.3">
      <c r="A17" s="3" t="s">
        <v>227</v>
      </c>
      <c r="B17" s="9">
        <v>-0.99035075718315457</v>
      </c>
      <c r="C17" s="3">
        <v>17</v>
      </c>
      <c r="E17" s="3" t="s">
        <v>227</v>
      </c>
      <c r="F17" s="3">
        <f t="shared" si="0"/>
        <v>-0.99035075718315457</v>
      </c>
      <c r="H17" s="3" t="s">
        <v>227</v>
      </c>
      <c r="I17" s="3">
        <v>9</v>
      </c>
      <c r="J17" s="3" t="s">
        <v>316</v>
      </c>
      <c r="K17" s="3">
        <f t="shared" si="1"/>
        <v>-0.99035075718315457</v>
      </c>
      <c r="N17" t="s">
        <v>330</v>
      </c>
    </row>
    <row r="18" spans="1:14" ht="14.25" customHeight="1" x14ac:dyDescent="0.3">
      <c r="A18" s="3" t="s">
        <v>221</v>
      </c>
      <c r="B18" s="9">
        <v>-1.072806810743151</v>
      </c>
      <c r="C18" s="3">
        <v>19</v>
      </c>
      <c r="E18" s="3" t="s">
        <v>221</v>
      </c>
      <c r="F18" s="3">
        <f t="shared" si="0"/>
        <v>-1.072806810743151</v>
      </c>
      <c r="H18" s="3" t="s">
        <v>221</v>
      </c>
      <c r="I18" s="3">
        <v>17</v>
      </c>
      <c r="J18" s="3" t="s">
        <v>316</v>
      </c>
      <c r="K18" s="3">
        <f t="shared" si="1"/>
        <v>-1.072806810743151</v>
      </c>
      <c r="N18" t="s">
        <v>329</v>
      </c>
    </row>
    <row r="19" spans="1:14" ht="14.25" customHeight="1" x14ac:dyDescent="0.3">
      <c r="A19" s="3" t="s">
        <v>224</v>
      </c>
      <c r="B19" s="9">
        <v>-1.1339562965442611</v>
      </c>
      <c r="C19" s="3">
        <v>15</v>
      </c>
      <c r="E19" s="3" t="s">
        <v>224</v>
      </c>
      <c r="F19" s="3">
        <f t="shared" si="0"/>
        <v>-1.1339562965442611</v>
      </c>
      <c r="H19" s="3" t="s">
        <v>224</v>
      </c>
      <c r="I19" s="3">
        <v>11</v>
      </c>
      <c r="J19" s="3" t="s">
        <v>316</v>
      </c>
      <c r="K19" s="3">
        <f t="shared" si="1"/>
        <v>-1.1339562965442611</v>
      </c>
      <c r="N19" t="s">
        <v>331</v>
      </c>
    </row>
    <row r="20" spans="1:14" ht="14.25" customHeight="1" x14ac:dyDescent="0.3">
      <c r="A20" s="3" t="s">
        <v>207</v>
      </c>
      <c r="B20" s="9">
        <v>-1.196962071035268</v>
      </c>
      <c r="C20" s="3">
        <v>19</v>
      </c>
      <c r="E20" s="3" t="s">
        <v>207</v>
      </c>
      <c r="F20" s="3">
        <f t="shared" si="0"/>
        <v>-1.196962071035268</v>
      </c>
      <c r="H20" s="3" t="s">
        <v>207</v>
      </c>
      <c r="I20" s="3">
        <v>19</v>
      </c>
      <c r="J20" s="3" t="s">
        <v>316</v>
      </c>
      <c r="K20" s="3">
        <f t="shared" si="1"/>
        <v>-1.196962071035268</v>
      </c>
      <c r="N20" t="s">
        <v>332</v>
      </c>
    </row>
    <row r="21" spans="1:14" ht="14.25" customHeight="1" x14ac:dyDescent="0.3">
      <c r="A21" s="3" t="s">
        <v>222</v>
      </c>
      <c r="B21" s="9">
        <v>-1.679865001322572</v>
      </c>
      <c r="C21" s="3">
        <v>27</v>
      </c>
      <c r="E21" s="3" t="s">
        <v>222</v>
      </c>
      <c r="F21" s="3">
        <f t="shared" si="0"/>
        <v>-1.679865001322572</v>
      </c>
      <c r="H21" s="3" t="s">
        <v>222</v>
      </c>
      <c r="I21" s="3">
        <v>17</v>
      </c>
      <c r="J21" s="3" t="s">
        <v>316</v>
      </c>
      <c r="K21" s="3">
        <f t="shared" si="1"/>
        <v>-1.679865001322572</v>
      </c>
      <c r="N21" t="s">
        <v>332</v>
      </c>
    </row>
    <row r="22" spans="1:14" ht="14.25" customHeight="1" x14ac:dyDescent="0.3"/>
    <row r="23" spans="1:14" ht="14.25" customHeight="1" x14ac:dyDescent="0.3"/>
    <row r="24" spans="1:14" ht="14.25" customHeight="1" x14ac:dyDescent="0.3">
      <c r="A24" t="s">
        <v>180</v>
      </c>
      <c r="B24" s="3" t="s">
        <v>258</v>
      </c>
      <c r="D24" t="s">
        <v>180</v>
      </c>
      <c r="E24" s="3" t="s">
        <v>258</v>
      </c>
      <c r="F24" s="25" t="s">
        <v>334</v>
      </c>
    </row>
    <row r="25" spans="1:14" ht="14.25" customHeight="1" x14ac:dyDescent="0.3">
      <c r="A25" s="3" t="s">
        <v>198</v>
      </c>
      <c r="B25">
        <f>VLOOKUP(A25,[1]Hoja1!$A:$C,3,FALSE)</f>
        <v>0.26647717855960468</v>
      </c>
      <c r="D25" s="3" t="s">
        <v>195</v>
      </c>
      <c r="E25">
        <f>VLOOKUP(D25,[1]Hoja1!$A:$C,3,FALSE)</f>
        <v>0.9957863323050703</v>
      </c>
      <c r="F25" t="s">
        <v>325</v>
      </c>
    </row>
    <row r="26" spans="1:14" ht="14.25" customHeight="1" x14ac:dyDescent="0.3">
      <c r="A26" s="3" t="s">
        <v>202</v>
      </c>
      <c r="B26">
        <f>VLOOKUP(A26,[1]Hoja1!$A:$C,3,FALSE)</f>
        <v>0.65812761495518723</v>
      </c>
      <c r="D26" s="3" t="s">
        <v>199</v>
      </c>
      <c r="E26">
        <f>VLOOKUP(D26,[1]Hoja1!$A:$C,3,FALSE)</f>
        <v>0.98995442105744402</v>
      </c>
      <c r="F26" t="s">
        <v>332</v>
      </c>
    </row>
    <row r="27" spans="1:14" ht="14.25" customHeight="1" x14ac:dyDescent="0.3">
      <c r="A27" s="3" t="s">
        <v>205</v>
      </c>
      <c r="B27">
        <f>VLOOKUP(A27,[1]Hoja1!$A:$C,3,FALSE)</f>
        <v>0.65757862978307635</v>
      </c>
      <c r="D27" s="3" t="s">
        <v>203</v>
      </c>
      <c r="E27">
        <f>VLOOKUP(D27,[1]Hoja1!$A:$C,3,FALSE)</f>
        <v>0.8031838310216366</v>
      </c>
      <c r="F27" t="s">
        <v>332</v>
      </c>
    </row>
    <row r="28" spans="1:14" ht="14.25" customHeight="1" x14ac:dyDescent="0.3">
      <c r="A28" s="3" t="s">
        <v>209</v>
      </c>
      <c r="B28">
        <f>VLOOKUP(A28,[1]Hoja1!$A:$C,3,FALSE)</f>
        <v>2.6646209564781631E-3</v>
      </c>
      <c r="D28" s="3" t="s">
        <v>206</v>
      </c>
      <c r="E28">
        <f>VLOOKUP(D28,[1]Hoja1!$A:$C,3,FALSE)</f>
        <v>0.7952330657044463</v>
      </c>
      <c r="F28" t="s">
        <v>324</v>
      </c>
    </row>
    <row r="29" spans="1:14" ht="14.25" customHeight="1" x14ac:dyDescent="0.3">
      <c r="A29" s="3" t="s">
        <v>211</v>
      </c>
      <c r="B29">
        <f>VLOOKUP(A29,[1]Hoja1!$A:$C,3,FALSE)</f>
        <v>-0.61856740376708086</v>
      </c>
      <c r="D29" s="3" t="s">
        <v>202</v>
      </c>
      <c r="E29">
        <f>VLOOKUP(D29,[1]Hoja1!$A:$C,3,FALSE)</f>
        <v>0.65812761495518723</v>
      </c>
      <c r="F29" t="s">
        <v>318</v>
      </c>
    </row>
    <row r="30" spans="1:14" ht="14.25" customHeight="1" x14ac:dyDescent="0.3">
      <c r="A30" s="3" t="s">
        <v>214</v>
      </c>
      <c r="B30">
        <f>VLOOKUP(A30,[1]Hoja1!$A:$C,3,FALSE)</f>
        <v>-0.3761105231824623</v>
      </c>
      <c r="D30" s="3" t="s">
        <v>205</v>
      </c>
      <c r="E30">
        <f>VLOOKUP(D30,[1]Hoja1!$A:$C,3,FALSE)</f>
        <v>0.65757862978307635</v>
      </c>
      <c r="F30" t="s">
        <v>319</v>
      </c>
    </row>
    <row r="31" spans="1:14" ht="14.25" customHeight="1" x14ac:dyDescent="0.3">
      <c r="A31" s="3" t="s">
        <v>217</v>
      </c>
      <c r="B31">
        <f>VLOOKUP(A31,[1]Hoja1!$A:$C,3,FALSE)</f>
        <v>-0.83166677317607873</v>
      </c>
      <c r="D31" s="3" t="s">
        <v>215</v>
      </c>
      <c r="E31">
        <f>VLOOKUP(D31,[1]Hoja1!$A:$C,3,FALSE)</f>
        <v>0.44467337167202509</v>
      </c>
      <c r="F31" t="s">
        <v>327</v>
      </c>
    </row>
    <row r="32" spans="1:14" ht="14.25" customHeight="1" x14ac:dyDescent="0.3">
      <c r="A32" s="3" t="s">
        <v>206</v>
      </c>
      <c r="B32">
        <f>VLOOKUP(A32,[1]Hoja1!$A:$C,3,FALSE)</f>
        <v>0.7952330657044463</v>
      </c>
      <c r="D32" s="3" t="s">
        <v>218</v>
      </c>
      <c r="E32">
        <f>VLOOKUP(D32,[1]Hoja1!$A:$C,3,FALSE)</f>
        <v>0.28220965544261112</v>
      </c>
      <c r="F32" t="s">
        <v>326</v>
      </c>
    </row>
    <row r="33" spans="1:6" ht="14.25" customHeight="1" x14ac:dyDescent="0.3">
      <c r="A33" s="3" t="s">
        <v>195</v>
      </c>
      <c r="B33">
        <f>VLOOKUP(A33,[1]Hoja1!$A:$C,3,FALSE)</f>
        <v>0.9957863323050703</v>
      </c>
      <c r="D33" s="3" t="s">
        <v>198</v>
      </c>
      <c r="E33">
        <f>VLOOKUP(D33,[1]Hoja1!$A:$C,3,FALSE)</f>
        <v>0.26647717855960468</v>
      </c>
      <c r="F33" t="s">
        <v>318</v>
      </c>
    </row>
    <row r="34" spans="1:6" ht="14.25" customHeight="1" x14ac:dyDescent="0.3">
      <c r="A34" s="3" t="s">
        <v>218</v>
      </c>
      <c r="B34">
        <f>VLOOKUP(A34,[1]Hoja1!$A:$C,3,FALSE)</f>
        <v>0.28220965544261112</v>
      </c>
      <c r="D34" s="3" t="s">
        <v>209</v>
      </c>
      <c r="E34">
        <f>VLOOKUP(D34,[1]Hoja1!$A:$C,3,FALSE)</f>
        <v>2.6646209564781631E-3</v>
      </c>
      <c r="F34" t="s">
        <v>320</v>
      </c>
    </row>
    <row r="35" spans="1:6" ht="14.25" customHeight="1" x14ac:dyDescent="0.3">
      <c r="A35" s="3" t="s">
        <v>215</v>
      </c>
      <c r="B35">
        <f>VLOOKUP(A35,[1]Hoja1!$A:$C,3,FALSE)</f>
        <v>0.44467337167202509</v>
      </c>
      <c r="D35" s="3" t="s">
        <v>214</v>
      </c>
      <c r="E35">
        <f>VLOOKUP(D35,[1]Hoja1!$A:$C,3,FALSE)</f>
        <v>-0.3761105231824623</v>
      </c>
      <c r="F35" t="s">
        <v>322</v>
      </c>
    </row>
    <row r="36" spans="1:6" ht="14.25" customHeight="1" x14ac:dyDescent="0.3">
      <c r="A36" s="3" t="s">
        <v>224</v>
      </c>
      <c r="B36">
        <f>VLOOKUP(A36,[1]Hoja1!$A:$C,3,FALSE)</f>
        <v>-1.1339562965442611</v>
      </c>
      <c r="D36" s="3" t="s">
        <v>211</v>
      </c>
      <c r="E36">
        <f>VLOOKUP(D36,[1]Hoja1!$A:$C,3,FALSE)</f>
        <v>-0.61856740376708086</v>
      </c>
      <c r="F36" t="s">
        <v>321</v>
      </c>
    </row>
    <row r="37" spans="1:6" ht="14.25" customHeight="1" x14ac:dyDescent="0.3">
      <c r="A37" s="3" t="s">
        <v>227</v>
      </c>
      <c r="B37">
        <f>VLOOKUP(A37,[1]Hoja1!$A:$C,3,FALSE)</f>
        <v>-0.99035075718315457</v>
      </c>
      <c r="D37" s="3" t="s">
        <v>225</v>
      </c>
      <c r="E37">
        <f>VLOOKUP(D37,[1]Hoja1!$A:$C,3,FALSE)</f>
        <v>-0.76845746918237878</v>
      </c>
      <c r="F37" t="s">
        <v>323</v>
      </c>
    </row>
    <row r="38" spans="1:6" ht="14.25" customHeight="1" x14ac:dyDescent="0.3">
      <c r="A38" s="3" t="s">
        <v>225</v>
      </c>
      <c r="B38">
        <f>VLOOKUP(A38,[1]Hoja1!$A:$C,3,FALSE)</f>
        <v>-0.76845746918237878</v>
      </c>
      <c r="D38" s="3" t="s">
        <v>228</v>
      </c>
      <c r="E38">
        <f>VLOOKUP(D38,[1]Hoja1!$A:$C,3,FALSE)</f>
        <v>-0.82357176289964173</v>
      </c>
      <c r="F38" t="s">
        <v>331</v>
      </c>
    </row>
    <row r="39" spans="1:6" ht="14.25" customHeight="1" x14ac:dyDescent="0.3">
      <c r="A39" s="3" t="s">
        <v>221</v>
      </c>
      <c r="B39">
        <f>VLOOKUP(A39,[1]Hoja1!$A:$C,3,FALSE)</f>
        <v>-1.072806810743151</v>
      </c>
      <c r="D39" s="3" t="s">
        <v>217</v>
      </c>
      <c r="E39">
        <f>VLOOKUP(D39,[1]Hoja1!$A:$C,3,FALSE)</f>
        <v>-0.83166677317607873</v>
      </c>
      <c r="F39" t="s">
        <v>323</v>
      </c>
    </row>
    <row r="40" spans="1:6" ht="14.25" customHeight="1" x14ac:dyDescent="0.3">
      <c r="A40" s="3" t="s">
        <v>222</v>
      </c>
      <c r="B40">
        <f>VLOOKUP(A40,[1]Hoja1!$A:$C,3,FALSE)</f>
        <v>-1.679865001322572</v>
      </c>
      <c r="D40" s="3" t="s">
        <v>227</v>
      </c>
      <c r="E40">
        <f>VLOOKUP(D40,[1]Hoja1!$A:$C,3,FALSE)</f>
        <v>-0.99035075718315457</v>
      </c>
      <c r="F40" t="s">
        <v>328</v>
      </c>
    </row>
    <row r="41" spans="1:6" ht="14.25" customHeight="1" x14ac:dyDescent="0.3">
      <c r="A41" s="3" t="s">
        <v>207</v>
      </c>
      <c r="B41">
        <f>VLOOKUP(A41,[1]Hoja1!$A:$C,3,FALSE)</f>
        <v>-1.196962071035268</v>
      </c>
      <c r="D41" s="3" t="s">
        <v>221</v>
      </c>
      <c r="E41">
        <f>VLOOKUP(D41,[1]Hoja1!$A:$C,3,FALSE)</f>
        <v>-1.072806810743151</v>
      </c>
      <c r="F41" t="s">
        <v>329</v>
      </c>
    </row>
    <row r="42" spans="1:6" ht="14.25" customHeight="1" x14ac:dyDescent="0.3">
      <c r="A42" s="3" t="s">
        <v>228</v>
      </c>
      <c r="B42">
        <f>VLOOKUP(A42,[1]Hoja1!$A:$C,3,FALSE)</f>
        <v>-0.82357176289964173</v>
      </c>
      <c r="D42" s="3" t="s">
        <v>224</v>
      </c>
      <c r="E42">
        <f>VLOOKUP(D42,[1]Hoja1!$A:$C,3,FALSE)</f>
        <v>-1.1339562965442611</v>
      </c>
      <c r="F42" t="s">
        <v>321</v>
      </c>
    </row>
    <row r="43" spans="1:6" ht="14.25" customHeight="1" x14ac:dyDescent="0.3">
      <c r="A43" s="3" t="s">
        <v>199</v>
      </c>
      <c r="B43">
        <f>VLOOKUP(A43,[1]Hoja1!$A:$C,3,FALSE)</f>
        <v>0.98995442105744402</v>
      </c>
      <c r="D43" s="3" t="s">
        <v>207</v>
      </c>
      <c r="E43">
        <f>VLOOKUP(D43,[1]Hoja1!$A:$C,3,FALSE)</f>
        <v>-1.196962071035268</v>
      </c>
      <c r="F43" t="s">
        <v>329</v>
      </c>
    </row>
    <row r="44" spans="1:6" ht="14.25" customHeight="1" x14ac:dyDescent="0.3">
      <c r="A44" s="3" t="s">
        <v>203</v>
      </c>
      <c r="B44">
        <f>VLOOKUP(A44,[1]Hoja1!$A:$C,3,FALSE)</f>
        <v>0.8031838310216366</v>
      </c>
      <c r="D44" s="3" t="s">
        <v>222</v>
      </c>
      <c r="E44">
        <f>VLOOKUP(D44,[1]Hoja1!$A:$C,3,FALSE)</f>
        <v>-1.679865001322572</v>
      </c>
      <c r="F44" t="s">
        <v>330</v>
      </c>
    </row>
    <row r="45" spans="1:6" ht="14.25" customHeight="1" x14ac:dyDescent="0.3"/>
    <row r="46" spans="1:6" ht="14.25" customHeight="1" x14ac:dyDescent="0.3"/>
    <row r="47" spans="1:6" ht="14.25" customHeight="1" x14ac:dyDescent="0.3"/>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sortState xmlns:xlrd2="http://schemas.microsoft.com/office/spreadsheetml/2017/richdata2" ref="D25:F44">
    <sortCondition descending="1" ref="E24:E44"/>
  </sortState>
  <conditionalFormatting sqref="H2">
    <cfRule type="cellIs" dxfId="0" priority="1" operator="equal">
      <formula>$A$2</formula>
    </cfRule>
  </conditionalFormatting>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GraficosLLyV</vt:lpstr>
      <vt:lpstr>Sheet1</vt:lpstr>
      <vt:lpstr>Promedio_meses</vt:lpstr>
      <vt:lpstr>120segT</vt:lpstr>
      <vt:lpstr>Hoja4</vt:lpstr>
      <vt:lpstr>S1</vt:lpstr>
      <vt:lpstr>S2</vt:lpstr>
      <vt:lpstr>S3</vt:lpstr>
      <vt:lpstr>S4</vt:lpstr>
      <vt:lpstr>buscarv</vt:lpstr>
      <vt:lpstr>buscarv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ACER</cp:lastModifiedBy>
  <dcterms:created xsi:type="dcterms:W3CDTF">2024-12-27T02:50:57Z</dcterms:created>
  <dcterms:modified xsi:type="dcterms:W3CDTF">2025-04-10T01:22:14Z</dcterms:modified>
</cp:coreProperties>
</file>