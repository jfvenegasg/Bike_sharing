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Tesis\Tesis Pedro Palominos\Código python\Modelo_info_historica\Modelo más actualizado\analisis sensibilidad\analisis aumentar\"/>
    </mc:Choice>
  </mc:AlternateContent>
  <xr:revisionPtr revIDLastSave="0" documentId="13_ncr:1_{55AD1219-C383-4BD9-AC71-4C3675502A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 " sheetId="1" r:id="rId1"/>
    <sheet name="BORR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F2" i="1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</calcChain>
</file>

<file path=xl/sharedStrings.xml><?xml version="1.0" encoding="utf-8"?>
<sst xmlns="http://schemas.openxmlformats.org/spreadsheetml/2006/main" count="49" uniqueCount="34">
  <si>
    <t>Estacion</t>
  </si>
  <si>
    <t>LC009 - Municipalidad De Las Condes</t>
  </si>
  <si>
    <t>LC010 - Metro Manquehue - Norte</t>
  </si>
  <si>
    <t>LC011 - Metro Hernando De Magallanes</t>
  </si>
  <si>
    <t>LC012 - Metro Los Dominicos</t>
  </si>
  <si>
    <t>LC014 - Parque Araucano</t>
  </si>
  <si>
    <t>LC019 - Metro Alcántara</t>
  </si>
  <si>
    <t>LC024 - Américo Vespucio / Pdte Kennedy</t>
  </si>
  <si>
    <t>LC032 - Padre Hurtado / Pdte Kennedy Lateral</t>
  </si>
  <si>
    <t>LC033 - Vitacura / San Patricio</t>
  </si>
  <si>
    <t>LC034 - Zurich</t>
  </si>
  <si>
    <t>S01 - Agustinas / Manuel Rodríguez Norte</t>
  </si>
  <si>
    <t>S03 - Teatinos / General Mackenna</t>
  </si>
  <si>
    <t>S05 - Metro Bellas Artes</t>
  </si>
  <si>
    <t>S09 - Santo Domingo / Morandé</t>
  </si>
  <si>
    <t>S11 - Metro Toesca</t>
  </si>
  <si>
    <t>S13 - Universidad Católica</t>
  </si>
  <si>
    <t>S14 - Santa Isabel / Carmen</t>
  </si>
  <si>
    <t>S17 - San Isidro / Santa Isabel</t>
  </si>
  <si>
    <t>S18 - Metro Santa Ana</t>
  </si>
  <si>
    <t>S20 - Metro Santa Lucía</t>
  </si>
  <si>
    <t>Asi</t>
  </si>
  <si>
    <t>Max(0,ASI)</t>
  </si>
  <si>
    <t>LC047 - Apoquindo / Luiz Zegers</t>
  </si>
  <si>
    <t>LC066 - Cerro Colorado / Rosario Norte</t>
  </si>
  <si>
    <t>LC068 - Metro Manquehue - Sur</t>
  </si>
  <si>
    <t>LC097 - Roger de Flor</t>
  </si>
  <si>
    <t>S30 - San Pablo</t>
  </si>
  <si>
    <t>S24 - Plaza Yungay</t>
  </si>
  <si>
    <t>S64 - República / Gorbea</t>
  </si>
  <si>
    <t>Asi+25</t>
  </si>
  <si>
    <t>Asi+50</t>
  </si>
  <si>
    <t>Asi-25</t>
  </si>
  <si>
    <t>Asi-50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</si>
</sst>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3" fillId="0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0202859D-E3AA-45B3-A490-F930516F90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24" sqref="C24"/>
    </sheetView>
  </sheetViews>
  <sheetFormatPr baseColWidth="10" defaultColWidth="8.88671875" defaultRowHeight="14.4" x14ac:dyDescent="0.3"/>
  <cols>
    <col min="1" max="1" width="35" bestFit="1" customWidth="1"/>
    <col min="2" max="2" width="12.6640625" bestFit="1" customWidth="1"/>
    <col min="3" max="6" width="12.6640625" customWidth="1"/>
  </cols>
  <sheetData>
    <row r="1" spans="1:6" x14ac:dyDescent="0.3">
      <c r="A1" s="7" t="s">
        <v>0</v>
      </c>
      <c r="B1" s="8" t="s">
        <v>33</v>
      </c>
      <c r="C1" s="8" t="s">
        <v>32</v>
      </c>
      <c r="D1" s="8" t="s">
        <v>21</v>
      </c>
      <c r="E1" s="8" t="s">
        <v>30</v>
      </c>
      <c r="F1" s="8" t="s">
        <v>31</v>
      </c>
    </row>
    <row r="2" spans="1:6" x14ac:dyDescent="0.3">
      <c r="A2" s="7" t="s">
        <v>23</v>
      </c>
      <c r="B2" s="7">
        <f>D2*0.5</f>
        <v>0.57126464591653803</v>
      </c>
      <c r="C2" s="7">
        <f>D2*0.75</f>
        <v>0.85689696887480704</v>
      </c>
      <c r="D2" s="7">
        <v>1.1425292918330761</v>
      </c>
      <c r="E2" s="7">
        <f>D2*1.25</f>
        <v>1.4281616147913452</v>
      </c>
      <c r="F2" s="7">
        <f>D2*1.5</f>
        <v>1.7137939377496141</v>
      </c>
    </row>
    <row r="3" spans="1:6" x14ac:dyDescent="0.3">
      <c r="A3" s="7" t="s">
        <v>24</v>
      </c>
      <c r="B3" s="7">
        <f>D3*0.5</f>
        <v>0.40077329563591041</v>
      </c>
      <c r="C3" s="7">
        <f>D3*0.75</f>
        <v>0.60115994345386559</v>
      </c>
      <c r="D3" s="7">
        <v>0.80154659127182082</v>
      </c>
      <c r="E3" s="7">
        <f t="shared" ref="E3:E21" si="0">D3*1.25</f>
        <v>1.0019332390897759</v>
      </c>
      <c r="F3" s="7">
        <f t="shared" ref="F3:F21" si="1">D3*1.5</f>
        <v>1.2023198869077312</v>
      </c>
    </row>
    <row r="4" spans="1:6" x14ac:dyDescent="0.3">
      <c r="A4" s="7" t="s">
        <v>25</v>
      </c>
      <c r="B4" s="7">
        <f>D4*0.5</f>
        <v>0.37588280375511679</v>
      </c>
      <c r="C4" s="7">
        <f>D4*0.75</f>
        <v>0.56382420563267521</v>
      </c>
      <c r="D4" s="7">
        <v>0.75176560751023358</v>
      </c>
      <c r="E4" s="7">
        <f t="shared" si="0"/>
        <v>0.93970700938779195</v>
      </c>
      <c r="F4" s="7">
        <f t="shared" si="1"/>
        <v>1.1276484112653504</v>
      </c>
    </row>
    <row r="5" spans="1:6" x14ac:dyDescent="0.3">
      <c r="A5" s="7" t="s">
        <v>26</v>
      </c>
      <c r="B5" s="7">
        <f>D5*0.5</f>
        <v>0.35133881056131966</v>
      </c>
      <c r="C5" s="7">
        <f>D5*0.75</f>
        <v>0.52700821584197954</v>
      </c>
      <c r="D5" s="7">
        <v>0.70267762112263932</v>
      </c>
      <c r="E5" s="7">
        <f t="shared" si="0"/>
        <v>0.87834702640329909</v>
      </c>
      <c r="F5" s="7">
        <f t="shared" si="1"/>
        <v>1.0540164316839591</v>
      </c>
    </row>
    <row r="6" spans="1:6" x14ac:dyDescent="0.3">
      <c r="A6" s="7" t="s">
        <v>10</v>
      </c>
      <c r="B6" s="7">
        <f>D6*0.5</f>
        <v>0.35128179134966636</v>
      </c>
      <c r="C6" s="7">
        <f>D6*0.75</f>
        <v>0.52692268702449951</v>
      </c>
      <c r="D6" s="7">
        <v>0.70256358269933272</v>
      </c>
      <c r="E6" s="7">
        <f t="shared" si="0"/>
        <v>0.87820447837416593</v>
      </c>
      <c r="F6" s="7">
        <f t="shared" si="1"/>
        <v>1.053845374048999</v>
      </c>
    </row>
    <row r="7" spans="1:6" x14ac:dyDescent="0.3">
      <c r="A7" s="7" t="s">
        <v>6</v>
      </c>
      <c r="B7" s="7">
        <f>D7*0.5</f>
        <v>0.33845793114754186</v>
      </c>
      <c r="C7" s="7">
        <f>D7*0.75</f>
        <v>0.50768689672131284</v>
      </c>
      <c r="D7" s="7">
        <v>0.67691586229508371</v>
      </c>
      <c r="E7" s="7">
        <f t="shared" si="0"/>
        <v>0.84614482786885459</v>
      </c>
      <c r="F7" s="7">
        <f t="shared" si="1"/>
        <v>1.0153737934426257</v>
      </c>
    </row>
    <row r="8" spans="1:6" x14ac:dyDescent="0.3">
      <c r="A8" s="7" t="s">
        <v>9</v>
      </c>
      <c r="B8" s="7">
        <f>D8*0.5</f>
        <v>0.327736839729802</v>
      </c>
      <c r="C8" s="7">
        <f>D8*0.75</f>
        <v>0.49160525959470303</v>
      </c>
      <c r="D8" s="7">
        <v>0.655473679459604</v>
      </c>
      <c r="E8" s="7">
        <f t="shared" si="0"/>
        <v>0.81934209932450497</v>
      </c>
      <c r="F8" s="7">
        <f t="shared" si="1"/>
        <v>0.98321051918940605</v>
      </c>
    </row>
    <row r="9" spans="1:6" x14ac:dyDescent="0.3">
      <c r="A9" s="7" t="s">
        <v>2</v>
      </c>
      <c r="B9" s="7">
        <f>D9*0.5</f>
        <v>0.31134133482268522</v>
      </c>
      <c r="C9" s="7">
        <f>D9*0.75</f>
        <v>0.46701200223402783</v>
      </c>
      <c r="D9" s="7">
        <v>0.62268266964537045</v>
      </c>
      <c r="E9" s="7">
        <f t="shared" si="0"/>
        <v>0.77835333705671306</v>
      </c>
      <c r="F9" s="7">
        <f t="shared" si="1"/>
        <v>0.93402400446805567</v>
      </c>
    </row>
    <row r="10" spans="1:6" x14ac:dyDescent="0.3">
      <c r="A10" s="7" t="s">
        <v>1</v>
      </c>
      <c r="B10" s="7">
        <f>D10*0.5</f>
        <v>0.26873802735578911</v>
      </c>
      <c r="C10" s="7">
        <f>D10*0.75</f>
        <v>0.40310704103368367</v>
      </c>
      <c r="D10" s="7">
        <v>0.53747605471157822</v>
      </c>
      <c r="E10" s="7">
        <f t="shared" si="0"/>
        <v>0.67184506838947278</v>
      </c>
      <c r="F10" s="7">
        <f t="shared" si="1"/>
        <v>0.80621408206736733</v>
      </c>
    </row>
    <row r="11" spans="1:6" x14ac:dyDescent="0.3">
      <c r="A11" s="7" t="s">
        <v>3</v>
      </c>
      <c r="B11" s="7">
        <f>D11*0.5</f>
        <v>0.26213418294202556</v>
      </c>
      <c r="C11" s="7">
        <f>D11*0.75</f>
        <v>0.39320127441303832</v>
      </c>
      <c r="D11" s="7">
        <v>0.52426836588405112</v>
      </c>
      <c r="E11" s="7">
        <f t="shared" si="0"/>
        <v>0.65533545735506393</v>
      </c>
      <c r="F11" s="7">
        <f t="shared" si="1"/>
        <v>0.78640254882607663</v>
      </c>
    </row>
    <row r="12" spans="1:6" x14ac:dyDescent="0.3">
      <c r="A12" s="7" t="s">
        <v>11</v>
      </c>
      <c r="B12" s="7">
        <f>D12*0.5</f>
        <v>-0.42584574148137</v>
      </c>
      <c r="C12" s="7">
        <f>D12*0.75</f>
        <v>-0.63876861222205505</v>
      </c>
      <c r="D12" s="7">
        <v>-0.85169148296274</v>
      </c>
      <c r="E12" s="7">
        <f t="shared" si="0"/>
        <v>-1.0646143537034249</v>
      </c>
      <c r="F12" s="7">
        <f t="shared" si="1"/>
        <v>-1.2775372244441101</v>
      </c>
    </row>
    <row r="13" spans="1:6" x14ac:dyDescent="0.3">
      <c r="A13" s="7" t="s">
        <v>29</v>
      </c>
      <c r="B13" s="7">
        <f>D13*0.5</f>
        <v>-0.44155162017528299</v>
      </c>
      <c r="C13" s="7">
        <f>D13*0.75</f>
        <v>-0.66232743026292451</v>
      </c>
      <c r="D13" s="7">
        <v>-0.88310324035056598</v>
      </c>
      <c r="E13" s="7">
        <f t="shared" si="0"/>
        <v>-1.1038790504382074</v>
      </c>
      <c r="F13" s="7">
        <f t="shared" si="1"/>
        <v>-1.324654860525849</v>
      </c>
    </row>
    <row r="14" spans="1:6" x14ac:dyDescent="0.3">
      <c r="A14" s="7" t="s">
        <v>20</v>
      </c>
      <c r="B14" s="7">
        <f>D14*0.5</f>
        <v>-0.45417186440682616</v>
      </c>
      <c r="C14" s="7">
        <f>D14*0.75</f>
        <v>-0.68125779661023922</v>
      </c>
      <c r="D14" s="7">
        <v>-0.90834372881365233</v>
      </c>
      <c r="E14" s="7">
        <f t="shared" si="0"/>
        <v>-1.1354296610170653</v>
      </c>
      <c r="F14" s="7">
        <f t="shared" si="1"/>
        <v>-1.3625155932204784</v>
      </c>
    </row>
    <row r="15" spans="1:6" x14ac:dyDescent="0.3">
      <c r="A15" s="7" t="s">
        <v>15</v>
      </c>
      <c r="B15" s="7">
        <f>D15*0.5</f>
        <v>-0.49547993802982432</v>
      </c>
      <c r="C15" s="7">
        <f>D15*0.75</f>
        <v>-0.74321990704473651</v>
      </c>
      <c r="D15" s="7">
        <v>-0.99095987605964864</v>
      </c>
      <c r="E15" s="7">
        <f t="shared" si="0"/>
        <v>-1.2386998450745608</v>
      </c>
      <c r="F15" s="7">
        <f t="shared" si="1"/>
        <v>-1.486439814089473</v>
      </c>
    </row>
    <row r="16" spans="1:6" x14ac:dyDescent="0.3">
      <c r="A16" s="7" t="s">
        <v>14</v>
      </c>
      <c r="B16" s="7">
        <f>D16*0.5</f>
        <v>-0.53640340537157549</v>
      </c>
      <c r="C16" s="7">
        <f>D16*0.75</f>
        <v>-0.80460510805736329</v>
      </c>
      <c r="D16" s="7">
        <v>-1.072806810743151</v>
      </c>
      <c r="E16" s="7">
        <f t="shared" si="0"/>
        <v>-1.3410085134289387</v>
      </c>
      <c r="F16" s="7">
        <f t="shared" si="1"/>
        <v>-1.6092102161147266</v>
      </c>
    </row>
    <row r="17" spans="1:6" x14ac:dyDescent="0.3">
      <c r="A17" s="7" t="s">
        <v>13</v>
      </c>
      <c r="B17" s="7">
        <f>D17*0.5</f>
        <v>-0.55770666059871254</v>
      </c>
      <c r="C17" s="7">
        <f>D17*0.75</f>
        <v>-0.83655999089806876</v>
      </c>
      <c r="D17" s="7">
        <v>-1.1154133211974251</v>
      </c>
      <c r="E17" s="7">
        <f t="shared" si="0"/>
        <v>-1.3942666514967814</v>
      </c>
      <c r="F17" s="7">
        <f t="shared" si="1"/>
        <v>-1.6731199817961375</v>
      </c>
    </row>
    <row r="18" spans="1:6" x14ac:dyDescent="0.3">
      <c r="A18" s="7" t="s">
        <v>12</v>
      </c>
      <c r="B18" s="7">
        <f>D18*0.5</f>
        <v>-0.560086589756985</v>
      </c>
      <c r="C18" s="7">
        <f>D18*0.75</f>
        <v>-0.84012988463547744</v>
      </c>
      <c r="D18" s="7">
        <v>-1.12017317951397</v>
      </c>
      <c r="E18" s="7">
        <f t="shared" si="0"/>
        <v>-1.4002164743924626</v>
      </c>
      <c r="F18" s="7">
        <f t="shared" si="1"/>
        <v>-1.6802597692709549</v>
      </c>
    </row>
    <row r="19" spans="1:6" x14ac:dyDescent="0.3">
      <c r="A19" s="7" t="s">
        <v>28</v>
      </c>
      <c r="B19" s="7">
        <f>D19*0.5</f>
        <v>-0.59848103551763399</v>
      </c>
      <c r="C19" s="7">
        <f>D19*0.75</f>
        <v>-0.89772155327645098</v>
      </c>
      <c r="D19" s="7">
        <v>-1.196962071035268</v>
      </c>
      <c r="E19" s="7">
        <f t="shared" si="0"/>
        <v>-1.4962025887940849</v>
      </c>
      <c r="F19" s="7">
        <f t="shared" si="1"/>
        <v>-1.795443106552902</v>
      </c>
    </row>
    <row r="20" spans="1:6" x14ac:dyDescent="0.3">
      <c r="A20" s="7" t="s">
        <v>27</v>
      </c>
      <c r="B20" s="7">
        <f>D20*0.5</f>
        <v>-0.60488529418702353</v>
      </c>
      <c r="C20" s="7">
        <f>D20*0.75</f>
        <v>-0.90732794128053529</v>
      </c>
      <c r="D20" s="7">
        <v>-1.2097705883740471</v>
      </c>
      <c r="E20" s="7">
        <f t="shared" si="0"/>
        <v>-1.5122132354675588</v>
      </c>
      <c r="F20" s="7">
        <f t="shared" si="1"/>
        <v>-1.8146558825610706</v>
      </c>
    </row>
    <row r="21" spans="1:6" x14ac:dyDescent="0.3">
      <c r="A21" s="7" t="s">
        <v>18</v>
      </c>
      <c r="B21" s="7">
        <f>D21*0.5</f>
        <v>-0.839932500661286</v>
      </c>
      <c r="C21" s="7">
        <f>D21*0.75</f>
        <v>-1.2598987509919291</v>
      </c>
      <c r="D21" s="7">
        <v>-1.679865001322572</v>
      </c>
      <c r="E21" s="7">
        <f t="shared" si="0"/>
        <v>-2.0998312516532152</v>
      </c>
      <c r="F21" s="7">
        <f t="shared" si="1"/>
        <v>-2.5197975019838581</v>
      </c>
    </row>
  </sheetData>
  <sortState xmlns:xlrd2="http://schemas.microsoft.com/office/spreadsheetml/2017/richdata2" ref="A2:F21">
    <sortCondition descending="1" ref="D1:D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686C-FABC-4D32-B208-0673A7D5C304}">
  <dimension ref="A1:G21"/>
  <sheetViews>
    <sheetView workbookViewId="0">
      <selection activeCell="A33" sqref="A33"/>
    </sheetView>
  </sheetViews>
  <sheetFormatPr baseColWidth="10" defaultRowHeight="14.4" x14ac:dyDescent="0.3"/>
  <cols>
    <col min="1" max="1" width="38.6640625" bestFit="1" customWidth="1"/>
  </cols>
  <sheetData>
    <row r="1" spans="1:7" x14ac:dyDescent="0.3">
      <c r="A1" s="1" t="s">
        <v>0</v>
      </c>
      <c r="B1" s="4">
        <v>0</v>
      </c>
      <c r="C1" s="2" t="s">
        <v>21</v>
      </c>
      <c r="D1" s="2" t="s">
        <v>22</v>
      </c>
    </row>
    <row r="2" spans="1:7" x14ac:dyDescent="0.3">
      <c r="A2" s="5" t="s">
        <v>1</v>
      </c>
      <c r="B2" s="4">
        <v>0</v>
      </c>
      <c r="C2" s="4">
        <v>0.53747605471157822</v>
      </c>
      <c r="D2" s="4">
        <f>MAX(B2,C2)</f>
        <v>0.53747605471157822</v>
      </c>
    </row>
    <row r="3" spans="1:7" x14ac:dyDescent="0.3">
      <c r="A3" s="5" t="s">
        <v>2</v>
      </c>
      <c r="B3" s="4">
        <v>0</v>
      </c>
      <c r="C3" s="4">
        <v>0.62268266964537045</v>
      </c>
      <c r="D3" s="4">
        <f t="shared" ref="D3:D21" si="0">MAX(B3,C3)</f>
        <v>0.62268266964537045</v>
      </c>
    </row>
    <row r="4" spans="1:7" x14ac:dyDescent="0.3">
      <c r="A4" s="5" t="s">
        <v>3</v>
      </c>
      <c r="B4" s="4">
        <v>0</v>
      </c>
      <c r="C4" s="4">
        <v>0.52426836588405112</v>
      </c>
      <c r="D4" s="4">
        <f t="shared" si="0"/>
        <v>0.52426836588405112</v>
      </c>
    </row>
    <row r="5" spans="1:7" x14ac:dyDescent="0.3">
      <c r="A5" s="5" t="s">
        <v>4</v>
      </c>
      <c r="B5" s="4">
        <v>0</v>
      </c>
      <c r="C5" s="4">
        <v>0.22890484625419391</v>
      </c>
      <c r="D5" s="4">
        <f t="shared" si="0"/>
        <v>0.22890484625419391</v>
      </c>
      <c r="G5" s="3"/>
    </row>
    <row r="6" spans="1:7" x14ac:dyDescent="0.3">
      <c r="A6" s="5" t="s">
        <v>5</v>
      </c>
      <c r="B6" s="4">
        <v>0</v>
      </c>
      <c r="C6" s="4">
        <v>0.3520864403963167</v>
      </c>
      <c r="D6" s="4">
        <f t="shared" si="0"/>
        <v>0.3520864403963167</v>
      </c>
    </row>
    <row r="7" spans="1:7" x14ac:dyDescent="0.3">
      <c r="A7" s="6" t="s">
        <v>6</v>
      </c>
      <c r="B7" s="4">
        <v>0</v>
      </c>
      <c r="C7" s="4">
        <v>0.67691586229508371</v>
      </c>
      <c r="D7" s="4">
        <f t="shared" si="0"/>
        <v>0.67691586229508371</v>
      </c>
    </row>
    <row r="8" spans="1:7" x14ac:dyDescent="0.3">
      <c r="A8" s="5" t="s">
        <v>7</v>
      </c>
      <c r="B8" s="4">
        <v>0</v>
      </c>
      <c r="C8" s="4">
        <v>0.19184727220482861</v>
      </c>
      <c r="D8" s="4">
        <f t="shared" si="0"/>
        <v>0.19184727220482861</v>
      </c>
    </row>
    <row r="9" spans="1:7" x14ac:dyDescent="0.3">
      <c r="A9" s="5" t="s">
        <v>8</v>
      </c>
      <c r="B9" s="4">
        <v>0</v>
      </c>
      <c r="C9" s="4">
        <v>0.41634720425379301</v>
      </c>
      <c r="D9" s="4">
        <f t="shared" si="0"/>
        <v>0.41634720425379301</v>
      </c>
    </row>
    <row r="10" spans="1:7" x14ac:dyDescent="0.3">
      <c r="A10" s="5" t="s">
        <v>9</v>
      </c>
      <c r="B10" s="4">
        <v>0</v>
      </c>
      <c r="C10" s="4">
        <v>0.655473679459604</v>
      </c>
      <c r="D10" s="4">
        <f t="shared" si="0"/>
        <v>0.655473679459604</v>
      </c>
    </row>
    <row r="11" spans="1:7" x14ac:dyDescent="0.3">
      <c r="A11" s="5" t="s">
        <v>10</v>
      </c>
      <c r="B11" s="4">
        <v>0</v>
      </c>
      <c r="C11" s="4">
        <v>0.70256358269933272</v>
      </c>
      <c r="D11" s="4">
        <f t="shared" si="0"/>
        <v>0.70256358269933272</v>
      </c>
    </row>
    <row r="12" spans="1:7" x14ac:dyDescent="0.3">
      <c r="A12" s="4" t="s">
        <v>11</v>
      </c>
      <c r="B12" s="4">
        <v>0</v>
      </c>
      <c r="C12" s="4">
        <v>-0.85169148296274</v>
      </c>
      <c r="D12" s="4">
        <f t="shared" si="0"/>
        <v>0</v>
      </c>
    </row>
    <row r="13" spans="1:7" x14ac:dyDescent="0.3">
      <c r="A13" s="5" t="s">
        <v>12</v>
      </c>
      <c r="B13" s="4">
        <v>0</v>
      </c>
      <c r="C13" s="4">
        <v>-1.12017317951397</v>
      </c>
      <c r="D13" s="4">
        <f t="shared" si="0"/>
        <v>0</v>
      </c>
    </row>
    <row r="14" spans="1:7" x14ac:dyDescent="0.3">
      <c r="A14" s="5" t="s">
        <v>13</v>
      </c>
      <c r="B14" s="4">
        <v>0</v>
      </c>
      <c r="C14" s="4">
        <v>-1.1154133211974251</v>
      </c>
      <c r="D14" s="4">
        <f t="shared" si="0"/>
        <v>0</v>
      </c>
    </row>
    <row r="15" spans="1:7" x14ac:dyDescent="0.3">
      <c r="A15" s="5" t="s">
        <v>14</v>
      </c>
      <c r="B15" s="4">
        <v>0</v>
      </c>
      <c r="C15" s="4">
        <v>-1.072806810743151</v>
      </c>
      <c r="D15" s="4">
        <f t="shared" si="0"/>
        <v>0</v>
      </c>
    </row>
    <row r="16" spans="1:7" x14ac:dyDescent="0.3">
      <c r="A16" s="5" t="s">
        <v>15</v>
      </c>
      <c r="B16" s="4">
        <v>0</v>
      </c>
      <c r="C16" s="4">
        <v>-0.99095987605964864</v>
      </c>
      <c r="D16" s="4">
        <f t="shared" si="0"/>
        <v>0</v>
      </c>
    </row>
    <row r="17" spans="1:4" x14ac:dyDescent="0.3">
      <c r="A17" s="6" t="s">
        <v>16</v>
      </c>
      <c r="B17" s="4">
        <v>0</v>
      </c>
      <c r="C17" s="4">
        <v>-0.39820428498213523</v>
      </c>
      <c r="D17" s="4">
        <f t="shared" si="0"/>
        <v>0</v>
      </c>
    </row>
    <row r="18" spans="1:4" x14ac:dyDescent="0.3">
      <c r="A18" s="4" t="s">
        <v>17</v>
      </c>
      <c r="B18" s="4">
        <v>0</v>
      </c>
      <c r="C18" s="4">
        <v>-0.73478993367131673</v>
      </c>
      <c r="D18" s="4">
        <f t="shared" si="0"/>
        <v>0</v>
      </c>
    </row>
    <row r="19" spans="1:4" x14ac:dyDescent="0.3">
      <c r="A19" s="4" t="s">
        <v>18</v>
      </c>
      <c r="B19" s="4">
        <v>0</v>
      </c>
      <c r="C19" s="4">
        <v>-1.679865001322572</v>
      </c>
      <c r="D19" s="4">
        <f t="shared" si="0"/>
        <v>0</v>
      </c>
    </row>
    <row r="20" spans="1:4" x14ac:dyDescent="0.3">
      <c r="A20" s="5" t="s">
        <v>19</v>
      </c>
      <c r="B20" s="4">
        <v>0</v>
      </c>
      <c r="C20" s="4">
        <v>-0.37493684683644468</v>
      </c>
      <c r="D20" s="4">
        <f t="shared" si="0"/>
        <v>0</v>
      </c>
    </row>
    <row r="21" spans="1:4" x14ac:dyDescent="0.3">
      <c r="A21" s="5" t="s">
        <v>20</v>
      </c>
      <c r="B21" s="4">
        <v>0</v>
      </c>
      <c r="C21" s="4">
        <v>-0.90834372881365233</v>
      </c>
      <c r="D21" s="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</vt:lpstr>
      <vt:lpstr>BORRAR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</dc:creator>
  <cp:lastModifiedBy>ACER</cp:lastModifiedBy>
  <dcterms:created xsi:type="dcterms:W3CDTF">2015-06-05T18:19:34Z</dcterms:created>
  <dcterms:modified xsi:type="dcterms:W3CDTF">2025-05-22T12:21:06Z</dcterms:modified>
</cp:coreProperties>
</file>