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CER\Desktop\Tesis\Tesis Pedro Palominos\Código python\Modelo_info_historica\Modelo más actualizado\analisis sensibilidad\analisis aumentar\"/>
    </mc:Choice>
  </mc:AlternateContent>
  <xr:revisionPtr revIDLastSave="0" documentId="13_ncr:1_{EB087360-55E4-4F49-968D-45934C883C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20" i="1"/>
  <c r="F13" i="1"/>
  <c r="F21" i="1"/>
  <c r="F15" i="1"/>
  <c r="F18" i="1"/>
  <c r="F16" i="1"/>
  <c r="F14" i="1"/>
  <c r="F12" i="1"/>
  <c r="F7" i="1"/>
  <c r="F3" i="1"/>
  <c r="F10" i="1"/>
  <c r="F9" i="1"/>
  <c r="F6" i="1"/>
  <c r="F11" i="1"/>
  <c r="F4" i="1"/>
  <c r="F2" i="1"/>
  <c r="F8" i="1"/>
  <c r="F5" i="1"/>
  <c r="F19" i="1"/>
  <c r="E17" i="1"/>
  <c r="E20" i="1"/>
  <c r="E13" i="1"/>
  <c r="E21" i="1"/>
  <c r="E15" i="1"/>
  <c r="E18" i="1"/>
  <c r="E16" i="1"/>
  <c r="E14" i="1"/>
  <c r="E12" i="1"/>
  <c r="E7" i="1"/>
  <c r="E3" i="1"/>
  <c r="E10" i="1"/>
  <c r="E9" i="1"/>
  <c r="E6" i="1"/>
  <c r="E11" i="1"/>
  <c r="E4" i="1"/>
  <c r="E2" i="1"/>
  <c r="E8" i="1"/>
  <c r="E5" i="1"/>
  <c r="E19" i="1"/>
  <c r="C17" i="1"/>
  <c r="C20" i="1"/>
  <c r="C13" i="1"/>
  <c r="C21" i="1"/>
  <c r="C15" i="1"/>
  <c r="C18" i="1"/>
  <c r="C16" i="1"/>
  <c r="C14" i="1"/>
  <c r="C12" i="1"/>
  <c r="C7" i="1"/>
  <c r="C3" i="1"/>
  <c r="C10" i="1"/>
  <c r="C9" i="1"/>
  <c r="C6" i="1"/>
  <c r="C11" i="1"/>
  <c r="C4" i="1"/>
  <c r="C2" i="1"/>
  <c r="C8" i="1"/>
  <c r="C5" i="1"/>
  <c r="C19" i="1"/>
  <c r="B17" i="1"/>
  <c r="B20" i="1"/>
  <c r="B13" i="1"/>
  <c r="B21" i="1"/>
  <c r="B15" i="1"/>
  <c r="B18" i="1"/>
  <c r="B16" i="1"/>
  <c r="B14" i="1"/>
  <c r="B12" i="1"/>
  <c r="B7" i="1"/>
  <c r="B3" i="1"/>
  <c r="B10" i="1"/>
  <c r="B9" i="1"/>
  <c r="B6" i="1"/>
  <c r="B11" i="1"/>
  <c r="B4" i="1"/>
  <c r="B2" i="1"/>
  <c r="B8" i="1"/>
  <c r="B5" i="1"/>
  <c r="B19" i="1"/>
</calcChain>
</file>

<file path=xl/sharedStrings.xml><?xml version="1.0" encoding="utf-8"?>
<sst xmlns="http://schemas.openxmlformats.org/spreadsheetml/2006/main" count="26" uniqueCount="26">
  <si>
    <t>Estacion</t>
  </si>
  <si>
    <t>Asi</t>
  </si>
  <si>
    <t>P34 - Santa Victoria / Bustamante</t>
  </si>
  <si>
    <t>P35 - Seminario / Marín</t>
  </si>
  <si>
    <t>S24 - Plaza Yungay</t>
  </si>
  <si>
    <t>N04 - Hospital Carabineros</t>
  </si>
  <si>
    <t>S17 - San Isidro / Santa Isabel</t>
  </si>
  <si>
    <t>S31- Argomedo / Portugal</t>
  </si>
  <si>
    <t>S09 - Santo Domingo / Morandé</t>
  </si>
  <si>
    <t>P02 - Italia / Marín</t>
  </si>
  <si>
    <t>P41 - Pedro León Gallo / Julio Prado</t>
  </si>
  <si>
    <t>N09 - Irarrázaval / Brown Sur</t>
  </si>
  <si>
    <t>LC070 - Alonso De Córdova Interior</t>
  </si>
  <si>
    <t>V10 - Casa Costanera</t>
  </si>
  <si>
    <t>IT001 - ITAU</t>
  </si>
  <si>
    <t>P08 - Metro Colón</t>
  </si>
  <si>
    <t>LC002 - Hendaya</t>
  </si>
  <si>
    <t>LC093 - Los Estandartes</t>
  </si>
  <si>
    <t>V39 - Pedro Canisio</t>
  </si>
  <si>
    <t>P05 - Costanera Center 2</t>
  </si>
  <si>
    <t>P30 - Lo Contador</t>
  </si>
  <si>
    <t>P04 - Costanera Center 1</t>
  </si>
  <si>
    <t>Asi-50</t>
  </si>
  <si>
    <t>Asi-25</t>
  </si>
  <si>
    <t>Asi+25</t>
  </si>
  <si>
    <t>Asi+50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</si>
</sst>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1" max="1" width="35.88671875" customWidth="1"/>
    <col min="2" max="2" width="19.33203125" customWidth="1"/>
    <col min="3" max="3" width="19.109375" customWidth="1"/>
    <col min="4" max="4" width="11" customWidth="1"/>
  </cols>
  <sheetData>
    <row r="1" spans="1:6" x14ac:dyDescent="0.3">
      <c r="A1" s="1" t="s">
        <v>0</v>
      </c>
      <c r="B1" s="2" t="s">
        <v>22</v>
      </c>
      <c r="C1" s="2" t="s">
        <v>23</v>
      </c>
      <c r="D1" s="2" t="s">
        <v>1</v>
      </c>
      <c r="E1" s="2" t="s">
        <v>24</v>
      </c>
      <c r="F1" s="2" t="s">
        <v>25</v>
      </c>
    </row>
    <row r="2" spans="1:6" x14ac:dyDescent="0.3">
      <c r="A2" s="1" t="s">
        <v>19</v>
      </c>
      <c r="B2" s="1">
        <f>D2*0.5</f>
        <v>0.49789316615253515</v>
      </c>
      <c r="C2" s="1">
        <f>D2*0.75</f>
        <v>0.7468397492288027</v>
      </c>
      <c r="D2" s="1">
        <v>0.9957863323050703</v>
      </c>
      <c r="E2">
        <f>D2*1.25</f>
        <v>1.2447329153813378</v>
      </c>
      <c r="F2">
        <f>D2*1.5</f>
        <v>1.4936794984576054</v>
      </c>
    </row>
    <row r="3" spans="1:6" x14ac:dyDescent="0.3">
      <c r="A3" s="3" t="s">
        <v>13</v>
      </c>
      <c r="B3" s="1">
        <f>D3*0.5</f>
        <v>0.49497721052872201</v>
      </c>
      <c r="C3" s="1">
        <f>D3*0.75</f>
        <v>0.74246581579308302</v>
      </c>
      <c r="D3" s="1">
        <v>0.98995442105744402</v>
      </c>
      <c r="E3">
        <f>D3*1.25</f>
        <v>1.237443026321805</v>
      </c>
      <c r="F3">
        <f>D3*1.5</f>
        <v>1.484931631586166</v>
      </c>
    </row>
    <row r="4" spans="1:6" x14ac:dyDescent="0.3">
      <c r="A4" s="1" t="s">
        <v>18</v>
      </c>
      <c r="B4" s="1">
        <f>D4*0.5</f>
        <v>0.4015919155108183</v>
      </c>
      <c r="C4" s="1">
        <f>D4*0.75</f>
        <v>0.60238787326622745</v>
      </c>
      <c r="D4" s="1">
        <v>0.8031838310216366</v>
      </c>
      <c r="E4">
        <f>D4*1.25</f>
        <v>1.0039797887770456</v>
      </c>
      <c r="F4">
        <f>D4*1.5</f>
        <v>1.2047757465324549</v>
      </c>
    </row>
    <row r="5" spans="1:6" x14ac:dyDescent="0.3">
      <c r="A5" s="1" t="s">
        <v>21</v>
      </c>
      <c r="B5" s="1">
        <f>D5*0.5</f>
        <v>0.39761653285222315</v>
      </c>
      <c r="C5" s="1">
        <f>D5*0.75</f>
        <v>0.59642479927833469</v>
      </c>
      <c r="D5" s="1">
        <v>0.7952330657044463</v>
      </c>
      <c r="E5">
        <f>D5*1.25</f>
        <v>0.9940413321305579</v>
      </c>
      <c r="F5">
        <f>D5*1.5</f>
        <v>1.1928495985566694</v>
      </c>
    </row>
    <row r="6" spans="1:6" x14ac:dyDescent="0.3">
      <c r="A6" s="1" t="s">
        <v>16</v>
      </c>
      <c r="B6" s="1">
        <f>D6*0.5</f>
        <v>0.32906380747759362</v>
      </c>
      <c r="C6" s="1">
        <f>D6*0.75</f>
        <v>0.49359571121639045</v>
      </c>
      <c r="D6" s="1">
        <v>0.65812761495518723</v>
      </c>
      <c r="E6">
        <f>D6*1.25</f>
        <v>0.82265951869398402</v>
      </c>
      <c r="F6">
        <f>D6*1.5</f>
        <v>0.98719142243278091</v>
      </c>
    </row>
    <row r="7" spans="1:6" x14ac:dyDescent="0.3">
      <c r="A7" s="1" t="s">
        <v>12</v>
      </c>
      <c r="B7" s="1">
        <f>D7*0.5</f>
        <v>0.32878931489153818</v>
      </c>
      <c r="C7" s="1">
        <f>D7*0.75</f>
        <v>0.49318397233730726</v>
      </c>
      <c r="D7" s="1">
        <v>0.65757862978307635</v>
      </c>
      <c r="E7">
        <f>D7*1.25</f>
        <v>0.82197328722884544</v>
      </c>
      <c r="F7">
        <f>D7*1.5</f>
        <v>0.98636794467461453</v>
      </c>
    </row>
    <row r="8" spans="1:6" x14ac:dyDescent="0.3">
      <c r="A8" s="1" t="s">
        <v>20</v>
      </c>
      <c r="B8" s="1">
        <f>D8*0.5</f>
        <v>0.22233668583601254</v>
      </c>
      <c r="C8" s="1">
        <f>D8*0.75</f>
        <v>0.33350502875401883</v>
      </c>
      <c r="D8" s="1">
        <v>0.44467337167202509</v>
      </c>
      <c r="E8">
        <f>D8*1.25</f>
        <v>0.5558417145900314</v>
      </c>
      <c r="F8">
        <f>D8*1.5</f>
        <v>0.66701005750803766</v>
      </c>
    </row>
    <row r="9" spans="1:6" x14ac:dyDescent="0.3">
      <c r="A9" s="1" t="s">
        <v>15</v>
      </c>
      <c r="B9" s="1">
        <f>D9*0.5</f>
        <v>0.14110482772130556</v>
      </c>
      <c r="C9" s="1">
        <f>D9*0.75</f>
        <v>0.21165724158195834</v>
      </c>
      <c r="D9" s="1">
        <v>0.28220965544261112</v>
      </c>
      <c r="E9">
        <f>D9*1.25</f>
        <v>0.35276206930326393</v>
      </c>
      <c r="F9">
        <f>D9*1.5</f>
        <v>0.42331448316391668</v>
      </c>
    </row>
    <row r="10" spans="1:6" x14ac:dyDescent="0.3">
      <c r="A10" s="1" t="s">
        <v>14</v>
      </c>
      <c r="B10" s="1">
        <f>D10*0.5</f>
        <v>0.13323858927980234</v>
      </c>
      <c r="C10" s="1">
        <f>D10*0.75</f>
        <v>0.19985788391970349</v>
      </c>
      <c r="D10" s="1">
        <v>0.26647717855960468</v>
      </c>
      <c r="E10">
        <f>D10*1.25</f>
        <v>0.33309647319950586</v>
      </c>
      <c r="F10">
        <f>D10*1.5</f>
        <v>0.39971576783940699</v>
      </c>
    </row>
    <row r="11" spans="1:6" x14ac:dyDescent="0.3">
      <c r="A11" s="1" t="s">
        <v>17</v>
      </c>
      <c r="B11" s="1">
        <f>D11*0.5</f>
        <v>1.3323104782390815E-3</v>
      </c>
      <c r="C11" s="1">
        <f>D11*0.75</f>
        <v>1.9984657173586222E-3</v>
      </c>
      <c r="D11" s="1">
        <v>2.6646209564781631E-3</v>
      </c>
      <c r="E11">
        <f>D11*1.25</f>
        <v>3.330776195597704E-3</v>
      </c>
      <c r="F11">
        <f>D11*1.5</f>
        <v>3.9969314347172444E-3</v>
      </c>
    </row>
    <row r="12" spans="1:6" x14ac:dyDescent="0.3">
      <c r="A12" s="1" t="s">
        <v>11</v>
      </c>
      <c r="B12" s="1">
        <f>D12*0.5</f>
        <v>-0.18805526159123115</v>
      </c>
      <c r="C12" s="1">
        <f>D12*0.75</f>
        <v>-0.2820828923868467</v>
      </c>
      <c r="D12" s="1">
        <v>-0.3761105231824623</v>
      </c>
      <c r="E12">
        <f>D12*1.25</f>
        <v>-0.4701381539780779</v>
      </c>
      <c r="F12">
        <f>D12*1.5</f>
        <v>-0.56416578477369339</v>
      </c>
    </row>
    <row r="13" spans="1:6" x14ac:dyDescent="0.3">
      <c r="A13" s="1" t="s">
        <v>5</v>
      </c>
      <c r="B13" s="1">
        <f>D13*0.5</f>
        <v>-0.30928370188354043</v>
      </c>
      <c r="C13" s="1">
        <f>D13*0.75</f>
        <v>-0.46392555282531067</v>
      </c>
      <c r="D13" s="1">
        <v>-0.61856740376708086</v>
      </c>
      <c r="E13">
        <f>D13*1.25</f>
        <v>-0.77320925470885105</v>
      </c>
      <c r="F13">
        <f>D13*1.5</f>
        <v>-0.92785110565062134</v>
      </c>
    </row>
    <row r="14" spans="1:6" x14ac:dyDescent="0.3">
      <c r="A14" s="1" t="s">
        <v>10</v>
      </c>
      <c r="B14" s="1">
        <f>D14*0.5</f>
        <v>-0.38422873459118939</v>
      </c>
      <c r="C14" s="1">
        <f>D14*0.75</f>
        <v>-0.57634310188678406</v>
      </c>
      <c r="D14" s="1">
        <v>-0.76845746918237878</v>
      </c>
      <c r="E14">
        <f>D14*1.25</f>
        <v>-0.96057183647797351</v>
      </c>
      <c r="F14">
        <f>D14*1.5</f>
        <v>-1.1526862037735681</v>
      </c>
    </row>
    <row r="15" spans="1:6" x14ac:dyDescent="0.3">
      <c r="A15" s="1" t="s">
        <v>7</v>
      </c>
      <c r="B15" s="1">
        <f>D15*0.5</f>
        <v>-0.41178588144982087</v>
      </c>
      <c r="C15" s="1">
        <f>D15*0.75</f>
        <v>-0.61767882217473136</v>
      </c>
      <c r="D15" s="1">
        <v>-0.82357176289964173</v>
      </c>
      <c r="E15">
        <f>D15*1.25</f>
        <v>-1.0294647036245521</v>
      </c>
      <c r="F15">
        <f>D15*1.5</f>
        <v>-1.2353576443494627</v>
      </c>
    </row>
    <row r="16" spans="1:6" x14ac:dyDescent="0.3">
      <c r="A16" s="1" t="s">
        <v>9</v>
      </c>
      <c r="B16" s="1">
        <f>D16*0.5</f>
        <v>-0.41583338658803937</v>
      </c>
      <c r="C16" s="1">
        <f>D16*0.75</f>
        <v>-0.62375007988205899</v>
      </c>
      <c r="D16" s="1">
        <v>-0.83166677317607873</v>
      </c>
      <c r="E16">
        <f>D16*1.25</f>
        <v>-1.0395834664700985</v>
      </c>
      <c r="F16">
        <f>D16*1.5</f>
        <v>-1.247500159764118</v>
      </c>
    </row>
    <row r="17" spans="1:6" x14ac:dyDescent="0.3">
      <c r="A17" s="1" t="s">
        <v>3</v>
      </c>
      <c r="B17" s="1">
        <f>D17*0.5</f>
        <v>-0.49517537859157729</v>
      </c>
      <c r="C17" s="1">
        <f>D17*0.75</f>
        <v>-0.7427630678873659</v>
      </c>
      <c r="D17" s="1">
        <v>-0.99035075718315457</v>
      </c>
      <c r="E17">
        <f>D17*1.25</f>
        <v>-1.2379384464789431</v>
      </c>
      <c r="F17">
        <f>D17*1.5</f>
        <v>-1.4855261357747318</v>
      </c>
    </row>
    <row r="18" spans="1:6" x14ac:dyDescent="0.3">
      <c r="A18" s="1" t="s">
        <v>8</v>
      </c>
      <c r="B18" s="1">
        <f>D18*0.5</f>
        <v>-0.53640340537157549</v>
      </c>
      <c r="C18" s="1">
        <f>D18*0.75</f>
        <v>-0.80460510805736329</v>
      </c>
      <c r="D18" s="1">
        <v>-1.072806810743151</v>
      </c>
      <c r="E18">
        <f>D18*1.25</f>
        <v>-1.3410085134289387</v>
      </c>
      <c r="F18">
        <f>D18*1.5</f>
        <v>-1.6092102161147266</v>
      </c>
    </row>
    <row r="19" spans="1:6" x14ac:dyDescent="0.3">
      <c r="A19" s="1" t="s">
        <v>2</v>
      </c>
      <c r="B19" s="1">
        <f>D19*0.5</f>
        <v>-0.56697814827213056</v>
      </c>
      <c r="C19" s="1">
        <f>D19*0.75</f>
        <v>-0.85046722240819583</v>
      </c>
      <c r="D19" s="1">
        <v>-1.1339562965442611</v>
      </c>
      <c r="E19">
        <f>D19*1.25</f>
        <v>-1.4174453706803263</v>
      </c>
      <c r="F19">
        <f>D19*1.5</f>
        <v>-1.7009344448163917</v>
      </c>
    </row>
    <row r="20" spans="1:6" x14ac:dyDescent="0.3">
      <c r="A20" s="1" t="s">
        <v>4</v>
      </c>
      <c r="B20" s="1">
        <f>D20*0.5</f>
        <v>-0.59848103551763399</v>
      </c>
      <c r="C20" s="1">
        <f>D20*0.75</f>
        <v>-0.89772155327645098</v>
      </c>
      <c r="D20" s="1">
        <v>-1.196962071035268</v>
      </c>
      <c r="E20">
        <f>D20*1.25</f>
        <v>-1.4962025887940849</v>
      </c>
      <c r="F20">
        <f>D20*1.5</f>
        <v>-1.795443106552902</v>
      </c>
    </row>
    <row r="21" spans="1:6" x14ac:dyDescent="0.3">
      <c r="A21" s="1" t="s">
        <v>6</v>
      </c>
      <c r="B21" s="1">
        <f>D21*0.5</f>
        <v>-0.839932500661286</v>
      </c>
      <c r="C21" s="1">
        <f>D21*0.75</f>
        <v>-1.2598987509919291</v>
      </c>
      <c r="D21" s="1">
        <v>-1.679865001322572</v>
      </c>
      <c r="E21">
        <f>D21*1.25</f>
        <v>-2.0998312516532152</v>
      </c>
      <c r="F21">
        <f>D21*1.5</f>
        <v>-2.5197975019838581</v>
      </c>
    </row>
  </sheetData>
  <sortState xmlns:xlrd2="http://schemas.microsoft.com/office/spreadsheetml/2017/richdata2" ref="A2:F21">
    <sortCondition descending="1" ref="D2:D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</dc:creator>
  <cp:lastModifiedBy>ACER</cp:lastModifiedBy>
  <dcterms:created xsi:type="dcterms:W3CDTF">2015-06-05T18:19:34Z</dcterms:created>
  <dcterms:modified xsi:type="dcterms:W3CDTF">2025-05-23T03:18:18Z</dcterms:modified>
</cp:coreProperties>
</file>