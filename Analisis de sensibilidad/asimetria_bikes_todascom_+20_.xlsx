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CER\Desktop\Tesis\Tesis Pedro Palominos\Código python\Modelo_info_historica\Modelo más actualizado\analisis sensibilidad\analisis aumentar\"/>
    </mc:Choice>
  </mc:AlternateContent>
  <xr:revisionPtr revIDLastSave="0" documentId="13_ncr:1_{6780FA72-AD08-44D6-89AB-ECF2E1A5096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</calcChain>
</file>

<file path=xl/sharedStrings.xml><?xml version="1.0" encoding="utf-8"?>
<sst xmlns="http://schemas.openxmlformats.org/spreadsheetml/2006/main" count="26" uniqueCount="26">
  <si>
    <t>Estacion</t>
  </si>
  <si>
    <t>Asi</t>
  </si>
  <si>
    <t>LC007 - Centro Cívico De Las Condes</t>
  </si>
  <si>
    <t>LC047 - Apoquindo / Luiz Zegers</t>
  </si>
  <si>
    <t>LC049 - Presidente Riesco / Américo Vespucio</t>
  </si>
  <si>
    <t>LC018 - Fiscalía Local De Las Condes</t>
  </si>
  <si>
    <t>V02 - Alonso de Cordova</t>
  </si>
  <si>
    <t>P18 - Metro Tobalaba</t>
  </si>
  <si>
    <t>P05 - Costanera Center 2</t>
  </si>
  <si>
    <t>V10 - Casa Costanera</t>
  </si>
  <si>
    <t>V35 - Municipalidad de Vitacura</t>
  </si>
  <si>
    <t>P62 - El Cerro</t>
  </si>
  <si>
    <t>N47 - Unimarc</t>
  </si>
  <si>
    <t>S05 - Metro Bellas Artes</t>
  </si>
  <si>
    <t>S03 - Teatinos / General Mackenna</t>
  </si>
  <si>
    <t>P34 - Santa Victoria / Bustamante</t>
  </si>
  <si>
    <t>LC089 - Chesterton / Bocaccio</t>
  </si>
  <si>
    <t>N16 - Polideportivo de Ñuñoa</t>
  </si>
  <si>
    <t>S24 - Plaza Yungay</t>
  </si>
  <si>
    <t>S30 - San Pablo</t>
  </si>
  <si>
    <t>P11 - Metro Parque Bustamante</t>
  </si>
  <si>
    <t>S17 - San Isidro / Santa Isabel</t>
  </si>
  <si>
    <t>Asi+25</t>
  </si>
  <si>
    <t>Asi+50</t>
  </si>
  <si>
    <t>Asi-25</t>
  </si>
  <si>
    <t>Asi-50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</si>
</sst>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mbri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G4" sqref="G4"/>
    </sheetView>
  </sheetViews>
  <sheetFormatPr baseColWidth="10" defaultColWidth="8.88671875" defaultRowHeight="14.4" x14ac:dyDescent="0.3"/>
  <cols>
    <col min="1" max="1" width="38.6640625" bestFit="1" customWidth="1"/>
    <col min="3" max="6" width="20" customWidth="1"/>
  </cols>
  <sheetData>
    <row r="1" spans="1:6" x14ac:dyDescent="0.3">
      <c r="A1" s="1" t="s">
        <v>0</v>
      </c>
      <c r="B1" s="2" t="s">
        <v>25</v>
      </c>
      <c r="C1" s="2" t="s">
        <v>24</v>
      </c>
      <c r="D1" s="2" t="s">
        <v>1</v>
      </c>
      <c r="E1" s="2" t="s">
        <v>22</v>
      </c>
      <c r="F1" s="2" t="s">
        <v>23</v>
      </c>
    </row>
    <row r="2" spans="1:6" x14ac:dyDescent="0.3">
      <c r="A2" t="s">
        <v>2</v>
      </c>
      <c r="B2">
        <f t="shared" ref="B2:B21" si="0">D2*0.5</f>
        <v>0.62358859400997402</v>
      </c>
      <c r="C2">
        <f t="shared" ref="C2:C21" si="1">D2*0.75</f>
        <v>0.93538289101496108</v>
      </c>
      <c r="D2">
        <v>1.247177188019948</v>
      </c>
      <c r="E2">
        <f t="shared" ref="E2:E21" si="2">D2*1.25</f>
        <v>1.558971485024935</v>
      </c>
      <c r="F2">
        <f t="shared" ref="F2:F21" si="3">D2*1.5</f>
        <v>1.8707657820299222</v>
      </c>
    </row>
    <row r="3" spans="1:6" x14ac:dyDescent="0.3">
      <c r="A3" t="s">
        <v>3</v>
      </c>
      <c r="B3">
        <f t="shared" si="0"/>
        <v>0.57126464591653803</v>
      </c>
      <c r="C3">
        <f t="shared" si="1"/>
        <v>0.85689696887480704</v>
      </c>
      <c r="D3">
        <v>1.1425292918330761</v>
      </c>
      <c r="E3">
        <f t="shared" si="2"/>
        <v>1.4281616147913452</v>
      </c>
      <c r="F3">
        <f t="shared" si="3"/>
        <v>1.7137939377496141</v>
      </c>
    </row>
    <row r="4" spans="1:6" x14ac:dyDescent="0.3">
      <c r="A4" t="s">
        <v>4</v>
      </c>
      <c r="B4">
        <f t="shared" si="0"/>
        <v>0.56185698640263049</v>
      </c>
      <c r="C4">
        <f t="shared" si="1"/>
        <v>0.84278547960394579</v>
      </c>
      <c r="D4">
        <v>1.123713972805261</v>
      </c>
      <c r="E4">
        <f t="shared" si="2"/>
        <v>1.4046424660065762</v>
      </c>
      <c r="F4">
        <f t="shared" si="3"/>
        <v>1.6855709592078916</v>
      </c>
    </row>
    <row r="5" spans="1:6" x14ac:dyDescent="0.3">
      <c r="A5" t="s">
        <v>5</v>
      </c>
      <c r="B5">
        <f t="shared" si="0"/>
        <v>0.55695983779447755</v>
      </c>
      <c r="C5">
        <f t="shared" si="1"/>
        <v>0.83543975669171633</v>
      </c>
      <c r="D5">
        <v>1.1139196755889551</v>
      </c>
      <c r="E5">
        <f t="shared" si="2"/>
        <v>1.3923995944861938</v>
      </c>
      <c r="F5">
        <f t="shared" si="3"/>
        <v>1.6708795133834327</v>
      </c>
    </row>
    <row r="6" spans="1:6" x14ac:dyDescent="0.3">
      <c r="A6" t="s">
        <v>6</v>
      </c>
      <c r="B6">
        <f t="shared" si="0"/>
        <v>0.52082014059314496</v>
      </c>
      <c r="C6">
        <f t="shared" si="1"/>
        <v>0.78123021088971745</v>
      </c>
      <c r="D6">
        <v>1.0416402811862899</v>
      </c>
      <c r="E6">
        <f t="shared" si="2"/>
        <v>1.3020503514828623</v>
      </c>
      <c r="F6">
        <f t="shared" si="3"/>
        <v>1.5624604217794349</v>
      </c>
    </row>
    <row r="7" spans="1:6" x14ac:dyDescent="0.3">
      <c r="A7" t="s">
        <v>7</v>
      </c>
      <c r="B7">
        <f t="shared" si="0"/>
        <v>0.49791724806408288</v>
      </c>
      <c r="C7">
        <f t="shared" si="1"/>
        <v>0.74687587209612438</v>
      </c>
      <c r="D7">
        <v>0.99583449612816577</v>
      </c>
      <c r="E7">
        <f t="shared" si="2"/>
        <v>1.2447931201602072</v>
      </c>
      <c r="F7">
        <f t="shared" si="3"/>
        <v>1.4937517441922488</v>
      </c>
    </row>
    <row r="8" spans="1:6" x14ac:dyDescent="0.3">
      <c r="A8" t="s">
        <v>8</v>
      </c>
      <c r="B8">
        <f t="shared" si="0"/>
        <v>0.49789316615253515</v>
      </c>
      <c r="C8">
        <f t="shared" si="1"/>
        <v>0.7468397492288027</v>
      </c>
      <c r="D8">
        <v>0.9957863323050703</v>
      </c>
      <c r="E8">
        <f t="shared" si="2"/>
        <v>1.2447329153813378</v>
      </c>
      <c r="F8">
        <f t="shared" si="3"/>
        <v>1.4936794984576054</v>
      </c>
    </row>
    <row r="9" spans="1:6" x14ac:dyDescent="0.3">
      <c r="A9" t="s">
        <v>9</v>
      </c>
      <c r="B9">
        <f t="shared" si="0"/>
        <v>0.49497721052872201</v>
      </c>
      <c r="C9">
        <f t="shared" si="1"/>
        <v>0.74246581579308302</v>
      </c>
      <c r="D9">
        <v>0.98995442105744402</v>
      </c>
      <c r="E9">
        <f t="shared" si="2"/>
        <v>1.237443026321805</v>
      </c>
      <c r="F9">
        <f t="shared" si="3"/>
        <v>1.484931631586166</v>
      </c>
    </row>
    <row r="10" spans="1:6" x14ac:dyDescent="0.3">
      <c r="A10" t="s">
        <v>10</v>
      </c>
      <c r="B10">
        <f t="shared" si="0"/>
        <v>0.4464169800279042</v>
      </c>
      <c r="C10">
        <f t="shared" si="1"/>
        <v>0.66962547004185624</v>
      </c>
      <c r="D10">
        <v>0.8928339600558084</v>
      </c>
      <c r="E10">
        <f t="shared" si="2"/>
        <v>1.1160424500697605</v>
      </c>
      <c r="F10">
        <f t="shared" si="3"/>
        <v>1.3392509400837125</v>
      </c>
    </row>
    <row r="11" spans="1:6" x14ac:dyDescent="0.3">
      <c r="A11" t="s">
        <v>11</v>
      </c>
      <c r="B11">
        <f t="shared" si="0"/>
        <v>0.44298946933031907</v>
      </c>
      <c r="C11">
        <f t="shared" si="1"/>
        <v>0.66448420399547858</v>
      </c>
      <c r="D11">
        <v>0.88597893866063815</v>
      </c>
      <c r="E11">
        <f t="shared" si="2"/>
        <v>1.1074736733257977</v>
      </c>
      <c r="F11">
        <f t="shared" si="3"/>
        <v>1.3289684079909572</v>
      </c>
    </row>
    <row r="12" spans="1:6" x14ac:dyDescent="0.3">
      <c r="A12" t="s">
        <v>12</v>
      </c>
      <c r="B12">
        <f t="shared" si="0"/>
        <v>-0.54618594857939895</v>
      </c>
      <c r="C12">
        <f t="shared" si="1"/>
        <v>-0.81927892286909842</v>
      </c>
      <c r="D12">
        <v>-1.0923718971587979</v>
      </c>
      <c r="E12">
        <f t="shared" si="2"/>
        <v>-1.3654648714484974</v>
      </c>
      <c r="F12">
        <f t="shared" si="3"/>
        <v>-1.6385578457381968</v>
      </c>
    </row>
    <row r="13" spans="1:6" x14ac:dyDescent="0.3">
      <c r="A13" t="s">
        <v>13</v>
      </c>
      <c r="B13">
        <f t="shared" si="0"/>
        <v>-0.55770666059871254</v>
      </c>
      <c r="C13">
        <f t="shared" si="1"/>
        <v>-0.83655999089806876</v>
      </c>
      <c r="D13">
        <v>-1.1154133211974251</v>
      </c>
      <c r="E13">
        <f t="shared" si="2"/>
        <v>-1.3942666514967814</v>
      </c>
      <c r="F13">
        <f t="shared" si="3"/>
        <v>-1.6731199817961375</v>
      </c>
    </row>
    <row r="14" spans="1:6" x14ac:dyDescent="0.3">
      <c r="A14" t="s">
        <v>14</v>
      </c>
      <c r="B14">
        <f t="shared" si="0"/>
        <v>-0.560086589756985</v>
      </c>
      <c r="C14">
        <f t="shared" si="1"/>
        <v>-0.84012988463547744</v>
      </c>
      <c r="D14">
        <v>-1.12017317951397</v>
      </c>
      <c r="E14">
        <f t="shared" si="2"/>
        <v>-1.4002164743924626</v>
      </c>
      <c r="F14">
        <f t="shared" si="3"/>
        <v>-1.6802597692709549</v>
      </c>
    </row>
    <row r="15" spans="1:6" x14ac:dyDescent="0.3">
      <c r="A15" t="s">
        <v>15</v>
      </c>
      <c r="B15">
        <f t="shared" si="0"/>
        <v>-0.56697814827213056</v>
      </c>
      <c r="C15">
        <f t="shared" si="1"/>
        <v>-0.85046722240819583</v>
      </c>
      <c r="D15">
        <v>-1.1339562965442611</v>
      </c>
      <c r="E15">
        <f t="shared" si="2"/>
        <v>-1.4174453706803263</v>
      </c>
      <c r="F15">
        <f t="shared" si="3"/>
        <v>-1.7009344448163917</v>
      </c>
    </row>
    <row r="16" spans="1:6" x14ac:dyDescent="0.3">
      <c r="A16" t="s">
        <v>16</v>
      </c>
      <c r="B16">
        <f t="shared" si="0"/>
        <v>-0.57141639164082147</v>
      </c>
      <c r="C16">
        <f t="shared" si="1"/>
        <v>-0.85712458746123221</v>
      </c>
      <c r="D16">
        <v>-1.1428327832816429</v>
      </c>
      <c r="E16">
        <f t="shared" si="2"/>
        <v>-1.4285409791020536</v>
      </c>
      <c r="F16">
        <f t="shared" si="3"/>
        <v>-1.7142491749224644</v>
      </c>
    </row>
    <row r="17" spans="1:6" x14ac:dyDescent="0.3">
      <c r="A17" t="s">
        <v>17</v>
      </c>
      <c r="B17">
        <f t="shared" si="0"/>
        <v>-0.59604467868271904</v>
      </c>
      <c r="C17">
        <f t="shared" si="1"/>
        <v>-0.89406701802407862</v>
      </c>
      <c r="D17">
        <v>-1.1920893573654381</v>
      </c>
      <c r="E17">
        <f t="shared" si="2"/>
        <v>-1.4901116967067976</v>
      </c>
      <c r="F17">
        <f t="shared" si="3"/>
        <v>-1.7881340360481572</v>
      </c>
    </row>
    <row r="18" spans="1:6" x14ac:dyDescent="0.3">
      <c r="A18" t="s">
        <v>18</v>
      </c>
      <c r="B18">
        <f t="shared" si="0"/>
        <v>-0.59848103551763399</v>
      </c>
      <c r="C18">
        <f t="shared" si="1"/>
        <v>-0.89772155327645098</v>
      </c>
      <c r="D18">
        <v>-1.196962071035268</v>
      </c>
      <c r="E18">
        <f t="shared" si="2"/>
        <v>-1.4962025887940849</v>
      </c>
      <c r="F18">
        <f t="shared" si="3"/>
        <v>-1.795443106552902</v>
      </c>
    </row>
    <row r="19" spans="1:6" x14ac:dyDescent="0.3">
      <c r="A19" t="s">
        <v>19</v>
      </c>
      <c r="B19">
        <f t="shared" si="0"/>
        <v>-0.60488529418702353</v>
      </c>
      <c r="C19">
        <f t="shared" si="1"/>
        <v>-0.90732794128053529</v>
      </c>
      <c r="D19">
        <v>-1.2097705883740471</v>
      </c>
      <c r="E19">
        <f t="shared" si="2"/>
        <v>-1.5122132354675588</v>
      </c>
      <c r="F19">
        <f t="shared" si="3"/>
        <v>-1.8146558825610706</v>
      </c>
    </row>
    <row r="20" spans="1:6" x14ac:dyDescent="0.3">
      <c r="A20" t="s">
        <v>20</v>
      </c>
      <c r="B20">
        <f t="shared" si="0"/>
        <v>-0.66835827803072045</v>
      </c>
      <c r="C20">
        <f t="shared" si="1"/>
        <v>-1.0025374170460806</v>
      </c>
      <c r="D20">
        <v>-1.3367165560614409</v>
      </c>
      <c r="E20">
        <f t="shared" si="2"/>
        <v>-1.6708956950768012</v>
      </c>
      <c r="F20">
        <f t="shared" si="3"/>
        <v>-2.0050748340921611</v>
      </c>
    </row>
    <row r="21" spans="1:6" x14ac:dyDescent="0.3">
      <c r="A21" t="s">
        <v>21</v>
      </c>
      <c r="B21">
        <f t="shared" si="0"/>
        <v>-0.839932500661286</v>
      </c>
      <c r="C21">
        <f t="shared" si="1"/>
        <v>-1.2598987509919291</v>
      </c>
      <c r="D21">
        <v>-1.679865001322572</v>
      </c>
      <c r="E21">
        <f t="shared" si="2"/>
        <v>-2.0998312516532152</v>
      </c>
      <c r="F21">
        <f t="shared" si="3"/>
        <v>-2.5197975019838581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</dc:creator>
  <cp:lastModifiedBy>ACER</cp:lastModifiedBy>
  <dcterms:created xsi:type="dcterms:W3CDTF">2015-06-05T18:19:34Z</dcterms:created>
  <dcterms:modified xsi:type="dcterms:W3CDTF">2025-05-21T18:36:39Z</dcterms:modified>
</cp:coreProperties>
</file>